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ENCIAS" sheetId="1" state="visible" r:id="rId3"/>
    <sheet name="MODELOS" sheetId="2" state="visible" r:id="rId4"/>
    <sheet name="Fabricados" sheetId="3" state="visible" r:id="rId5"/>
    <sheet name="Revendidos" sheetId="4" state="visible" r:id="rId6"/>
    <sheet name="Cilindros" sheetId="5" state="visible" r:id="rId7"/>
    <sheet name="Recargas" sheetId="6" state="visible" r:id="rId8"/>
  </sheets>
  <definedNames>
    <definedName function="false" hidden="false" localSheetId="4" name="_xlnm.Print_Titles" vbProcedure="false">Cilindros!$1:$1</definedName>
    <definedName function="false" hidden="true" localSheetId="4" name="_xlnm._FilterDatabase" vbProcedure="false">Cilindros!$A$1:$V$67</definedName>
    <definedName function="false" hidden="false" localSheetId="2" name="_xlnm.Print_Titles" vbProcedure="false">Fabricados!$1:$1</definedName>
    <definedName function="false" hidden="true" localSheetId="2" name="_xlnm._FilterDatabase" vbProcedure="false">Fabricados!$A$1:$V$399</definedName>
    <definedName function="false" hidden="false" localSheetId="1" name="_xlnm.Print_Titles" vbProcedure="false">MODELOS!$2:$2</definedName>
    <definedName function="false" hidden="false" localSheetId="5" name="_xlnm.Print_Titles" vbProcedure="false">Recargas!$1:$1</definedName>
    <definedName function="false" hidden="true" localSheetId="5" name="_xlnm._FilterDatabase" vbProcedure="false">Recargas!$A$1:$V$437</definedName>
    <definedName function="false" hidden="false" localSheetId="0" name="_xlnm.Print_Titles" vbProcedure="false">REFERENCIAS!$2:$2</definedName>
    <definedName function="false" hidden="false" localSheetId="3" name="_xlnm.Print_Titles" vbProcedure="false">Revendidos!$1:$1</definedName>
    <definedName function="false" hidden="true" localSheetId="3" name="_xlnm._FilterDatabase" vbProcedure="false">Revendidos!$A$1:$V$412</definedName>
    <definedName function="false" hidden="false" name="ISO_DESDE" vbProcedure="false">REFERENCIAS!$B$55:$B$62</definedName>
    <definedName function="false" hidden="false" name="ISO_TOL" vbProcedure="false">REFERENCIAS!$D$55:$D$62</definedName>
    <definedName function="false" hidden="false" name="PS_MAX" vbProcedure="false">REFERENCIAS!$C$37</definedName>
    <definedName function="false" hidden="false" name="P_ATM" vbProcedure="false">REFERENCIAS!$C$34</definedName>
    <definedName function="false" hidden="false" name="REF_DATO" vbProcedure="false">REFERENCIAS!$B$3:$B$51</definedName>
    <definedName function="false" hidden="false" name="REF_ID" vbProcedure="false">REFERENCIAS!$A$3:$A$51</definedName>
    <definedName function="false" hidden="false" name="REF_MAX" vbProcedure="false">REFERENCIAS!$E$3:$E$51</definedName>
    <definedName function="false" hidden="false" name="REF_MIN" vbProcedure="false">REFERENCIAS!$D$3:$D$51</definedName>
    <definedName function="false" hidden="false" name="REF_UNI" vbProcedure="false">REFERENCIAS!$F$3:$F$51</definedName>
    <definedName function="false" hidden="false" name="REF_VAL" vbProcedure="false">REFERENCIAS!$C$3:$C$51</definedName>
    <definedName function="false" hidden="false" name="R_GAS" vbProcedure="false">REFERENCIAS!$C$33</definedName>
    <definedName function="false" hidden="false" name="T_REF" vbProcedure="false">REFERENCIAS!$C$35</definedName>
    <definedName function="false" hidden="false" name="VM" vbProcedure="false">REFERENCIAS!$C$32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<sst xmlns="http://schemas.openxmlformats.org/spreadsheetml/2006/main" count="5043" uniqueCount="1492">
  <si>
    <t xml:space="preserve">Datos de entrada de todas las cuentas del BOM. Cada fila tiene un ID; las fórmulas de las demás hojas lo buscan acá (columna Ref.). Las normas se citan por cláusula.</t>
  </si>
  <si>
    <t xml:space="preserve">ID</t>
  </si>
  <si>
    <t xml:space="preserve">Dato</t>
  </si>
  <si>
    <t xml:space="preserve">Valor</t>
  </si>
  <si>
    <t xml:space="preserve">Mín.</t>
  </si>
  <si>
    <t xml:space="preserve">Máx.</t>
  </si>
  <si>
    <t xml:space="preserve">Unidad</t>
  </si>
  <si>
    <t xml:space="preserve">Fuente (norma o ficha, cláusula)</t>
  </si>
  <si>
    <t xml:space="preserve">Nota</t>
  </si>
  <si>
    <t xml:space="preserve">Materiales de las piezas (densidad)</t>
  </si>
  <si>
    <t xml:space="preserve">MAT_ACERO</t>
  </si>
  <si>
    <t xml:space="preserve">Acero (chapa LAC/LAF, SAE 1010/1045)</t>
  </si>
  <si>
    <t xml:space="preserve">kg/L</t>
  </si>
  <si>
    <t xml:space="preserve">Valor de tabla del acero</t>
  </si>
  <si>
    <t xml:space="preserve">MAT_INOX</t>
  </si>
  <si>
    <t xml:space="preserve">Acero inoxidable AISI 302 / 304</t>
  </si>
  <si>
    <t xml:space="preserve">ASTM A240 (AISI 304)</t>
  </si>
  <si>
    <t xml:space="preserve">MAT_LATON</t>
  </si>
  <si>
    <t xml:space="preserve">Latón de forja (CuZn39Pb2 / C37700)</t>
  </si>
  <si>
    <t xml:space="preserve">Valores de tabla de latones de forja</t>
  </si>
  <si>
    <t xml:space="preserve">MAT_ALU</t>
  </si>
  <si>
    <t xml:space="preserve">Aluminio</t>
  </si>
  <si>
    <t xml:space="preserve">Valor de tabla del aluminio</t>
  </si>
  <si>
    <t xml:space="preserve">MAT_CAUCHO</t>
  </si>
  <si>
    <t xml:space="preserve">Caucho sintético (NBR / SBR)</t>
  </si>
  <si>
    <t xml:space="preserve">Valores de tabla de elastómeros</t>
  </si>
  <si>
    <t xml:space="preserve">MAT_PP</t>
  </si>
  <si>
    <t xml:space="preserve">Polipropileno</t>
  </si>
  <si>
    <t xml:space="preserve">Valores de tabla del PP</t>
  </si>
  <si>
    <t xml:space="preserve">MAT_PE</t>
  </si>
  <si>
    <t xml:space="preserve">Polietileno de alta densidad</t>
  </si>
  <si>
    <t xml:space="preserve">Valores de tabla del PEAD</t>
  </si>
  <si>
    <t xml:space="preserve">MAT_PVC</t>
  </si>
  <si>
    <t xml:space="preserve">PVC rígido, vinilo y papeles de identificación</t>
  </si>
  <si>
    <t xml:space="preserve">Valores de tabla del PVC</t>
  </si>
  <si>
    <t xml:space="preserve">Etiquetas, obleas y tarjetas asimiladas al vinilo</t>
  </si>
  <si>
    <t xml:space="preserve">Agentes extintores (densidad)</t>
  </si>
  <si>
    <t xml:space="preserve">AG_ABC</t>
  </si>
  <si>
    <t xml:space="preserve">Polvo ABC asentado en el recipiente</t>
  </si>
  <si>
    <t xml:space="preserve">NOM-104-STPS-2001: empacada ≥ 1,10 · IRAM 3569 no fija densidad</t>
  </si>
  <si>
    <t xml:space="preserve">La NOM-104 da sólo el mínimo; se exige en la orden de compra</t>
  </si>
  <si>
    <t xml:space="preserve">AG_ABC_AP</t>
  </si>
  <si>
    <t xml:space="preserve">Polvo ABC aparente (suelto)</t>
  </si>
  <si>
    <t xml:space="preserve">Ficha DEMSA ABC: aparente &gt; 0,85</t>
  </si>
  <si>
    <t xml:space="preserve">Control de llenado sin vibrar (MODELOS)</t>
  </si>
  <si>
    <t xml:space="preserve">AG_BC</t>
  </si>
  <si>
    <t xml:space="preserve">Polvo BC (bicarbonato de sodio)</t>
  </si>
  <si>
    <t xml:space="preserve">Ficha DEMSA BC / Púrpura K: aparente &gt; 0,85</t>
  </si>
  <si>
    <t xml:space="preserve">Revendido: lo carga su fabricante</t>
  </si>
  <si>
    <t xml:space="preserve">AG_D</t>
  </si>
  <si>
    <t xml:space="preserve">Polvo clase D (cloruro de sodio)</t>
  </si>
  <si>
    <t xml:space="preserve">Ficha DEMSA polvo D: aparente &gt; 0,85</t>
  </si>
  <si>
    <t xml:space="preserve">AG_HCFC</t>
  </si>
  <si>
    <t xml:space="preserve">HCFC Mezcla B (agente limpio)</t>
  </si>
  <si>
    <t xml:space="preserve">Ficha Halotron I: 1,48 kg/L a 25 °C</t>
  </si>
  <si>
    <t xml:space="preserve">AG_AGUA</t>
  </si>
  <si>
    <t xml:space="preserve">Agua potable</t>
  </si>
  <si>
    <t xml:space="preserve">Agua de red</t>
  </si>
  <si>
    <t xml:space="preserve">AFFF_PROP</t>
  </si>
  <si>
    <t xml:space="preserve">Proporción de concentrado AFFF en la premezcla</t>
  </si>
  <si>
    <t xml:space="preserve">fracción</t>
  </si>
  <si>
    <t xml:space="preserve">IRAM 3515 · ficha DEMSA 203 MN (3 %)</t>
  </si>
  <si>
    <t xml:space="preserve">AG_AFFF_C</t>
  </si>
  <si>
    <t xml:space="preserve">Concentrado espumígeno AFFF 3 %</t>
  </si>
  <si>
    <t xml:space="preserve">Ficha DEMSA 203 MN: 1,025 g/cm³ a 20 °C</t>
  </si>
  <si>
    <t xml:space="preserve">AG_AFFF</t>
  </si>
  <si>
    <t xml:space="preserve">Premezcla AFFF 3 %</t>
  </si>
  <si>
    <t xml:space="preserve">Cálculo: 3 % de concentrado + 97 % de agua</t>
  </si>
  <si>
    <t xml:space="preserve">AG_K</t>
  </si>
  <si>
    <t xml:space="preserve">Acetato de potasio (sales K)</t>
  </si>
  <si>
    <t xml:space="preserve">Ficha DEMSA Kitchen: 1,300 g/mL a 20 °C</t>
  </si>
  <si>
    <t xml:space="preserve">AG_CO2</t>
  </si>
  <si>
    <t xml:space="preserve">Dióxido de carbono (IRAM 41170)</t>
  </si>
  <si>
    <t xml:space="preserve">La densidad del BOM es la relación de llenado de cada cilindro (MODELOS)</t>
  </si>
  <si>
    <t xml:space="preserve">RLL_CO2</t>
  </si>
  <si>
    <t xml:space="preserve">Relación de llenado máxima del CO₂</t>
  </si>
  <si>
    <t xml:space="preserve">IRAM 2533:2004 7.9 tabla 1</t>
  </si>
  <si>
    <t xml:space="preserve">Gases impulsores y constantes</t>
  </si>
  <si>
    <t xml:space="preserve">GAS_N2</t>
  </si>
  <si>
    <t xml:space="preserve">Nitrógeno seco (densidad normal)</t>
  </si>
  <si>
    <t xml:space="preserve">Masa molar / volumen molar normal</t>
  </si>
  <si>
    <t xml:space="preserve">IRAM 3517-2 9.4.9 tabla 2: polvo, sales K</t>
  </si>
  <si>
    <t xml:space="preserve">GAS_AIRE</t>
  </si>
  <si>
    <t xml:space="preserve">Aire comprimido (densidad normal)</t>
  </si>
  <si>
    <t xml:space="preserve">Tabla 2: agua y AFFF (N₂ o aire)</t>
  </si>
  <si>
    <t xml:space="preserve">GAS_AR</t>
  </si>
  <si>
    <t xml:space="preserve">Argón (densidad normal)</t>
  </si>
  <si>
    <t xml:space="preserve">Tabla 2, nota: el HCFC Mezcla B sólo admite argón</t>
  </si>
  <si>
    <t xml:space="preserve">M_N2</t>
  </si>
  <si>
    <t xml:space="preserve">Masa molar del nitrógeno</t>
  </si>
  <si>
    <t xml:space="preserve">kg/mol</t>
  </si>
  <si>
    <t xml:space="preserve">Masa molar (28,01 g/mol, redondeada)</t>
  </si>
  <si>
    <t xml:space="preserve">M_AIRE</t>
  </si>
  <si>
    <t xml:space="preserve">Masa molar del aire</t>
  </si>
  <si>
    <t xml:space="preserve">Masa molar (28,97 g/mol, redondeada)</t>
  </si>
  <si>
    <t xml:space="preserve">M_AR</t>
  </si>
  <si>
    <t xml:space="preserve">Masa molar del argón</t>
  </si>
  <si>
    <t xml:space="preserve">Masa molar (39,95 g/mol, redondeada)</t>
  </si>
  <si>
    <t xml:space="preserve">VM</t>
  </si>
  <si>
    <t xml:space="preserve">Volumen molar normal (0 °C, 101,325 kPa)</t>
  </si>
  <si>
    <t xml:space="preserve">L/mol</t>
  </si>
  <si>
    <t xml:space="preserve">Constante física</t>
  </si>
  <si>
    <t xml:space="preserve">R_GAS</t>
  </si>
  <si>
    <t xml:space="preserve">Constante de los gases</t>
  </si>
  <si>
    <t xml:space="preserve">J/(mol·K)</t>
  </si>
  <si>
    <t xml:space="preserve">P_ATM</t>
  </si>
  <si>
    <t xml:space="preserve">Presión atmosférica</t>
  </si>
  <si>
    <t xml:space="preserve">MPa</t>
  </si>
  <si>
    <t xml:space="preserve">Ps es manométrica</t>
  </si>
  <si>
    <t xml:space="preserve">T_REF</t>
  </si>
  <si>
    <t xml:space="preserve">Temperatura de carga y verificación</t>
  </si>
  <si>
    <t xml:space="preserve">K</t>
  </si>
  <si>
    <t xml:space="preserve">IRAM 3523 2.3: 20 ± 2 °C</t>
  </si>
  <si>
    <t xml:space="preserve">PS_TOL</t>
  </si>
  <si>
    <t xml:space="preserve">Tolerancia de la presión de carga (zona verde del manómetro)</t>
  </si>
  <si>
    <t xml:space="preserve">NOM-045-SCFI (México): ±10 % de la nominal</t>
  </si>
  <si>
    <t xml:space="preserve">IRAM 3533 no disponible: verificar</t>
  </si>
  <si>
    <t xml:space="preserve">PS_MAX</t>
  </si>
  <si>
    <t xml:space="preserve">Presión de servicio máxima, manuales de polvo</t>
  </si>
  <si>
    <t xml:space="preserve">IRAM 3523 4.7</t>
  </si>
  <si>
    <t xml:space="preserve">Tolerancia de carga (tabla 3): mín. y máx. respecto de la nominal</t>
  </si>
  <si>
    <t xml:space="preserve">T3_3523_A</t>
  </si>
  <si>
    <t xml:space="preserve">Polvo bajo presión manual, 1 y 2,5 kg</t>
  </si>
  <si>
    <t xml:space="preserve">kg</t>
  </si>
  <si>
    <t xml:space="preserve">IRAM 3517-2:2020 9.4.12 tabla 3 · IRAM 3523 tabla II</t>
  </si>
  <si>
    <t xml:space="preserve">T3_3523_B</t>
  </si>
  <si>
    <t xml:space="preserve">Polvo bajo presión manual, 5 y 10 kg</t>
  </si>
  <si>
    <t xml:space="preserve">T3_3550</t>
  </si>
  <si>
    <t xml:space="preserve">Polvo bajo presión sobre ruedas</t>
  </si>
  <si>
    <t xml:space="preserve">IRAM 3517-2:2020 9.4.12 tabla 3</t>
  </si>
  <si>
    <t xml:space="preserve">T3_3525</t>
  </si>
  <si>
    <t xml:space="preserve">Agua bajo presión manual</t>
  </si>
  <si>
    <t xml:space="preserve">T3_3527</t>
  </si>
  <si>
    <t xml:space="preserve">Agua con AFFF manual</t>
  </si>
  <si>
    <t xml:space="preserve">T3_3541</t>
  </si>
  <si>
    <t xml:space="preserve">Agua con AFFF sobre ruedas</t>
  </si>
  <si>
    <t xml:space="preserve">T3_3694</t>
  </si>
  <si>
    <t xml:space="preserve">Sales de potasio</t>
  </si>
  <si>
    <t xml:space="preserve">IRAM 3694 5.5 admite +0,3 L en 6 L</t>
  </si>
  <si>
    <t xml:space="preserve">T3_3509</t>
  </si>
  <si>
    <t xml:space="preserve">Dióxido de carbono manual</t>
  </si>
  <si>
    <t xml:space="preserve">T3_3504_A</t>
  </si>
  <si>
    <t xml:space="preserve">Gases limpios, 1 y 2,5 kg</t>
  </si>
  <si>
    <t xml:space="preserve">T3_3504_B</t>
  </si>
  <si>
    <t xml:space="preserve">Gases limpios, 5 y 10 kg</t>
  </si>
  <si>
    <t xml:space="preserve">Prueba hidráulica (anexo E)</t>
  </si>
  <si>
    <t xml:space="preserve">PH_5</t>
  </si>
  <si>
    <t xml:space="preserve">Polvo, CO₂ y gases limpios (IRAM 3523, 3550, 3509, 3565, 3504)</t>
  </si>
  <si>
    <t xml:space="preserve">años</t>
  </si>
  <si>
    <t xml:space="preserve">IRAM 3517-2:2020 anexo E · 9.7</t>
  </si>
  <si>
    <t xml:space="preserve">Como máximo</t>
  </si>
  <si>
    <t xml:space="preserve">PH_2</t>
  </si>
  <si>
    <t xml:space="preserve">Agua, AFFF y sales de potasio (IRAM 3525, 3537, 3527, 3541, 3694)</t>
  </si>
  <si>
    <t xml:space="preserve">Tolerancia general de los planos: ISO 2768-1 clase m (rótulo de cada plano FL_MAT, FL_REC y FL_DES)</t>
  </si>
  <si>
    <t xml:space="preserve">Más de (mm)</t>
  </si>
  <si>
    <t xml:space="preserve">Hasta (mm)</t>
  </si>
  <si>
    <t xml:space="preserve">± (mm)</t>
  </si>
  <si>
    <t xml:space="preserve">ISO 2768-1 tabla 1, clase m (media)</t>
  </si>
  <si>
    <t xml:space="preserve">Para menos de 0,5 mm la norma no da tolerancia general</t>
  </si>
  <si>
    <t xml:space="preserve">Carga y gas impulsor de cada extintor. Fórmulas sobre REFERENCIAS; la carga objetivo va al centro de la banda cuando la tolerancia es sólo positiva. Gas: (Ps + Patm) · V libre · M / (R · T).</t>
  </si>
  <si>
    <t xml:space="preserve">Código</t>
  </si>
  <si>
    <t xml:space="preserve">Extintor</t>
  </si>
  <si>
    <t xml:space="preserve">Norma IRAM</t>
  </si>
  <si>
    <t xml:space="preserve">Ref. agente</t>
  </si>
  <si>
    <t xml:space="preserve">Ref. gas</t>
  </si>
  <si>
    <t xml:space="preserve">Ref. tolerancia</t>
  </si>
  <si>
    <t xml:space="preserve">Ref. prueba hidráulica</t>
  </si>
  <si>
    <t xml:space="preserve">Carga nominal</t>
  </si>
  <si>
    <t xml:space="preserve">UM</t>
  </si>
  <si>
    <t xml:space="preserve">Tol. − (UM)</t>
  </si>
  <si>
    <t xml:space="preserve">Tol. + (UM)</t>
  </si>
  <si>
    <t xml:space="preserve">Carga objetivo</t>
  </si>
  <si>
    <t xml:space="preserve">Carga mín.</t>
  </si>
  <si>
    <t xml:space="preserve">Carga máx.</t>
  </si>
  <si>
    <t xml:space="preserve">V recipiente (L)</t>
  </si>
  <si>
    <t xml:space="preserve">ρ agente (kg/L)</t>
  </si>
  <si>
    <t xml:space="preserve">ρ mín.</t>
  </si>
  <si>
    <t xml:space="preserve">ρ máx.</t>
  </si>
  <si>
    <t xml:space="preserve">V agente (L)</t>
  </si>
  <si>
    <t xml:space="preserve">V agente máx. (L)</t>
  </si>
  <si>
    <t xml:space="preserve">V agente mín. (L)</t>
  </si>
  <si>
    <t xml:space="preserve">Ocupa (%)</t>
  </si>
  <si>
    <t xml:space="preserve">Ocupa máx. (%)</t>
  </si>
  <si>
    <t xml:space="preserve">Ocupa con ρ aparente mín. (%)</t>
  </si>
  <si>
    <t xml:space="preserve">V libre (L)</t>
  </si>
  <si>
    <t xml:space="preserve">V libre mín. (L)</t>
  </si>
  <si>
    <t xml:space="preserve">V libre máx. (L)</t>
  </si>
  <si>
    <t xml:space="preserve">Ps (MPa)</t>
  </si>
  <si>
    <t xml:space="preserve">Ps mín. (MPa)</t>
  </si>
  <si>
    <t xml:space="preserve">Ps máx. (MPa)</t>
  </si>
  <si>
    <t xml:space="preserve">M gas (kg/mol)</t>
  </si>
  <si>
    <t xml:space="preserve">Gas (kg)</t>
  </si>
  <si>
    <t xml:space="preserve">Gas mín. (kg)</t>
  </si>
  <si>
    <t xml:space="preserve">Gas máx. (kg)</t>
  </si>
  <si>
    <t xml:space="preserve">Gas (L normales)</t>
  </si>
  <si>
    <t xml:space="preserve">Relación de llenado CO₂ (kg/L)</t>
  </si>
  <si>
    <t xml:space="preserve">Máx. IRAM 2533 (kg/L)</t>
  </si>
  <si>
    <t xml:space="preserve">CO₂ cumple</t>
  </si>
  <si>
    <t xml:space="preserve">Ps &lt; máx. IRAM 3523</t>
  </si>
  <si>
    <t xml:space="preserve">Reposición en mantenimiento (UM)</t>
  </si>
  <si>
    <t xml:space="preserve">Prueba hidráulica cada (años)</t>
  </si>
  <si>
    <t xml:space="preserve">FL_MAT_ABC_1kg</t>
  </si>
  <si>
    <t xml:space="preserve">Extintor ABC 1 kg</t>
  </si>
  <si>
    <t xml:space="preserve">3523</t>
  </si>
  <si>
    <t xml:space="preserve">FL_MAT_ABC_2.5kg</t>
  </si>
  <si>
    <t xml:space="preserve">Extintor ABC 2,5 kg</t>
  </si>
  <si>
    <t xml:space="preserve">FL_MAT_ABC_5kg</t>
  </si>
  <si>
    <t xml:space="preserve">Extintor ABC 5 kg</t>
  </si>
  <si>
    <t xml:space="preserve">FL_MAT_ABC_10kg</t>
  </si>
  <si>
    <t xml:space="preserve">Extintor ABC 10 kg</t>
  </si>
  <si>
    <t xml:space="preserve">FL_MAT_AGUA_10l</t>
  </si>
  <si>
    <t xml:space="preserve">Extintor Agua 10 l</t>
  </si>
  <si>
    <t xml:space="preserve">3525</t>
  </si>
  <si>
    <t xml:space="preserve">L</t>
  </si>
  <si>
    <t xml:space="preserve">FL_MAT_AFFF_10l</t>
  </si>
  <si>
    <t xml:space="preserve">Extintor AFFF 10 l</t>
  </si>
  <si>
    <t xml:space="preserve">3527</t>
  </si>
  <si>
    <t xml:space="preserve">FL_MAT_AFFF_50l</t>
  </si>
  <si>
    <t xml:space="preserve">Extintor AFFF 50 l sobre ruedas</t>
  </si>
  <si>
    <t xml:space="preserve">3541</t>
  </si>
  <si>
    <t xml:space="preserve">FL_MAT_BC_5kg</t>
  </si>
  <si>
    <t xml:space="preserve">Extintor BC 5 kg</t>
  </si>
  <si>
    <t xml:space="preserve">FL_MAT_SALESK_6l</t>
  </si>
  <si>
    <t xml:space="preserve">Extintor Sales K 6 l</t>
  </si>
  <si>
    <t xml:space="preserve">3694</t>
  </si>
  <si>
    <t xml:space="preserve">FL_MAT_CO2_2kg</t>
  </si>
  <si>
    <t xml:space="preserve">Extintor CO₂ 2 kg</t>
  </si>
  <si>
    <t xml:space="preserve">3509</t>
  </si>
  <si>
    <t xml:space="preserve">FL_MAT_CO2_5kg</t>
  </si>
  <si>
    <t xml:space="preserve">Extintor CO₂ 5 kg</t>
  </si>
  <si>
    <t xml:space="preserve">FL_MAT_HCFC-HFC_5kg</t>
  </si>
  <si>
    <t xml:space="preserve">Extintor HCFC/HFC 5 kg</t>
  </si>
  <si>
    <t xml:space="preserve">3504</t>
  </si>
  <si>
    <t xml:space="preserve">FL_MAT_CLASED_9l</t>
  </si>
  <si>
    <t xml:space="preserve">Extintor Clase D 9 l</t>
  </si>
  <si>
    <t xml:space="preserve">FL_MAT_ABC_25kg</t>
  </si>
  <si>
    <t xml:space="preserve">Extintor ABC 25 kg sobre ruedas</t>
  </si>
  <si>
    <t xml:space="preserve">3550</t>
  </si>
  <si>
    <t xml:space="preserve">FL_MAT_ABC_50kg</t>
  </si>
  <si>
    <t xml:space="preserve">Extintor ABC 50 kg sobre ruedas</t>
  </si>
  <si>
    <t xml:space="preserve">FL_MAT_ABC_70kg</t>
  </si>
  <si>
    <t xml:space="preserve">Extintor ABC 70 kg sobre ruedas</t>
  </si>
  <si>
    <t xml:space="preserve">FL_MAT_ABC_100kg</t>
  </si>
  <si>
    <t xml:space="preserve">Extintor ABC 100 kg sobre ruedas</t>
  </si>
  <si>
    <t xml:space="preserve">Nivel</t>
  </si>
  <si>
    <t xml:space="preserve">Pieza</t>
  </si>
  <si>
    <t xml:space="preserve">Ref.</t>
  </si>
  <si>
    <t xml:space="preserve">Material / agente</t>
  </si>
  <si>
    <t xml:space="preserve">Cant.</t>
  </si>
  <si>
    <t xml:space="preserve">Densidad (kg/L)</t>
  </si>
  <si>
    <t xml:space="preserve">Volumen total (L)</t>
  </si>
  <si>
    <t xml:space="preserve">Vol. unit. (L)</t>
  </si>
  <si>
    <t xml:space="preserve">Vol. mín. (L)</t>
  </si>
  <si>
    <t xml:space="preserve">Vol. máx. (L)</t>
  </si>
  <si>
    <t xml:space="preserve">Masa total (kg)</t>
  </si>
  <si>
    <t xml:space="preserve">Masa unit. (kg)</t>
  </si>
  <si>
    <t xml:space="preserve">Masa mín. (kg)</t>
  </si>
  <si>
    <t xml:space="preserve">Masa máx. (kg)</t>
  </si>
  <si>
    <t xml:space="preserve">ρ mín. (kg/L)</t>
  </si>
  <si>
    <t xml:space="preserve">ρ máx. (kg/L)</t>
  </si>
  <si>
    <t xml:space="preserve">Superficie (dm²)</t>
  </si>
  <si>
    <t xml:space="preserve">Espesor eq. (mm)</t>
  </si>
  <si>
    <t xml:space="preserve">Tol. ISO 2768-m (± mm)</t>
  </si>
  <si>
    <t xml:space="preserve">Tol. volumen (± %)</t>
  </si>
  <si>
    <t xml:space="preserve">u</t>
  </si>
  <si>
    <t xml:space="preserve">FL_REC_ABC_1kg</t>
  </si>
  <si>
    <t xml:space="preserve">Recipiente</t>
  </si>
  <si>
    <t xml:space="preserve">ABC1-01</t>
  </si>
  <si>
    <t xml:space="preserve">Cuerpo</t>
  </si>
  <si>
    <t xml:space="preserve">ABC1-02</t>
  </si>
  <si>
    <t xml:space="preserve">Cúpula</t>
  </si>
  <si>
    <t xml:space="preserve">ABC1-03</t>
  </si>
  <si>
    <t xml:space="preserve">Fondo</t>
  </si>
  <si>
    <t xml:space="preserve">ABC1-04</t>
  </si>
  <si>
    <t xml:space="preserve">Cuello roscado</t>
  </si>
  <si>
    <t xml:space="preserve">ABC1-S2</t>
  </si>
  <si>
    <t xml:space="preserve">Conjunto de válvula</t>
  </si>
  <si>
    <t xml:space="preserve">ABC1-08</t>
  </si>
  <si>
    <t xml:space="preserve">Manómetro</t>
  </si>
  <si>
    <t xml:space="preserve">ABC1-21</t>
  </si>
  <si>
    <t xml:space="preserve">Junta tórica de asiento</t>
  </si>
  <si>
    <t xml:space="preserve">ABC1-K2</t>
  </si>
  <si>
    <t xml:space="preserve">Válvula HZ armada M-22 1 kg</t>
  </si>
  <si>
    <t xml:space="preserve">ABC1-05</t>
  </si>
  <si>
    <t xml:space="preserve">Espiga roscada</t>
  </si>
  <si>
    <t xml:space="preserve">ABC1-06</t>
  </si>
  <si>
    <t xml:space="preserve">Collarín de válvula</t>
  </si>
  <si>
    <t xml:space="preserve">ABC1-07</t>
  </si>
  <si>
    <t xml:space="preserve">Cuerpo de válvula</t>
  </si>
  <si>
    <t xml:space="preserve">ABC1-09</t>
  </si>
  <si>
    <t xml:space="preserve">Vástago</t>
  </si>
  <si>
    <t xml:space="preserve">ABC1-10</t>
  </si>
  <si>
    <t xml:space="preserve">Resorte de válvula</t>
  </si>
  <si>
    <t xml:space="preserve">ABC1-11</t>
  </si>
  <si>
    <t xml:space="preserve">Eje de palanca</t>
  </si>
  <si>
    <t xml:space="preserve">ABC1-12</t>
  </si>
  <si>
    <t xml:space="preserve">Pasador de seguridad</t>
  </si>
  <si>
    <t xml:space="preserve">ABC1-13</t>
  </si>
  <si>
    <t xml:space="preserve">Manija de accionamiento</t>
  </si>
  <si>
    <t xml:space="preserve">ABC1-14</t>
  </si>
  <si>
    <t xml:space="preserve">Manija de transporte</t>
  </si>
  <si>
    <t xml:space="preserve">ABC1-15</t>
  </si>
  <si>
    <t xml:space="preserve">Caño de pesca</t>
  </si>
  <si>
    <t xml:space="preserve">ABC1-V2</t>
  </si>
  <si>
    <t xml:space="preserve">Resorte de retorno del vástago</t>
  </si>
  <si>
    <t xml:space="preserve">ABC1-V3</t>
  </si>
  <si>
    <t xml:space="preserve">Junta tórica del vástago</t>
  </si>
  <si>
    <t xml:space="preserve">ABC1-S3</t>
  </si>
  <si>
    <t xml:space="preserve">Dispositivo de descarga</t>
  </si>
  <si>
    <t xml:space="preserve">ABC1-16</t>
  </si>
  <si>
    <t xml:space="preserve">Tobera</t>
  </si>
  <si>
    <t xml:space="preserve">ABC1-S5</t>
  </si>
  <si>
    <t xml:space="preserve">Carga: agente extintor y gas impulsor</t>
  </si>
  <si>
    <t xml:space="preserve">ABC1-A1</t>
  </si>
  <si>
    <t xml:space="preserve">Polvo ABC 60</t>
  </si>
  <si>
    <t xml:space="preserve">ABC1-A2</t>
  </si>
  <si>
    <t xml:space="preserve">Gas impulsor: N₂ (L normales)</t>
  </si>
  <si>
    <t xml:space="preserve">ABC1-S6</t>
  </si>
  <si>
    <t xml:space="preserve">Identificación y precinto</t>
  </si>
  <si>
    <t xml:space="preserve">ABC1-17</t>
  </si>
  <si>
    <t xml:space="preserve">Etiqueta / placa de características</t>
  </si>
  <si>
    <t xml:space="preserve">ABC1-18</t>
  </si>
  <si>
    <t xml:space="preserve">Oblea de fabricación</t>
  </si>
  <si>
    <t xml:space="preserve">ABC1-19</t>
  </si>
  <si>
    <t xml:space="preserve">Estampilla IRAM de conformidad</t>
  </si>
  <si>
    <t xml:space="preserve">ABC1-20</t>
  </si>
  <si>
    <t xml:space="preserve">Etiqueta de n° de serie GS1</t>
  </si>
  <si>
    <t xml:space="preserve">ABC1-22</t>
  </si>
  <si>
    <t xml:space="preserve">Faja de garantía válvula-cuello</t>
  </si>
  <si>
    <t xml:space="preserve">ABC1-23</t>
  </si>
  <si>
    <t xml:space="preserve">Precinto de fábrica</t>
  </si>
  <si>
    <t xml:space="preserve">ABC1-S8</t>
  </si>
  <si>
    <t xml:space="preserve">Soporte</t>
  </si>
  <si>
    <t xml:space="preserve">ABC1-I7</t>
  </si>
  <si>
    <t xml:space="preserve">Soporte vehicular con cierre rápido</t>
  </si>
  <si>
    <t xml:space="preserve">FL_SUS_ABC_1kg</t>
  </si>
  <si>
    <t xml:space="preserve">Si va como sustituto, se agrega</t>
  </si>
  <si>
    <t xml:space="preserve">SUS-ABC_1kg-01</t>
  </si>
  <si>
    <t xml:space="preserve">Faja amarilla de sustituto en la pollera</t>
  </si>
  <si>
    <t xml:space="preserve">SUS-ABC_1kg-02</t>
  </si>
  <si>
    <t xml:space="preserve">Tarjeta DPS «SUSTITUTO HABILITADO»</t>
  </si>
  <si>
    <t xml:space="preserve">SUS-ABC_1kg-03</t>
  </si>
  <si>
    <t xml:space="preserve">Tarjeta AGC con «Es sustituto»</t>
  </si>
  <si>
    <t xml:space="preserve">SUS-ABC_1kg-04</t>
  </si>
  <si>
    <t xml:space="preserve">Remito de préstamo con membrete</t>
  </si>
  <si>
    <t xml:space="preserve">FL_REC_ABC_2.5kg</t>
  </si>
  <si>
    <t xml:space="preserve">ABC2.5-01</t>
  </si>
  <si>
    <t xml:space="preserve">ABC2.5-02</t>
  </si>
  <si>
    <t xml:space="preserve">ABC2.5-03</t>
  </si>
  <si>
    <t xml:space="preserve">ABC2.5-04</t>
  </si>
  <si>
    <t xml:space="preserve">ABC2.5-S2</t>
  </si>
  <si>
    <t xml:space="preserve">ABC2.5-08</t>
  </si>
  <si>
    <t xml:space="preserve">ABC2.5-25</t>
  </si>
  <si>
    <t xml:space="preserve">ABC2.5-K2</t>
  </si>
  <si>
    <t xml:space="preserve">Válvula HZ armada M-30</t>
  </si>
  <si>
    <t xml:space="preserve">ABC2.5-05</t>
  </si>
  <si>
    <t xml:space="preserve">ABC2.5-06</t>
  </si>
  <si>
    <t xml:space="preserve">ABC2.5-07</t>
  </si>
  <si>
    <t xml:space="preserve">ABC2.5-09</t>
  </si>
  <si>
    <t xml:space="preserve">ABC2.5-10</t>
  </si>
  <si>
    <t xml:space="preserve">ABC2.5-11</t>
  </si>
  <si>
    <t xml:space="preserve">ABC2.5-12</t>
  </si>
  <si>
    <t xml:space="preserve">ABC2.5-13</t>
  </si>
  <si>
    <t xml:space="preserve">ABC2.5-14</t>
  </si>
  <si>
    <t xml:space="preserve">ABC2.5-15</t>
  </si>
  <si>
    <t xml:space="preserve">ABC2.5-V2</t>
  </si>
  <si>
    <t xml:space="preserve">ABC2.5-V3</t>
  </si>
  <si>
    <t xml:space="preserve">ABC2.5-S3</t>
  </si>
  <si>
    <t xml:space="preserve">ABC2.5-16</t>
  </si>
  <si>
    <t xml:space="preserve">Racor de manguera</t>
  </si>
  <si>
    <t xml:space="preserve">ABC2.5-17</t>
  </si>
  <si>
    <t xml:space="preserve">Manguera</t>
  </si>
  <si>
    <t xml:space="preserve">ABC2.5-18</t>
  </si>
  <si>
    <t xml:space="preserve">Tobera con portatobera</t>
  </si>
  <si>
    <t xml:space="preserve">ABC2.5-19</t>
  </si>
  <si>
    <t xml:space="preserve">Suncho portatobera</t>
  </si>
  <si>
    <t xml:space="preserve">ABC2.5-S5</t>
  </si>
  <si>
    <t xml:space="preserve">ABC2.5-A1</t>
  </si>
  <si>
    <t xml:space="preserve">ABC2.5-A2</t>
  </si>
  <si>
    <t xml:space="preserve">ABC2.5-S6</t>
  </si>
  <si>
    <t xml:space="preserve">ABC2.5-20</t>
  </si>
  <si>
    <t xml:space="preserve">ABC2.5-21</t>
  </si>
  <si>
    <t xml:space="preserve">ABC2.5-22</t>
  </si>
  <si>
    <t xml:space="preserve">ABC2.5-23</t>
  </si>
  <si>
    <t xml:space="preserve">Tarjeta de identificación AGC</t>
  </si>
  <si>
    <t xml:space="preserve">ABC2.5-24</t>
  </si>
  <si>
    <t xml:space="preserve">ABC2.5-26</t>
  </si>
  <si>
    <t xml:space="preserve">ABC2.5-27</t>
  </si>
  <si>
    <t xml:space="preserve">ABC2.5-S8</t>
  </si>
  <si>
    <t xml:space="preserve">ABC2.5-I5</t>
  </si>
  <si>
    <t xml:space="preserve">Soporte de pared</t>
  </si>
  <si>
    <t xml:space="preserve">ABC2.5-I6</t>
  </si>
  <si>
    <t xml:space="preserve">Tornillo y tarugo de fijación</t>
  </si>
  <si>
    <t xml:space="preserve">FL_SUS_ABC_2.5kg</t>
  </si>
  <si>
    <t xml:space="preserve">SUS-ABC_2.5kg-01</t>
  </si>
  <si>
    <t xml:space="preserve">SUS-ABC_2.5kg-02</t>
  </si>
  <si>
    <t xml:space="preserve">SUS-ABC_2.5kg-03</t>
  </si>
  <si>
    <t xml:space="preserve">SUS-ABC_2.5kg-04</t>
  </si>
  <si>
    <t xml:space="preserve">FL_REC_ABC_5kg</t>
  </si>
  <si>
    <t xml:space="preserve">ABC5-01</t>
  </si>
  <si>
    <t xml:space="preserve">ABC5-02</t>
  </si>
  <si>
    <t xml:space="preserve">ABC5-03</t>
  </si>
  <si>
    <t xml:space="preserve">ABC5-04</t>
  </si>
  <si>
    <t xml:space="preserve">ABC5-S2</t>
  </si>
  <si>
    <t xml:space="preserve">ABC5-08</t>
  </si>
  <si>
    <t xml:space="preserve">ABC5-25</t>
  </si>
  <si>
    <t xml:space="preserve">ABC5-K2</t>
  </si>
  <si>
    <t xml:space="preserve">ABC5-05</t>
  </si>
  <si>
    <t xml:space="preserve">ABC5-06</t>
  </si>
  <si>
    <t xml:space="preserve">ABC5-07</t>
  </si>
  <si>
    <t xml:space="preserve">ABC5-09</t>
  </si>
  <si>
    <t xml:space="preserve">ABC5-10</t>
  </si>
  <si>
    <t xml:space="preserve">ABC5-11</t>
  </si>
  <si>
    <t xml:space="preserve">ABC5-12</t>
  </si>
  <si>
    <t xml:space="preserve">ABC5-13</t>
  </si>
  <si>
    <t xml:space="preserve">ABC5-14</t>
  </si>
  <si>
    <t xml:space="preserve">ABC5-15</t>
  </si>
  <si>
    <t xml:space="preserve">ABC5-V2</t>
  </si>
  <si>
    <t xml:space="preserve">ABC5-V3</t>
  </si>
  <si>
    <t xml:space="preserve">ABC5-S3</t>
  </si>
  <si>
    <t xml:space="preserve">ABC5-16</t>
  </si>
  <si>
    <t xml:space="preserve">ABC5-17</t>
  </si>
  <si>
    <t xml:space="preserve">ABC5-18</t>
  </si>
  <si>
    <t xml:space="preserve">ABC5-19</t>
  </si>
  <si>
    <t xml:space="preserve">ABC5-S5</t>
  </si>
  <si>
    <t xml:space="preserve">ABC5-A1</t>
  </si>
  <si>
    <t xml:space="preserve">ABC5-A2</t>
  </si>
  <si>
    <t xml:space="preserve">ABC5-S6</t>
  </si>
  <si>
    <t xml:space="preserve">ABC5-20</t>
  </si>
  <si>
    <t xml:space="preserve">ABC5-21</t>
  </si>
  <si>
    <t xml:space="preserve">ABC5-22</t>
  </si>
  <si>
    <t xml:space="preserve">ABC5-23</t>
  </si>
  <si>
    <t xml:space="preserve">ABC5-24</t>
  </si>
  <si>
    <t xml:space="preserve">ABC5-26</t>
  </si>
  <si>
    <t xml:space="preserve">ABC5-27</t>
  </si>
  <si>
    <t xml:space="preserve">ABC5-S8</t>
  </si>
  <si>
    <t xml:space="preserve">ABC5-I5</t>
  </si>
  <si>
    <t xml:space="preserve">ABC5-I6</t>
  </si>
  <si>
    <t xml:space="preserve">FL_SUS_ABC_5kg</t>
  </si>
  <si>
    <t xml:space="preserve">SUS-ABC_5kg-01</t>
  </si>
  <si>
    <t xml:space="preserve">SUS-ABC_5kg-02</t>
  </si>
  <si>
    <t xml:space="preserve">SUS-ABC_5kg-03</t>
  </si>
  <si>
    <t xml:space="preserve">SUS-ABC_5kg-04</t>
  </si>
  <si>
    <t xml:space="preserve">FL_REC_ABC_10kg</t>
  </si>
  <si>
    <t xml:space="preserve">ABC10-01</t>
  </si>
  <si>
    <t xml:space="preserve">ABC10-02</t>
  </si>
  <si>
    <t xml:space="preserve">ABC10-03</t>
  </si>
  <si>
    <t xml:space="preserve">ABC10-04</t>
  </si>
  <si>
    <t xml:space="preserve">ABC10-S2</t>
  </si>
  <si>
    <t xml:space="preserve">ABC10-08</t>
  </si>
  <si>
    <t xml:space="preserve">ABC10-25</t>
  </si>
  <si>
    <t xml:space="preserve">ABC10-K2</t>
  </si>
  <si>
    <t xml:space="preserve">ABC10-05</t>
  </si>
  <si>
    <t xml:space="preserve">ABC10-06</t>
  </si>
  <si>
    <t xml:space="preserve">ABC10-07</t>
  </si>
  <si>
    <t xml:space="preserve">ABC10-09</t>
  </si>
  <si>
    <t xml:space="preserve">ABC10-10</t>
  </si>
  <si>
    <t xml:space="preserve">ABC10-11</t>
  </si>
  <si>
    <t xml:space="preserve">ABC10-12</t>
  </si>
  <si>
    <t xml:space="preserve">ABC10-13</t>
  </si>
  <si>
    <t xml:space="preserve">ABC10-14</t>
  </si>
  <si>
    <t xml:space="preserve">ABC10-15</t>
  </si>
  <si>
    <t xml:space="preserve">ABC10-V2</t>
  </si>
  <si>
    <t xml:space="preserve">ABC10-V3</t>
  </si>
  <si>
    <t xml:space="preserve">ABC10-S3</t>
  </si>
  <si>
    <t xml:space="preserve">ABC10-16</t>
  </si>
  <si>
    <t xml:space="preserve">ABC10-17</t>
  </si>
  <si>
    <t xml:space="preserve">ABC10-18</t>
  </si>
  <si>
    <t xml:space="preserve">ABC10-19</t>
  </si>
  <si>
    <t xml:space="preserve">ABC10-S5</t>
  </si>
  <si>
    <t xml:space="preserve">ABC10-A1</t>
  </si>
  <si>
    <t xml:space="preserve">ABC10-A2</t>
  </si>
  <si>
    <t xml:space="preserve">ABC10-S6</t>
  </si>
  <si>
    <t xml:space="preserve">ABC10-20</t>
  </si>
  <si>
    <t xml:space="preserve">ABC10-21</t>
  </si>
  <si>
    <t xml:space="preserve">ABC10-22</t>
  </si>
  <si>
    <t xml:space="preserve">ABC10-23</t>
  </si>
  <si>
    <t xml:space="preserve">ABC10-24</t>
  </si>
  <si>
    <t xml:space="preserve">ABC10-26</t>
  </si>
  <si>
    <t xml:space="preserve">ABC10-27</t>
  </si>
  <si>
    <t xml:space="preserve">ABC10-S8</t>
  </si>
  <si>
    <t xml:space="preserve">ABC10-I5</t>
  </si>
  <si>
    <t xml:space="preserve">ABC10-I6</t>
  </si>
  <si>
    <t xml:space="preserve">FL_SUS_ABC_10kg</t>
  </si>
  <si>
    <t xml:space="preserve">SUS-ABC_10kg-01</t>
  </si>
  <si>
    <t xml:space="preserve">SUS-ABC_10kg-02</t>
  </si>
  <si>
    <t xml:space="preserve">SUS-ABC_10kg-03</t>
  </si>
  <si>
    <t xml:space="preserve">SUS-ABC_10kg-04</t>
  </si>
  <si>
    <t xml:space="preserve">FL_REC_ABC_25kg</t>
  </si>
  <si>
    <t xml:space="preserve">ABC25-01</t>
  </si>
  <si>
    <t xml:space="preserve">ABC25-02</t>
  </si>
  <si>
    <t xml:space="preserve">ABC25-03</t>
  </si>
  <si>
    <t xml:space="preserve">ABC25-04</t>
  </si>
  <si>
    <t xml:space="preserve">ABC25-S2</t>
  </si>
  <si>
    <t xml:space="preserve">ABC25-17</t>
  </si>
  <si>
    <t xml:space="preserve">ABC25-36</t>
  </si>
  <si>
    <t xml:space="preserve">ABC25-K2</t>
  </si>
  <si>
    <t xml:space="preserve">Válvula HZ armada de carro 25 kg</t>
  </si>
  <si>
    <t xml:space="preserve">ABC25-14</t>
  </si>
  <si>
    <t xml:space="preserve">ABC25-15</t>
  </si>
  <si>
    <t xml:space="preserve">ABC25-16</t>
  </si>
  <si>
    <t xml:space="preserve">ABC25-18</t>
  </si>
  <si>
    <t xml:space="preserve">ABC25-19</t>
  </si>
  <si>
    <t xml:space="preserve">ABC25-20</t>
  </si>
  <si>
    <t xml:space="preserve">ABC25-21</t>
  </si>
  <si>
    <t xml:space="preserve">ABC25-22</t>
  </si>
  <si>
    <t xml:space="preserve">ABC25-23</t>
  </si>
  <si>
    <t xml:space="preserve">ABC25-24</t>
  </si>
  <si>
    <t xml:space="preserve">ABC25-V2</t>
  </si>
  <si>
    <t xml:space="preserve">ABC25-V3</t>
  </si>
  <si>
    <t xml:space="preserve">ABC25-S3</t>
  </si>
  <si>
    <t xml:space="preserve">ABC25-25</t>
  </si>
  <si>
    <t xml:space="preserve">ABC25-26</t>
  </si>
  <si>
    <t xml:space="preserve">Manguera (tramo enrollado)</t>
  </si>
  <si>
    <t xml:space="preserve">ABC25-27</t>
  </si>
  <si>
    <t xml:space="preserve">ABC25-29</t>
  </si>
  <si>
    <t xml:space="preserve">Válvula esférica</t>
  </si>
  <si>
    <t xml:space="preserve">ABC25-30</t>
  </si>
  <si>
    <t xml:space="preserve">Tobera campana</t>
  </si>
  <si>
    <t xml:space="preserve">ABC25-S4</t>
  </si>
  <si>
    <t xml:space="preserve">Carro</t>
  </si>
  <si>
    <t xml:space="preserve">ABC25-05</t>
  </si>
  <si>
    <t xml:space="preserve">Pata delantera</t>
  </si>
  <si>
    <t xml:space="preserve">ABC25-06</t>
  </si>
  <si>
    <t xml:space="preserve">Triángulos con V (2)</t>
  </si>
  <si>
    <t xml:space="preserve">ABC25-07</t>
  </si>
  <si>
    <t xml:space="preserve">Caño del eje</t>
  </si>
  <si>
    <t xml:space="preserve">ABC25-08</t>
  </si>
  <si>
    <t xml:space="preserve">Neumático macizo</t>
  </si>
  <si>
    <t xml:space="preserve">ABC25-09</t>
  </si>
  <si>
    <t xml:space="preserve">Llanta con cubo</t>
  </si>
  <si>
    <t xml:space="preserve">ABC25-10</t>
  </si>
  <si>
    <t xml:space="preserve">Eje de ruedas</t>
  </si>
  <si>
    <t xml:space="preserve">ABC25-11</t>
  </si>
  <si>
    <t xml:space="preserve">Arandelas de tope (4)</t>
  </si>
  <si>
    <t xml:space="preserve">ABC25-12</t>
  </si>
  <si>
    <t xml:space="preserve">Pasadores del eje (2)</t>
  </si>
  <si>
    <t xml:space="preserve">ABC25-13</t>
  </si>
  <si>
    <t xml:space="preserve">Manija del carro</t>
  </si>
  <si>
    <t xml:space="preserve">ABC25-28</t>
  </si>
  <si>
    <t xml:space="preserve">Flejes del soporte de manga (2)</t>
  </si>
  <si>
    <t xml:space="preserve">ABC25-S5</t>
  </si>
  <si>
    <t xml:space="preserve">ABC25-A1</t>
  </si>
  <si>
    <t xml:space="preserve">Polvo ABC 90</t>
  </si>
  <si>
    <t xml:space="preserve">ABC25-A2</t>
  </si>
  <si>
    <t xml:space="preserve">ABC25-S6</t>
  </si>
  <si>
    <t xml:space="preserve">ABC25-31</t>
  </si>
  <si>
    <t xml:space="preserve">ABC25-32</t>
  </si>
  <si>
    <t xml:space="preserve">ABC25-33</t>
  </si>
  <si>
    <t xml:space="preserve">ABC25-34</t>
  </si>
  <si>
    <t xml:space="preserve">ABC25-35</t>
  </si>
  <si>
    <t xml:space="preserve">ABC25-37</t>
  </si>
  <si>
    <t xml:space="preserve">ABC25-38</t>
  </si>
  <si>
    <t xml:space="preserve">FL_SUS_ABC_25kg</t>
  </si>
  <si>
    <t xml:space="preserve">SUS-ABC_25kg-01</t>
  </si>
  <si>
    <t xml:space="preserve">SUS-ABC_25kg-02</t>
  </si>
  <si>
    <t xml:space="preserve">SUS-ABC_25kg-03</t>
  </si>
  <si>
    <t xml:space="preserve">SUS-ABC_25kg-04</t>
  </si>
  <si>
    <t xml:space="preserve">FL_REC_ABC_50kg</t>
  </si>
  <si>
    <t xml:space="preserve">ABC50-01</t>
  </si>
  <si>
    <t xml:space="preserve">ABC50-02</t>
  </si>
  <si>
    <t xml:space="preserve">ABC50-03</t>
  </si>
  <si>
    <t xml:space="preserve">ABC50-04</t>
  </si>
  <si>
    <t xml:space="preserve">ABC50-S2</t>
  </si>
  <si>
    <t xml:space="preserve">ABC50-17</t>
  </si>
  <si>
    <t xml:space="preserve">ABC50-35</t>
  </si>
  <si>
    <t xml:space="preserve">ABC50-K2</t>
  </si>
  <si>
    <t xml:space="preserve">Válvula HZ armada de carro 50-70-100 kg</t>
  </si>
  <si>
    <t xml:space="preserve">ABC50-14</t>
  </si>
  <si>
    <t xml:space="preserve">ABC50-15</t>
  </si>
  <si>
    <t xml:space="preserve">ABC50-16</t>
  </si>
  <si>
    <t xml:space="preserve">ABC50-18</t>
  </si>
  <si>
    <t xml:space="preserve">ABC50-19</t>
  </si>
  <si>
    <t xml:space="preserve">ABC50-20</t>
  </si>
  <si>
    <t xml:space="preserve">Palanca de accionamiento</t>
  </si>
  <si>
    <t xml:space="preserve">ABC50-21</t>
  </si>
  <si>
    <t xml:space="preserve">ABC50-22</t>
  </si>
  <si>
    <t xml:space="preserve">ABC50-23</t>
  </si>
  <si>
    <t xml:space="preserve">ABC50-V2</t>
  </si>
  <si>
    <t xml:space="preserve">ABC50-V3</t>
  </si>
  <si>
    <t xml:space="preserve">ABC50-S3</t>
  </si>
  <si>
    <t xml:space="preserve">ABC50-24</t>
  </si>
  <si>
    <t xml:space="preserve">ABC50-25</t>
  </si>
  <si>
    <t xml:space="preserve">ABC50-26</t>
  </si>
  <si>
    <t xml:space="preserve">ABC50-28</t>
  </si>
  <si>
    <t xml:space="preserve">ABC50-29</t>
  </si>
  <si>
    <t xml:space="preserve">ABC50-S4</t>
  </si>
  <si>
    <t xml:space="preserve">ABC50-05</t>
  </si>
  <si>
    <t xml:space="preserve">ABC50-06</t>
  </si>
  <si>
    <t xml:space="preserve">ABC50-07</t>
  </si>
  <si>
    <t xml:space="preserve">ABC50-08</t>
  </si>
  <si>
    <t xml:space="preserve">ABC50-09</t>
  </si>
  <si>
    <t xml:space="preserve">ABC50-10</t>
  </si>
  <si>
    <t xml:space="preserve">ABC50-11</t>
  </si>
  <si>
    <t xml:space="preserve">ABC50-12</t>
  </si>
  <si>
    <t xml:space="preserve">ABC50-13</t>
  </si>
  <si>
    <t xml:space="preserve">ABC50-27</t>
  </si>
  <si>
    <t xml:space="preserve">ABC50-S5</t>
  </si>
  <si>
    <t xml:space="preserve">ABC50-A1</t>
  </si>
  <si>
    <t xml:space="preserve">ABC50-A2</t>
  </si>
  <si>
    <t xml:space="preserve">ABC50-S6</t>
  </si>
  <si>
    <t xml:space="preserve">ABC50-30</t>
  </si>
  <si>
    <t xml:space="preserve">ABC50-31</t>
  </si>
  <si>
    <t xml:space="preserve">ABC50-32</t>
  </si>
  <si>
    <t xml:space="preserve">ABC50-33</t>
  </si>
  <si>
    <t xml:space="preserve">ABC50-34</t>
  </si>
  <si>
    <t xml:space="preserve">ABC50-36</t>
  </si>
  <si>
    <t xml:space="preserve">ABC50-37</t>
  </si>
  <si>
    <t xml:space="preserve">FL_SUS_ABC_50kg</t>
  </si>
  <si>
    <t xml:space="preserve">SUS-ABC_50kg-01</t>
  </si>
  <si>
    <t xml:space="preserve">SUS-ABC_50kg-02</t>
  </si>
  <si>
    <t xml:space="preserve">SUS-ABC_50kg-03</t>
  </si>
  <si>
    <t xml:space="preserve">SUS-ABC_50kg-04</t>
  </si>
  <si>
    <t xml:space="preserve">FL_REC_ABC_70kg</t>
  </si>
  <si>
    <t xml:space="preserve">ABC70-01</t>
  </si>
  <si>
    <t xml:space="preserve">ABC70-02</t>
  </si>
  <si>
    <t xml:space="preserve">ABC70-03</t>
  </si>
  <si>
    <t xml:space="preserve">ABC70-04</t>
  </si>
  <si>
    <t xml:space="preserve">ABC70-05</t>
  </si>
  <si>
    <t xml:space="preserve">Placas de refuerzo (2)</t>
  </si>
  <si>
    <t xml:space="preserve">ABC70-S2</t>
  </si>
  <si>
    <t xml:space="preserve">ABC70-18</t>
  </si>
  <si>
    <t xml:space="preserve">ABC70-36</t>
  </si>
  <si>
    <t xml:space="preserve">ABC70-K2</t>
  </si>
  <si>
    <t xml:space="preserve">ABC70-15</t>
  </si>
  <si>
    <t xml:space="preserve">ABC70-16</t>
  </si>
  <si>
    <t xml:space="preserve">ABC70-17</t>
  </si>
  <si>
    <t xml:space="preserve">ABC70-19</t>
  </si>
  <si>
    <t xml:space="preserve">ABC70-20</t>
  </si>
  <si>
    <t xml:space="preserve">ABC70-21</t>
  </si>
  <si>
    <t xml:space="preserve">ABC70-22</t>
  </si>
  <si>
    <t xml:space="preserve">ABC70-23</t>
  </si>
  <si>
    <t xml:space="preserve">ABC70-24</t>
  </si>
  <si>
    <t xml:space="preserve">ABC70-V2</t>
  </si>
  <si>
    <t xml:space="preserve">ABC70-V3</t>
  </si>
  <si>
    <t xml:space="preserve">ABC70-S3</t>
  </si>
  <si>
    <t xml:space="preserve">ABC70-25</t>
  </si>
  <si>
    <t xml:space="preserve">ABC70-26</t>
  </si>
  <si>
    <t xml:space="preserve">ABC70-27</t>
  </si>
  <si>
    <t xml:space="preserve">ABC70-29</t>
  </si>
  <si>
    <t xml:space="preserve">ABC70-30</t>
  </si>
  <si>
    <t xml:space="preserve">ABC70-S4</t>
  </si>
  <si>
    <t xml:space="preserve">ABC70-06</t>
  </si>
  <si>
    <t xml:space="preserve">ABC70-07</t>
  </si>
  <si>
    <t xml:space="preserve">ABC70-08</t>
  </si>
  <si>
    <t xml:space="preserve">ABC70-09</t>
  </si>
  <si>
    <t xml:space="preserve">ABC70-10</t>
  </si>
  <si>
    <t xml:space="preserve">ABC70-11</t>
  </si>
  <si>
    <t xml:space="preserve">ABC70-12</t>
  </si>
  <si>
    <t xml:space="preserve">ABC70-13</t>
  </si>
  <si>
    <t xml:space="preserve">ABC70-14</t>
  </si>
  <si>
    <t xml:space="preserve">ABC70-28</t>
  </si>
  <si>
    <t xml:space="preserve">ABC70-S5</t>
  </si>
  <si>
    <t xml:space="preserve">ABC70-A1</t>
  </si>
  <si>
    <t xml:space="preserve">ABC70-A2</t>
  </si>
  <si>
    <t xml:space="preserve">ABC70-S6</t>
  </si>
  <si>
    <t xml:space="preserve">ABC70-31</t>
  </si>
  <si>
    <t xml:space="preserve">ABC70-32</t>
  </si>
  <si>
    <t xml:space="preserve">ABC70-33</t>
  </si>
  <si>
    <t xml:space="preserve">ABC70-34</t>
  </si>
  <si>
    <t xml:space="preserve">ABC70-35</t>
  </si>
  <si>
    <t xml:space="preserve">ABC70-37</t>
  </si>
  <si>
    <t xml:space="preserve">ABC70-38</t>
  </si>
  <si>
    <t xml:space="preserve">FL_SUS_ABC_70kg</t>
  </si>
  <si>
    <t xml:space="preserve">SUS-ABC_70kg-01</t>
  </si>
  <si>
    <t xml:space="preserve">SUS-ABC_70kg-02</t>
  </si>
  <si>
    <t xml:space="preserve">SUS-ABC_70kg-03</t>
  </si>
  <si>
    <t xml:space="preserve">SUS-ABC_70kg-04</t>
  </si>
  <si>
    <t xml:space="preserve">FL_REC_ABC_100kg</t>
  </si>
  <si>
    <t xml:space="preserve">ABC100-01</t>
  </si>
  <si>
    <t xml:space="preserve">ABC100-02</t>
  </si>
  <si>
    <t xml:space="preserve">ABC100-03</t>
  </si>
  <si>
    <t xml:space="preserve">ABC100-04</t>
  </si>
  <si>
    <t xml:space="preserve">ABC100-05</t>
  </si>
  <si>
    <t xml:space="preserve">ABC100-S2</t>
  </si>
  <si>
    <t xml:space="preserve">ABC100-18</t>
  </si>
  <si>
    <t xml:space="preserve">ABC100-36</t>
  </si>
  <si>
    <t xml:space="preserve">ABC100-K2</t>
  </si>
  <si>
    <t xml:space="preserve">ABC100-15</t>
  </si>
  <si>
    <t xml:space="preserve">ABC100-16</t>
  </si>
  <si>
    <t xml:space="preserve">ABC100-17</t>
  </si>
  <si>
    <t xml:space="preserve">ABC100-19</t>
  </si>
  <si>
    <t xml:space="preserve">ABC100-20</t>
  </si>
  <si>
    <t xml:space="preserve">ABC100-21</t>
  </si>
  <si>
    <t xml:space="preserve">ABC100-22</t>
  </si>
  <si>
    <t xml:space="preserve">ABC100-23</t>
  </si>
  <si>
    <t xml:space="preserve">ABC100-24</t>
  </si>
  <si>
    <t xml:space="preserve">ABC100-V2</t>
  </si>
  <si>
    <t xml:space="preserve">ABC100-V3</t>
  </si>
  <si>
    <t xml:space="preserve">ABC100-S3</t>
  </si>
  <si>
    <t xml:space="preserve">ABC100-25</t>
  </si>
  <si>
    <t xml:space="preserve">ABC100-26</t>
  </si>
  <si>
    <t xml:space="preserve">ABC100-27</t>
  </si>
  <si>
    <t xml:space="preserve">ABC100-29</t>
  </si>
  <si>
    <t xml:space="preserve">ABC100-30</t>
  </si>
  <si>
    <t xml:space="preserve">ABC100-S4</t>
  </si>
  <si>
    <t xml:space="preserve">ABC100-06</t>
  </si>
  <si>
    <t xml:space="preserve">ABC100-07</t>
  </si>
  <si>
    <t xml:space="preserve">ABC100-08</t>
  </si>
  <si>
    <t xml:space="preserve">ABC100-09</t>
  </si>
  <si>
    <t xml:space="preserve">ABC100-10</t>
  </si>
  <si>
    <t xml:space="preserve">ABC100-11</t>
  </si>
  <si>
    <t xml:space="preserve">ABC100-12</t>
  </si>
  <si>
    <t xml:space="preserve">ABC100-13</t>
  </si>
  <si>
    <t xml:space="preserve">ABC100-14</t>
  </si>
  <si>
    <t xml:space="preserve">ABC100-28</t>
  </si>
  <si>
    <t xml:space="preserve">Flejes del soporte de manga (3)</t>
  </si>
  <si>
    <t xml:space="preserve">ABC100-S5</t>
  </si>
  <si>
    <t xml:space="preserve">ABC100-A1</t>
  </si>
  <si>
    <t xml:space="preserve">ABC100-A2</t>
  </si>
  <si>
    <t xml:space="preserve">ABC100-S6</t>
  </si>
  <si>
    <t xml:space="preserve">ABC100-31</t>
  </si>
  <si>
    <t xml:space="preserve">ABC100-32</t>
  </si>
  <si>
    <t xml:space="preserve">ABC100-33</t>
  </si>
  <si>
    <t xml:space="preserve">ABC100-34</t>
  </si>
  <si>
    <t xml:space="preserve">ABC100-35</t>
  </si>
  <si>
    <t xml:space="preserve">ABC100-37</t>
  </si>
  <si>
    <t xml:space="preserve">ABC100-38</t>
  </si>
  <si>
    <t xml:space="preserve">FL_SUS_ABC_100kg</t>
  </si>
  <si>
    <t xml:space="preserve">SUS-ABC_100kg-01</t>
  </si>
  <si>
    <t xml:space="preserve">SUS-ABC_100kg-02</t>
  </si>
  <si>
    <t xml:space="preserve">SUS-ABC_100kg-03</t>
  </si>
  <si>
    <t xml:space="preserve">SUS-ABC_100kg-04</t>
  </si>
  <si>
    <t xml:space="preserve">AGUA10-S1</t>
  </si>
  <si>
    <t xml:space="preserve">AGUA10-01</t>
  </si>
  <si>
    <t xml:space="preserve">AGUA10-02</t>
  </si>
  <si>
    <t xml:space="preserve">AGUA10-03</t>
  </si>
  <si>
    <t xml:space="preserve">AGUA10-04</t>
  </si>
  <si>
    <t xml:space="preserve">AGUA10-S2</t>
  </si>
  <si>
    <t xml:space="preserve">AGUA10-05</t>
  </si>
  <si>
    <t xml:space="preserve">AGUA10-06</t>
  </si>
  <si>
    <t xml:space="preserve">AGUA10-07</t>
  </si>
  <si>
    <t xml:space="preserve">AGUA10-08</t>
  </si>
  <si>
    <t xml:space="preserve">AGUA10-09</t>
  </si>
  <si>
    <t xml:space="preserve">AGUA10-10</t>
  </si>
  <si>
    <t xml:space="preserve">AGUA10-11</t>
  </si>
  <si>
    <t xml:space="preserve">AGUA10-12</t>
  </si>
  <si>
    <t xml:space="preserve">AGUA10-13</t>
  </si>
  <si>
    <t xml:space="preserve">AGUA10-14</t>
  </si>
  <si>
    <t xml:space="preserve">AGUA10-15</t>
  </si>
  <si>
    <t xml:space="preserve">AGUA10-16</t>
  </si>
  <si>
    <t xml:space="preserve">Filtro del tubo de pesca</t>
  </si>
  <si>
    <t xml:space="preserve">AGUA10-26</t>
  </si>
  <si>
    <t xml:space="preserve">AGUA10-V2</t>
  </si>
  <si>
    <t xml:space="preserve">AGUA10-V3</t>
  </si>
  <si>
    <t xml:space="preserve">AGUA10-S3</t>
  </si>
  <si>
    <t xml:space="preserve">AGUA10-17</t>
  </si>
  <si>
    <t xml:space="preserve">AGUA10-18</t>
  </si>
  <si>
    <t xml:space="preserve">AGUA10-19</t>
  </si>
  <si>
    <t xml:space="preserve">Tobera de chorro pleno</t>
  </si>
  <si>
    <t xml:space="preserve">AGUA10-20</t>
  </si>
  <si>
    <t xml:space="preserve">AGUA10-S5</t>
  </si>
  <si>
    <t xml:space="preserve">AGUA10-A1</t>
  </si>
  <si>
    <t xml:space="preserve">Agua</t>
  </si>
  <si>
    <t xml:space="preserve">AGUA10-A2</t>
  </si>
  <si>
    <t xml:space="preserve">Gas impulsor: Aire comprimido (L normales)</t>
  </si>
  <si>
    <t xml:space="preserve">AGUA10-S6</t>
  </si>
  <si>
    <t xml:space="preserve">AGUA10-21</t>
  </si>
  <si>
    <t xml:space="preserve">AGUA10-22</t>
  </si>
  <si>
    <t xml:space="preserve">AGUA10-23</t>
  </si>
  <si>
    <t xml:space="preserve">AGUA10-24</t>
  </si>
  <si>
    <t xml:space="preserve">AGUA10-25</t>
  </si>
  <si>
    <t xml:space="preserve">AGUA10-27</t>
  </si>
  <si>
    <t xml:space="preserve">AGUA10-28</t>
  </si>
  <si>
    <t xml:space="preserve">AGUA10-S8</t>
  </si>
  <si>
    <t xml:space="preserve">AGUA10-I5</t>
  </si>
  <si>
    <t xml:space="preserve">AGUA10-I6</t>
  </si>
  <si>
    <t xml:space="preserve">FL_SUS_AGUA_10l</t>
  </si>
  <si>
    <t xml:space="preserve">SUS-AGUA_10l-01</t>
  </si>
  <si>
    <t xml:space="preserve">SUS-AGUA_10l-02</t>
  </si>
  <si>
    <t xml:space="preserve">SUS-AGUA_10l-03</t>
  </si>
  <si>
    <t xml:space="preserve">SUS-AGUA_10l-04</t>
  </si>
  <si>
    <t xml:space="preserve">AFFF10-S1</t>
  </si>
  <si>
    <t xml:space="preserve">AFFF10-01</t>
  </si>
  <si>
    <t xml:space="preserve">AFFF10-02</t>
  </si>
  <si>
    <t xml:space="preserve">AFFF10-03</t>
  </si>
  <si>
    <t xml:space="preserve">AFFF10-04</t>
  </si>
  <si>
    <t xml:space="preserve">AFFF10-S2</t>
  </si>
  <si>
    <t xml:space="preserve">AFFF10-05</t>
  </si>
  <si>
    <t xml:space="preserve">AFFF10-06</t>
  </si>
  <si>
    <t xml:space="preserve">AFFF10-07</t>
  </si>
  <si>
    <t xml:space="preserve">AFFF10-08</t>
  </si>
  <si>
    <t xml:space="preserve">AFFF10-09</t>
  </si>
  <si>
    <t xml:space="preserve">AFFF10-10</t>
  </si>
  <si>
    <t xml:space="preserve">AFFF10-11</t>
  </si>
  <si>
    <t xml:space="preserve">AFFF10-12</t>
  </si>
  <si>
    <t xml:space="preserve">AFFF10-13</t>
  </si>
  <si>
    <t xml:space="preserve">AFFF10-14</t>
  </si>
  <si>
    <t xml:space="preserve">AFFF10-15</t>
  </si>
  <si>
    <t xml:space="preserve">AFFF10-16</t>
  </si>
  <si>
    <t xml:space="preserve">AFFF10-26</t>
  </si>
  <si>
    <t xml:space="preserve">AFFF10-V2</t>
  </si>
  <si>
    <t xml:space="preserve">AFFF10-V3</t>
  </si>
  <si>
    <t xml:space="preserve">AFFF10-S3</t>
  </si>
  <si>
    <t xml:space="preserve">AFFF10-17</t>
  </si>
  <si>
    <t xml:space="preserve">AFFF10-18</t>
  </si>
  <si>
    <t xml:space="preserve">AFFF10-19</t>
  </si>
  <si>
    <t xml:space="preserve">Lanza espumígena</t>
  </si>
  <si>
    <t xml:space="preserve">AFFF10-20</t>
  </si>
  <si>
    <t xml:space="preserve">AFFF10-S5</t>
  </si>
  <si>
    <t xml:space="preserve">AFFF10-A1b</t>
  </si>
  <si>
    <t xml:space="preserve">Concentrado AFFF 3 %</t>
  </si>
  <si>
    <t xml:space="preserve">AFFF10-A1</t>
  </si>
  <si>
    <t xml:space="preserve">Agua (premezcla)</t>
  </si>
  <si>
    <t xml:space="preserve">AFFF10-A2</t>
  </si>
  <si>
    <t xml:space="preserve">AFFF10-S6</t>
  </si>
  <si>
    <t xml:space="preserve">AFFF10-21</t>
  </si>
  <si>
    <t xml:space="preserve">AFFF10-22</t>
  </si>
  <si>
    <t xml:space="preserve">AFFF10-23</t>
  </si>
  <si>
    <t xml:space="preserve">AFFF10-24</t>
  </si>
  <si>
    <t xml:space="preserve">AFFF10-25</t>
  </si>
  <si>
    <t xml:space="preserve">AFFF10-27</t>
  </si>
  <si>
    <t xml:space="preserve">AFFF10-28</t>
  </si>
  <si>
    <t xml:space="preserve">AFFF10-S8</t>
  </si>
  <si>
    <t xml:space="preserve">AFFF10-I5</t>
  </si>
  <si>
    <t xml:space="preserve">AFFF10-I6</t>
  </si>
  <si>
    <t xml:space="preserve">FL_SUS_AFFF_10l</t>
  </si>
  <si>
    <t xml:space="preserve">SUS-AFFF_10l-01</t>
  </si>
  <si>
    <t xml:space="preserve">SUS-AFFF_10l-02</t>
  </si>
  <si>
    <t xml:space="preserve">SUS-AFFF_10l-03</t>
  </si>
  <si>
    <t xml:space="preserve">SUS-AFFF_10l-04</t>
  </si>
  <si>
    <t xml:space="preserve">AFFF50-S1</t>
  </si>
  <si>
    <t xml:space="preserve">AFFF50-01</t>
  </si>
  <si>
    <t xml:space="preserve">AFFF50-02</t>
  </si>
  <si>
    <t xml:space="preserve">AFFF50-03</t>
  </si>
  <si>
    <t xml:space="preserve">AFFF50-04</t>
  </si>
  <si>
    <t xml:space="preserve">AFFF50-S2</t>
  </si>
  <si>
    <t xml:space="preserve">AFFF50-14</t>
  </si>
  <si>
    <t xml:space="preserve">AFFF50-15</t>
  </si>
  <si>
    <t xml:space="preserve">AFFF50-16</t>
  </si>
  <si>
    <t xml:space="preserve">AFFF50-17</t>
  </si>
  <si>
    <t xml:space="preserve">AFFF50-18</t>
  </si>
  <si>
    <t xml:space="preserve">AFFF50-19</t>
  </si>
  <si>
    <t xml:space="preserve">AFFF50-20</t>
  </si>
  <si>
    <t xml:space="preserve">AFFF50-21</t>
  </si>
  <si>
    <t xml:space="preserve">AFFF50-22</t>
  </si>
  <si>
    <t xml:space="preserve">AFFF50-23</t>
  </si>
  <si>
    <t xml:space="preserve">AFFF50-35</t>
  </si>
  <si>
    <t xml:space="preserve">AFFF50-V2</t>
  </si>
  <si>
    <t xml:space="preserve">AFFF50-V3</t>
  </si>
  <si>
    <t xml:space="preserve">AFFF50-S3</t>
  </si>
  <si>
    <t xml:space="preserve">AFFF50-24</t>
  </si>
  <si>
    <t xml:space="preserve">AFFF50-25</t>
  </si>
  <si>
    <t xml:space="preserve">AFFF50-26</t>
  </si>
  <si>
    <t xml:space="preserve">AFFF50-28</t>
  </si>
  <si>
    <t xml:space="preserve">AFFF50-29</t>
  </si>
  <si>
    <t xml:space="preserve">AFFF50-S4</t>
  </si>
  <si>
    <t xml:space="preserve">AFFF50-05</t>
  </si>
  <si>
    <t xml:space="preserve">AFFF50-06</t>
  </si>
  <si>
    <t xml:space="preserve">AFFF50-07</t>
  </si>
  <si>
    <t xml:space="preserve">AFFF50-08</t>
  </si>
  <si>
    <t xml:space="preserve">AFFF50-09</t>
  </si>
  <si>
    <t xml:space="preserve">AFFF50-10</t>
  </si>
  <si>
    <t xml:space="preserve">AFFF50-11</t>
  </si>
  <si>
    <t xml:space="preserve">AFFF50-12</t>
  </si>
  <si>
    <t xml:space="preserve">AFFF50-13</t>
  </si>
  <si>
    <t xml:space="preserve">AFFF50-27</t>
  </si>
  <si>
    <t xml:space="preserve">AFFF50-S5</t>
  </si>
  <si>
    <t xml:space="preserve">AFFF50-A1b</t>
  </si>
  <si>
    <t xml:space="preserve">AFFF50-A1</t>
  </si>
  <si>
    <t xml:space="preserve">AFFF50-A2</t>
  </si>
  <si>
    <t xml:space="preserve">AFFF50-S6</t>
  </si>
  <si>
    <t xml:space="preserve">AFFF50-30</t>
  </si>
  <si>
    <t xml:space="preserve">AFFF50-31</t>
  </si>
  <si>
    <t xml:space="preserve">AFFF50-32</t>
  </si>
  <si>
    <t xml:space="preserve">AFFF50-33</t>
  </si>
  <si>
    <t xml:space="preserve">AFFF50-34</t>
  </si>
  <si>
    <t xml:space="preserve">AFFF50-36</t>
  </si>
  <si>
    <t xml:space="preserve">AFFF50-37</t>
  </si>
  <si>
    <t xml:space="preserve">FL_SUS_AFFF_50l</t>
  </si>
  <si>
    <t xml:space="preserve">SUS-AFFF_50l-01</t>
  </si>
  <si>
    <t xml:space="preserve">SUS-AFFF_50l-02</t>
  </si>
  <si>
    <t xml:space="preserve">SUS-AFFF_50l-03</t>
  </si>
  <si>
    <t xml:space="preserve">SUS-AFFF_50l-04</t>
  </si>
  <si>
    <t xml:space="preserve">BC5-S1</t>
  </si>
  <si>
    <t xml:space="preserve">BC5-01</t>
  </si>
  <si>
    <t xml:space="preserve">BC5-02</t>
  </si>
  <si>
    <t xml:space="preserve">BC5-03</t>
  </si>
  <si>
    <t xml:space="preserve">BC5-04</t>
  </si>
  <si>
    <t xml:space="preserve">BC5-S2</t>
  </si>
  <si>
    <t xml:space="preserve">BC5-05</t>
  </si>
  <si>
    <t xml:space="preserve">BC5-06</t>
  </si>
  <si>
    <t xml:space="preserve">BC5-07</t>
  </si>
  <si>
    <t xml:space="preserve">BC5-08</t>
  </si>
  <si>
    <t xml:space="preserve">BC5-09</t>
  </si>
  <si>
    <t xml:space="preserve">BC5-10</t>
  </si>
  <si>
    <t xml:space="preserve">BC5-11</t>
  </si>
  <si>
    <t xml:space="preserve">BC5-12</t>
  </si>
  <si>
    <t xml:space="preserve">BC5-13</t>
  </si>
  <si>
    <t xml:space="preserve">BC5-14</t>
  </si>
  <si>
    <t xml:space="preserve">BC5-15</t>
  </si>
  <si>
    <t xml:space="preserve">BC5-25</t>
  </si>
  <si>
    <t xml:space="preserve">BC5-V2</t>
  </si>
  <si>
    <t xml:space="preserve">BC5-V3</t>
  </si>
  <si>
    <t xml:space="preserve">BC5-S3</t>
  </si>
  <si>
    <t xml:space="preserve">BC5-16</t>
  </si>
  <si>
    <t xml:space="preserve">BC5-17</t>
  </si>
  <si>
    <t xml:space="preserve">BC5-18</t>
  </si>
  <si>
    <t xml:space="preserve">BC5-19</t>
  </si>
  <si>
    <t xml:space="preserve">BC5-S5</t>
  </si>
  <si>
    <t xml:space="preserve">BC5-A1</t>
  </si>
  <si>
    <t xml:space="preserve">Polvo BC</t>
  </si>
  <si>
    <t xml:space="preserve">BC5-A2</t>
  </si>
  <si>
    <t xml:space="preserve">BC5-S6</t>
  </si>
  <si>
    <t xml:space="preserve">BC5-20</t>
  </si>
  <si>
    <t xml:space="preserve">BC5-21</t>
  </si>
  <si>
    <t xml:space="preserve">BC5-22</t>
  </si>
  <si>
    <t xml:space="preserve">BC5-23</t>
  </si>
  <si>
    <t xml:space="preserve">BC5-24</t>
  </si>
  <si>
    <t xml:space="preserve">BC5-26</t>
  </si>
  <si>
    <t xml:space="preserve">BC5-27</t>
  </si>
  <si>
    <t xml:space="preserve">BC5-S8</t>
  </si>
  <si>
    <t xml:space="preserve">BC5-I5</t>
  </si>
  <si>
    <t xml:space="preserve">BC5-I6</t>
  </si>
  <si>
    <t xml:space="preserve">FL_SUS_BC_5kg</t>
  </si>
  <si>
    <t xml:space="preserve">SUS-BC_5kg-01</t>
  </si>
  <si>
    <t xml:space="preserve">SUS-BC_5kg-02</t>
  </si>
  <si>
    <t xml:space="preserve">SUS-BC_5kg-03</t>
  </si>
  <si>
    <t xml:space="preserve">SUS-BC_5kg-04</t>
  </si>
  <si>
    <t xml:space="preserve">SALESK6-S1</t>
  </si>
  <si>
    <t xml:space="preserve">SALESK6-01</t>
  </si>
  <si>
    <t xml:space="preserve">SALESK6-02</t>
  </si>
  <si>
    <t xml:space="preserve">SALESK6-03</t>
  </si>
  <si>
    <t xml:space="preserve">SALESK6-04</t>
  </si>
  <si>
    <t xml:space="preserve">SALESK6-S2</t>
  </si>
  <si>
    <t xml:space="preserve">SALESK6-05</t>
  </si>
  <si>
    <t xml:space="preserve">SALESK6-06</t>
  </si>
  <si>
    <t xml:space="preserve">SALESK6-07</t>
  </si>
  <si>
    <t xml:space="preserve">SALESK6-08</t>
  </si>
  <si>
    <t xml:space="preserve">SALESK6-09</t>
  </si>
  <si>
    <t xml:space="preserve">SALESK6-10</t>
  </si>
  <si>
    <t xml:space="preserve">SALESK6-11</t>
  </si>
  <si>
    <t xml:space="preserve">SALESK6-12</t>
  </si>
  <si>
    <t xml:space="preserve">SALESK6-13</t>
  </si>
  <si>
    <t xml:space="preserve">SALESK6-14</t>
  </si>
  <si>
    <t xml:space="preserve">SALESK6-15</t>
  </si>
  <si>
    <t xml:space="preserve">SALESK6-16</t>
  </si>
  <si>
    <t xml:space="preserve">SALESK6-26</t>
  </si>
  <si>
    <t xml:space="preserve">SALESK6-V2</t>
  </si>
  <si>
    <t xml:space="preserve">SALESK6-V3</t>
  </si>
  <si>
    <t xml:space="preserve">SALESK6-S3</t>
  </si>
  <si>
    <t xml:space="preserve">SALESK6-17</t>
  </si>
  <si>
    <t xml:space="preserve">SALESK6-18</t>
  </si>
  <si>
    <t xml:space="preserve">SALESK6-19</t>
  </si>
  <si>
    <t xml:space="preserve">Lanza aplicadora clase K</t>
  </si>
  <si>
    <t xml:space="preserve">SALESK6-20</t>
  </si>
  <si>
    <t xml:space="preserve">SALESK6-S5</t>
  </si>
  <si>
    <t xml:space="preserve">SALESK6-A1</t>
  </si>
  <si>
    <t xml:space="preserve">Acetato de potasio</t>
  </si>
  <si>
    <t xml:space="preserve">SALESK6-A2</t>
  </si>
  <si>
    <t xml:space="preserve">SALESK6-S6</t>
  </si>
  <si>
    <t xml:space="preserve">SALESK6-21</t>
  </si>
  <si>
    <t xml:space="preserve">SALESK6-22</t>
  </si>
  <si>
    <t xml:space="preserve">SALESK6-23</t>
  </si>
  <si>
    <t xml:space="preserve">SALESK6-24</t>
  </si>
  <si>
    <t xml:space="preserve">SALESK6-25</t>
  </si>
  <si>
    <t xml:space="preserve">SALESK6-27</t>
  </si>
  <si>
    <t xml:space="preserve">SALESK6-28</t>
  </si>
  <si>
    <t xml:space="preserve">SALESK6-S8</t>
  </si>
  <si>
    <t xml:space="preserve">SALESK6-I5</t>
  </si>
  <si>
    <t xml:space="preserve">SALESK6-I6</t>
  </si>
  <si>
    <t xml:space="preserve">FL_SUS_SALESK_6l</t>
  </si>
  <si>
    <t xml:space="preserve">SUS-SALESK_6l-01</t>
  </si>
  <si>
    <t xml:space="preserve">SUS-SALESK_6l-02</t>
  </si>
  <si>
    <t xml:space="preserve">SUS-SALESK_6l-03</t>
  </si>
  <si>
    <t xml:space="preserve">SUS-SALESK_6l-04</t>
  </si>
  <si>
    <t xml:space="preserve">CO22-S1</t>
  </si>
  <si>
    <t xml:space="preserve">CO22-01</t>
  </si>
  <si>
    <t xml:space="preserve">Cilindro sin costura</t>
  </si>
  <si>
    <t xml:space="preserve">CO22-13</t>
  </si>
  <si>
    <t xml:space="preserve">Pie de apoyo</t>
  </si>
  <si>
    <t xml:space="preserve">CO22-S2</t>
  </si>
  <si>
    <t xml:space="preserve">CO22-02</t>
  </si>
  <si>
    <t xml:space="preserve">CO22-03</t>
  </si>
  <si>
    <t xml:space="preserve">CO22-04</t>
  </si>
  <si>
    <t xml:space="preserve">CO22-05</t>
  </si>
  <si>
    <t xml:space="preserve">Disco de seguridad</t>
  </si>
  <si>
    <t xml:space="preserve">CO22-06</t>
  </si>
  <si>
    <t xml:space="preserve">CO22-07</t>
  </si>
  <si>
    <t xml:space="preserve">CO22-08</t>
  </si>
  <si>
    <t xml:space="preserve">CO22-09</t>
  </si>
  <si>
    <t xml:space="preserve">CO22-10</t>
  </si>
  <si>
    <t xml:space="preserve">CO22-11</t>
  </si>
  <si>
    <t xml:space="preserve">CO22-12</t>
  </si>
  <si>
    <t xml:space="preserve">CO22-22</t>
  </si>
  <si>
    <t xml:space="preserve">CO22-V3</t>
  </si>
  <si>
    <t xml:space="preserve">CO22-S3</t>
  </si>
  <si>
    <t xml:space="preserve">CO22-14</t>
  </si>
  <si>
    <t xml:space="preserve">Brazo giratorio</t>
  </si>
  <si>
    <t xml:space="preserve">CO22-15</t>
  </si>
  <si>
    <t xml:space="preserve">Difusor</t>
  </si>
  <si>
    <t xml:space="preserve">CO22-16</t>
  </si>
  <si>
    <t xml:space="preserve">Empuñadura</t>
  </si>
  <si>
    <t xml:space="preserve">CO22-S5</t>
  </si>
  <si>
    <t xml:space="preserve">CO22-A1</t>
  </si>
  <si>
    <t xml:space="preserve">Dióxido de carbono</t>
  </si>
  <si>
    <t xml:space="preserve">CO22-S6</t>
  </si>
  <si>
    <t xml:space="preserve">CO22-17</t>
  </si>
  <si>
    <t xml:space="preserve">CO22-18</t>
  </si>
  <si>
    <t xml:space="preserve">CO22-19</t>
  </si>
  <si>
    <t xml:space="preserve">CO22-20</t>
  </si>
  <si>
    <t xml:space="preserve">CO22-21</t>
  </si>
  <si>
    <t xml:space="preserve">CO22-23</t>
  </si>
  <si>
    <t xml:space="preserve">CO22-24</t>
  </si>
  <si>
    <t xml:space="preserve">CO22-S8</t>
  </si>
  <si>
    <t xml:space="preserve">CO22-I5</t>
  </si>
  <si>
    <t xml:space="preserve">CO22-I6</t>
  </si>
  <si>
    <t xml:space="preserve">FL_SUS_CO2_2kg</t>
  </si>
  <si>
    <t xml:space="preserve">SUS-CO2_2kg-01</t>
  </si>
  <si>
    <t xml:space="preserve">SUS-CO2_2kg-02</t>
  </si>
  <si>
    <t xml:space="preserve">SUS-CO2_2kg-03</t>
  </si>
  <si>
    <t xml:space="preserve">SUS-CO2_2kg-04</t>
  </si>
  <si>
    <t xml:space="preserve">CO25-S1</t>
  </si>
  <si>
    <t xml:space="preserve">CO25-01</t>
  </si>
  <si>
    <t xml:space="preserve">CO25-13</t>
  </si>
  <si>
    <t xml:space="preserve">CO25-S2</t>
  </si>
  <si>
    <t xml:space="preserve">CO25-02</t>
  </si>
  <si>
    <t xml:space="preserve">CO25-03</t>
  </si>
  <si>
    <t xml:space="preserve">CO25-04</t>
  </si>
  <si>
    <t xml:space="preserve">CO25-05</t>
  </si>
  <si>
    <t xml:space="preserve">CO25-06</t>
  </si>
  <si>
    <t xml:space="preserve">CO25-07</t>
  </si>
  <si>
    <t xml:space="preserve">CO25-08</t>
  </si>
  <si>
    <t xml:space="preserve">CO25-09</t>
  </si>
  <si>
    <t xml:space="preserve">CO25-10</t>
  </si>
  <si>
    <t xml:space="preserve">CO25-11</t>
  </si>
  <si>
    <t xml:space="preserve">CO25-12</t>
  </si>
  <si>
    <t xml:space="preserve">CO25-24</t>
  </si>
  <si>
    <t xml:space="preserve">CO25-V3</t>
  </si>
  <si>
    <t xml:space="preserve">CO25-S3</t>
  </si>
  <si>
    <t xml:space="preserve">CO25-14</t>
  </si>
  <si>
    <t xml:space="preserve">CO25-15</t>
  </si>
  <si>
    <t xml:space="preserve">CO25-16</t>
  </si>
  <si>
    <t xml:space="preserve">CO25-17</t>
  </si>
  <si>
    <t xml:space="preserve">CO25-18</t>
  </si>
  <si>
    <t xml:space="preserve">Suncho soporte de difusor</t>
  </si>
  <si>
    <t xml:space="preserve">CO25-S5</t>
  </si>
  <si>
    <t xml:space="preserve">CO25-A1</t>
  </si>
  <si>
    <t xml:space="preserve">CO25-S6</t>
  </si>
  <si>
    <t xml:space="preserve">CO25-19</t>
  </si>
  <si>
    <t xml:space="preserve">CO25-20</t>
  </si>
  <si>
    <t xml:space="preserve">CO25-21</t>
  </si>
  <si>
    <t xml:space="preserve">CO25-22</t>
  </si>
  <si>
    <t xml:space="preserve">CO25-23</t>
  </si>
  <si>
    <t xml:space="preserve">CO25-25</t>
  </si>
  <si>
    <t xml:space="preserve">CO25-26</t>
  </si>
  <si>
    <t xml:space="preserve">CO25-S8</t>
  </si>
  <si>
    <t xml:space="preserve">CO25-I5</t>
  </si>
  <si>
    <t xml:space="preserve">CO25-I6</t>
  </si>
  <si>
    <t xml:space="preserve">FL_SUS_CO2_5kg</t>
  </si>
  <si>
    <t xml:space="preserve">SUS-CO2_5kg-01</t>
  </si>
  <si>
    <t xml:space="preserve">SUS-CO2_5kg-02</t>
  </si>
  <si>
    <t xml:space="preserve">SUS-CO2_5kg-03</t>
  </si>
  <si>
    <t xml:space="preserve">SUS-CO2_5kg-04</t>
  </si>
  <si>
    <t xml:space="preserve">HCFCHFC5-S1</t>
  </si>
  <si>
    <t xml:space="preserve">HCFCHFC5-01</t>
  </si>
  <si>
    <t xml:space="preserve">HCFCHFC5-02</t>
  </si>
  <si>
    <t xml:space="preserve">HCFCHFC5-03</t>
  </si>
  <si>
    <t xml:space="preserve">HCFCHFC5-04</t>
  </si>
  <si>
    <t xml:space="preserve">HCFCHFC5-S2</t>
  </si>
  <si>
    <t xml:space="preserve">HCFCHFC5-05</t>
  </si>
  <si>
    <t xml:space="preserve">HCFCHFC5-06</t>
  </si>
  <si>
    <t xml:space="preserve">HCFCHFC5-07</t>
  </si>
  <si>
    <t xml:space="preserve">HCFCHFC5-08</t>
  </si>
  <si>
    <t xml:space="preserve">HCFCHFC5-09</t>
  </si>
  <si>
    <t xml:space="preserve">HCFCHFC5-10</t>
  </si>
  <si>
    <t xml:space="preserve">HCFCHFC5-11</t>
  </si>
  <si>
    <t xml:space="preserve">HCFCHFC5-12</t>
  </si>
  <si>
    <t xml:space="preserve">HCFCHFC5-13</t>
  </si>
  <si>
    <t xml:space="preserve">HCFCHFC5-14</t>
  </si>
  <si>
    <t xml:space="preserve">HCFCHFC5-15</t>
  </si>
  <si>
    <t xml:space="preserve">HCFCHFC5-25</t>
  </si>
  <si>
    <t xml:space="preserve">HCFCHFC5-V2</t>
  </si>
  <si>
    <t xml:space="preserve">HCFCHFC5-V3</t>
  </si>
  <si>
    <t xml:space="preserve">HCFCHFC5-S3</t>
  </si>
  <si>
    <t xml:space="preserve">HCFCHFC5-16</t>
  </si>
  <si>
    <t xml:space="preserve">HCFCHFC5-17</t>
  </si>
  <si>
    <t xml:space="preserve">HCFCHFC5-18</t>
  </si>
  <si>
    <t xml:space="preserve">HCFCHFC5-19</t>
  </si>
  <si>
    <t xml:space="preserve">HCFCHFC5-S5</t>
  </si>
  <si>
    <t xml:space="preserve">HCFCHFC5-A1</t>
  </si>
  <si>
    <t xml:space="preserve">HCFC 123 / HFC 236fa</t>
  </si>
  <si>
    <t xml:space="preserve">HCFCHFC5-A2</t>
  </si>
  <si>
    <t xml:space="preserve">Gas impulsor: Argón (L normales)</t>
  </si>
  <si>
    <t xml:space="preserve">HCFCHFC5-S6</t>
  </si>
  <si>
    <t xml:space="preserve">HCFCHFC5-20</t>
  </si>
  <si>
    <t xml:space="preserve">HCFCHFC5-21</t>
  </si>
  <si>
    <t xml:space="preserve">HCFCHFC5-22</t>
  </si>
  <si>
    <t xml:space="preserve">HCFCHFC5-23</t>
  </si>
  <si>
    <t xml:space="preserve">HCFCHFC5-24</t>
  </si>
  <si>
    <t xml:space="preserve">HCFCHFC5-26</t>
  </si>
  <si>
    <t xml:space="preserve">HCFCHFC5-27</t>
  </si>
  <si>
    <t xml:space="preserve">HCFCHFC5-S8</t>
  </si>
  <si>
    <t xml:space="preserve">HCFCHFC5-I5</t>
  </si>
  <si>
    <t xml:space="preserve">HCFCHFC5-I6</t>
  </si>
  <si>
    <t xml:space="preserve">FL_SUS_HCFC-HFC_5kg</t>
  </si>
  <si>
    <t xml:space="preserve">SUS-HCFC-HFC_5kg-01</t>
  </si>
  <si>
    <t xml:space="preserve">SUS-HCFC-HFC_5kg-02</t>
  </si>
  <si>
    <t xml:space="preserve">SUS-HCFC-HFC_5kg-03</t>
  </si>
  <si>
    <t xml:space="preserve">SUS-HCFC-HFC_5kg-04</t>
  </si>
  <si>
    <t xml:space="preserve">CLASED9-S1</t>
  </si>
  <si>
    <t xml:space="preserve">CLASED9-01</t>
  </si>
  <si>
    <t xml:space="preserve">CLASED9-02</t>
  </si>
  <si>
    <t xml:space="preserve">CLASED9-03</t>
  </si>
  <si>
    <t xml:space="preserve">CLASED9-04</t>
  </si>
  <si>
    <t xml:space="preserve">CLASED9-S2</t>
  </si>
  <si>
    <t xml:space="preserve">CLASED9-05</t>
  </si>
  <si>
    <t xml:space="preserve">CLASED9-06</t>
  </si>
  <si>
    <t xml:space="preserve">CLASED9-07</t>
  </si>
  <si>
    <t xml:space="preserve">CLASED9-08</t>
  </si>
  <si>
    <t xml:space="preserve">CLASED9-09</t>
  </si>
  <si>
    <t xml:space="preserve">CLASED9-10</t>
  </si>
  <si>
    <t xml:space="preserve">CLASED9-11</t>
  </si>
  <si>
    <t xml:space="preserve">CLASED9-12</t>
  </si>
  <si>
    <t xml:space="preserve">CLASED9-13</t>
  </si>
  <si>
    <t xml:space="preserve">CLASED9-14</t>
  </si>
  <si>
    <t xml:space="preserve">CLASED9-15</t>
  </si>
  <si>
    <t xml:space="preserve">CLASED9-26</t>
  </si>
  <si>
    <t xml:space="preserve">CLASED9-V2</t>
  </si>
  <si>
    <t xml:space="preserve">CLASED9-V3</t>
  </si>
  <si>
    <t xml:space="preserve">CLASED9-S3</t>
  </si>
  <si>
    <t xml:space="preserve">CLASED9-16</t>
  </si>
  <si>
    <t xml:space="preserve">CLASED9-17</t>
  </si>
  <si>
    <t xml:space="preserve">CLASED9-18</t>
  </si>
  <si>
    <t xml:space="preserve">Lanza aplicadora flujo suave</t>
  </si>
  <si>
    <t xml:space="preserve">CLASED9-19</t>
  </si>
  <si>
    <t xml:space="preserve">CLASED9-20</t>
  </si>
  <si>
    <t xml:space="preserve">CLASED9-S5</t>
  </si>
  <si>
    <t xml:space="preserve">CLASED9-A1</t>
  </si>
  <si>
    <t xml:space="preserve">Polvo para metales combustibles clase D</t>
  </si>
  <si>
    <t xml:space="preserve">CLASED9-A2</t>
  </si>
  <si>
    <t xml:space="preserve">CLASED9-S6</t>
  </si>
  <si>
    <t xml:space="preserve">CLASED9-21</t>
  </si>
  <si>
    <t xml:space="preserve">CLASED9-22</t>
  </si>
  <si>
    <t xml:space="preserve">CLASED9-23</t>
  </si>
  <si>
    <t xml:space="preserve">CLASED9-24</t>
  </si>
  <si>
    <t xml:space="preserve">CLASED9-25</t>
  </si>
  <si>
    <t xml:space="preserve">CLASED9-27</t>
  </si>
  <si>
    <t xml:space="preserve">CLASED9-28</t>
  </si>
  <si>
    <t xml:space="preserve">CLASED9-S8</t>
  </si>
  <si>
    <t xml:space="preserve">CLASED9-I5</t>
  </si>
  <si>
    <t xml:space="preserve">CLASED9-I6</t>
  </si>
  <si>
    <t xml:space="preserve">FL_SUS_CLASED_9l</t>
  </si>
  <si>
    <t xml:space="preserve">SUS-CLASED_9l-01</t>
  </si>
  <si>
    <t xml:space="preserve">SUS-CLASED_9l-02</t>
  </si>
  <si>
    <t xml:space="preserve">SUS-CLASED_9l-03</t>
  </si>
  <si>
    <t xml:space="preserve">SUS-CLASED_9l-04</t>
  </si>
  <si>
    <t xml:space="preserve">Cilindro (recipiente) ABC 1 kg</t>
  </si>
  <si>
    <t xml:space="preserve">ABC1-S1</t>
  </si>
  <si>
    <t xml:space="preserve">ABC1-T1</t>
  </si>
  <si>
    <t xml:space="preserve">Tapón protector de rosca del cuello</t>
  </si>
  <si>
    <t xml:space="preserve">ABC1-T3</t>
  </si>
  <si>
    <t xml:space="preserve">Etiqueta de identificación del cilindro suelto</t>
  </si>
  <si>
    <t xml:space="preserve">Cilindro (recipiente) ABC 2,5 kg</t>
  </si>
  <si>
    <t xml:space="preserve">ABC2.5-S1</t>
  </si>
  <si>
    <t xml:space="preserve">ABC2.5-T1</t>
  </si>
  <si>
    <t xml:space="preserve">ABC2.5-T3</t>
  </si>
  <si>
    <t xml:space="preserve">Cilindro (recipiente) ABC 5 kg</t>
  </si>
  <si>
    <t xml:space="preserve">ABC5-S1</t>
  </si>
  <si>
    <t xml:space="preserve">ABC5-T1</t>
  </si>
  <si>
    <t xml:space="preserve">ABC5-T3</t>
  </si>
  <si>
    <t xml:space="preserve">Cilindro (recipiente) ABC 10 kg</t>
  </si>
  <si>
    <t xml:space="preserve">ABC10-S1</t>
  </si>
  <si>
    <t xml:space="preserve">ABC10-T1</t>
  </si>
  <si>
    <t xml:space="preserve">ABC10-T3</t>
  </si>
  <si>
    <t xml:space="preserve">Cilindro (recipiente) ABC 25 kg rodante</t>
  </si>
  <si>
    <t xml:space="preserve">ABC25-S1</t>
  </si>
  <si>
    <t xml:space="preserve">ABC25-T1</t>
  </si>
  <si>
    <t xml:space="preserve">ABC25-T3</t>
  </si>
  <si>
    <t xml:space="preserve">Cilindro (recipiente) ABC 50 kg rodante</t>
  </si>
  <si>
    <t xml:space="preserve">ABC50-S1</t>
  </si>
  <si>
    <t xml:space="preserve">ABC50-T1</t>
  </si>
  <si>
    <t xml:space="preserve">ABC50-T3</t>
  </si>
  <si>
    <t xml:space="preserve">Cilindro (recipiente) ABC 70 kg rodante</t>
  </si>
  <si>
    <t xml:space="preserve">ABC70-S1</t>
  </si>
  <si>
    <t xml:space="preserve">ABC70-T1</t>
  </si>
  <si>
    <t xml:space="preserve">ABC70-T3</t>
  </si>
  <si>
    <t xml:space="preserve">Cilindro (recipiente) ABC 100 kg rodante</t>
  </si>
  <si>
    <t xml:space="preserve">ABC100-S1</t>
  </si>
  <si>
    <t xml:space="preserve">ABC100-T1</t>
  </si>
  <si>
    <t xml:space="preserve">ABC100-T3</t>
  </si>
  <si>
    <t xml:space="preserve">RK_ABC_1kg</t>
  </si>
  <si>
    <t xml:space="preserve">RK_ABC_1kg-1</t>
  </si>
  <si>
    <t xml:space="preserve">Control periódico (trimestral)</t>
  </si>
  <si>
    <t xml:space="preserve">servicio</t>
  </si>
  <si>
    <t xml:space="preserve">RK_ABC_1kg-C1</t>
  </si>
  <si>
    <t xml:space="preserve">Etiqueta de control (celeste 35 × 50)</t>
  </si>
  <si>
    <t xml:space="preserve">RK_ABC_1kg-2</t>
  </si>
  <si>
    <t xml:space="preserve">Mantenimiento (anual)</t>
  </si>
  <si>
    <t xml:space="preserve">RK_ABC_1kg-A1</t>
  </si>
  <si>
    <t xml:space="preserve">Polvo ABC 60 (reposición)</t>
  </si>
  <si>
    <t xml:space="preserve">RK_ABC_1kg-A2</t>
  </si>
  <si>
    <t xml:space="preserve">RK_ABC_1kg-P1</t>
  </si>
  <si>
    <t xml:space="preserve">Precinto con identificación del recargador</t>
  </si>
  <si>
    <t xml:space="preserve">RK_ABC_1kg-P6</t>
  </si>
  <si>
    <t xml:space="preserve">Marbete indicador</t>
  </si>
  <si>
    <t xml:space="preserve">RK_ABC_1kg-P2</t>
  </si>
  <si>
    <t xml:space="preserve">Etiqueta de servicio del recargador</t>
  </si>
  <si>
    <t xml:space="preserve">RK_ABC_1kg-P3</t>
  </si>
  <si>
    <t xml:space="preserve">Estampilla y oblea de recarga (PBA)</t>
  </si>
  <si>
    <t xml:space="preserve">RK_ABC_1kg-P4</t>
  </si>
  <si>
    <t xml:space="preserve">Tarjeta de identificación DPS (PBA)</t>
  </si>
  <si>
    <t xml:space="preserve">RK_ABC_1kg-P5</t>
  </si>
  <si>
    <t xml:space="preserve">Tarjeta de identificación AGC (CABA)</t>
  </si>
  <si>
    <t xml:space="preserve">RK_ABC_1kg-P7</t>
  </si>
  <si>
    <t xml:space="preserve">Junta tórica de asiento del cuello</t>
  </si>
  <si>
    <t xml:space="preserve">RK_ABC_1kg-3</t>
  </si>
  <si>
    <t xml:space="preserve">Recarga (después de cada uso)</t>
  </si>
  <si>
    <t xml:space="preserve">RK_ABC_1kg-4</t>
  </si>
  <si>
    <t xml:space="preserve">RK_ABC_1kg-RA1</t>
  </si>
  <si>
    <t xml:space="preserve">Polvo ABC 60 recuperado</t>
  </si>
  <si>
    <t xml:space="preserve">RK_ABC_1kg-H1</t>
  </si>
  <si>
    <t xml:space="preserve">Oblea de vencimiento de la prueba hidráulica</t>
  </si>
  <si>
    <t xml:space="preserve">RK_ABC_2.5kg</t>
  </si>
  <si>
    <t xml:space="preserve">RK_ABC_2.5kg-1</t>
  </si>
  <si>
    <t xml:space="preserve">RK_ABC_2.5kg-C1</t>
  </si>
  <si>
    <t xml:space="preserve">RK_ABC_2.5kg-2</t>
  </si>
  <si>
    <t xml:space="preserve">RK_ABC_2.5kg-A1</t>
  </si>
  <si>
    <t xml:space="preserve">RK_ABC_2.5kg-A2</t>
  </si>
  <si>
    <t xml:space="preserve">RK_ABC_2.5kg-P1</t>
  </si>
  <si>
    <t xml:space="preserve">RK_ABC_2.5kg-P6</t>
  </si>
  <si>
    <t xml:space="preserve">RK_ABC_2.5kg-P2</t>
  </si>
  <si>
    <t xml:space="preserve">RK_ABC_2.5kg-P3</t>
  </si>
  <si>
    <t xml:space="preserve">RK_ABC_2.5kg-P4</t>
  </si>
  <si>
    <t xml:space="preserve">RK_ABC_2.5kg-P5</t>
  </si>
  <si>
    <t xml:space="preserve">RK_ABC_2.5kg-P7</t>
  </si>
  <si>
    <t xml:space="preserve">RK_ABC_2.5kg-3</t>
  </si>
  <si>
    <t xml:space="preserve">RK_ABC_2.5kg-4</t>
  </si>
  <si>
    <t xml:space="preserve">RK_ABC_2.5kg-RA1</t>
  </si>
  <si>
    <t xml:space="preserve">RK_ABC_2.5kg-H1</t>
  </si>
  <si>
    <t xml:space="preserve">RK_ABC_5kg</t>
  </si>
  <si>
    <t xml:space="preserve">RK_ABC_5kg-1</t>
  </si>
  <si>
    <t xml:space="preserve">RK_ABC_5kg-C1</t>
  </si>
  <si>
    <t xml:space="preserve">RK_ABC_5kg-2</t>
  </si>
  <si>
    <t xml:space="preserve">RK_ABC_5kg-A1</t>
  </si>
  <si>
    <t xml:space="preserve">RK_ABC_5kg-A2</t>
  </si>
  <si>
    <t xml:space="preserve">RK_ABC_5kg-P1</t>
  </si>
  <si>
    <t xml:space="preserve">RK_ABC_5kg-P6</t>
  </si>
  <si>
    <t xml:space="preserve">RK_ABC_5kg-P2</t>
  </si>
  <si>
    <t xml:space="preserve">RK_ABC_5kg-P3</t>
  </si>
  <si>
    <t xml:space="preserve">RK_ABC_5kg-P4</t>
  </si>
  <si>
    <t xml:space="preserve">RK_ABC_5kg-P5</t>
  </si>
  <si>
    <t xml:space="preserve">RK_ABC_5kg-P7</t>
  </si>
  <si>
    <t xml:space="preserve">RK_ABC_5kg-3</t>
  </si>
  <si>
    <t xml:space="preserve">RK_ABC_5kg-4</t>
  </si>
  <si>
    <t xml:space="preserve">RK_ABC_5kg-RA1</t>
  </si>
  <si>
    <t xml:space="preserve">RK_ABC_5kg-H1</t>
  </si>
  <si>
    <t xml:space="preserve">RK_ABC_10kg</t>
  </si>
  <si>
    <t xml:space="preserve">RK_ABC_10kg-1</t>
  </si>
  <si>
    <t xml:space="preserve">RK_ABC_10kg-C1</t>
  </si>
  <si>
    <t xml:space="preserve">RK_ABC_10kg-2</t>
  </si>
  <si>
    <t xml:space="preserve">RK_ABC_10kg-A1</t>
  </si>
  <si>
    <t xml:space="preserve">RK_ABC_10kg-A2</t>
  </si>
  <si>
    <t xml:space="preserve">RK_ABC_10kg-P1</t>
  </si>
  <si>
    <t xml:space="preserve">RK_ABC_10kg-P6</t>
  </si>
  <si>
    <t xml:space="preserve">RK_ABC_10kg-P2</t>
  </si>
  <si>
    <t xml:space="preserve">RK_ABC_10kg-P3</t>
  </si>
  <si>
    <t xml:space="preserve">RK_ABC_10kg-P4</t>
  </si>
  <si>
    <t xml:space="preserve">RK_ABC_10kg-P5</t>
  </si>
  <si>
    <t xml:space="preserve">RK_ABC_10kg-P7</t>
  </si>
  <si>
    <t xml:space="preserve">RK_ABC_10kg-3</t>
  </si>
  <si>
    <t xml:space="preserve">RK_ABC_10kg-4</t>
  </si>
  <si>
    <t xml:space="preserve">RK_ABC_10kg-RA1</t>
  </si>
  <si>
    <t xml:space="preserve">RK_ABC_10kg-H1</t>
  </si>
  <si>
    <t xml:space="preserve">RK_ABC_25kg</t>
  </si>
  <si>
    <t xml:space="preserve">RK_ABC_25kg-1</t>
  </si>
  <si>
    <t xml:space="preserve">RK_ABC_25kg-C1</t>
  </si>
  <si>
    <t xml:space="preserve">RK_ABC_25kg-2</t>
  </si>
  <si>
    <t xml:space="preserve">RK_ABC_25kg-A1</t>
  </si>
  <si>
    <t xml:space="preserve">Polvo ABC 90 (reposición)</t>
  </si>
  <si>
    <t xml:space="preserve">RK_ABC_25kg-A2</t>
  </si>
  <si>
    <t xml:space="preserve">RK_ABC_25kg-P1</t>
  </si>
  <si>
    <t xml:space="preserve">RK_ABC_25kg-P6</t>
  </si>
  <si>
    <t xml:space="preserve">RK_ABC_25kg-P2</t>
  </si>
  <si>
    <t xml:space="preserve">RK_ABC_25kg-P3</t>
  </si>
  <si>
    <t xml:space="preserve">RK_ABC_25kg-P4</t>
  </si>
  <si>
    <t xml:space="preserve">RK_ABC_25kg-P5</t>
  </si>
  <si>
    <t xml:space="preserve">RK_ABC_25kg-P7</t>
  </si>
  <si>
    <t xml:space="preserve">RK_ABC_25kg-3</t>
  </si>
  <si>
    <t xml:space="preserve">RK_ABC_25kg-4</t>
  </si>
  <si>
    <t xml:space="preserve">RK_ABC_25kg-RA1</t>
  </si>
  <si>
    <t xml:space="preserve">Polvo ABC 90 recuperado</t>
  </si>
  <si>
    <t xml:space="preserve">RK_ABC_25kg-H1</t>
  </si>
  <si>
    <t xml:space="preserve">RK_ABC_50kg</t>
  </si>
  <si>
    <t xml:space="preserve">RK_ABC_50kg-1</t>
  </si>
  <si>
    <t xml:space="preserve">RK_ABC_50kg-C1</t>
  </si>
  <si>
    <t xml:space="preserve">RK_ABC_50kg-2</t>
  </si>
  <si>
    <t xml:space="preserve">RK_ABC_50kg-A1</t>
  </si>
  <si>
    <t xml:space="preserve">RK_ABC_50kg-A2</t>
  </si>
  <si>
    <t xml:space="preserve">RK_ABC_50kg-P1</t>
  </si>
  <si>
    <t xml:space="preserve">RK_ABC_50kg-P6</t>
  </si>
  <si>
    <t xml:space="preserve">RK_ABC_50kg-P2</t>
  </si>
  <si>
    <t xml:space="preserve">RK_ABC_50kg-P3</t>
  </si>
  <si>
    <t xml:space="preserve">RK_ABC_50kg-P4</t>
  </si>
  <si>
    <t xml:space="preserve">RK_ABC_50kg-P5</t>
  </si>
  <si>
    <t xml:space="preserve">RK_ABC_50kg-P7</t>
  </si>
  <si>
    <t xml:space="preserve">RK_ABC_50kg-3</t>
  </si>
  <si>
    <t xml:space="preserve">RK_ABC_50kg-4</t>
  </si>
  <si>
    <t xml:space="preserve">RK_ABC_50kg-RA1</t>
  </si>
  <si>
    <t xml:space="preserve">RK_ABC_50kg-H1</t>
  </si>
  <si>
    <t xml:space="preserve">RK_ABC_70kg</t>
  </si>
  <si>
    <t xml:space="preserve">RK_ABC_70kg-1</t>
  </si>
  <si>
    <t xml:space="preserve">RK_ABC_70kg-C1</t>
  </si>
  <si>
    <t xml:space="preserve">RK_ABC_70kg-2</t>
  </si>
  <si>
    <t xml:space="preserve">RK_ABC_70kg-A1</t>
  </si>
  <si>
    <t xml:space="preserve">RK_ABC_70kg-A2</t>
  </si>
  <si>
    <t xml:space="preserve">RK_ABC_70kg-P1</t>
  </si>
  <si>
    <t xml:space="preserve">RK_ABC_70kg-P6</t>
  </si>
  <si>
    <t xml:space="preserve">RK_ABC_70kg-P2</t>
  </si>
  <si>
    <t xml:space="preserve">RK_ABC_70kg-P3</t>
  </si>
  <si>
    <t xml:space="preserve">RK_ABC_70kg-P4</t>
  </si>
  <si>
    <t xml:space="preserve">RK_ABC_70kg-P5</t>
  </si>
  <si>
    <t xml:space="preserve">RK_ABC_70kg-P7</t>
  </si>
  <si>
    <t xml:space="preserve">RK_ABC_70kg-3</t>
  </si>
  <si>
    <t xml:space="preserve">RK_ABC_70kg-4</t>
  </si>
  <si>
    <t xml:space="preserve">RK_ABC_70kg-RA1</t>
  </si>
  <si>
    <t xml:space="preserve">RK_ABC_70kg-H1</t>
  </si>
  <si>
    <t xml:space="preserve">RK_ABC_100kg</t>
  </si>
  <si>
    <t xml:space="preserve">RK_ABC_100kg-1</t>
  </si>
  <si>
    <t xml:space="preserve">RK_ABC_100kg-C1</t>
  </si>
  <si>
    <t xml:space="preserve">RK_ABC_100kg-2</t>
  </si>
  <si>
    <t xml:space="preserve">RK_ABC_100kg-A1</t>
  </si>
  <si>
    <t xml:space="preserve">RK_ABC_100kg-A2</t>
  </si>
  <si>
    <t xml:space="preserve">RK_ABC_100kg-P1</t>
  </si>
  <si>
    <t xml:space="preserve">RK_ABC_100kg-P6</t>
  </si>
  <si>
    <t xml:space="preserve">RK_ABC_100kg-P2</t>
  </si>
  <si>
    <t xml:space="preserve">RK_ABC_100kg-P3</t>
  </si>
  <si>
    <t xml:space="preserve">RK_ABC_100kg-P4</t>
  </si>
  <si>
    <t xml:space="preserve">RK_ABC_100kg-P5</t>
  </si>
  <si>
    <t xml:space="preserve">RK_ABC_100kg-P7</t>
  </si>
  <si>
    <t xml:space="preserve">RK_ABC_100kg-3</t>
  </si>
  <si>
    <t xml:space="preserve">RK_ABC_100kg-4</t>
  </si>
  <si>
    <t xml:space="preserve">RK_ABC_100kg-RA1</t>
  </si>
  <si>
    <t xml:space="preserve">RK_ABC_100kg-H1</t>
  </si>
  <si>
    <t xml:space="preserve">RK_AGUA_10l</t>
  </si>
  <si>
    <t xml:space="preserve">RK_AGUA_10l-1</t>
  </si>
  <si>
    <t xml:space="preserve">RK_AGUA_10l-C1</t>
  </si>
  <si>
    <t xml:space="preserve">RK_AGUA_10l-2</t>
  </si>
  <si>
    <t xml:space="preserve">RK_AGUA_10l-A1</t>
  </si>
  <si>
    <t xml:space="preserve">RK_AGUA_10l-A2</t>
  </si>
  <si>
    <t xml:space="preserve">RK_AGUA_10l-P1</t>
  </si>
  <si>
    <t xml:space="preserve">RK_AGUA_10l-P6</t>
  </si>
  <si>
    <t xml:space="preserve">RK_AGUA_10l-P2</t>
  </si>
  <si>
    <t xml:space="preserve">RK_AGUA_10l-P3</t>
  </si>
  <si>
    <t xml:space="preserve">RK_AGUA_10l-P4</t>
  </si>
  <si>
    <t xml:space="preserve">RK_AGUA_10l-P5</t>
  </si>
  <si>
    <t xml:space="preserve">RK_AGUA_10l-P7</t>
  </si>
  <si>
    <t xml:space="preserve">RK_AGUA_10l-3</t>
  </si>
  <si>
    <t xml:space="preserve">RK_AGUA_10l-4</t>
  </si>
  <si>
    <t xml:space="preserve">RK_AGUA_10l-H1</t>
  </si>
  <si>
    <t xml:space="preserve">RK_AFFF_10l</t>
  </si>
  <si>
    <t xml:space="preserve">RK_AFFF_10l-1</t>
  </si>
  <si>
    <t xml:space="preserve">RK_AFFF_10l-C1</t>
  </si>
  <si>
    <t xml:space="preserve">RK_AFFF_10l-2</t>
  </si>
  <si>
    <t xml:space="preserve">RK_AFFF_10l-A1b</t>
  </si>
  <si>
    <t xml:space="preserve">RK_AFFF_10l-A1</t>
  </si>
  <si>
    <t xml:space="preserve">RK_AFFF_10l-A2</t>
  </si>
  <si>
    <t xml:space="preserve">RK_AFFF_10l-P1</t>
  </si>
  <si>
    <t xml:space="preserve">RK_AFFF_10l-P6</t>
  </si>
  <si>
    <t xml:space="preserve">RK_AFFF_10l-P2</t>
  </si>
  <si>
    <t xml:space="preserve">RK_AFFF_10l-P3</t>
  </si>
  <si>
    <t xml:space="preserve">RK_AFFF_10l-P4</t>
  </si>
  <si>
    <t xml:space="preserve">RK_AFFF_10l-P5</t>
  </si>
  <si>
    <t xml:space="preserve">RK_AFFF_10l-P7</t>
  </si>
  <si>
    <t xml:space="preserve">RK_AFFF_10l-3</t>
  </si>
  <si>
    <t xml:space="preserve">RK_AFFF_10l-4</t>
  </si>
  <si>
    <t xml:space="preserve">RK_AFFF_10l-H1</t>
  </si>
  <si>
    <t xml:space="preserve">RK_AFFF_50l</t>
  </si>
  <si>
    <t xml:space="preserve">RK_AFFF_50l-1</t>
  </si>
  <si>
    <t xml:space="preserve">RK_AFFF_50l-C1</t>
  </si>
  <si>
    <t xml:space="preserve">RK_AFFF_50l-2</t>
  </si>
  <si>
    <t xml:space="preserve">RK_AFFF_50l-A1b</t>
  </si>
  <si>
    <t xml:space="preserve">RK_AFFF_50l-A1</t>
  </si>
  <si>
    <t xml:space="preserve">RK_AFFF_50l-A2</t>
  </si>
  <si>
    <t xml:space="preserve">RK_AFFF_50l-P1</t>
  </si>
  <si>
    <t xml:space="preserve">RK_AFFF_50l-P6</t>
  </si>
  <si>
    <t xml:space="preserve">RK_AFFF_50l-P2</t>
  </si>
  <si>
    <t xml:space="preserve">RK_AFFF_50l-P3</t>
  </si>
  <si>
    <t xml:space="preserve">RK_AFFF_50l-P4</t>
  </si>
  <si>
    <t xml:space="preserve">RK_AFFF_50l-P5</t>
  </si>
  <si>
    <t xml:space="preserve">RK_AFFF_50l-P7</t>
  </si>
  <si>
    <t xml:space="preserve">RK_AFFF_50l-3</t>
  </si>
  <si>
    <t xml:space="preserve">RK_AFFF_50l-4</t>
  </si>
  <si>
    <t xml:space="preserve">RK_AFFF_50l-H1</t>
  </si>
  <si>
    <t xml:space="preserve">RK_BC_5kg</t>
  </si>
  <si>
    <t xml:space="preserve">RK_BC_5kg-1</t>
  </si>
  <si>
    <t xml:space="preserve">RK_BC_5kg-C1</t>
  </si>
  <si>
    <t xml:space="preserve">RK_BC_5kg-2</t>
  </si>
  <si>
    <t xml:space="preserve">RK_BC_5kg-A1</t>
  </si>
  <si>
    <t xml:space="preserve">Polvo BC (reposición)</t>
  </si>
  <si>
    <t xml:space="preserve">RK_BC_5kg-A2</t>
  </si>
  <si>
    <t xml:space="preserve">RK_BC_5kg-P1</t>
  </si>
  <si>
    <t xml:space="preserve">RK_BC_5kg-P6</t>
  </si>
  <si>
    <t xml:space="preserve">RK_BC_5kg-P2</t>
  </si>
  <si>
    <t xml:space="preserve">RK_BC_5kg-P3</t>
  </si>
  <si>
    <t xml:space="preserve">RK_BC_5kg-P4</t>
  </si>
  <si>
    <t xml:space="preserve">RK_BC_5kg-P5</t>
  </si>
  <si>
    <t xml:space="preserve">RK_BC_5kg-P7</t>
  </si>
  <si>
    <t xml:space="preserve">RK_BC_5kg-3</t>
  </si>
  <si>
    <t xml:space="preserve">RK_BC_5kg-4</t>
  </si>
  <si>
    <t xml:space="preserve">RK_BC_5kg-RA1</t>
  </si>
  <si>
    <t xml:space="preserve">Polvo BC recuperado</t>
  </si>
  <si>
    <t xml:space="preserve">RK_BC_5kg-H1</t>
  </si>
  <si>
    <t xml:space="preserve">RK_SALESK_6l</t>
  </si>
  <si>
    <t xml:space="preserve">RK_SALESK_6l-1</t>
  </si>
  <si>
    <t xml:space="preserve">RK_SALESK_6l-C1</t>
  </si>
  <si>
    <t xml:space="preserve">RK_SALESK_6l-2</t>
  </si>
  <si>
    <t xml:space="preserve">RK_SALESK_6l-A1</t>
  </si>
  <si>
    <t xml:space="preserve">RK_SALESK_6l-A2</t>
  </si>
  <si>
    <t xml:space="preserve">RK_SALESK_6l-P1</t>
  </si>
  <si>
    <t xml:space="preserve">RK_SALESK_6l-P6</t>
  </si>
  <si>
    <t xml:space="preserve">RK_SALESK_6l-P2</t>
  </si>
  <si>
    <t xml:space="preserve">RK_SALESK_6l-P3</t>
  </si>
  <si>
    <t xml:space="preserve">RK_SALESK_6l-P4</t>
  </si>
  <si>
    <t xml:space="preserve">RK_SALESK_6l-P5</t>
  </si>
  <si>
    <t xml:space="preserve">RK_SALESK_6l-P7</t>
  </si>
  <si>
    <t xml:space="preserve">RK_SALESK_6l-3</t>
  </si>
  <si>
    <t xml:space="preserve">RK_SALESK_6l-4</t>
  </si>
  <si>
    <t xml:space="preserve">RK_SALESK_6l-H1</t>
  </si>
  <si>
    <t xml:space="preserve">RK_CO2_2kg</t>
  </si>
  <si>
    <t xml:space="preserve">RK_CO2_2kg-1</t>
  </si>
  <si>
    <t xml:space="preserve">RK_CO2_2kg-C1</t>
  </si>
  <si>
    <t xml:space="preserve">RK_CO2_2kg-2</t>
  </si>
  <si>
    <t xml:space="preserve">RK_CO2_2kg-A1</t>
  </si>
  <si>
    <t xml:space="preserve">Dióxido de carbono (reposición)</t>
  </si>
  <si>
    <t xml:space="preserve">RK_CO2_2kg-P1</t>
  </si>
  <si>
    <t xml:space="preserve">RK_CO2_2kg-P2</t>
  </si>
  <si>
    <t xml:space="preserve">RK_CO2_2kg-P3</t>
  </si>
  <si>
    <t xml:space="preserve">RK_CO2_2kg-P4</t>
  </si>
  <si>
    <t xml:space="preserve">RK_CO2_2kg-P5</t>
  </si>
  <si>
    <t xml:space="preserve">RK_CO2_2kg-3</t>
  </si>
  <si>
    <t xml:space="preserve">RK_CO2_2kg-S1</t>
  </si>
  <si>
    <t xml:space="preserve">Conjunto de seguridad (disco)</t>
  </si>
  <si>
    <t xml:space="preserve">RK_CO2_2kg-4</t>
  </si>
  <si>
    <t xml:space="preserve">RK_CO2_2kg-RA1</t>
  </si>
  <si>
    <t xml:space="preserve">Dióxido de carbono recuperado</t>
  </si>
  <si>
    <t xml:space="preserve">RK_CO2_2kg-P6</t>
  </si>
  <si>
    <t xml:space="preserve">RK_CO2_2kg-P7</t>
  </si>
  <si>
    <t xml:space="preserve">RK_CO2_5kg</t>
  </si>
  <si>
    <t xml:space="preserve">RK_CO2_5kg-1</t>
  </si>
  <si>
    <t xml:space="preserve">RK_CO2_5kg-C1</t>
  </si>
  <si>
    <t xml:space="preserve">RK_CO2_5kg-2</t>
  </si>
  <si>
    <t xml:space="preserve">RK_CO2_5kg-A1</t>
  </si>
  <si>
    <t xml:space="preserve">RK_CO2_5kg-P1</t>
  </si>
  <si>
    <t xml:space="preserve">RK_CO2_5kg-P2</t>
  </si>
  <si>
    <t xml:space="preserve">RK_CO2_5kg-P3</t>
  </si>
  <si>
    <t xml:space="preserve">RK_CO2_5kg-P4</t>
  </si>
  <si>
    <t xml:space="preserve">RK_CO2_5kg-P5</t>
  </si>
  <si>
    <t xml:space="preserve">RK_CO2_5kg-3</t>
  </si>
  <si>
    <t xml:space="preserve">RK_CO2_5kg-S1</t>
  </si>
  <si>
    <t xml:space="preserve">RK_CO2_5kg-4</t>
  </si>
  <si>
    <t xml:space="preserve">RK_CO2_5kg-RA1</t>
  </si>
  <si>
    <t xml:space="preserve">RK_CO2_5kg-P6</t>
  </si>
  <si>
    <t xml:space="preserve">RK_CO2_5kg-P7</t>
  </si>
  <si>
    <t xml:space="preserve">RK_HCFC-HFC_5kg</t>
  </si>
  <si>
    <t xml:space="preserve">RK_HCFC-HFC_5kg-1</t>
  </si>
  <si>
    <t xml:space="preserve">RK_HCFC-HFC_5kg-C1</t>
  </si>
  <si>
    <t xml:space="preserve">RK_HCFC-HFC_5kg-2</t>
  </si>
  <si>
    <t xml:space="preserve">RK_HCFC-HFC_5kg-A1</t>
  </si>
  <si>
    <t xml:space="preserve">HCFC 123 / HFC 236fa (reposición)</t>
  </si>
  <si>
    <t xml:space="preserve">RK_HCFC-HFC_5kg-A2</t>
  </si>
  <si>
    <t xml:space="preserve">RK_HCFC-HFC_5kg-P1</t>
  </si>
  <si>
    <t xml:space="preserve">RK_HCFC-HFC_5kg-P6</t>
  </si>
  <si>
    <t xml:space="preserve">RK_HCFC-HFC_5kg-P2</t>
  </si>
  <si>
    <t xml:space="preserve">RK_HCFC-HFC_5kg-P3</t>
  </si>
  <si>
    <t xml:space="preserve">RK_HCFC-HFC_5kg-P4</t>
  </si>
  <si>
    <t xml:space="preserve">RK_HCFC-HFC_5kg-P5</t>
  </si>
  <si>
    <t xml:space="preserve">RK_HCFC-HFC_5kg-P7</t>
  </si>
  <si>
    <t xml:space="preserve">RK_HCFC-HFC_5kg-3</t>
  </si>
  <si>
    <t xml:space="preserve">RK_HCFC-HFC_5kg-4</t>
  </si>
  <si>
    <t xml:space="preserve">RK_HCFC-HFC_5kg-RA1</t>
  </si>
  <si>
    <t xml:space="preserve">HCFC 123 / HFC 236fa recuperado</t>
  </si>
  <si>
    <t xml:space="preserve">RK_HCFC-HFC_5kg-H1</t>
  </si>
  <si>
    <t xml:space="preserve">RK_CLASED_9l</t>
  </si>
  <si>
    <t xml:space="preserve">RK_CLASED_9l-1</t>
  </si>
  <si>
    <t xml:space="preserve">RK_CLASED_9l-C1</t>
  </si>
  <si>
    <t xml:space="preserve">RK_CLASED_9l-2</t>
  </si>
  <si>
    <t xml:space="preserve">RK_CLASED_9l-A1</t>
  </si>
  <si>
    <t xml:space="preserve">Polvo para metales combustibles clase D (reposición)</t>
  </si>
  <si>
    <t xml:space="preserve">RK_CLASED_9l-A2</t>
  </si>
  <si>
    <t xml:space="preserve">RK_CLASED_9l-P1</t>
  </si>
  <si>
    <t xml:space="preserve">RK_CLASED_9l-P6</t>
  </si>
  <si>
    <t xml:space="preserve">RK_CLASED_9l-P2</t>
  </si>
  <si>
    <t xml:space="preserve">RK_CLASED_9l-P3</t>
  </si>
  <si>
    <t xml:space="preserve">RK_CLASED_9l-P4</t>
  </si>
  <si>
    <t xml:space="preserve">RK_CLASED_9l-P5</t>
  </si>
  <si>
    <t xml:space="preserve">RK_CLASED_9l-P7</t>
  </si>
  <si>
    <t xml:space="preserve">RK_CLASED_9l-3</t>
  </si>
  <si>
    <t xml:space="preserve">RK_CLASED_9l-4</t>
  </si>
  <si>
    <t xml:space="preserve">RK_CLASED_9l-RA1</t>
  </si>
  <si>
    <t xml:space="preserve">Polvo para metales combustibles clase D recuperado</t>
  </si>
  <si>
    <t xml:space="preserve">RK_CLASED_9l-H1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</si>
</sst>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###"/>
    <numFmt numFmtId="166" formatCode="0.0000"/>
    <numFmt numFmtId="167" formatCode="0%"/>
    <numFmt numFmtId="168" formatCode="0.000"/>
    <numFmt numFmtId="169" formatCode="0.0"/>
    <numFmt numFmtId="170" formatCode="0.####"/>
    <numFmt numFmtId="171" formatCode="0.#####"/>
    <numFmt numFmtId="172" formatCode="[&lt;0.001]0.0000;0.000"/>
    <numFmt numFmtId="173" formatCode="0.00"/>
    <numFmt numFmtId="174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6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6" min="3" style="0" width="10"/>
    <col collapsed="false" customWidth="true" hidden="false" outlineLevel="0" max="7" min="7" style="0" width="52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1" t="s">
        <v>0</v>
      </c>
      <c r="B1" s="2"/>
      <c r="C1" s="3"/>
      <c r="D1" s="3"/>
      <c r="E1" s="3"/>
      <c r="F1" s="3"/>
      <c r="G1" s="2"/>
      <c r="H1" s="2"/>
    </row>
    <row r="2" customFormat="false" ht="15" hidden="false" customHeight="false" outlineLevel="0" collapsed="false">
      <c r="A2" s="4" t="s">
        <v>1</v>
      </c>
      <c r="B2" s="5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5" t="s">
        <v>8</v>
      </c>
    </row>
    <row r="3" customFormat="false" ht="15" hidden="false" customHeight="false" outlineLevel="0" collapsed="false">
      <c r="A3" s="6"/>
      <c r="B3" s="7" t="s">
        <v>9</v>
      </c>
      <c r="C3" s="6"/>
      <c r="D3" s="6"/>
      <c r="E3" s="6"/>
      <c r="F3" s="6"/>
      <c r="G3" s="7"/>
      <c r="H3" s="7"/>
    </row>
    <row r="4" customFormat="false" ht="15" hidden="false" customHeight="false" outlineLevel="0" collapsed="false">
      <c r="A4" s="3" t="s">
        <v>10</v>
      </c>
      <c r="B4" s="2" t="s">
        <v>11</v>
      </c>
      <c r="C4" s="3" t="n">
        <v>7.85</v>
      </c>
      <c r="D4" s="3" t="n">
        <v>7.85</v>
      </c>
      <c r="E4" s="3" t="n">
        <v>7.85</v>
      </c>
      <c r="F4" s="3" t="s">
        <v>12</v>
      </c>
      <c r="G4" s="2" t="s">
        <v>13</v>
      </c>
      <c r="H4" s="2"/>
    </row>
    <row r="5" customFormat="false" ht="15" hidden="false" customHeight="false" outlineLevel="0" collapsed="false">
      <c r="A5" s="3" t="s">
        <v>14</v>
      </c>
      <c r="B5" s="2" t="s">
        <v>15</v>
      </c>
      <c r="C5" s="3" t="n">
        <v>7.93</v>
      </c>
      <c r="D5" s="3" t="n">
        <v>7.93</v>
      </c>
      <c r="E5" s="3" t="n">
        <v>7.93</v>
      </c>
      <c r="F5" s="3" t="s">
        <v>12</v>
      </c>
      <c r="G5" s="2" t="s">
        <v>16</v>
      </c>
      <c r="H5" s="2"/>
    </row>
    <row r="6" customFormat="false" ht="15" hidden="false" customHeight="false" outlineLevel="0" collapsed="false">
      <c r="A6" s="3" t="s">
        <v>17</v>
      </c>
      <c r="B6" s="2" t="s">
        <v>18</v>
      </c>
      <c r="C6" s="3" t="n">
        <v>8.45</v>
      </c>
      <c r="D6" s="3" t="n">
        <v>8.4</v>
      </c>
      <c r="E6" s="3" t="n">
        <v>8.5</v>
      </c>
      <c r="F6" s="3" t="s">
        <v>12</v>
      </c>
      <c r="G6" s="2" t="s">
        <v>19</v>
      </c>
      <c r="H6" s="2"/>
    </row>
    <row r="7" customFormat="false" ht="15" hidden="false" customHeight="false" outlineLevel="0" collapsed="false">
      <c r="A7" s="3" t="s">
        <v>20</v>
      </c>
      <c r="B7" s="2" t="s">
        <v>21</v>
      </c>
      <c r="C7" s="3" t="n">
        <v>2.7</v>
      </c>
      <c r="D7" s="3" t="n">
        <v>2.7</v>
      </c>
      <c r="E7" s="3" t="n">
        <v>2.7</v>
      </c>
      <c r="F7" s="3" t="s">
        <v>12</v>
      </c>
      <c r="G7" s="2" t="s">
        <v>22</v>
      </c>
      <c r="H7" s="2"/>
    </row>
    <row r="8" customFormat="false" ht="15" hidden="false" customHeight="false" outlineLevel="0" collapsed="false">
      <c r="A8" s="3" t="s">
        <v>23</v>
      </c>
      <c r="B8" s="2" t="s">
        <v>24</v>
      </c>
      <c r="C8" s="3" t="n">
        <v>1.2</v>
      </c>
      <c r="D8" s="3" t="n">
        <v>1.1</v>
      </c>
      <c r="E8" s="3" t="n">
        <v>1.3</v>
      </c>
      <c r="F8" s="3" t="s">
        <v>12</v>
      </c>
      <c r="G8" s="2" t="s">
        <v>25</v>
      </c>
      <c r="H8" s="2"/>
    </row>
    <row r="9" customFormat="false" ht="15" hidden="false" customHeight="false" outlineLevel="0" collapsed="false">
      <c r="A9" s="3" t="s">
        <v>26</v>
      </c>
      <c r="B9" s="2" t="s">
        <v>27</v>
      </c>
      <c r="C9" s="3" t="n">
        <v>0.9</v>
      </c>
      <c r="D9" s="3" t="n">
        <v>0.9</v>
      </c>
      <c r="E9" s="3" t="n">
        <v>0.91</v>
      </c>
      <c r="F9" s="3" t="s">
        <v>12</v>
      </c>
      <c r="G9" s="2" t="s">
        <v>28</v>
      </c>
      <c r="H9" s="2"/>
    </row>
    <row r="10" customFormat="false" ht="15" hidden="false" customHeight="false" outlineLevel="0" collapsed="false">
      <c r="A10" s="3" t="s">
        <v>29</v>
      </c>
      <c r="B10" s="2" t="s">
        <v>30</v>
      </c>
      <c r="C10" s="3" t="n">
        <v>0.95</v>
      </c>
      <c r="D10" s="3" t="n">
        <v>0.94</v>
      </c>
      <c r="E10" s="3" t="n">
        <v>0.97</v>
      </c>
      <c r="F10" s="3" t="s">
        <v>12</v>
      </c>
      <c r="G10" s="2" t="s">
        <v>31</v>
      </c>
      <c r="H10" s="2"/>
    </row>
    <row r="11" customFormat="false" ht="15" hidden="false" customHeight="false" outlineLevel="0" collapsed="false">
      <c r="A11" s="3" t="s">
        <v>32</v>
      </c>
      <c r="B11" s="2" t="s">
        <v>33</v>
      </c>
      <c r="C11" s="3" t="n">
        <v>1.4</v>
      </c>
      <c r="D11" s="3" t="n">
        <v>1.35</v>
      </c>
      <c r="E11" s="3" t="n">
        <v>1.45</v>
      </c>
      <c r="F11" s="3" t="s">
        <v>12</v>
      </c>
      <c r="G11" s="2" t="s">
        <v>34</v>
      </c>
      <c r="H11" s="2" t="s">
        <v>35</v>
      </c>
    </row>
    <row r="12" customFormat="false" ht="15" hidden="false" customHeight="false" outlineLevel="0" collapsed="false">
      <c r="A12" s="6"/>
      <c r="B12" s="7" t="s">
        <v>36</v>
      </c>
      <c r="C12" s="6"/>
      <c r="D12" s="6"/>
      <c r="E12" s="6"/>
      <c r="F12" s="6"/>
      <c r="G12" s="7"/>
      <c r="H12" s="7"/>
    </row>
    <row r="13" customFormat="false" ht="15" hidden="false" customHeight="false" outlineLevel="0" collapsed="false">
      <c r="A13" s="3" t="s">
        <v>37</v>
      </c>
      <c r="B13" s="2" t="s">
        <v>38</v>
      </c>
      <c r="C13" s="3" t="n">
        <v>1.1</v>
      </c>
      <c r="D13" s="3" t="n">
        <v>1.1</v>
      </c>
      <c r="E13" s="3" t="n">
        <v>1.1</v>
      </c>
      <c r="F13" s="3" t="s">
        <v>12</v>
      </c>
      <c r="G13" s="2" t="s">
        <v>39</v>
      </c>
      <c r="H13" s="2" t="s">
        <v>40</v>
      </c>
    </row>
    <row r="14" customFormat="false" ht="15" hidden="false" customHeight="false" outlineLevel="0" collapsed="false">
      <c r="A14" s="3" t="s">
        <v>41</v>
      </c>
      <c r="B14" s="2" t="s">
        <v>42</v>
      </c>
      <c r="C14" s="3" t="n">
        <v>0.9</v>
      </c>
      <c r="D14" s="3" t="n">
        <v>0.85</v>
      </c>
      <c r="E14" s="3" t="n">
        <v>0.98</v>
      </c>
      <c r="F14" s="3" t="s">
        <v>12</v>
      </c>
      <c r="G14" s="2" t="s">
        <v>43</v>
      </c>
      <c r="H14" s="2" t="s">
        <v>44</v>
      </c>
    </row>
    <row r="15" customFormat="false" ht="15" hidden="false" customHeight="false" outlineLevel="0" collapsed="false">
      <c r="A15" s="3" t="s">
        <v>45</v>
      </c>
      <c r="B15" s="2" t="s">
        <v>46</v>
      </c>
      <c r="C15" s="3" t="n">
        <v>0.9</v>
      </c>
      <c r="D15" s="3" t="n">
        <v>0.85</v>
      </c>
      <c r="E15" s="3" t="n">
        <v>1</v>
      </c>
      <c r="F15" s="3" t="s">
        <v>12</v>
      </c>
      <c r="G15" s="2" t="s">
        <v>47</v>
      </c>
      <c r="H15" s="2" t="s">
        <v>48</v>
      </c>
    </row>
    <row r="16" customFormat="false" ht="15" hidden="false" customHeight="false" outlineLevel="0" collapsed="false">
      <c r="A16" s="3" t="s">
        <v>49</v>
      </c>
      <c r="B16" s="2" t="s">
        <v>50</v>
      </c>
      <c r="C16" s="3" t="n">
        <v>1</v>
      </c>
      <c r="D16" s="3" t="n">
        <v>0.85</v>
      </c>
      <c r="E16" s="3" t="n">
        <v>1.2</v>
      </c>
      <c r="F16" s="3" t="s">
        <v>12</v>
      </c>
      <c r="G16" s="2" t="s">
        <v>51</v>
      </c>
      <c r="H16" s="2" t="s">
        <v>48</v>
      </c>
    </row>
    <row r="17" customFormat="false" ht="15" hidden="false" customHeight="false" outlineLevel="0" collapsed="false">
      <c r="A17" s="3" t="s">
        <v>52</v>
      </c>
      <c r="B17" s="2" t="s">
        <v>53</v>
      </c>
      <c r="C17" s="3" t="n">
        <v>1.48</v>
      </c>
      <c r="D17" s="3" t="n">
        <v>1.47</v>
      </c>
      <c r="E17" s="3" t="n">
        <v>1.48</v>
      </c>
      <c r="F17" s="3" t="s">
        <v>12</v>
      </c>
      <c r="G17" s="2" t="s">
        <v>54</v>
      </c>
      <c r="H17" s="2"/>
    </row>
    <row r="18" customFormat="false" ht="15" hidden="false" customHeight="false" outlineLevel="0" collapsed="false">
      <c r="A18" s="3" t="s">
        <v>55</v>
      </c>
      <c r="B18" s="2" t="s">
        <v>56</v>
      </c>
      <c r="C18" s="3" t="n">
        <v>1</v>
      </c>
      <c r="D18" s="3" t="n">
        <v>1</v>
      </c>
      <c r="E18" s="3" t="n">
        <v>1</v>
      </c>
      <c r="F18" s="3" t="s">
        <v>12</v>
      </c>
      <c r="G18" s="2" t="s">
        <v>57</v>
      </c>
      <c r="H18" s="2"/>
    </row>
    <row r="19" customFormat="false" ht="15" hidden="false" customHeight="false" outlineLevel="0" collapsed="false">
      <c r="A19" s="3" t="s">
        <v>58</v>
      </c>
      <c r="B19" s="2" t="s">
        <v>59</v>
      </c>
      <c r="C19" s="3" t="n">
        <v>0.03</v>
      </c>
      <c r="D19" s="3" t="n">
        <v>0.03</v>
      </c>
      <c r="E19" s="3" t="n">
        <v>0.03</v>
      </c>
      <c r="F19" s="3" t="s">
        <v>60</v>
      </c>
      <c r="G19" s="2" t="s">
        <v>61</v>
      </c>
      <c r="H19" s="2"/>
    </row>
    <row r="20" customFormat="false" ht="15" hidden="false" customHeight="false" outlineLevel="0" collapsed="false">
      <c r="A20" s="3" t="s">
        <v>62</v>
      </c>
      <c r="B20" s="2" t="s">
        <v>63</v>
      </c>
      <c r="C20" s="3" t="n">
        <v>1.025</v>
      </c>
      <c r="D20" s="3" t="n">
        <v>1.025</v>
      </c>
      <c r="E20" s="3" t="n">
        <v>1.025</v>
      </c>
      <c r="F20" s="3" t="s">
        <v>12</v>
      </c>
      <c r="G20" s="2" t="s">
        <v>64</v>
      </c>
      <c r="H20" s="2"/>
    </row>
    <row r="21" customFormat="false" ht="15" hidden="false" customHeight="false" outlineLevel="0" collapsed="false">
      <c r="A21" s="3" t="s">
        <v>65</v>
      </c>
      <c r="B21" s="2" t="s">
        <v>66</v>
      </c>
      <c r="C21" s="3" t="n">
        <f aca="false">$C$19*$C$20+(1-$C$19)*$C$18</f>
        <v>1.00075</v>
      </c>
      <c r="D21" s="3" t="n">
        <f aca="false">$C$19*$C$20+(1-$C$19)*$C$18</f>
        <v>1.00075</v>
      </c>
      <c r="E21" s="3" t="n">
        <f aca="false">$C$19*$C$20+(1-$C$19)*$C$18</f>
        <v>1.00075</v>
      </c>
      <c r="F21" s="3" t="s">
        <v>12</v>
      </c>
      <c r="G21" s="2" t="s">
        <v>67</v>
      </c>
      <c r="H21" s="2"/>
    </row>
    <row r="22" customFormat="false" ht="15" hidden="false" customHeight="false" outlineLevel="0" collapsed="false">
      <c r="A22" s="3" t="s">
        <v>68</v>
      </c>
      <c r="B22" s="2" t="s">
        <v>69</v>
      </c>
      <c r="C22" s="3" t="n">
        <v>1.3</v>
      </c>
      <c r="D22" s="3" t="n">
        <v>1.3</v>
      </c>
      <c r="E22" s="3" t="n">
        <v>1.3</v>
      </c>
      <c r="F22" s="3" t="s">
        <v>12</v>
      </c>
      <c r="G22" s="2" t="s">
        <v>70</v>
      </c>
      <c r="H22" s="2"/>
    </row>
    <row r="23" customFormat="false" ht="15" hidden="false" customHeight="false" outlineLevel="0" collapsed="false">
      <c r="A23" s="3" t="s">
        <v>71</v>
      </c>
      <c r="B23" s="2" t="s">
        <v>72</v>
      </c>
      <c r="C23" s="3"/>
      <c r="D23" s="3"/>
      <c r="E23" s="3"/>
      <c r="F23" s="3" t="s">
        <v>12</v>
      </c>
      <c r="G23" s="2" t="s">
        <v>73</v>
      </c>
      <c r="H23" s="2"/>
    </row>
    <row r="24" customFormat="false" ht="15" hidden="false" customHeight="false" outlineLevel="0" collapsed="false">
      <c r="A24" s="3" t="s">
        <v>74</v>
      </c>
      <c r="B24" s="2" t="s">
        <v>75</v>
      </c>
      <c r="C24" s="3" t="n">
        <v>0.68</v>
      </c>
      <c r="D24" s="3"/>
      <c r="E24" s="3" t="n">
        <v>0.68</v>
      </c>
      <c r="F24" s="3" t="s">
        <v>12</v>
      </c>
      <c r="G24" s="2" t="s">
        <v>76</v>
      </c>
      <c r="H24" s="2"/>
    </row>
    <row r="25" customFormat="false" ht="15" hidden="false" customHeight="false" outlineLevel="0" collapsed="false">
      <c r="A25" s="6"/>
      <c r="B25" s="7" t="s">
        <v>77</v>
      </c>
      <c r="C25" s="6"/>
      <c r="D25" s="6"/>
      <c r="E25" s="6"/>
      <c r="F25" s="6"/>
      <c r="G25" s="7"/>
      <c r="H25" s="7"/>
    </row>
    <row r="26" customFormat="false" ht="15" hidden="false" customHeight="false" outlineLevel="0" collapsed="false">
      <c r="A26" s="3" t="s">
        <v>78</v>
      </c>
      <c r="B26" s="2" t="s">
        <v>79</v>
      </c>
      <c r="C26" s="3" t="n">
        <f aca="false">$C$29/$C$32</f>
        <v>0.00124921923797626</v>
      </c>
      <c r="D26" s="3"/>
      <c r="E26" s="3"/>
      <c r="F26" s="3" t="s">
        <v>12</v>
      </c>
      <c r="G26" s="2" t="s">
        <v>80</v>
      </c>
      <c r="H26" s="2" t="s">
        <v>81</v>
      </c>
    </row>
    <row r="27" customFormat="false" ht="15" hidden="false" customHeight="false" outlineLevel="0" collapsed="false">
      <c r="A27" s="3" t="s">
        <v>82</v>
      </c>
      <c r="B27" s="2" t="s">
        <v>83</v>
      </c>
      <c r="C27" s="3" t="n">
        <f aca="false">$C$30/$C$32</f>
        <v>0.00129383421076113</v>
      </c>
      <c r="D27" s="3"/>
      <c r="E27" s="3"/>
      <c r="F27" s="3" t="s">
        <v>12</v>
      </c>
      <c r="G27" s="2" t="s">
        <v>80</v>
      </c>
      <c r="H27" s="2" t="s">
        <v>84</v>
      </c>
    </row>
    <row r="28" customFormat="false" ht="15" hidden="false" customHeight="false" outlineLevel="0" collapsed="false">
      <c r="A28" s="3" t="s">
        <v>85</v>
      </c>
      <c r="B28" s="2" t="s">
        <v>86</v>
      </c>
      <c r="C28" s="3" t="n">
        <f aca="false">$C$31/$C$32</f>
        <v>0.00178459891139466</v>
      </c>
      <c r="D28" s="3"/>
      <c r="E28" s="3"/>
      <c r="F28" s="3" t="s">
        <v>12</v>
      </c>
      <c r="G28" s="2" t="s">
        <v>80</v>
      </c>
      <c r="H28" s="2" t="s">
        <v>87</v>
      </c>
    </row>
    <row r="29" customFormat="false" ht="15" hidden="false" customHeight="false" outlineLevel="0" collapsed="false">
      <c r="A29" s="3" t="s">
        <v>88</v>
      </c>
      <c r="B29" s="2" t="s">
        <v>89</v>
      </c>
      <c r="C29" s="3" t="n">
        <v>0.028</v>
      </c>
      <c r="D29" s="3"/>
      <c r="E29" s="3"/>
      <c r="F29" s="3" t="s">
        <v>90</v>
      </c>
      <c r="G29" s="2" t="s">
        <v>91</v>
      </c>
      <c r="H29" s="2"/>
    </row>
    <row r="30" customFormat="false" ht="15" hidden="false" customHeight="false" outlineLevel="0" collapsed="false">
      <c r="A30" s="3" t="s">
        <v>92</v>
      </c>
      <c r="B30" s="2" t="s">
        <v>93</v>
      </c>
      <c r="C30" s="3" t="n">
        <v>0.029</v>
      </c>
      <c r="D30" s="3"/>
      <c r="E30" s="3"/>
      <c r="F30" s="3" t="s">
        <v>90</v>
      </c>
      <c r="G30" s="2" t="s">
        <v>94</v>
      </c>
      <c r="H30" s="2"/>
    </row>
    <row r="31" customFormat="false" ht="15" hidden="false" customHeight="false" outlineLevel="0" collapsed="false">
      <c r="A31" s="3" t="s">
        <v>95</v>
      </c>
      <c r="B31" s="2" t="s">
        <v>96</v>
      </c>
      <c r="C31" s="3" t="n">
        <v>0.04</v>
      </c>
      <c r="D31" s="3"/>
      <c r="E31" s="3"/>
      <c r="F31" s="3" t="s">
        <v>90</v>
      </c>
      <c r="G31" s="2" t="s">
        <v>97</v>
      </c>
      <c r="H31" s="2"/>
    </row>
    <row r="32" customFormat="false" ht="15" hidden="false" customHeight="false" outlineLevel="0" collapsed="false">
      <c r="A32" s="3" t="s">
        <v>98</v>
      </c>
      <c r="B32" s="2" t="s">
        <v>99</v>
      </c>
      <c r="C32" s="3" t="n">
        <v>22.414</v>
      </c>
      <c r="D32" s="3"/>
      <c r="E32" s="3"/>
      <c r="F32" s="3" t="s">
        <v>100</v>
      </c>
      <c r="G32" s="2" t="s">
        <v>101</v>
      </c>
      <c r="H32" s="2"/>
    </row>
    <row r="33" customFormat="false" ht="15" hidden="false" customHeight="false" outlineLevel="0" collapsed="false">
      <c r="A33" s="3" t="s">
        <v>102</v>
      </c>
      <c r="B33" s="2" t="s">
        <v>103</v>
      </c>
      <c r="C33" s="3" t="n">
        <v>8.314</v>
      </c>
      <c r="D33" s="3"/>
      <c r="E33" s="3"/>
      <c r="F33" s="3" t="s">
        <v>104</v>
      </c>
      <c r="G33" s="2" t="s">
        <v>101</v>
      </c>
      <c r="H33" s="2"/>
    </row>
    <row r="34" customFormat="false" ht="15" hidden="false" customHeight="false" outlineLevel="0" collapsed="false">
      <c r="A34" s="3" t="s">
        <v>105</v>
      </c>
      <c r="B34" s="2" t="s">
        <v>106</v>
      </c>
      <c r="C34" s="3" t="n">
        <v>0.101325</v>
      </c>
      <c r="D34" s="3"/>
      <c r="E34" s="3"/>
      <c r="F34" s="3" t="s">
        <v>107</v>
      </c>
      <c r="G34" s="2" t="s">
        <v>101</v>
      </c>
      <c r="H34" s="2" t="s">
        <v>108</v>
      </c>
    </row>
    <row r="35" customFormat="false" ht="15" hidden="false" customHeight="false" outlineLevel="0" collapsed="false">
      <c r="A35" s="3" t="s">
        <v>109</v>
      </c>
      <c r="B35" s="2" t="s">
        <v>110</v>
      </c>
      <c r="C35" s="3" t="n">
        <v>293.15</v>
      </c>
      <c r="D35" s="3" t="n">
        <v>291.15</v>
      </c>
      <c r="E35" s="3" t="n">
        <v>295.15</v>
      </c>
      <c r="F35" s="3" t="s">
        <v>111</v>
      </c>
      <c r="G35" s="2" t="s">
        <v>112</v>
      </c>
      <c r="H35" s="2"/>
    </row>
    <row r="36" customFormat="false" ht="15" hidden="false" customHeight="false" outlineLevel="0" collapsed="false">
      <c r="A36" s="3" t="s">
        <v>113</v>
      </c>
      <c r="B36" s="2" t="s">
        <v>114</v>
      </c>
      <c r="C36" s="3" t="n">
        <v>0</v>
      </c>
      <c r="D36" s="3" t="n">
        <v>-0.1</v>
      </c>
      <c r="E36" s="3" t="n">
        <v>0.1</v>
      </c>
      <c r="F36" s="3" t="s">
        <v>60</v>
      </c>
      <c r="G36" s="2" t="s">
        <v>115</v>
      </c>
      <c r="H36" s="2" t="s">
        <v>116</v>
      </c>
    </row>
    <row r="37" customFormat="false" ht="15" hidden="false" customHeight="false" outlineLevel="0" collapsed="false">
      <c r="A37" s="3" t="s">
        <v>117</v>
      </c>
      <c r="B37" s="2" t="s">
        <v>118</v>
      </c>
      <c r="C37" s="3" t="n">
        <v>1.7</v>
      </c>
      <c r="D37" s="3"/>
      <c r="E37" s="3" t="n">
        <v>1.7</v>
      </c>
      <c r="F37" s="3" t="s">
        <v>107</v>
      </c>
      <c r="G37" s="2" t="s">
        <v>119</v>
      </c>
      <c r="H37" s="2"/>
    </row>
    <row r="38" customFormat="false" ht="15" hidden="false" customHeight="false" outlineLevel="0" collapsed="false">
      <c r="A38" s="6"/>
      <c r="B38" s="7" t="s">
        <v>120</v>
      </c>
      <c r="C38" s="6"/>
      <c r="D38" s="6"/>
      <c r="E38" s="6"/>
      <c r="F38" s="6"/>
      <c r="G38" s="7"/>
      <c r="H38" s="7"/>
    </row>
    <row r="39" customFormat="false" ht="15" hidden="false" customHeight="false" outlineLevel="0" collapsed="false">
      <c r="A39" s="3" t="s">
        <v>121</v>
      </c>
      <c r="B39" s="2" t="s">
        <v>122</v>
      </c>
      <c r="C39" s="3"/>
      <c r="D39" s="3" t="n">
        <v>0</v>
      </c>
      <c r="E39" s="3" t="n">
        <v>0.1</v>
      </c>
      <c r="F39" s="3" t="s">
        <v>123</v>
      </c>
      <c r="G39" s="2" t="s">
        <v>124</v>
      </c>
      <c r="H39" s="2"/>
    </row>
    <row r="40" customFormat="false" ht="15" hidden="false" customHeight="false" outlineLevel="0" collapsed="false">
      <c r="A40" s="3" t="s">
        <v>125</v>
      </c>
      <c r="B40" s="2" t="s">
        <v>126</v>
      </c>
      <c r="C40" s="3"/>
      <c r="D40" s="3" t="n">
        <v>0</v>
      </c>
      <c r="E40" s="3" t="n">
        <v>0.3</v>
      </c>
      <c r="F40" s="3" t="s">
        <v>123</v>
      </c>
      <c r="G40" s="2" t="s">
        <v>124</v>
      </c>
      <c r="H40" s="2"/>
    </row>
    <row r="41" customFormat="false" ht="15" hidden="false" customHeight="false" outlineLevel="0" collapsed="false">
      <c r="A41" s="3" t="s">
        <v>127</v>
      </c>
      <c r="B41" s="2" t="s">
        <v>128</v>
      </c>
      <c r="C41" s="3"/>
      <c r="D41" s="3" t="n">
        <v>-0.03</v>
      </c>
      <c r="E41" s="3" t="n">
        <v>0.03</v>
      </c>
      <c r="F41" s="3" t="s">
        <v>60</v>
      </c>
      <c r="G41" s="2" t="s">
        <v>129</v>
      </c>
      <c r="H41" s="2"/>
    </row>
    <row r="42" customFormat="false" ht="15" hidden="false" customHeight="false" outlineLevel="0" collapsed="false">
      <c r="A42" s="3" t="s">
        <v>130</v>
      </c>
      <c r="B42" s="2" t="s">
        <v>131</v>
      </c>
      <c r="C42" s="3"/>
      <c r="D42" s="3" t="n">
        <v>-0.03</v>
      </c>
      <c r="E42" s="3" t="n">
        <v>0.03</v>
      </c>
      <c r="F42" s="3" t="s">
        <v>60</v>
      </c>
      <c r="G42" s="2" t="s">
        <v>129</v>
      </c>
      <c r="H42" s="2"/>
    </row>
    <row r="43" customFormat="false" ht="15" hidden="false" customHeight="false" outlineLevel="0" collapsed="false">
      <c r="A43" s="3" t="s">
        <v>132</v>
      </c>
      <c r="B43" s="2" t="s">
        <v>133</v>
      </c>
      <c r="C43" s="3"/>
      <c r="D43" s="3" t="n">
        <v>-0.03</v>
      </c>
      <c r="E43" s="3" t="n">
        <v>0.03</v>
      </c>
      <c r="F43" s="3" t="s">
        <v>60</v>
      </c>
      <c r="G43" s="2" t="s">
        <v>129</v>
      </c>
      <c r="H43" s="2"/>
    </row>
    <row r="44" customFormat="false" ht="15" hidden="false" customHeight="false" outlineLevel="0" collapsed="false">
      <c r="A44" s="3" t="s">
        <v>134</v>
      </c>
      <c r="B44" s="2" t="s">
        <v>135</v>
      </c>
      <c r="C44" s="3"/>
      <c r="D44" s="3" t="n">
        <v>-0.03</v>
      </c>
      <c r="E44" s="3" t="n">
        <v>0.03</v>
      </c>
      <c r="F44" s="3" t="s">
        <v>60</v>
      </c>
      <c r="G44" s="2" t="s">
        <v>129</v>
      </c>
      <c r="H44" s="2"/>
    </row>
    <row r="45" customFormat="false" ht="15" hidden="false" customHeight="false" outlineLevel="0" collapsed="false">
      <c r="A45" s="3" t="s">
        <v>136</v>
      </c>
      <c r="B45" s="2" t="s">
        <v>137</v>
      </c>
      <c r="C45" s="3"/>
      <c r="D45" s="3" t="n">
        <v>0</v>
      </c>
      <c r="E45" s="3" t="n">
        <v>0.03</v>
      </c>
      <c r="F45" s="3" t="s">
        <v>60</v>
      </c>
      <c r="G45" s="2" t="s">
        <v>129</v>
      </c>
      <c r="H45" s="2" t="s">
        <v>138</v>
      </c>
    </row>
    <row r="46" customFormat="false" ht="15" hidden="false" customHeight="false" outlineLevel="0" collapsed="false">
      <c r="A46" s="3" t="s">
        <v>139</v>
      </c>
      <c r="B46" s="2" t="s">
        <v>140</v>
      </c>
      <c r="C46" s="3"/>
      <c r="D46" s="3" t="n">
        <v>-0.05</v>
      </c>
      <c r="E46" s="3" t="n">
        <v>0</v>
      </c>
      <c r="F46" s="3" t="s">
        <v>60</v>
      </c>
      <c r="G46" s="2" t="s">
        <v>129</v>
      </c>
      <c r="H46" s="2"/>
    </row>
    <row r="47" customFormat="false" ht="15" hidden="false" customHeight="false" outlineLevel="0" collapsed="false">
      <c r="A47" s="3" t="s">
        <v>141</v>
      </c>
      <c r="B47" s="2" t="s">
        <v>142</v>
      </c>
      <c r="C47" s="3"/>
      <c r="D47" s="3" t="n">
        <v>-0.02</v>
      </c>
      <c r="E47" s="3" t="n">
        <v>0</v>
      </c>
      <c r="F47" s="3" t="s">
        <v>60</v>
      </c>
      <c r="G47" s="2" t="s">
        <v>129</v>
      </c>
      <c r="H47" s="2"/>
    </row>
    <row r="48" customFormat="false" ht="15" hidden="false" customHeight="false" outlineLevel="0" collapsed="false">
      <c r="A48" s="3" t="s">
        <v>143</v>
      </c>
      <c r="B48" s="2" t="s">
        <v>144</v>
      </c>
      <c r="C48" s="3"/>
      <c r="D48" s="3" t="n">
        <v>-0.03</v>
      </c>
      <c r="E48" s="3" t="n">
        <v>0</v>
      </c>
      <c r="F48" s="3" t="s">
        <v>60</v>
      </c>
      <c r="G48" s="2" t="s">
        <v>129</v>
      </c>
      <c r="H48" s="2"/>
    </row>
    <row r="49" customFormat="false" ht="15" hidden="false" customHeight="false" outlineLevel="0" collapsed="false">
      <c r="A49" s="6"/>
      <c r="B49" s="7" t="s">
        <v>145</v>
      </c>
      <c r="C49" s="6"/>
      <c r="D49" s="6"/>
      <c r="E49" s="6"/>
      <c r="F49" s="6"/>
      <c r="G49" s="7"/>
      <c r="H49" s="7"/>
    </row>
    <row r="50" customFormat="false" ht="15" hidden="false" customHeight="false" outlineLevel="0" collapsed="false">
      <c r="A50" s="3" t="s">
        <v>146</v>
      </c>
      <c r="B50" s="2" t="s">
        <v>147</v>
      </c>
      <c r="C50" s="3" t="n">
        <v>5</v>
      </c>
      <c r="D50" s="3"/>
      <c r="E50" s="3"/>
      <c r="F50" s="3" t="s">
        <v>148</v>
      </c>
      <c r="G50" s="2" t="s">
        <v>149</v>
      </c>
      <c r="H50" s="2" t="s">
        <v>150</v>
      </c>
    </row>
    <row r="51" customFormat="false" ht="15" hidden="false" customHeight="false" outlineLevel="0" collapsed="false">
      <c r="A51" s="3" t="s">
        <v>151</v>
      </c>
      <c r="B51" s="2" t="s">
        <v>152</v>
      </c>
      <c r="C51" s="3" t="n">
        <v>2</v>
      </c>
      <c r="D51" s="3"/>
      <c r="E51" s="3"/>
      <c r="F51" s="3" t="s">
        <v>148</v>
      </c>
      <c r="G51" s="2" t="s">
        <v>149</v>
      </c>
      <c r="H51" s="2" t="s">
        <v>150</v>
      </c>
    </row>
    <row r="52" customFormat="false" ht="15" hidden="false" customHeight="false" outlineLevel="0" collapsed="false">
      <c r="A52" s="3"/>
      <c r="B52" s="2"/>
      <c r="C52" s="3"/>
      <c r="D52" s="3"/>
      <c r="E52" s="3"/>
      <c r="F52" s="3"/>
      <c r="G52" s="2"/>
      <c r="H52" s="2"/>
    </row>
    <row r="53" customFormat="false" ht="23.85" hidden="false" customHeight="false" outlineLevel="0" collapsed="false">
      <c r="A53" s="6"/>
      <c r="B53" s="7" t="s">
        <v>153</v>
      </c>
      <c r="C53" s="6"/>
      <c r="D53" s="6"/>
      <c r="E53" s="6"/>
      <c r="F53" s="6"/>
      <c r="G53" s="7"/>
      <c r="H53" s="7"/>
    </row>
    <row r="54" customFormat="false" ht="15" hidden="false" customHeight="false" outlineLevel="0" collapsed="false">
      <c r="A54" s="6"/>
      <c r="B54" s="7" t="s">
        <v>154</v>
      </c>
      <c r="C54" s="6" t="s">
        <v>155</v>
      </c>
      <c r="D54" s="6" t="s">
        <v>156</v>
      </c>
      <c r="E54" s="6"/>
      <c r="F54" s="6"/>
      <c r="G54" s="7" t="s">
        <v>157</v>
      </c>
      <c r="H54" s="7" t="s">
        <v>158</v>
      </c>
    </row>
    <row r="55" customFormat="false" ht="15" hidden="false" customHeight="false" outlineLevel="0" collapsed="false">
      <c r="A55" s="3"/>
      <c r="B55" s="2" t="n">
        <v>0.5</v>
      </c>
      <c r="C55" s="3" t="n">
        <v>3</v>
      </c>
      <c r="D55" s="3" t="n">
        <v>0.1</v>
      </c>
      <c r="E55" s="3"/>
      <c r="F55" s="3"/>
      <c r="G55" s="2"/>
      <c r="H55" s="2"/>
    </row>
    <row r="56" customFormat="false" ht="15" hidden="false" customHeight="false" outlineLevel="0" collapsed="false">
      <c r="A56" s="3"/>
      <c r="B56" s="2" t="n">
        <v>3</v>
      </c>
      <c r="C56" s="3" t="n">
        <v>6</v>
      </c>
      <c r="D56" s="3" t="n">
        <v>0.1</v>
      </c>
      <c r="E56" s="3"/>
      <c r="F56" s="3"/>
      <c r="G56" s="2"/>
      <c r="H56" s="2"/>
    </row>
    <row r="57" customFormat="false" ht="15" hidden="false" customHeight="false" outlineLevel="0" collapsed="false">
      <c r="A57" s="3"/>
      <c r="B57" s="2" t="n">
        <v>6</v>
      </c>
      <c r="C57" s="3" t="n">
        <v>30</v>
      </c>
      <c r="D57" s="3" t="n">
        <v>0.2</v>
      </c>
      <c r="E57" s="3"/>
      <c r="F57" s="3"/>
      <c r="G57" s="2"/>
      <c r="H57" s="2"/>
    </row>
    <row r="58" customFormat="false" ht="15" hidden="false" customHeight="false" outlineLevel="0" collapsed="false">
      <c r="A58" s="3"/>
      <c r="B58" s="2" t="n">
        <v>30</v>
      </c>
      <c r="C58" s="3" t="n">
        <v>120</v>
      </c>
      <c r="D58" s="3" t="n">
        <v>0.3</v>
      </c>
      <c r="E58" s="3"/>
      <c r="F58" s="3"/>
      <c r="G58" s="2"/>
      <c r="H58" s="2"/>
    </row>
    <row r="59" customFormat="false" ht="15" hidden="false" customHeight="false" outlineLevel="0" collapsed="false">
      <c r="A59" s="3"/>
      <c r="B59" s="2" t="n">
        <v>120</v>
      </c>
      <c r="C59" s="3" t="n">
        <v>400</v>
      </c>
      <c r="D59" s="3" t="n">
        <v>0.5</v>
      </c>
      <c r="E59" s="3"/>
      <c r="F59" s="3"/>
      <c r="G59" s="2"/>
      <c r="H59" s="2"/>
    </row>
    <row r="60" customFormat="false" ht="15" hidden="false" customHeight="false" outlineLevel="0" collapsed="false">
      <c r="A60" s="3"/>
      <c r="B60" s="2" t="n">
        <v>400</v>
      </c>
      <c r="C60" s="3" t="n">
        <v>1000</v>
      </c>
      <c r="D60" s="3" t="n">
        <v>0.8</v>
      </c>
      <c r="E60" s="3"/>
      <c r="F60" s="3"/>
      <c r="G60" s="2"/>
      <c r="H60" s="2"/>
    </row>
    <row r="61" customFormat="false" ht="15" hidden="false" customHeight="false" outlineLevel="0" collapsed="false">
      <c r="A61" s="3"/>
      <c r="B61" s="2" t="n">
        <v>1000</v>
      </c>
      <c r="C61" s="3" t="n">
        <v>2000</v>
      </c>
      <c r="D61" s="3" t="n">
        <v>1.2</v>
      </c>
      <c r="E61" s="3"/>
      <c r="F61" s="3"/>
      <c r="G61" s="2"/>
      <c r="H61" s="2"/>
    </row>
    <row r="62" customFormat="false" ht="15" hidden="false" customHeight="false" outlineLevel="0" collapsed="false">
      <c r="A62" s="3"/>
      <c r="B62" s="2" t="n">
        <v>2000</v>
      </c>
      <c r="C62" s="3" t="n">
        <v>4000</v>
      </c>
      <c r="D62" s="3" t="n">
        <v>2</v>
      </c>
      <c r="E62" s="3"/>
      <c r="F62" s="3"/>
      <c r="G62" s="2"/>
      <c r="H6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41" min="3" style="0" width="11"/>
  </cols>
  <sheetData>
    <row r="1" customFormat="false" ht="15" hidden="false" customHeight="false" outlineLevel="0" collapsed="false">
      <c r="A1" s="8" t="s">
        <v>159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</row>
    <row r="2" customFormat="false" ht="55.5" hidden="false" customHeight="true" outlineLevel="0" collapsed="false">
      <c r="A2" s="9" t="s">
        <v>160</v>
      </c>
      <c r="B2" s="9" t="s">
        <v>161</v>
      </c>
      <c r="C2" s="9" t="s">
        <v>162</v>
      </c>
      <c r="D2" s="9" t="s">
        <v>163</v>
      </c>
      <c r="E2" s="9" t="s">
        <v>164</v>
      </c>
      <c r="F2" s="9" t="s">
        <v>165</v>
      </c>
      <c r="G2" s="9" t="s">
        <v>166</v>
      </c>
      <c r="H2" s="9" t="s">
        <v>167</v>
      </c>
      <c r="I2" s="9" t="s">
        <v>168</v>
      </c>
      <c r="J2" s="9" t="s">
        <v>169</v>
      </c>
      <c r="K2" s="9" t="s">
        <v>170</v>
      </c>
      <c r="L2" s="9" t="s">
        <v>171</v>
      </c>
      <c r="M2" s="9" t="s">
        <v>172</v>
      </c>
      <c r="N2" s="9" t="s">
        <v>173</v>
      </c>
      <c r="O2" s="9" t="s">
        <v>174</v>
      </c>
      <c r="P2" s="9" t="s">
        <v>175</v>
      </c>
      <c r="Q2" s="9" t="s">
        <v>176</v>
      </c>
      <c r="R2" s="9" t="s">
        <v>177</v>
      </c>
      <c r="S2" s="9" t="s">
        <v>178</v>
      </c>
      <c r="T2" s="9" t="s">
        <v>179</v>
      </c>
      <c r="U2" s="9" t="s">
        <v>180</v>
      </c>
      <c r="V2" s="9" t="s">
        <v>181</v>
      </c>
      <c r="W2" s="9" t="s">
        <v>182</v>
      </c>
      <c r="X2" s="9" t="s">
        <v>183</v>
      </c>
      <c r="Y2" s="9" t="s">
        <v>184</v>
      </c>
      <c r="Z2" s="9" t="s">
        <v>185</v>
      </c>
      <c r="AA2" s="9" t="s">
        <v>186</v>
      </c>
      <c r="AB2" s="9" t="s">
        <v>187</v>
      </c>
      <c r="AC2" s="9" t="s">
        <v>188</v>
      </c>
      <c r="AD2" s="9" t="s">
        <v>189</v>
      </c>
      <c r="AE2" s="9" t="s">
        <v>190</v>
      </c>
      <c r="AF2" s="9" t="s">
        <v>191</v>
      </c>
      <c r="AG2" s="9" t="s">
        <v>192</v>
      </c>
      <c r="AH2" s="9" t="s">
        <v>193</v>
      </c>
      <c r="AI2" s="9" t="s">
        <v>194</v>
      </c>
      <c r="AJ2" s="9" t="s">
        <v>195</v>
      </c>
      <c r="AK2" s="9" t="s">
        <v>196</v>
      </c>
      <c r="AL2" s="9" t="s">
        <v>197</v>
      </c>
      <c r="AM2" s="9" t="s">
        <v>198</v>
      </c>
      <c r="AN2" s="9" t="s">
        <v>199</v>
      </c>
      <c r="AO2" s="9" t="s">
        <v>200</v>
      </c>
    </row>
    <row r="3" customFormat="false" ht="15" hidden="false" customHeight="false" outlineLevel="0" collapsed="false">
      <c r="A3" s="10" t="s">
        <v>201</v>
      </c>
      <c r="B3" s="10" t="s">
        <v>202</v>
      </c>
      <c r="C3" s="10" t="s">
        <v>203</v>
      </c>
      <c r="D3" s="10" t="s">
        <v>37</v>
      </c>
      <c r="E3" s="10" t="s">
        <v>78</v>
      </c>
      <c r="F3" s="10" t="s">
        <v>121</v>
      </c>
      <c r="G3" s="10" t="s">
        <v>146</v>
      </c>
      <c r="H3" s="10" t="n">
        <v>1</v>
      </c>
      <c r="I3" s="10" t="s">
        <v>123</v>
      </c>
      <c r="J3" s="10" t="n">
        <f aca="false">IF(INDEX(REF_UNI,MATCH(F3,REF_ID,0))="kg",INDEX(REF_MIN,MATCH(F3,REF_ID,0)),INDEX(REF_MIN,MATCH(F3,REF_ID,0))*H3)</f>
        <v>0</v>
      </c>
      <c r="K3" s="10" t="n">
        <f aca="false">IF(INDEX(REF_UNI,MATCH(F3,REF_ID,0))="kg",INDEX(REF_MAX,MATCH(F3,REF_ID,0)),INDEX(REF_MAX,MATCH(F3,REF_ID,0))*H3)</f>
        <v>0.1</v>
      </c>
      <c r="L3" s="10" t="n">
        <f aca="false">IF(AND(J3=0,K3&gt;0),H3+K3/2,H3)</f>
        <v>1.05</v>
      </c>
      <c r="M3" s="10" t="n">
        <f aca="false">H3+J3</f>
        <v>1</v>
      </c>
      <c r="N3" s="10" t="n">
        <f aca="false">H3+K3</f>
        <v>1.1</v>
      </c>
      <c r="O3" s="10" t="n">
        <v>1.18</v>
      </c>
      <c r="P3" s="11" t="n">
        <f aca="false">INDEX(REF_VAL,MATCH(D3,REF_ID,0))</f>
        <v>1.1</v>
      </c>
      <c r="Q3" s="10" t="n">
        <f aca="false">INDEX(REF_MIN,MATCH(D3,REF_ID,0))</f>
        <v>1.1</v>
      </c>
      <c r="R3" s="10" t="n">
        <f aca="false">INDEX(REF_MAX,MATCH(D3,REF_ID,0))</f>
        <v>1.1</v>
      </c>
      <c r="S3" s="10" t="n">
        <f aca="false">IF(I3="kg",L3/P3,L3)</f>
        <v>0.954545454545455</v>
      </c>
      <c r="T3" s="10" t="n">
        <f aca="false">IF(I3="kg",N3/Q3,N3)</f>
        <v>1</v>
      </c>
      <c r="U3" s="10" t="n">
        <f aca="false">IF(I3="kg",M3/R3,M3)</f>
        <v>0.909090909090909</v>
      </c>
      <c r="V3" s="12" t="n">
        <f aca="false">S3/O3</f>
        <v>0.808936825885978</v>
      </c>
      <c r="W3" s="12" t="n">
        <f aca="false">T3/O3</f>
        <v>0.847457627118644</v>
      </c>
      <c r="X3" s="12" t="n">
        <f aca="false">N3/INDEX(REF_MIN,MATCH("AG_ABC_AP",REF_ID,0))/O3</f>
        <v>1.09670987038883</v>
      </c>
      <c r="Y3" s="10" t="n">
        <f aca="false">O3-S3</f>
        <v>0.225454545454545</v>
      </c>
      <c r="Z3" s="10" t="n">
        <f aca="false">MAX(0,O3-T3)</f>
        <v>0.18</v>
      </c>
      <c r="AA3" s="10" t="n">
        <f aca="false">O3-U3</f>
        <v>0.270909090909091</v>
      </c>
      <c r="AB3" s="10" t="n">
        <v>1.4</v>
      </c>
      <c r="AC3" s="10" t="n">
        <f aca="false">AB3*(1+INDEX(REF_MIN,MATCH("PS_TOL",REF_ID,0)))</f>
        <v>1.26</v>
      </c>
      <c r="AD3" s="10" t="n">
        <f aca="false">AB3*(1+INDEX(REF_MAX,MATCH("PS_TOL",REF_ID,0)))</f>
        <v>1.54</v>
      </c>
      <c r="AE3" s="13" t="n">
        <f aca="false">INDEX(REF_VAL,MATCH(E3,REF_ID,0))*VM</f>
        <v>0.028</v>
      </c>
      <c r="AF3" s="11" t="n">
        <f aca="false">(AB3+P_ATM)*1000*Y3*AE3/(R_GAS*T_REF)</f>
        <v>0.00388858704378115</v>
      </c>
      <c r="AG3" s="11" t="n">
        <f aca="false">(AC3+P_ATM)*1000*Z3*AE3/(R_GAS*INDEX(REF_MAX,MATCH("T_REF",REF_ID,0)))</f>
        <v>0.0027960153342643</v>
      </c>
      <c r="AH3" s="11" t="n">
        <f aca="false">(AD3+P_ATM)*1000*AA3*AE3/(R_GAS*INDEX(REF_MIN,MATCH("T_REF",REF_ID,0)))</f>
        <v>0.00514338910035039</v>
      </c>
      <c r="AI3" s="14" t="n">
        <f aca="false">AF3/INDEX(REF_VAL,MATCH(E3,REF_ID,0))</f>
        <v>3.11281392854681</v>
      </c>
      <c r="AJ3" s="13"/>
      <c r="AK3" s="10"/>
      <c r="AL3" s="10"/>
      <c r="AM3" s="10" t="str">
        <f aca="false">IF(AD3&lt;PS_MAX,"Sí","No")</f>
        <v>Sí</v>
      </c>
      <c r="AN3" s="10" t="n">
        <f aca="false">L3-M3</f>
        <v>0.05</v>
      </c>
      <c r="AO3" s="10" t="n">
        <f aca="false">INDEX(REF_VAL,MATCH(G3,REF_ID,0))</f>
        <v>5</v>
      </c>
    </row>
    <row r="4" customFormat="false" ht="15" hidden="false" customHeight="false" outlineLevel="0" collapsed="false">
      <c r="A4" s="10" t="s">
        <v>204</v>
      </c>
      <c r="B4" s="10" t="s">
        <v>205</v>
      </c>
      <c r="C4" s="10" t="s">
        <v>203</v>
      </c>
      <c r="D4" s="10" t="s">
        <v>37</v>
      </c>
      <c r="E4" s="10" t="s">
        <v>78</v>
      </c>
      <c r="F4" s="10" t="s">
        <v>121</v>
      </c>
      <c r="G4" s="10" t="s">
        <v>146</v>
      </c>
      <c r="H4" s="10" t="n">
        <v>2.5</v>
      </c>
      <c r="I4" s="10" t="s">
        <v>123</v>
      </c>
      <c r="J4" s="10" t="n">
        <f aca="false">IF(INDEX(REF_UNI,MATCH(F4,REF_ID,0))="kg",INDEX(REF_MIN,MATCH(F4,REF_ID,0)),INDEX(REF_MIN,MATCH(F4,REF_ID,0))*H4)</f>
        <v>0</v>
      </c>
      <c r="K4" s="10" t="n">
        <f aca="false">IF(INDEX(REF_UNI,MATCH(F4,REF_ID,0))="kg",INDEX(REF_MAX,MATCH(F4,REF_ID,0)),INDEX(REF_MAX,MATCH(F4,REF_ID,0))*H4)</f>
        <v>0.1</v>
      </c>
      <c r="L4" s="10" t="n">
        <f aca="false">IF(AND(J4=0,K4&gt;0),H4+K4/2,H4)</f>
        <v>2.55</v>
      </c>
      <c r="M4" s="10" t="n">
        <f aca="false">H4+J4</f>
        <v>2.5</v>
      </c>
      <c r="N4" s="10" t="n">
        <f aca="false">H4+K4</f>
        <v>2.6</v>
      </c>
      <c r="O4" s="10" t="n">
        <v>3.5</v>
      </c>
      <c r="P4" s="11" t="n">
        <f aca="false">INDEX(REF_VAL,MATCH(D4,REF_ID,0))</f>
        <v>1.1</v>
      </c>
      <c r="Q4" s="10" t="n">
        <f aca="false">INDEX(REF_MIN,MATCH(D4,REF_ID,0))</f>
        <v>1.1</v>
      </c>
      <c r="R4" s="10" t="n">
        <f aca="false">INDEX(REF_MAX,MATCH(D4,REF_ID,0))</f>
        <v>1.1</v>
      </c>
      <c r="S4" s="10" t="n">
        <f aca="false">IF(I4="kg",L4/P4,L4)</f>
        <v>2.31818181818182</v>
      </c>
      <c r="T4" s="10" t="n">
        <f aca="false">IF(I4="kg",N4/Q4,N4)</f>
        <v>2.36363636363636</v>
      </c>
      <c r="U4" s="10" t="n">
        <f aca="false">IF(I4="kg",M4/R4,M4)</f>
        <v>2.27272727272727</v>
      </c>
      <c r="V4" s="12" t="n">
        <f aca="false">S4/O4</f>
        <v>0.662337662337662</v>
      </c>
      <c r="W4" s="12" t="n">
        <f aca="false">T4/O4</f>
        <v>0.675324675324675</v>
      </c>
      <c r="X4" s="12" t="n">
        <f aca="false">N4/INDEX(REF_MIN,MATCH("AG_ABC_AP",REF_ID,0))/O4</f>
        <v>0.873949579831933</v>
      </c>
      <c r="Y4" s="10" t="n">
        <f aca="false">O4-S4</f>
        <v>1.18181818181818</v>
      </c>
      <c r="Z4" s="10" t="n">
        <f aca="false">MAX(0,O4-T4)</f>
        <v>1.13636363636364</v>
      </c>
      <c r="AA4" s="10" t="n">
        <f aca="false">O4-U4</f>
        <v>1.22727272727273</v>
      </c>
      <c r="AB4" s="10" t="n">
        <v>1.4</v>
      </c>
      <c r="AC4" s="10" t="n">
        <f aca="false">AB4*(1+INDEX(REF_MIN,MATCH("PS_TOL",REF_ID,0)))</f>
        <v>1.26</v>
      </c>
      <c r="AD4" s="10" t="n">
        <f aca="false">AB4*(1+INDEX(REF_MAX,MATCH("PS_TOL",REF_ID,0)))</f>
        <v>1.54</v>
      </c>
      <c r="AE4" s="13" t="n">
        <f aca="false">INDEX(REF_VAL,MATCH(E4,REF_ID,0))*VM</f>
        <v>0.028</v>
      </c>
      <c r="AF4" s="11" t="n">
        <f aca="false">(AB4+P_ATM)*1000*Y4*AE4/(R_GAS*T_REF)</f>
        <v>0.0203837224069173</v>
      </c>
      <c r="AG4" s="11" t="n">
        <f aca="false">(AC4+P_ATM)*1000*Z4*AE4/(R_GAS*INDEX(REF_MAX,MATCH("T_REF",REF_ID,0)))</f>
        <v>0.0176516119587392</v>
      </c>
      <c r="AH4" s="11" t="n">
        <f aca="false">(AD4+P_ATM)*1000*AA4*AE4/(R_GAS*INDEX(REF_MIN,MATCH("T_REF",REF_ID,0)))</f>
        <v>0.0233005882062854</v>
      </c>
      <c r="AI4" s="14" t="n">
        <f aca="false">AF4/INDEX(REF_VAL,MATCH(E4,REF_ID,0))</f>
        <v>16.3171697867373</v>
      </c>
      <c r="AJ4" s="13"/>
      <c r="AK4" s="10"/>
      <c r="AL4" s="10"/>
      <c r="AM4" s="10" t="str">
        <f aca="false">IF(AD4&lt;PS_MAX,"Sí","No")</f>
        <v>Sí</v>
      </c>
      <c r="AN4" s="10" t="n">
        <f aca="false">L4-M4</f>
        <v>0.0499999999999998</v>
      </c>
      <c r="AO4" s="10" t="n">
        <f aca="false">INDEX(REF_VAL,MATCH(G4,REF_ID,0))</f>
        <v>5</v>
      </c>
    </row>
    <row r="5" customFormat="false" ht="15" hidden="false" customHeight="false" outlineLevel="0" collapsed="false">
      <c r="A5" s="10" t="s">
        <v>206</v>
      </c>
      <c r="B5" s="10" t="s">
        <v>207</v>
      </c>
      <c r="C5" s="10" t="s">
        <v>203</v>
      </c>
      <c r="D5" s="10" t="s">
        <v>37</v>
      </c>
      <c r="E5" s="10" t="s">
        <v>78</v>
      </c>
      <c r="F5" s="10" t="s">
        <v>125</v>
      </c>
      <c r="G5" s="10" t="s">
        <v>146</v>
      </c>
      <c r="H5" s="10" t="n">
        <v>5</v>
      </c>
      <c r="I5" s="10" t="s">
        <v>123</v>
      </c>
      <c r="J5" s="10" t="n">
        <f aca="false">IF(INDEX(REF_UNI,MATCH(F5,REF_ID,0))="kg",INDEX(REF_MIN,MATCH(F5,REF_ID,0)),INDEX(REF_MIN,MATCH(F5,REF_ID,0))*H5)</f>
        <v>0</v>
      </c>
      <c r="K5" s="10" t="n">
        <f aca="false">IF(INDEX(REF_UNI,MATCH(F5,REF_ID,0))="kg",INDEX(REF_MAX,MATCH(F5,REF_ID,0)),INDEX(REF_MAX,MATCH(F5,REF_ID,0))*H5)</f>
        <v>0.3</v>
      </c>
      <c r="L5" s="10" t="n">
        <f aca="false">IF(AND(J5=0,K5&gt;0),H5+K5/2,H5)</f>
        <v>5.15</v>
      </c>
      <c r="M5" s="10" t="n">
        <f aca="false">H5+J5</f>
        <v>5</v>
      </c>
      <c r="N5" s="10" t="n">
        <f aca="false">H5+K5</f>
        <v>5.3</v>
      </c>
      <c r="O5" s="10" t="n">
        <v>6</v>
      </c>
      <c r="P5" s="11" t="n">
        <f aca="false">INDEX(REF_VAL,MATCH(D5,REF_ID,0))</f>
        <v>1.1</v>
      </c>
      <c r="Q5" s="10" t="n">
        <f aca="false">INDEX(REF_MIN,MATCH(D5,REF_ID,0))</f>
        <v>1.1</v>
      </c>
      <c r="R5" s="10" t="n">
        <f aca="false">INDEX(REF_MAX,MATCH(D5,REF_ID,0))</f>
        <v>1.1</v>
      </c>
      <c r="S5" s="10" t="n">
        <f aca="false">IF(I5="kg",L5/P5,L5)</f>
        <v>4.68181818181818</v>
      </c>
      <c r="T5" s="10" t="n">
        <f aca="false">IF(I5="kg",N5/Q5,N5)</f>
        <v>4.81818181818182</v>
      </c>
      <c r="U5" s="10" t="n">
        <f aca="false">IF(I5="kg",M5/R5,M5)</f>
        <v>4.54545454545455</v>
      </c>
      <c r="V5" s="12" t="n">
        <f aca="false">S5/O5</f>
        <v>0.78030303030303</v>
      </c>
      <c r="W5" s="12" t="n">
        <f aca="false">T5/O5</f>
        <v>0.803030303030303</v>
      </c>
      <c r="X5" s="12" t="n">
        <f aca="false">N5/INDEX(REF_MIN,MATCH("AG_ABC_AP",REF_ID,0))/O5</f>
        <v>1.03921568627451</v>
      </c>
      <c r="Y5" s="10" t="n">
        <f aca="false">O5-S5</f>
        <v>1.31818181818182</v>
      </c>
      <c r="Z5" s="10" t="n">
        <f aca="false">MAX(0,O5-T5)</f>
        <v>1.18181818181818</v>
      </c>
      <c r="AA5" s="10" t="n">
        <f aca="false">O5-U5</f>
        <v>1.45454545454546</v>
      </c>
      <c r="AB5" s="10" t="n">
        <v>1.4</v>
      </c>
      <c r="AC5" s="10" t="n">
        <f aca="false">AB5*(1+INDEX(REF_MIN,MATCH("PS_TOL",REF_ID,0)))</f>
        <v>1.26</v>
      </c>
      <c r="AD5" s="10" t="n">
        <f aca="false">AB5*(1+INDEX(REF_MAX,MATCH("PS_TOL",REF_ID,0)))</f>
        <v>1.54</v>
      </c>
      <c r="AE5" s="13" t="n">
        <f aca="false">INDEX(REF_VAL,MATCH(E5,REF_ID,0))*VM</f>
        <v>0.028</v>
      </c>
      <c r="AF5" s="11" t="n">
        <f aca="false">(AB5+P_ATM)*1000*Y5*AE5/(R_GAS*T_REF)</f>
        <v>0.0227356903769463</v>
      </c>
      <c r="AG5" s="11" t="n">
        <f aca="false">(AC5+P_ATM)*1000*Z5*AE5/(R_GAS*INDEX(REF_MAX,MATCH("T_REF",REF_ID,0)))</f>
        <v>0.0183576764370888</v>
      </c>
      <c r="AH5" s="11" t="n">
        <f aca="false">(AD5+P_ATM)*1000*AA5*AE5/(R_GAS*INDEX(REF_MIN,MATCH("T_REF",REF_ID,0)))</f>
        <v>0.0276155119481901</v>
      </c>
      <c r="AI5" s="14" t="n">
        <f aca="false">AF5/INDEX(REF_VAL,MATCH(E5,REF_ID,0))</f>
        <v>18.1999201467455</v>
      </c>
      <c r="AJ5" s="13"/>
      <c r="AK5" s="10"/>
      <c r="AL5" s="10"/>
      <c r="AM5" s="10" t="str">
        <f aca="false">IF(AD5&lt;PS_MAX,"Sí","No")</f>
        <v>Sí</v>
      </c>
      <c r="AN5" s="10" t="n">
        <f aca="false">L5-M5</f>
        <v>0.15</v>
      </c>
      <c r="AO5" s="10" t="n">
        <f aca="false">INDEX(REF_VAL,MATCH(G5,REF_ID,0))</f>
        <v>5</v>
      </c>
    </row>
    <row r="6" customFormat="false" ht="15" hidden="false" customHeight="false" outlineLevel="0" collapsed="false">
      <c r="A6" s="10" t="s">
        <v>208</v>
      </c>
      <c r="B6" s="10" t="s">
        <v>209</v>
      </c>
      <c r="C6" s="10" t="s">
        <v>203</v>
      </c>
      <c r="D6" s="10" t="s">
        <v>37</v>
      </c>
      <c r="E6" s="10" t="s">
        <v>78</v>
      </c>
      <c r="F6" s="10" t="s">
        <v>125</v>
      </c>
      <c r="G6" s="10" t="s">
        <v>146</v>
      </c>
      <c r="H6" s="10" t="n">
        <v>10</v>
      </c>
      <c r="I6" s="10" t="s">
        <v>123</v>
      </c>
      <c r="J6" s="10" t="n">
        <f aca="false">IF(INDEX(REF_UNI,MATCH(F6,REF_ID,0))="kg",INDEX(REF_MIN,MATCH(F6,REF_ID,0)),INDEX(REF_MIN,MATCH(F6,REF_ID,0))*H6)</f>
        <v>0</v>
      </c>
      <c r="K6" s="10" t="n">
        <f aca="false">IF(INDEX(REF_UNI,MATCH(F6,REF_ID,0))="kg",INDEX(REF_MAX,MATCH(F6,REF_ID,0)),INDEX(REF_MAX,MATCH(F6,REF_ID,0))*H6)</f>
        <v>0.3</v>
      </c>
      <c r="L6" s="10" t="n">
        <f aca="false">IF(AND(J6=0,K6&gt;0),H6+K6/2,H6)</f>
        <v>10.15</v>
      </c>
      <c r="M6" s="10" t="n">
        <f aca="false">H6+J6</f>
        <v>10</v>
      </c>
      <c r="N6" s="10" t="n">
        <f aca="false">H6+K6</f>
        <v>10.3</v>
      </c>
      <c r="O6" s="10" t="n">
        <v>12.5</v>
      </c>
      <c r="P6" s="11" t="n">
        <f aca="false">INDEX(REF_VAL,MATCH(D6,REF_ID,0))</f>
        <v>1.1</v>
      </c>
      <c r="Q6" s="10" t="n">
        <f aca="false">INDEX(REF_MIN,MATCH(D6,REF_ID,0))</f>
        <v>1.1</v>
      </c>
      <c r="R6" s="10" t="n">
        <f aca="false">INDEX(REF_MAX,MATCH(D6,REF_ID,0))</f>
        <v>1.1</v>
      </c>
      <c r="S6" s="10" t="n">
        <f aca="false">IF(I6="kg",L6/P6,L6)</f>
        <v>9.22727272727273</v>
      </c>
      <c r="T6" s="10" t="n">
        <f aca="false">IF(I6="kg",N6/Q6,N6)</f>
        <v>9.36363636363636</v>
      </c>
      <c r="U6" s="10" t="n">
        <f aca="false">IF(I6="kg",M6/R6,M6)</f>
        <v>9.09090909090909</v>
      </c>
      <c r="V6" s="12" t="n">
        <f aca="false">S6/O6</f>
        <v>0.738181818181818</v>
      </c>
      <c r="W6" s="12" t="n">
        <f aca="false">T6/O6</f>
        <v>0.749090909090909</v>
      </c>
      <c r="X6" s="12" t="n">
        <f aca="false">N6/INDEX(REF_MIN,MATCH("AG_ABC_AP",REF_ID,0))/O6</f>
        <v>0.969411764705882</v>
      </c>
      <c r="Y6" s="10" t="n">
        <f aca="false">O6-S6</f>
        <v>3.27272727272727</v>
      </c>
      <c r="Z6" s="10" t="n">
        <f aca="false">MAX(0,O6-T6)</f>
        <v>3.13636363636364</v>
      </c>
      <c r="AA6" s="10" t="n">
        <f aca="false">O6-U6</f>
        <v>3.40909090909091</v>
      </c>
      <c r="AB6" s="10" t="n">
        <v>1.4</v>
      </c>
      <c r="AC6" s="10" t="n">
        <f aca="false">AB6*(1+INDEX(REF_MIN,MATCH("PS_TOL",REF_ID,0)))</f>
        <v>1.26</v>
      </c>
      <c r="AD6" s="10" t="n">
        <f aca="false">AB6*(1+INDEX(REF_MAX,MATCH("PS_TOL",REF_ID,0)))</f>
        <v>1.54</v>
      </c>
      <c r="AE6" s="13" t="n">
        <f aca="false">INDEX(REF_VAL,MATCH(E6,REF_ID,0))*VM</f>
        <v>0.028</v>
      </c>
      <c r="AF6" s="11" t="n">
        <f aca="false">(AB6+P_ATM)*1000*Y6*AE6/(R_GAS*T_REF)</f>
        <v>0.0564472312806942</v>
      </c>
      <c r="AG6" s="11" t="n">
        <f aca="false">(AC6+P_ATM)*1000*Z6*AE6/(R_GAS*INDEX(REF_MAX,MATCH("T_REF",REF_ID,0)))</f>
        <v>0.0487184490061203</v>
      </c>
      <c r="AH6" s="11" t="n">
        <f aca="false">(AD6+P_ATM)*1000*AA6*AE6/(R_GAS*INDEX(REF_MIN,MATCH("T_REF",REF_ID,0)))</f>
        <v>0.0647238561285704</v>
      </c>
      <c r="AI6" s="14" t="n">
        <f aca="false">AF6/INDEX(REF_VAL,MATCH(E6,REF_ID,0))</f>
        <v>45.1860086401957</v>
      </c>
      <c r="AJ6" s="13"/>
      <c r="AK6" s="10"/>
      <c r="AL6" s="10"/>
      <c r="AM6" s="10" t="str">
        <f aca="false">IF(AD6&lt;PS_MAX,"Sí","No")</f>
        <v>Sí</v>
      </c>
      <c r="AN6" s="10" t="n">
        <f aca="false">L6-M6</f>
        <v>0.15</v>
      </c>
      <c r="AO6" s="10" t="n">
        <f aca="false">INDEX(REF_VAL,MATCH(G6,REF_ID,0))</f>
        <v>5</v>
      </c>
    </row>
    <row r="7" customFormat="false" ht="15" hidden="false" customHeight="false" outlineLevel="0" collapsed="false">
      <c r="A7" s="10" t="s">
        <v>210</v>
      </c>
      <c r="B7" s="10" t="s">
        <v>211</v>
      </c>
      <c r="C7" s="10" t="s">
        <v>212</v>
      </c>
      <c r="D7" s="10" t="s">
        <v>55</v>
      </c>
      <c r="E7" s="10" t="s">
        <v>82</v>
      </c>
      <c r="F7" s="10" t="s">
        <v>130</v>
      </c>
      <c r="G7" s="10" t="s">
        <v>151</v>
      </c>
      <c r="H7" s="10" t="n">
        <v>10</v>
      </c>
      <c r="I7" s="10" t="s">
        <v>213</v>
      </c>
      <c r="J7" s="10" t="n">
        <f aca="false">IF(INDEX(REF_UNI,MATCH(F7,REF_ID,0))="kg",INDEX(REF_MIN,MATCH(F7,REF_ID,0)),INDEX(REF_MIN,MATCH(F7,REF_ID,0))*H7)</f>
        <v>-0.3</v>
      </c>
      <c r="K7" s="10" t="n">
        <f aca="false">IF(INDEX(REF_UNI,MATCH(F7,REF_ID,0))="kg",INDEX(REF_MAX,MATCH(F7,REF_ID,0)),INDEX(REF_MAX,MATCH(F7,REF_ID,0))*H7)</f>
        <v>0.3</v>
      </c>
      <c r="L7" s="10" t="n">
        <f aca="false">IF(AND(J7=0,K7&gt;0),H7+K7/2,H7)</f>
        <v>10</v>
      </c>
      <c r="M7" s="10" t="n">
        <f aca="false">H7+J7</f>
        <v>9.7</v>
      </c>
      <c r="N7" s="10" t="n">
        <f aca="false">H7+K7</f>
        <v>10.3</v>
      </c>
      <c r="O7" s="10" t="n">
        <v>13.98</v>
      </c>
      <c r="P7" s="11" t="n">
        <f aca="false">INDEX(REF_VAL,MATCH(D7,REF_ID,0))</f>
        <v>1</v>
      </c>
      <c r="Q7" s="10" t="n">
        <f aca="false">INDEX(REF_MIN,MATCH(D7,REF_ID,0))</f>
        <v>1</v>
      </c>
      <c r="R7" s="10" t="n">
        <f aca="false">INDEX(REF_MAX,MATCH(D7,REF_ID,0))</f>
        <v>1</v>
      </c>
      <c r="S7" s="10" t="n">
        <f aca="false">IF(I7="kg",L7/P7,L7)</f>
        <v>10</v>
      </c>
      <c r="T7" s="10" t="n">
        <f aca="false">IF(I7="kg",N7/Q7,N7)</f>
        <v>10.3</v>
      </c>
      <c r="U7" s="10" t="n">
        <f aca="false">IF(I7="kg",M7/R7,M7)</f>
        <v>9.7</v>
      </c>
      <c r="V7" s="12" t="n">
        <f aca="false">S7/O7</f>
        <v>0.715307582260372</v>
      </c>
      <c r="W7" s="12" t="n">
        <f aca="false">T7/O7</f>
        <v>0.736766809728183</v>
      </c>
      <c r="X7" s="12"/>
      <c r="Y7" s="10" t="n">
        <f aca="false">O7-S7</f>
        <v>3.98</v>
      </c>
      <c r="Z7" s="10" t="n">
        <f aca="false">MAX(0,O7-T7)</f>
        <v>3.68</v>
      </c>
      <c r="AA7" s="10" t="n">
        <f aca="false">O7-U7</f>
        <v>4.28</v>
      </c>
      <c r="AB7" s="10" t="n">
        <v>0.8</v>
      </c>
      <c r="AC7" s="10" t="n">
        <f aca="false">AB7*(1+INDEX(REF_MIN,MATCH("PS_TOL",REF_ID,0)))</f>
        <v>0.72</v>
      </c>
      <c r="AD7" s="10" t="n">
        <f aca="false">AB7*(1+INDEX(REF_MAX,MATCH("PS_TOL",REF_ID,0)))</f>
        <v>0.88</v>
      </c>
      <c r="AE7" s="13" t="n">
        <f aca="false">INDEX(REF_VAL,MATCH(E7,REF_ID,0))*VM</f>
        <v>0.029</v>
      </c>
      <c r="AF7" s="11" t="n">
        <f aca="false">(AB7+P_ATM)*1000*Y7*AE7/(R_GAS*T_REF)</f>
        <v>0.0426837500934968</v>
      </c>
      <c r="AG7" s="11" t="n">
        <f aca="false">(AC7+P_ATM)*1000*Z7*AE7/(R_GAS*INDEX(REF_MAX,MATCH("T_REF",REF_ID,0)))</f>
        <v>0.0357197204375068</v>
      </c>
      <c r="AH7" s="11" t="n">
        <f aca="false">(AD7+P_ATM)*1000*AA7*AE7/(R_GAS*INDEX(REF_MIN,MATCH("T_REF",REF_ID,0)))</f>
        <v>0.0503185149464326</v>
      </c>
      <c r="AI7" s="14" t="n">
        <f aca="false">AF7/INDEX(REF_VAL,MATCH(E7,REF_ID,0))</f>
        <v>32.9901232619185</v>
      </c>
      <c r="AJ7" s="13"/>
      <c r="AK7" s="10"/>
      <c r="AL7" s="10"/>
      <c r="AM7" s="10"/>
      <c r="AN7" s="10"/>
      <c r="AO7" s="10" t="n">
        <f aca="false">INDEX(REF_VAL,MATCH(G7,REF_ID,0))</f>
        <v>2</v>
      </c>
    </row>
    <row r="8" customFormat="false" ht="15" hidden="false" customHeight="false" outlineLevel="0" collapsed="false">
      <c r="A8" s="10" t="s">
        <v>214</v>
      </c>
      <c r="B8" s="10" t="s">
        <v>215</v>
      </c>
      <c r="C8" s="10" t="s">
        <v>216</v>
      </c>
      <c r="D8" s="10" t="s">
        <v>65</v>
      </c>
      <c r="E8" s="10" t="s">
        <v>82</v>
      </c>
      <c r="F8" s="10" t="s">
        <v>132</v>
      </c>
      <c r="G8" s="10" t="s">
        <v>151</v>
      </c>
      <c r="H8" s="10" t="n">
        <v>10</v>
      </c>
      <c r="I8" s="10" t="s">
        <v>213</v>
      </c>
      <c r="J8" s="10" t="n">
        <f aca="false">IF(INDEX(REF_UNI,MATCH(F8,REF_ID,0))="kg",INDEX(REF_MIN,MATCH(F8,REF_ID,0)),INDEX(REF_MIN,MATCH(F8,REF_ID,0))*H8)</f>
        <v>-0.3</v>
      </c>
      <c r="K8" s="10" t="n">
        <f aca="false">IF(INDEX(REF_UNI,MATCH(F8,REF_ID,0))="kg",INDEX(REF_MAX,MATCH(F8,REF_ID,0)),INDEX(REF_MAX,MATCH(F8,REF_ID,0))*H8)</f>
        <v>0.3</v>
      </c>
      <c r="L8" s="10" t="n">
        <f aca="false">IF(AND(J8=0,K8&gt;0),H8+K8/2,H8)</f>
        <v>10</v>
      </c>
      <c r="M8" s="10" t="n">
        <f aca="false">H8+J8</f>
        <v>9.7</v>
      </c>
      <c r="N8" s="10" t="n">
        <f aca="false">H8+K8</f>
        <v>10.3</v>
      </c>
      <c r="O8" s="10" t="n">
        <v>13.98</v>
      </c>
      <c r="P8" s="11" t="n">
        <f aca="false">INDEX(REF_VAL,MATCH(D8,REF_ID,0))</f>
        <v>1.00075</v>
      </c>
      <c r="Q8" s="10" t="n">
        <f aca="false">INDEX(REF_MIN,MATCH(D8,REF_ID,0))</f>
        <v>1.00075</v>
      </c>
      <c r="R8" s="10" t="n">
        <f aca="false">INDEX(REF_MAX,MATCH(D8,REF_ID,0))</f>
        <v>1.00075</v>
      </c>
      <c r="S8" s="10" t="n">
        <f aca="false">IF(I8="kg",L8/P8,L8)</f>
        <v>10</v>
      </c>
      <c r="T8" s="10" t="n">
        <f aca="false">IF(I8="kg",N8/Q8,N8)</f>
        <v>10.3</v>
      </c>
      <c r="U8" s="10" t="n">
        <f aca="false">IF(I8="kg",M8/R8,M8)</f>
        <v>9.7</v>
      </c>
      <c r="V8" s="12" t="n">
        <f aca="false">S8/O8</f>
        <v>0.715307582260372</v>
      </c>
      <c r="W8" s="12" t="n">
        <f aca="false">T8/O8</f>
        <v>0.736766809728183</v>
      </c>
      <c r="X8" s="12"/>
      <c r="Y8" s="10" t="n">
        <f aca="false">O8-S8</f>
        <v>3.98</v>
      </c>
      <c r="Z8" s="10" t="n">
        <f aca="false">MAX(0,O8-T8)</f>
        <v>3.68</v>
      </c>
      <c r="AA8" s="10" t="n">
        <f aca="false">O8-U8</f>
        <v>4.28</v>
      </c>
      <c r="AB8" s="10" t="n">
        <v>0.8</v>
      </c>
      <c r="AC8" s="10" t="n">
        <f aca="false">AB8*(1+INDEX(REF_MIN,MATCH("PS_TOL",REF_ID,0)))</f>
        <v>0.72</v>
      </c>
      <c r="AD8" s="10" t="n">
        <f aca="false">AB8*(1+INDEX(REF_MAX,MATCH("PS_TOL",REF_ID,0)))</f>
        <v>0.88</v>
      </c>
      <c r="AE8" s="13" t="n">
        <f aca="false">INDEX(REF_VAL,MATCH(E8,REF_ID,0))*VM</f>
        <v>0.029</v>
      </c>
      <c r="AF8" s="11" t="n">
        <f aca="false">(AB8+P_ATM)*1000*Y8*AE8/(R_GAS*T_REF)</f>
        <v>0.0426837500934968</v>
      </c>
      <c r="AG8" s="11" t="n">
        <f aca="false">(AC8+P_ATM)*1000*Z8*AE8/(R_GAS*INDEX(REF_MAX,MATCH("T_REF",REF_ID,0)))</f>
        <v>0.0357197204375068</v>
      </c>
      <c r="AH8" s="11" t="n">
        <f aca="false">(AD8+P_ATM)*1000*AA8*AE8/(R_GAS*INDEX(REF_MIN,MATCH("T_REF",REF_ID,0)))</f>
        <v>0.0503185149464326</v>
      </c>
      <c r="AI8" s="14" t="n">
        <f aca="false">AF8/INDEX(REF_VAL,MATCH(E8,REF_ID,0))</f>
        <v>32.9901232619185</v>
      </c>
      <c r="AJ8" s="13"/>
      <c r="AK8" s="10"/>
      <c r="AL8" s="10"/>
      <c r="AM8" s="10"/>
      <c r="AN8" s="10"/>
      <c r="AO8" s="10" t="n">
        <f aca="false">INDEX(REF_VAL,MATCH(G8,REF_ID,0))</f>
        <v>2</v>
      </c>
    </row>
    <row r="9" customFormat="false" ht="15" hidden="false" customHeight="false" outlineLevel="0" collapsed="false">
      <c r="A9" s="10" t="s">
        <v>217</v>
      </c>
      <c r="B9" s="10" t="s">
        <v>218</v>
      </c>
      <c r="C9" s="10" t="s">
        <v>219</v>
      </c>
      <c r="D9" s="10" t="s">
        <v>65</v>
      </c>
      <c r="E9" s="10" t="s">
        <v>82</v>
      </c>
      <c r="F9" s="10" t="s">
        <v>134</v>
      </c>
      <c r="G9" s="10" t="s">
        <v>151</v>
      </c>
      <c r="H9" s="10" t="n">
        <v>50</v>
      </c>
      <c r="I9" s="10" t="s">
        <v>213</v>
      </c>
      <c r="J9" s="10" t="n">
        <f aca="false">IF(INDEX(REF_UNI,MATCH(F9,REF_ID,0))="kg",INDEX(REF_MIN,MATCH(F9,REF_ID,0)),INDEX(REF_MIN,MATCH(F9,REF_ID,0))*H9)</f>
        <v>-1.5</v>
      </c>
      <c r="K9" s="10" t="n">
        <f aca="false">IF(INDEX(REF_UNI,MATCH(F9,REF_ID,0))="kg",INDEX(REF_MAX,MATCH(F9,REF_ID,0)),INDEX(REF_MAX,MATCH(F9,REF_ID,0))*H9)</f>
        <v>1.5</v>
      </c>
      <c r="L9" s="10" t="n">
        <f aca="false">IF(AND(J9=0,K9&gt;0),H9+K9/2,H9)</f>
        <v>50</v>
      </c>
      <c r="M9" s="10" t="n">
        <f aca="false">H9+J9</f>
        <v>48.5</v>
      </c>
      <c r="N9" s="10" t="n">
        <f aca="false">H9+K9</f>
        <v>51.5</v>
      </c>
      <c r="O9" s="10" t="n">
        <v>61.8</v>
      </c>
      <c r="P9" s="11" t="n">
        <f aca="false">INDEX(REF_VAL,MATCH(D9,REF_ID,0))</f>
        <v>1.00075</v>
      </c>
      <c r="Q9" s="10" t="n">
        <f aca="false">INDEX(REF_MIN,MATCH(D9,REF_ID,0))</f>
        <v>1.00075</v>
      </c>
      <c r="R9" s="10" t="n">
        <f aca="false">INDEX(REF_MAX,MATCH(D9,REF_ID,0))</f>
        <v>1.00075</v>
      </c>
      <c r="S9" s="10" t="n">
        <f aca="false">IF(I9="kg",L9/P9,L9)</f>
        <v>50</v>
      </c>
      <c r="T9" s="10" t="n">
        <f aca="false">IF(I9="kg",N9/Q9,N9)</f>
        <v>51.5</v>
      </c>
      <c r="U9" s="10" t="n">
        <f aca="false">IF(I9="kg",M9/R9,M9)</f>
        <v>48.5</v>
      </c>
      <c r="V9" s="12" t="n">
        <f aca="false">S9/O9</f>
        <v>0.809061488673139</v>
      </c>
      <c r="W9" s="12" t="n">
        <f aca="false">T9/O9</f>
        <v>0.833333333333333</v>
      </c>
      <c r="X9" s="12"/>
      <c r="Y9" s="10" t="n">
        <f aca="false">O9-S9</f>
        <v>11.8</v>
      </c>
      <c r="Z9" s="10" t="n">
        <f aca="false">MAX(0,O9-T9)</f>
        <v>10.3</v>
      </c>
      <c r="AA9" s="10" t="n">
        <f aca="false">O9-U9</f>
        <v>13.3</v>
      </c>
      <c r="AB9" s="10" t="n">
        <v>0.8</v>
      </c>
      <c r="AC9" s="10" t="n">
        <f aca="false">AB9*(1+INDEX(REF_MIN,MATCH("PS_TOL",REF_ID,0)))</f>
        <v>0.72</v>
      </c>
      <c r="AD9" s="10" t="n">
        <f aca="false">AB9*(1+INDEX(REF_MAX,MATCH("PS_TOL",REF_ID,0)))</f>
        <v>0.88</v>
      </c>
      <c r="AE9" s="13" t="n">
        <f aca="false">INDEX(REF_VAL,MATCH(E9,REF_ID,0))*VM</f>
        <v>0.029</v>
      </c>
      <c r="AF9" s="11" t="n">
        <f aca="false">(AB9+P_ATM)*1000*Y9*AE9/(R_GAS*T_REF)</f>
        <v>0.126549811834991</v>
      </c>
      <c r="AG9" s="11" t="n">
        <f aca="false">(AC9+P_ATM)*1000*Z9*AE9/(R_GAS*INDEX(REF_MAX,MATCH("T_REF",REF_ID,0)))</f>
        <v>0.0999763914419349</v>
      </c>
      <c r="AH9" s="11" t="n">
        <f aca="false">(AD9+P_ATM)*1000*AA9*AE9/(R_GAS*INDEX(REF_MIN,MATCH("T_REF",REF_ID,0)))</f>
        <v>0.156363609529802</v>
      </c>
      <c r="AI9" s="14" t="n">
        <f aca="false">AF9/INDEX(REF_VAL,MATCH(E9,REF_ID,0))</f>
        <v>97.8099131886027</v>
      </c>
      <c r="AJ9" s="13"/>
      <c r="AK9" s="10"/>
      <c r="AL9" s="10"/>
      <c r="AM9" s="10"/>
      <c r="AN9" s="10"/>
      <c r="AO9" s="10" t="n">
        <f aca="false">INDEX(REF_VAL,MATCH(G9,REF_ID,0))</f>
        <v>2</v>
      </c>
    </row>
    <row r="10" customFormat="false" ht="15" hidden="false" customHeight="false" outlineLevel="0" collapsed="false">
      <c r="A10" s="10" t="s">
        <v>220</v>
      </c>
      <c r="B10" s="10" t="s">
        <v>221</v>
      </c>
      <c r="C10" s="10" t="s">
        <v>203</v>
      </c>
      <c r="D10" s="10" t="s">
        <v>45</v>
      </c>
      <c r="E10" s="10" t="s">
        <v>78</v>
      </c>
      <c r="F10" s="10" t="s">
        <v>125</v>
      </c>
      <c r="G10" s="10" t="s">
        <v>146</v>
      </c>
      <c r="H10" s="10" t="n">
        <v>5</v>
      </c>
      <c r="I10" s="10" t="s">
        <v>123</v>
      </c>
      <c r="J10" s="10" t="n">
        <f aca="false">IF(INDEX(REF_UNI,MATCH(F10,REF_ID,0))="kg",INDEX(REF_MIN,MATCH(F10,REF_ID,0)),INDEX(REF_MIN,MATCH(F10,REF_ID,0))*H10)</f>
        <v>0</v>
      </c>
      <c r="K10" s="10" t="n">
        <f aca="false">IF(INDEX(REF_UNI,MATCH(F10,REF_ID,0))="kg",INDEX(REF_MAX,MATCH(F10,REF_ID,0)),INDEX(REF_MAX,MATCH(F10,REF_ID,0))*H10)</f>
        <v>0.3</v>
      </c>
      <c r="L10" s="10" t="n">
        <f aca="false">IF(AND(J10=0,K10&gt;0),H10+K10/2,H10)</f>
        <v>5.15</v>
      </c>
      <c r="M10" s="10" t="n">
        <f aca="false">H10+J10</f>
        <v>5</v>
      </c>
      <c r="N10" s="10" t="n">
        <f aca="false">H10+K10</f>
        <v>5.3</v>
      </c>
      <c r="O10" s="10" t="n">
        <v>6</v>
      </c>
      <c r="P10" s="11" t="n">
        <f aca="false">INDEX(REF_VAL,MATCH(D10,REF_ID,0))</f>
        <v>0.9</v>
      </c>
      <c r="Q10" s="10" t="n">
        <f aca="false">INDEX(REF_MIN,MATCH(D10,REF_ID,0))</f>
        <v>0.85</v>
      </c>
      <c r="R10" s="10" t="n">
        <f aca="false">INDEX(REF_MAX,MATCH(D10,REF_ID,0))</f>
        <v>1</v>
      </c>
      <c r="S10" s="10" t="n">
        <f aca="false">IF(I10="kg",L10/P10,L10)</f>
        <v>5.72222222222222</v>
      </c>
      <c r="T10" s="10" t="n">
        <f aca="false">IF(I10="kg",N10/Q10,N10)</f>
        <v>6.23529411764706</v>
      </c>
      <c r="U10" s="10" t="n">
        <f aca="false">IF(I10="kg",M10/R10,M10)</f>
        <v>5</v>
      </c>
      <c r="V10" s="12" t="n">
        <f aca="false">S10/O10</f>
        <v>0.953703703703704</v>
      </c>
      <c r="W10" s="12" t="n">
        <f aca="false">T10/O10</f>
        <v>1.03921568627451</v>
      </c>
      <c r="X10" s="12"/>
      <c r="Y10" s="10" t="n">
        <f aca="false">O10-S10</f>
        <v>0.277777777777778</v>
      </c>
      <c r="Z10" s="10" t="n">
        <f aca="false">MAX(0,O10-T10)</f>
        <v>0</v>
      </c>
      <c r="AA10" s="10" t="n">
        <f aca="false">O10-U10</f>
        <v>1</v>
      </c>
      <c r="AB10" s="10" t="n">
        <v>1.4</v>
      </c>
      <c r="AC10" s="10" t="n">
        <f aca="false">AB10*(1+INDEX(REF_MIN,MATCH("PS_TOL",REF_ID,0)))</f>
        <v>1.26</v>
      </c>
      <c r="AD10" s="10" t="n">
        <f aca="false">AB10*(1+INDEX(REF_MAX,MATCH("PS_TOL",REF_ID,0)))</f>
        <v>1.54</v>
      </c>
      <c r="AE10" s="13" t="n">
        <f aca="false">INDEX(REF_VAL,MATCH(E10,REF_ID,0))*VM</f>
        <v>0.028</v>
      </c>
      <c r="AF10" s="11" t="n">
        <f aca="false">(AB10+P_ATM)*1000*Y10*AE10/(R_GAS*T_REF)</f>
        <v>0.00479104586487373</v>
      </c>
      <c r="AG10" s="11" t="n">
        <f aca="false">(AC10+P_ATM)*1000*Z10*AE10/(R_GAS*INDEX(REF_MAX,MATCH("T_REF",REF_ID,0)))</f>
        <v>0</v>
      </c>
      <c r="AH10" s="11" t="n">
        <f aca="false">(AD10+P_ATM)*1000*AA10*AE10/(R_GAS*INDEX(REF_MIN,MATCH("T_REF",REF_ID,0)))</f>
        <v>0.0189856644643807</v>
      </c>
      <c r="AI10" s="14" t="n">
        <f aca="false">AF10/INDEX(REF_VAL,MATCH(E10,REF_ID,0))</f>
        <v>3.83523221483142</v>
      </c>
      <c r="AJ10" s="13"/>
      <c r="AK10" s="10"/>
      <c r="AL10" s="10"/>
      <c r="AM10" s="10" t="str">
        <f aca="false">IF(AD10&lt;PS_MAX,"Sí","No")</f>
        <v>Sí</v>
      </c>
      <c r="AN10" s="10" t="n">
        <f aca="false">L10-M10</f>
        <v>0.15</v>
      </c>
      <c r="AO10" s="10" t="n">
        <f aca="false">INDEX(REF_VAL,MATCH(G10,REF_ID,0))</f>
        <v>5</v>
      </c>
    </row>
    <row r="11" customFormat="false" ht="15" hidden="false" customHeight="false" outlineLevel="0" collapsed="false">
      <c r="A11" s="10" t="s">
        <v>222</v>
      </c>
      <c r="B11" s="10" t="s">
        <v>223</v>
      </c>
      <c r="C11" s="10" t="s">
        <v>224</v>
      </c>
      <c r="D11" s="10" t="s">
        <v>68</v>
      </c>
      <c r="E11" s="10" t="s">
        <v>78</v>
      </c>
      <c r="F11" s="10" t="s">
        <v>136</v>
      </c>
      <c r="G11" s="10" t="s">
        <v>151</v>
      </c>
      <c r="H11" s="10" t="n">
        <v>6</v>
      </c>
      <c r="I11" s="10" t="s">
        <v>213</v>
      </c>
      <c r="J11" s="10" t="n">
        <f aca="false">IF(INDEX(REF_UNI,MATCH(F11,REF_ID,0))="kg",INDEX(REF_MIN,MATCH(F11,REF_ID,0)),INDEX(REF_MIN,MATCH(F11,REF_ID,0))*H11)</f>
        <v>0</v>
      </c>
      <c r="K11" s="10" t="n">
        <f aca="false">IF(INDEX(REF_UNI,MATCH(F11,REF_ID,0))="kg",INDEX(REF_MAX,MATCH(F11,REF_ID,0)),INDEX(REF_MAX,MATCH(F11,REF_ID,0))*H11)</f>
        <v>0.18</v>
      </c>
      <c r="L11" s="10" t="n">
        <f aca="false">IF(AND(J11=0,K11&gt;0),H11+K11/2,H11)</f>
        <v>6.09</v>
      </c>
      <c r="M11" s="10" t="n">
        <f aca="false">H11+J11</f>
        <v>6</v>
      </c>
      <c r="N11" s="10" t="n">
        <f aca="false">H11+K11</f>
        <v>6.18</v>
      </c>
      <c r="O11" s="10" t="n">
        <v>8.96</v>
      </c>
      <c r="P11" s="11" t="n">
        <f aca="false">INDEX(REF_VAL,MATCH(D11,REF_ID,0))</f>
        <v>1.3</v>
      </c>
      <c r="Q11" s="10" t="n">
        <f aca="false">INDEX(REF_MIN,MATCH(D11,REF_ID,0))</f>
        <v>1.3</v>
      </c>
      <c r="R11" s="10" t="n">
        <f aca="false">INDEX(REF_MAX,MATCH(D11,REF_ID,0))</f>
        <v>1.3</v>
      </c>
      <c r="S11" s="10" t="n">
        <f aca="false">IF(I11="kg",L11/P11,L11)</f>
        <v>6.09</v>
      </c>
      <c r="T11" s="10" t="n">
        <f aca="false">IF(I11="kg",N11/Q11,N11)</f>
        <v>6.18</v>
      </c>
      <c r="U11" s="10" t="n">
        <f aca="false">IF(I11="kg",M11/R11,M11)</f>
        <v>6</v>
      </c>
      <c r="V11" s="12" t="n">
        <f aca="false">S11/O11</f>
        <v>0.6796875</v>
      </c>
      <c r="W11" s="12" t="n">
        <f aca="false">T11/O11</f>
        <v>0.689732142857143</v>
      </c>
      <c r="X11" s="12"/>
      <c r="Y11" s="10" t="n">
        <f aca="false">O11-S11</f>
        <v>2.87</v>
      </c>
      <c r="Z11" s="10" t="n">
        <f aca="false">MAX(0,O11-T11)</f>
        <v>2.78</v>
      </c>
      <c r="AA11" s="10" t="n">
        <f aca="false">O11-U11</f>
        <v>2.96</v>
      </c>
      <c r="AB11" s="10" t="n">
        <v>0.8</v>
      </c>
      <c r="AC11" s="10" t="n">
        <f aca="false">AB11*(1+INDEX(REF_MIN,MATCH("PS_TOL",REF_ID,0)))</f>
        <v>0.72</v>
      </c>
      <c r="AD11" s="10" t="n">
        <f aca="false">AB11*(1+INDEX(REF_MAX,MATCH("PS_TOL",REF_ID,0)))</f>
        <v>0.88</v>
      </c>
      <c r="AE11" s="13" t="n">
        <f aca="false">INDEX(REF_VAL,MATCH(E11,REF_ID,0))*VM</f>
        <v>0.028</v>
      </c>
      <c r="AF11" s="11" t="n">
        <f aca="false">(AB11+P_ATM)*1000*Y11*AE11/(R_GAS*T_REF)</f>
        <v>0.0297181264729978</v>
      </c>
      <c r="AG11" s="11" t="n">
        <f aca="false">(AC11+P_ATM)*1000*Z11*AE11/(R_GAS*INDEX(REF_MAX,MATCH("T_REF",REF_ID,0)))</f>
        <v>0.0260534392696358</v>
      </c>
      <c r="AH11" s="11" t="n">
        <f aca="false">(AD11+P_ATM)*1000*AA11*AE11/(R_GAS*INDEX(REF_MIN,MATCH("T_REF",REF_ID,0)))</f>
        <v>0.03359973025105</v>
      </c>
      <c r="AI11" s="14" t="n">
        <f aca="false">AF11/INDEX(REF_VAL,MATCH(E11,REF_ID,0))</f>
        <v>23.7893602416347</v>
      </c>
      <c r="AJ11" s="13"/>
      <c r="AK11" s="10"/>
      <c r="AL11" s="10"/>
      <c r="AM11" s="10"/>
      <c r="AN11" s="10"/>
      <c r="AO11" s="10" t="n">
        <f aca="false">INDEX(REF_VAL,MATCH(G11,REF_ID,0))</f>
        <v>2</v>
      </c>
    </row>
    <row r="12" customFormat="false" ht="15" hidden="false" customHeight="false" outlineLevel="0" collapsed="false">
      <c r="A12" s="10" t="s">
        <v>225</v>
      </c>
      <c r="B12" s="10" t="s">
        <v>226</v>
      </c>
      <c r="C12" s="10" t="s">
        <v>227</v>
      </c>
      <c r="D12" s="10" t="s">
        <v>71</v>
      </c>
      <c r="E12" s="10"/>
      <c r="F12" s="10" t="s">
        <v>139</v>
      </c>
      <c r="G12" s="10" t="s">
        <v>146</v>
      </c>
      <c r="H12" s="10" t="n">
        <v>2</v>
      </c>
      <c r="I12" s="10" t="s">
        <v>123</v>
      </c>
      <c r="J12" s="10" t="n">
        <f aca="false">IF(INDEX(REF_UNI,MATCH(F12,REF_ID,0))="kg",INDEX(REF_MIN,MATCH(F12,REF_ID,0)),INDEX(REF_MIN,MATCH(F12,REF_ID,0))*H12)</f>
        <v>-0.1</v>
      </c>
      <c r="K12" s="10" t="n">
        <f aca="false">IF(INDEX(REF_UNI,MATCH(F12,REF_ID,0))="kg",INDEX(REF_MAX,MATCH(F12,REF_ID,0)),INDEX(REF_MAX,MATCH(F12,REF_ID,0))*H12)</f>
        <v>0</v>
      </c>
      <c r="L12" s="10" t="n">
        <f aca="false">IF(AND(J12=0,K12&gt;0),H12+K12/2,H12)</f>
        <v>2</v>
      </c>
      <c r="M12" s="10" t="n">
        <f aca="false">H12+J12</f>
        <v>1.9</v>
      </c>
      <c r="N12" s="10" t="n">
        <f aca="false">H12+K12</f>
        <v>2</v>
      </c>
      <c r="O12" s="10" t="n">
        <v>2.96</v>
      </c>
      <c r="P12" s="11" t="n">
        <f aca="false">L12/O12</f>
        <v>0.675675675675676</v>
      </c>
      <c r="Q12" s="10"/>
      <c r="R12" s="10"/>
      <c r="S12" s="10" t="n">
        <f aca="false">O12</f>
        <v>2.96</v>
      </c>
      <c r="T12" s="10"/>
      <c r="U12" s="10"/>
      <c r="V12" s="12"/>
      <c r="W12" s="12"/>
      <c r="X12" s="12"/>
      <c r="Y12" s="10"/>
      <c r="Z12" s="10"/>
      <c r="AA12" s="10"/>
      <c r="AB12" s="10" t="n">
        <v>15</v>
      </c>
      <c r="AC12" s="10"/>
      <c r="AD12" s="10"/>
      <c r="AE12" s="13"/>
      <c r="AF12" s="11"/>
      <c r="AG12" s="11"/>
      <c r="AH12" s="11"/>
      <c r="AI12" s="14"/>
      <c r="AJ12" s="13" t="n">
        <f aca="false">L12/O12</f>
        <v>0.675675675675676</v>
      </c>
      <c r="AK12" s="10" t="n">
        <f aca="false">INDEX(REF_MAX,MATCH("RLL_CO2",REF_ID,0))</f>
        <v>0.68</v>
      </c>
      <c r="AL12" s="10" t="str">
        <f aca="false">IF(AJ12&lt;=AK12,"Sí","No")</f>
        <v>Sí</v>
      </c>
      <c r="AM12" s="10"/>
      <c r="AN12" s="10" t="n">
        <f aca="false">L12-M12</f>
        <v>0.1</v>
      </c>
      <c r="AO12" s="10" t="n">
        <f aca="false">INDEX(REF_VAL,MATCH(G12,REF_ID,0))</f>
        <v>5</v>
      </c>
    </row>
    <row r="13" customFormat="false" ht="15" hidden="false" customHeight="false" outlineLevel="0" collapsed="false">
      <c r="A13" s="10" t="s">
        <v>228</v>
      </c>
      <c r="B13" s="10" t="s">
        <v>229</v>
      </c>
      <c r="C13" s="10" t="s">
        <v>227</v>
      </c>
      <c r="D13" s="10" t="s">
        <v>71</v>
      </c>
      <c r="E13" s="10"/>
      <c r="F13" s="10" t="s">
        <v>139</v>
      </c>
      <c r="G13" s="10" t="s">
        <v>146</v>
      </c>
      <c r="H13" s="10" t="n">
        <v>5</v>
      </c>
      <c r="I13" s="10" t="s">
        <v>123</v>
      </c>
      <c r="J13" s="10" t="n">
        <f aca="false">IF(INDEX(REF_UNI,MATCH(F13,REF_ID,0))="kg",INDEX(REF_MIN,MATCH(F13,REF_ID,0)),INDEX(REF_MIN,MATCH(F13,REF_ID,0))*H13)</f>
        <v>-0.25</v>
      </c>
      <c r="K13" s="10" t="n">
        <f aca="false">IF(INDEX(REF_UNI,MATCH(F13,REF_ID,0))="kg",INDEX(REF_MAX,MATCH(F13,REF_ID,0)),INDEX(REF_MAX,MATCH(F13,REF_ID,0))*H13)</f>
        <v>0</v>
      </c>
      <c r="L13" s="10" t="n">
        <f aca="false">IF(AND(J13=0,K13&gt;0),H13+K13/2,H13)</f>
        <v>5</v>
      </c>
      <c r="M13" s="10" t="n">
        <f aca="false">H13+J13</f>
        <v>4.75</v>
      </c>
      <c r="N13" s="10" t="n">
        <f aca="false">H13+K13</f>
        <v>5</v>
      </c>
      <c r="O13" s="10" t="n">
        <v>7.92</v>
      </c>
      <c r="P13" s="11" t="n">
        <f aca="false">L13/O13</f>
        <v>0.631313131313131</v>
      </c>
      <c r="Q13" s="10"/>
      <c r="R13" s="10"/>
      <c r="S13" s="10" t="n">
        <f aca="false">O13</f>
        <v>7.92</v>
      </c>
      <c r="T13" s="10"/>
      <c r="U13" s="10"/>
      <c r="V13" s="12"/>
      <c r="W13" s="12"/>
      <c r="X13" s="12"/>
      <c r="Y13" s="10"/>
      <c r="Z13" s="10"/>
      <c r="AA13" s="10"/>
      <c r="AB13" s="10" t="n">
        <v>15</v>
      </c>
      <c r="AC13" s="10"/>
      <c r="AD13" s="10"/>
      <c r="AE13" s="13"/>
      <c r="AF13" s="11"/>
      <c r="AG13" s="11"/>
      <c r="AH13" s="11"/>
      <c r="AI13" s="14"/>
      <c r="AJ13" s="13" t="n">
        <f aca="false">L13/O13</f>
        <v>0.631313131313131</v>
      </c>
      <c r="AK13" s="10" t="n">
        <f aca="false">INDEX(REF_MAX,MATCH("RLL_CO2",REF_ID,0))</f>
        <v>0.68</v>
      </c>
      <c r="AL13" s="10" t="str">
        <f aca="false">IF(AJ13&lt;=AK13,"Sí","No")</f>
        <v>Sí</v>
      </c>
      <c r="AM13" s="10"/>
      <c r="AN13" s="10" t="n">
        <f aca="false">L13-M13</f>
        <v>0.25</v>
      </c>
      <c r="AO13" s="10" t="n">
        <f aca="false">INDEX(REF_VAL,MATCH(G13,REF_ID,0))</f>
        <v>5</v>
      </c>
    </row>
    <row r="14" customFormat="false" ht="15" hidden="false" customHeight="false" outlineLevel="0" collapsed="false">
      <c r="A14" s="10" t="s">
        <v>230</v>
      </c>
      <c r="B14" s="10" t="s">
        <v>231</v>
      </c>
      <c r="C14" s="10" t="s">
        <v>232</v>
      </c>
      <c r="D14" s="10" t="s">
        <v>52</v>
      </c>
      <c r="E14" s="10" t="s">
        <v>85</v>
      </c>
      <c r="F14" s="10" t="s">
        <v>143</v>
      </c>
      <c r="G14" s="10" t="s">
        <v>146</v>
      </c>
      <c r="H14" s="10" t="n">
        <v>5</v>
      </c>
      <c r="I14" s="10" t="s">
        <v>123</v>
      </c>
      <c r="J14" s="10" t="n">
        <f aca="false">IF(INDEX(REF_UNI,MATCH(F14,REF_ID,0))="kg",INDEX(REF_MIN,MATCH(F14,REF_ID,0)),INDEX(REF_MIN,MATCH(F14,REF_ID,0))*H14)</f>
        <v>-0.15</v>
      </c>
      <c r="K14" s="10" t="n">
        <f aca="false">IF(INDEX(REF_UNI,MATCH(F14,REF_ID,0))="kg",INDEX(REF_MAX,MATCH(F14,REF_ID,0)),INDEX(REF_MAX,MATCH(F14,REF_ID,0))*H14)</f>
        <v>0</v>
      </c>
      <c r="L14" s="10" t="n">
        <f aca="false">IF(AND(J14=0,K14&gt;0),H14+K14/2,H14)</f>
        <v>5</v>
      </c>
      <c r="M14" s="10" t="n">
        <f aca="false">H14+J14</f>
        <v>4.85</v>
      </c>
      <c r="N14" s="10" t="n">
        <f aca="false">H14+K14</f>
        <v>5</v>
      </c>
      <c r="O14" s="10" t="n">
        <v>6</v>
      </c>
      <c r="P14" s="11" t="n">
        <f aca="false">INDEX(REF_VAL,MATCH(D14,REF_ID,0))</f>
        <v>1.48</v>
      </c>
      <c r="Q14" s="10" t="n">
        <f aca="false">INDEX(REF_MIN,MATCH(D14,REF_ID,0))</f>
        <v>1.47</v>
      </c>
      <c r="R14" s="10" t="n">
        <f aca="false">INDEX(REF_MAX,MATCH(D14,REF_ID,0))</f>
        <v>1.48</v>
      </c>
      <c r="S14" s="10" t="n">
        <f aca="false">IF(I14="kg",L14/P14,L14)</f>
        <v>3.37837837837838</v>
      </c>
      <c r="T14" s="10" t="n">
        <f aca="false">IF(I14="kg",N14/Q14,N14)</f>
        <v>3.40136054421769</v>
      </c>
      <c r="U14" s="10" t="n">
        <f aca="false">IF(I14="kg",M14/R14,M14)</f>
        <v>3.27702702702703</v>
      </c>
      <c r="V14" s="12" t="n">
        <f aca="false">S14/O14</f>
        <v>0.563063063063063</v>
      </c>
      <c r="W14" s="12" t="n">
        <f aca="false">T14/O14</f>
        <v>0.566893424036281</v>
      </c>
      <c r="X14" s="12"/>
      <c r="Y14" s="10" t="n">
        <f aca="false">O14-S14</f>
        <v>2.62162162162162</v>
      </c>
      <c r="Z14" s="10" t="n">
        <f aca="false">MAX(0,O14-T14)</f>
        <v>2.59863945578231</v>
      </c>
      <c r="AA14" s="10" t="n">
        <f aca="false">O14-U14</f>
        <v>2.72297297297297</v>
      </c>
      <c r="AB14" s="10" t="n">
        <v>0.8</v>
      </c>
      <c r="AC14" s="10" t="n">
        <f aca="false">AB14*(1+INDEX(REF_MIN,MATCH("PS_TOL",REF_ID,0)))</f>
        <v>0.72</v>
      </c>
      <c r="AD14" s="10" t="n">
        <f aca="false">AB14*(1+INDEX(REF_MAX,MATCH("PS_TOL",REF_ID,0)))</f>
        <v>0.88</v>
      </c>
      <c r="AE14" s="13" t="n">
        <f aca="false">INDEX(REF_VAL,MATCH(E14,REF_ID,0))*VM</f>
        <v>0.04</v>
      </c>
      <c r="AF14" s="11" t="n">
        <f aca="false">(AB14+P_ATM)*1000*Y14*AE14/(R_GAS*T_REF)</f>
        <v>0.0387803299729701</v>
      </c>
      <c r="AG14" s="11" t="n">
        <f aca="false">(AC14+P_ATM)*1000*Z14*AE14/(R_GAS*INDEX(REF_MAX,MATCH("T_REF",REF_ID,0)))</f>
        <v>0.0347911075256444</v>
      </c>
      <c r="AH14" s="11" t="n">
        <f aca="false">(AD14+P_ATM)*1000*AA14*AE14/(R_GAS*INDEX(REF_MIN,MATCH("T_REF",REF_ID,0)))</f>
        <v>0.0441559639830076</v>
      </c>
      <c r="AI14" s="14" t="n">
        <f aca="false">AF14/INDEX(REF_VAL,MATCH(E14,REF_ID,0))</f>
        <v>21.7305579003538</v>
      </c>
      <c r="AJ14" s="13"/>
      <c r="AK14" s="10"/>
      <c r="AL14" s="10"/>
      <c r="AM14" s="10"/>
      <c r="AN14" s="10" t="n">
        <f aca="false">L14-M14</f>
        <v>0.15</v>
      </c>
      <c r="AO14" s="10" t="n">
        <f aca="false">INDEX(REF_VAL,MATCH(G14,REF_ID,0))</f>
        <v>5</v>
      </c>
    </row>
    <row r="15" customFormat="false" ht="15" hidden="false" customHeight="false" outlineLevel="0" collapsed="false">
      <c r="A15" s="10" t="s">
        <v>233</v>
      </c>
      <c r="B15" s="10" t="s">
        <v>234</v>
      </c>
      <c r="C15" s="10" t="s">
        <v>203</v>
      </c>
      <c r="D15" s="10" t="s">
        <v>49</v>
      </c>
      <c r="E15" s="10" t="s">
        <v>78</v>
      </c>
      <c r="F15" s="10" t="s">
        <v>125</v>
      </c>
      <c r="G15" s="10" t="s">
        <v>146</v>
      </c>
      <c r="H15" s="10" t="n">
        <v>9</v>
      </c>
      <c r="I15" s="10" t="s">
        <v>123</v>
      </c>
      <c r="J15" s="10" t="n">
        <f aca="false">IF(INDEX(REF_UNI,MATCH(F15,REF_ID,0))="kg",INDEX(REF_MIN,MATCH(F15,REF_ID,0)),INDEX(REF_MIN,MATCH(F15,REF_ID,0))*H15)</f>
        <v>0</v>
      </c>
      <c r="K15" s="10" t="n">
        <f aca="false">IF(INDEX(REF_UNI,MATCH(F15,REF_ID,0))="kg",INDEX(REF_MAX,MATCH(F15,REF_ID,0)),INDEX(REF_MAX,MATCH(F15,REF_ID,0))*H15)</f>
        <v>0.3</v>
      </c>
      <c r="L15" s="10" t="n">
        <f aca="false">IF(AND(J15=0,K15&gt;0),H15+K15/2,H15)</f>
        <v>9.15</v>
      </c>
      <c r="M15" s="10" t="n">
        <f aca="false">H15+J15</f>
        <v>9</v>
      </c>
      <c r="N15" s="10" t="n">
        <f aca="false">H15+K15</f>
        <v>9.3</v>
      </c>
      <c r="O15" s="10" t="n">
        <v>12.5</v>
      </c>
      <c r="P15" s="11" t="n">
        <f aca="false">INDEX(REF_VAL,MATCH(D15,REF_ID,0))</f>
        <v>1</v>
      </c>
      <c r="Q15" s="10" t="n">
        <f aca="false">INDEX(REF_MIN,MATCH(D15,REF_ID,0))</f>
        <v>0.85</v>
      </c>
      <c r="R15" s="10" t="n">
        <f aca="false">INDEX(REF_MAX,MATCH(D15,REF_ID,0))</f>
        <v>1.2</v>
      </c>
      <c r="S15" s="10" t="n">
        <f aca="false">IF(I15="kg",L15/P15,L15)</f>
        <v>9.15</v>
      </c>
      <c r="T15" s="10" t="n">
        <f aca="false">IF(I15="kg",N15/Q15,N15)</f>
        <v>10.9411764705882</v>
      </c>
      <c r="U15" s="10" t="n">
        <f aca="false">IF(I15="kg",M15/R15,M15)</f>
        <v>7.5</v>
      </c>
      <c r="V15" s="12" t="n">
        <f aca="false">S15/O15</f>
        <v>0.732</v>
      </c>
      <c r="W15" s="12" t="n">
        <f aca="false">T15/O15</f>
        <v>0.875294117647059</v>
      </c>
      <c r="X15" s="12"/>
      <c r="Y15" s="10" t="n">
        <f aca="false">O15-S15</f>
        <v>3.35</v>
      </c>
      <c r="Z15" s="10" t="n">
        <f aca="false">MAX(0,O15-T15)</f>
        <v>1.55882352941176</v>
      </c>
      <c r="AA15" s="10" t="n">
        <f aca="false">O15-U15</f>
        <v>5</v>
      </c>
      <c r="AB15" s="10" t="n">
        <v>1.4</v>
      </c>
      <c r="AC15" s="10" t="n">
        <f aca="false">AB15*(1+INDEX(REF_MIN,MATCH("PS_TOL",REF_ID,0)))</f>
        <v>1.26</v>
      </c>
      <c r="AD15" s="10" t="n">
        <f aca="false">AB15*(1+INDEX(REF_MAX,MATCH("PS_TOL",REF_ID,0)))</f>
        <v>1.54</v>
      </c>
      <c r="AE15" s="13" t="n">
        <f aca="false">INDEX(REF_VAL,MATCH(E15,REF_ID,0))*VM</f>
        <v>0.028</v>
      </c>
      <c r="AF15" s="11" t="n">
        <f aca="false">(AB15+P_ATM)*1000*Y15*AE15/(R_GAS*T_REF)</f>
        <v>0.0577800131303772</v>
      </c>
      <c r="AG15" s="11" t="n">
        <f aca="false">(AC15+P_ATM)*1000*Z15*AE15/(R_GAS*INDEX(REF_MAX,MATCH("T_REF",REF_ID,0)))</f>
        <v>0.0242138582869293</v>
      </c>
      <c r="AH15" s="11" t="n">
        <f aca="false">(AD15+P_ATM)*1000*AA15*AE15/(R_GAS*INDEX(REF_MIN,MATCH("T_REF",REF_ID,0)))</f>
        <v>0.0949283223219033</v>
      </c>
      <c r="AI15" s="14" t="n">
        <f aca="false">AF15/INDEX(REF_VAL,MATCH(E15,REF_ID,0))</f>
        <v>46.2529005108669</v>
      </c>
      <c r="AJ15" s="13"/>
      <c r="AK15" s="10"/>
      <c r="AL15" s="10"/>
      <c r="AM15" s="10" t="str">
        <f aca="false">IF(AD15&lt;PS_MAX,"Sí","No")</f>
        <v>Sí</v>
      </c>
      <c r="AN15" s="10" t="n">
        <f aca="false">L15-M15</f>
        <v>0.15</v>
      </c>
      <c r="AO15" s="10" t="n">
        <f aca="false">INDEX(REF_VAL,MATCH(G15,REF_ID,0))</f>
        <v>5</v>
      </c>
    </row>
    <row r="16" customFormat="false" ht="15" hidden="false" customHeight="false" outlineLevel="0" collapsed="false">
      <c r="A16" s="10" t="s">
        <v>235</v>
      </c>
      <c r="B16" s="10" t="s">
        <v>236</v>
      </c>
      <c r="C16" s="10" t="s">
        <v>237</v>
      </c>
      <c r="D16" s="10" t="s">
        <v>37</v>
      </c>
      <c r="E16" s="10" t="s">
        <v>78</v>
      </c>
      <c r="F16" s="10" t="s">
        <v>127</v>
      </c>
      <c r="G16" s="10" t="s">
        <v>146</v>
      </c>
      <c r="H16" s="10" t="n">
        <v>25</v>
      </c>
      <c r="I16" s="10" t="s">
        <v>123</v>
      </c>
      <c r="J16" s="10" t="n">
        <f aca="false">IF(INDEX(REF_UNI,MATCH(F16,REF_ID,0))="kg",INDEX(REF_MIN,MATCH(F16,REF_ID,0)),INDEX(REF_MIN,MATCH(F16,REF_ID,0))*H16)</f>
        <v>-0.75</v>
      </c>
      <c r="K16" s="10" t="n">
        <f aca="false">IF(INDEX(REF_UNI,MATCH(F16,REF_ID,0))="kg",INDEX(REF_MAX,MATCH(F16,REF_ID,0)),INDEX(REF_MAX,MATCH(F16,REF_ID,0))*H16)</f>
        <v>0.75</v>
      </c>
      <c r="L16" s="10" t="n">
        <f aca="false">IF(AND(J16=0,K16&gt;0),H16+K16/2,H16)</f>
        <v>25</v>
      </c>
      <c r="M16" s="10" t="n">
        <f aca="false">H16+J16</f>
        <v>24.25</v>
      </c>
      <c r="N16" s="10" t="n">
        <f aca="false">H16+K16</f>
        <v>25.75</v>
      </c>
      <c r="O16" s="10" t="n">
        <v>34.4</v>
      </c>
      <c r="P16" s="11" t="n">
        <f aca="false">INDEX(REF_VAL,MATCH(D16,REF_ID,0))</f>
        <v>1.1</v>
      </c>
      <c r="Q16" s="10" t="n">
        <f aca="false">INDEX(REF_MIN,MATCH(D16,REF_ID,0))</f>
        <v>1.1</v>
      </c>
      <c r="R16" s="10" t="n">
        <f aca="false">INDEX(REF_MAX,MATCH(D16,REF_ID,0))</f>
        <v>1.1</v>
      </c>
      <c r="S16" s="10" t="n">
        <f aca="false">IF(I16="kg",L16/P16,L16)</f>
        <v>22.7272727272727</v>
      </c>
      <c r="T16" s="10" t="n">
        <f aca="false">IF(I16="kg",N16/Q16,N16)</f>
        <v>23.4090909090909</v>
      </c>
      <c r="U16" s="10" t="n">
        <f aca="false">IF(I16="kg",M16/R16,M16)</f>
        <v>22.0454545454545</v>
      </c>
      <c r="V16" s="12" t="n">
        <f aca="false">S16/O16</f>
        <v>0.660676532769556</v>
      </c>
      <c r="W16" s="12" t="n">
        <f aca="false">T16/O16</f>
        <v>0.680496828752643</v>
      </c>
      <c r="X16" s="12" t="n">
        <f aca="false">N16/INDEX(REF_MIN,MATCH("AG_ABC_AP",REF_ID,0))/O16</f>
        <v>0.880642954856361</v>
      </c>
      <c r="Y16" s="10" t="n">
        <f aca="false">O16-S16</f>
        <v>11.6727272727273</v>
      </c>
      <c r="Z16" s="10" t="n">
        <f aca="false">MAX(0,O16-T16)</f>
        <v>10.9909090909091</v>
      </c>
      <c r="AA16" s="10" t="n">
        <f aca="false">O16-U16</f>
        <v>12.3545454545455</v>
      </c>
      <c r="AB16" s="10" t="n">
        <v>1.4</v>
      </c>
      <c r="AC16" s="10" t="n">
        <f aca="false">AB16*(1+INDEX(REF_MIN,MATCH("PS_TOL",REF_ID,0)))</f>
        <v>1.26</v>
      </c>
      <c r="AD16" s="10" t="n">
        <f aca="false">AB16*(1+INDEX(REF_MAX,MATCH("PS_TOL",REF_ID,0)))</f>
        <v>1.54</v>
      </c>
      <c r="AE16" s="13" t="n">
        <f aca="false">INDEX(REF_VAL,MATCH(E16,REF_ID,0))*VM</f>
        <v>0.028</v>
      </c>
      <c r="AF16" s="11" t="n">
        <f aca="false">(AB16+P_ATM)*1000*Y16*AE16/(R_GAS*T_REF)</f>
        <v>0.201328458234476</v>
      </c>
      <c r="AG16" s="11" t="n">
        <f aca="false">(AC16+P_ATM)*1000*Z16*AE16/(R_GAS*INDEX(REF_MAX,MATCH("T_REF",REF_ID,0)))</f>
        <v>0.170726390864926</v>
      </c>
      <c r="AH16" s="11" t="n">
        <f aca="false">(AD16+P_ATM)*1000*AA16*AE16/(R_GAS*INDEX(REF_MIN,MATCH("T_REF",REF_ID,0)))</f>
        <v>0.234559254609939</v>
      </c>
      <c r="AI16" s="14" t="n">
        <f aca="false">AF16/INDEX(REF_VAL,MATCH(E16,REF_ID,0))</f>
        <v>161.163430816698</v>
      </c>
      <c r="AJ16" s="13"/>
      <c r="AK16" s="10"/>
      <c r="AL16" s="10"/>
      <c r="AM16" s="10"/>
      <c r="AN16" s="10" t="n">
        <f aca="false">L16-M16</f>
        <v>0.75</v>
      </c>
      <c r="AO16" s="10" t="n">
        <f aca="false">INDEX(REF_VAL,MATCH(G16,REF_ID,0))</f>
        <v>5</v>
      </c>
    </row>
    <row r="17" customFormat="false" ht="15" hidden="false" customHeight="false" outlineLevel="0" collapsed="false">
      <c r="A17" s="10" t="s">
        <v>238</v>
      </c>
      <c r="B17" s="10" t="s">
        <v>239</v>
      </c>
      <c r="C17" s="10" t="s">
        <v>237</v>
      </c>
      <c r="D17" s="10" t="s">
        <v>37</v>
      </c>
      <c r="E17" s="10" t="s">
        <v>78</v>
      </c>
      <c r="F17" s="10" t="s">
        <v>127</v>
      </c>
      <c r="G17" s="10" t="s">
        <v>146</v>
      </c>
      <c r="H17" s="10" t="n">
        <v>50</v>
      </c>
      <c r="I17" s="10" t="s">
        <v>123</v>
      </c>
      <c r="J17" s="10" t="n">
        <f aca="false">IF(INDEX(REF_UNI,MATCH(F17,REF_ID,0))="kg",INDEX(REF_MIN,MATCH(F17,REF_ID,0)),INDEX(REF_MIN,MATCH(F17,REF_ID,0))*H17)</f>
        <v>-1.5</v>
      </c>
      <c r="K17" s="10" t="n">
        <f aca="false">IF(INDEX(REF_UNI,MATCH(F17,REF_ID,0))="kg",INDEX(REF_MAX,MATCH(F17,REF_ID,0)),INDEX(REF_MAX,MATCH(F17,REF_ID,0))*H17)</f>
        <v>1.5</v>
      </c>
      <c r="L17" s="10" t="n">
        <f aca="false">IF(AND(J17=0,K17&gt;0),H17+K17/2,H17)</f>
        <v>50</v>
      </c>
      <c r="M17" s="10" t="n">
        <f aca="false">H17+J17</f>
        <v>48.5</v>
      </c>
      <c r="N17" s="10" t="n">
        <f aca="false">H17+K17</f>
        <v>51.5</v>
      </c>
      <c r="O17" s="10" t="n">
        <v>61.8</v>
      </c>
      <c r="P17" s="11" t="n">
        <f aca="false">INDEX(REF_VAL,MATCH(D17,REF_ID,0))</f>
        <v>1.1</v>
      </c>
      <c r="Q17" s="10" t="n">
        <f aca="false">INDEX(REF_MIN,MATCH(D17,REF_ID,0))</f>
        <v>1.1</v>
      </c>
      <c r="R17" s="10" t="n">
        <f aca="false">INDEX(REF_MAX,MATCH(D17,REF_ID,0))</f>
        <v>1.1</v>
      </c>
      <c r="S17" s="10" t="n">
        <f aca="false">IF(I17="kg",L17/P17,L17)</f>
        <v>45.4545454545455</v>
      </c>
      <c r="T17" s="10" t="n">
        <f aca="false">IF(I17="kg",N17/Q17,N17)</f>
        <v>46.8181818181818</v>
      </c>
      <c r="U17" s="10" t="n">
        <f aca="false">IF(I17="kg",M17/R17,M17)</f>
        <v>44.0909090909091</v>
      </c>
      <c r="V17" s="12" t="n">
        <f aca="false">S17/O17</f>
        <v>0.735510444248308</v>
      </c>
      <c r="W17" s="12" t="n">
        <f aca="false">T17/O17</f>
        <v>0.757575757575758</v>
      </c>
      <c r="X17" s="12" t="n">
        <f aca="false">N17/INDEX(REF_MIN,MATCH("AG_ABC_AP",REF_ID,0))/O17</f>
        <v>0.980392156862745</v>
      </c>
      <c r="Y17" s="10" t="n">
        <f aca="false">O17-S17</f>
        <v>16.3454545454545</v>
      </c>
      <c r="Z17" s="10" t="n">
        <f aca="false">MAX(0,O17-T17)</f>
        <v>14.9818181818182</v>
      </c>
      <c r="AA17" s="10" t="n">
        <f aca="false">O17-U17</f>
        <v>17.7090909090909</v>
      </c>
      <c r="AB17" s="10" t="n">
        <v>1.4</v>
      </c>
      <c r="AC17" s="10" t="n">
        <f aca="false">AB17*(1+INDEX(REF_MIN,MATCH("PS_TOL",REF_ID,0)))</f>
        <v>1.26</v>
      </c>
      <c r="AD17" s="10" t="n">
        <f aca="false">AB17*(1+INDEX(REF_MAX,MATCH("PS_TOL",REF_ID,0)))</f>
        <v>1.54</v>
      </c>
      <c r="AE17" s="13" t="n">
        <f aca="false">INDEX(REF_VAL,MATCH(E17,REF_ID,0))*VM</f>
        <v>0.028</v>
      </c>
      <c r="AF17" s="11" t="n">
        <f aca="false">(AB17+P_ATM)*1000*Y17*AE17/(R_GAS*T_REF)</f>
        <v>0.281922560674133</v>
      </c>
      <c r="AG17" s="11" t="n">
        <f aca="false">(AC17+P_ATM)*1000*Z17*AE17/(R_GAS*INDEX(REF_MAX,MATCH("T_REF",REF_ID,0)))</f>
        <v>0.232718852064018</v>
      </c>
      <c r="AH17" s="11" t="n">
        <f aca="false">(AD17+P_ATM)*1000*AA17*AE17/(R_GAS*INDEX(REF_MIN,MATCH("T_REF",REF_ID,0)))</f>
        <v>0.336218857969214</v>
      </c>
      <c r="AI17" s="14" t="n">
        <f aca="false">AF17/INDEX(REF_VAL,MATCH(E17,REF_ID,0))</f>
        <v>225.679009819644</v>
      </c>
      <c r="AJ17" s="13"/>
      <c r="AK17" s="10"/>
      <c r="AL17" s="10"/>
      <c r="AM17" s="10"/>
      <c r="AN17" s="10" t="n">
        <f aca="false">L17-M17</f>
        <v>1.5</v>
      </c>
      <c r="AO17" s="10" t="n">
        <f aca="false">INDEX(REF_VAL,MATCH(G17,REF_ID,0))</f>
        <v>5</v>
      </c>
    </row>
    <row r="18" customFormat="false" ht="15" hidden="false" customHeight="false" outlineLevel="0" collapsed="false">
      <c r="A18" s="10" t="s">
        <v>240</v>
      </c>
      <c r="B18" s="10" t="s">
        <v>241</v>
      </c>
      <c r="C18" s="10" t="s">
        <v>237</v>
      </c>
      <c r="D18" s="10" t="s">
        <v>37</v>
      </c>
      <c r="E18" s="10" t="s">
        <v>78</v>
      </c>
      <c r="F18" s="10" t="s">
        <v>127</v>
      </c>
      <c r="G18" s="10" t="s">
        <v>146</v>
      </c>
      <c r="H18" s="10" t="n">
        <v>70</v>
      </c>
      <c r="I18" s="10" t="s">
        <v>123</v>
      </c>
      <c r="J18" s="10" t="n">
        <f aca="false">IF(INDEX(REF_UNI,MATCH(F18,REF_ID,0))="kg",INDEX(REF_MIN,MATCH(F18,REF_ID,0)),INDEX(REF_MIN,MATCH(F18,REF_ID,0))*H18)</f>
        <v>-2.1</v>
      </c>
      <c r="K18" s="10" t="n">
        <f aca="false">IF(INDEX(REF_UNI,MATCH(F18,REF_ID,0))="kg",INDEX(REF_MAX,MATCH(F18,REF_ID,0)),INDEX(REF_MAX,MATCH(F18,REF_ID,0))*H18)</f>
        <v>2.1</v>
      </c>
      <c r="L18" s="10" t="n">
        <f aca="false">IF(AND(J18=0,K18&gt;0),H18+K18/2,H18)</f>
        <v>70</v>
      </c>
      <c r="M18" s="10" t="n">
        <f aca="false">H18+J18</f>
        <v>67.9</v>
      </c>
      <c r="N18" s="10" t="n">
        <f aca="false">H18+K18</f>
        <v>72.1</v>
      </c>
      <c r="O18" s="10" t="n">
        <v>96</v>
      </c>
      <c r="P18" s="11" t="n">
        <f aca="false">INDEX(REF_VAL,MATCH(D18,REF_ID,0))</f>
        <v>1.1</v>
      </c>
      <c r="Q18" s="10" t="n">
        <f aca="false">INDEX(REF_MIN,MATCH(D18,REF_ID,0))</f>
        <v>1.1</v>
      </c>
      <c r="R18" s="10" t="n">
        <f aca="false">INDEX(REF_MAX,MATCH(D18,REF_ID,0))</f>
        <v>1.1</v>
      </c>
      <c r="S18" s="10" t="n">
        <f aca="false">IF(I18="kg",L18/P18,L18)</f>
        <v>63.6363636363636</v>
      </c>
      <c r="T18" s="10" t="n">
        <f aca="false">IF(I18="kg",N18/Q18,N18)</f>
        <v>65.5454545454545</v>
      </c>
      <c r="U18" s="10" t="n">
        <f aca="false">IF(I18="kg",M18/R18,M18)</f>
        <v>61.7272727272727</v>
      </c>
      <c r="V18" s="12" t="n">
        <f aca="false">S18/O18</f>
        <v>0.662878787878788</v>
      </c>
      <c r="W18" s="12" t="n">
        <f aca="false">T18/O18</f>
        <v>0.682765151515151</v>
      </c>
      <c r="X18" s="12" t="n">
        <f aca="false">N18/INDEX(REF_MIN,MATCH("AG_ABC_AP",REF_ID,0))/O18</f>
        <v>0.883578431372549</v>
      </c>
      <c r="Y18" s="10" t="n">
        <f aca="false">O18-S18</f>
        <v>32.3636363636364</v>
      </c>
      <c r="Z18" s="10" t="n">
        <f aca="false">MAX(0,O18-T18)</f>
        <v>30.4545454545455</v>
      </c>
      <c r="AA18" s="10" t="n">
        <f aca="false">O18-U18</f>
        <v>34.2727272727273</v>
      </c>
      <c r="AB18" s="10" t="n">
        <v>1.4</v>
      </c>
      <c r="AC18" s="10" t="n">
        <f aca="false">AB18*(1+INDEX(REF_MIN,MATCH("PS_TOL",REF_ID,0)))</f>
        <v>1.26</v>
      </c>
      <c r="AD18" s="10" t="n">
        <f aca="false">AB18*(1+INDEX(REF_MAX,MATCH("PS_TOL",REF_ID,0)))</f>
        <v>1.54</v>
      </c>
      <c r="AE18" s="13" t="n">
        <f aca="false">INDEX(REF_VAL,MATCH(E18,REF_ID,0))*VM</f>
        <v>0.028</v>
      </c>
      <c r="AF18" s="11" t="n">
        <f aca="false">(AB18+P_ATM)*1000*Y18*AE18/(R_GAS*T_REF)</f>
        <v>0.558200398220198</v>
      </c>
      <c r="AG18" s="11" t="n">
        <f aca="false">(AC18+P_ATM)*1000*Z18*AE18/(R_GAS*INDEX(REF_MAX,MATCH("T_REF",REF_ID,0)))</f>
        <v>0.473063200494212</v>
      </c>
      <c r="AH18" s="11" t="n">
        <f aca="false">(AD18+P_ATM)*1000*AA18*AE18/(R_GAS*INDEX(REF_MIN,MATCH("T_REF",REF_ID,0)))</f>
        <v>0.650690500279228</v>
      </c>
      <c r="AI18" s="14" t="n">
        <f aca="false">AF18/INDEX(REF_VAL,MATCH(E18,REF_ID,0))</f>
        <v>446.839418775268</v>
      </c>
      <c r="AJ18" s="13"/>
      <c r="AK18" s="10"/>
      <c r="AL18" s="10"/>
      <c r="AM18" s="10"/>
      <c r="AN18" s="10" t="n">
        <f aca="false">L18-M18</f>
        <v>2.09999999999999</v>
      </c>
      <c r="AO18" s="10" t="n">
        <f aca="false">INDEX(REF_VAL,MATCH(G18,REF_ID,0))</f>
        <v>5</v>
      </c>
    </row>
    <row r="19" customFormat="false" ht="15" hidden="false" customHeight="false" outlineLevel="0" collapsed="false">
      <c r="A19" s="10" t="s">
        <v>242</v>
      </c>
      <c r="B19" s="10" t="s">
        <v>243</v>
      </c>
      <c r="C19" s="10" t="s">
        <v>237</v>
      </c>
      <c r="D19" s="10" t="s">
        <v>37</v>
      </c>
      <c r="E19" s="10" t="s">
        <v>78</v>
      </c>
      <c r="F19" s="10" t="s">
        <v>127</v>
      </c>
      <c r="G19" s="10" t="s">
        <v>146</v>
      </c>
      <c r="H19" s="10" t="n">
        <v>100</v>
      </c>
      <c r="I19" s="10" t="s">
        <v>123</v>
      </c>
      <c r="J19" s="10" t="n">
        <f aca="false">IF(INDEX(REF_UNI,MATCH(F19,REF_ID,0))="kg",INDEX(REF_MIN,MATCH(F19,REF_ID,0)),INDEX(REF_MIN,MATCH(F19,REF_ID,0))*H19)</f>
        <v>-3</v>
      </c>
      <c r="K19" s="10" t="n">
        <f aca="false">IF(INDEX(REF_UNI,MATCH(F19,REF_ID,0))="kg",INDEX(REF_MAX,MATCH(F19,REF_ID,0)),INDEX(REF_MAX,MATCH(F19,REF_ID,0))*H19)</f>
        <v>3</v>
      </c>
      <c r="L19" s="10" t="n">
        <f aca="false">IF(AND(J19=0,K19&gt;0),H19+K19/2,H19)</f>
        <v>100</v>
      </c>
      <c r="M19" s="10" t="n">
        <f aca="false">H19+J19</f>
        <v>97</v>
      </c>
      <c r="N19" s="10" t="n">
        <f aca="false">H19+K19</f>
        <v>103</v>
      </c>
      <c r="O19" s="10" t="n">
        <v>121</v>
      </c>
      <c r="P19" s="11" t="n">
        <f aca="false">INDEX(REF_VAL,MATCH(D19,REF_ID,0))</f>
        <v>1.1</v>
      </c>
      <c r="Q19" s="10" t="n">
        <f aca="false">INDEX(REF_MIN,MATCH(D19,REF_ID,0))</f>
        <v>1.1</v>
      </c>
      <c r="R19" s="10" t="n">
        <f aca="false">INDEX(REF_MAX,MATCH(D19,REF_ID,0))</f>
        <v>1.1</v>
      </c>
      <c r="S19" s="10" t="n">
        <f aca="false">IF(I19="kg",L19/P19,L19)</f>
        <v>90.9090909090909</v>
      </c>
      <c r="T19" s="10" t="n">
        <f aca="false">IF(I19="kg",N19/Q19,N19)</f>
        <v>93.6363636363636</v>
      </c>
      <c r="U19" s="10" t="n">
        <f aca="false">IF(I19="kg",M19/R19,M19)</f>
        <v>88.1818181818182</v>
      </c>
      <c r="V19" s="12" t="n">
        <f aca="false">S19/O19</f>
        <v>0.751314800901578</v>
      </c>
      <c r="W19" s="12" t="n">
        <f aca="false">T19/O19</f>
        <v>0.773854244928625</v>
      </c>
      <c r="X19" s="12" t="n">
        <f aca="false">N19/INDEX(REF_MIN,MATCH("AG_ABC_AP",REF_ID,0))/O19</f>
        <v>1.00145843461352</v>
      </c>
      <c r="Y19" s="10" t="n">
        <f aca="false">O19-S19</f>
        <v>30.0909090909091</v>
      </c>
      <c r="Z19" s="10" t="n">
        <f aca="false">MAX(0,O19-T19)</f>
        <v>27.3636363636364</v>
      </c>
      <c r="AA19" s="10" t="n">
        <f aca="false">O19-U19</f>
        <v>32.8181818181818</v>
      </c>
      <c r="AB19" s="10" t="n">
        <v>1.4</v>
      </c>
      <c r="AC19" s="10" t="n">
        <f aca="false">AB19*(1+INDEX(REF_MIN,MATCH("PS_TOL",REF_ID,0)))</f>
        <v>1.26</v>
      </c>
      <c r="AD19" s="10" t="n">
        <f aca="false">AB19*(1+INDEX(REF_MAX,MATCH("PS_TOL",REF_ID,0)))</f>
        <v>1.54</v>
      </c>
      <c r="AE19" s="13" t="n">
        <f aca="false">INDEX(REF_VAL,MATCH(E19,REF_ID,0))*VM</f>
        <v>0.028</v>
      </c>
      <c r="AF19" s="11" t="n">
        <f aca="false">(AB19+P_ATM)*1000*Y19*AE19/(R_GAS*T_REF)</f>
        <v>0.519000932053049</v>
      </c>
      <c r="AG19" s="11" t="n">
        <f aca="false">(AC19+P_ATM)*1000*Z19*AE19/(R_GAS*INDEX(REF_MAX,MATCH("T_REF",REF_ID,0)))</f>
        <v>0.425050815966441</v>
      </c>
      <c r="AH19" s="11" t="n">
        <f aca="false">(AD19+P_ATM)*1000*AA19*AE19/(R_GAS*INDEX(REF_MIN,MATCH("T_REF",REF_ID,0)))</f>
        <v>0.623074988331038</v>
      </c>
      <c r="AI19" s="14" t="n">
        <f aca="false">AF19/INDEX(REF_VAL,MATCH(E19,REF_ID,0))</f>
        <v>415.460246108466</v>
      </c>
      <c r="AJ19" s="13"/>
      <c r="AK19" s="10"/>
      <c r="AL19" s="10"/>
      <c r="AM19" s="10"/>
      <c r="AN19" s="10" t="n">
        <f aca="false">L19-M19</f>
        <v>3</v>
      </c>
      <c r="AO19" s="10" t="n">
        <f aca="false">INDEX(REF_VAL,MATCH(G19,REF_ID,0))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3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201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IF(SUMIF(A3:A42,1,M3:M42)=0,"",SUMIF(A3:A42,1,M3:M42))</f>
        <v>2.6611589586598</v>
      </c>
      <c r="N2" s="20"/>
      <c r="O2" s="20" t="n">
        <f aca="false">IF(SUMIF(A3:A42,1,O3:O42)=0,"",SUMIF(A3:A42,1,O3:O42))</f>
        <v>2.50072976220543</v>
      </c>
      <c r="P2" s="20" t="n">
        <f aca="false">IF(SUMIF(A3:A42,1,P3:P42)=0,"",SUMIF(A3:A42,1,P3:P42))</f>
        <v>2.82190902442451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265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0.742734868108417</v>
      </c>
      <c r="N3" s="30"/>
      <c r="O3" s="30" t="n">
        <f aca="false">IF(SUMIF(A4:A7,2,O4:O7)=0,"",SUMIF(A4:A7,2,O4:O7))</f>
        <v>0.681595485823243</v>
      </c>
      <c r="P3" s="30" t="n">
        <f aca="false">IF(SUMIF(A4:A7,2,P4:P7)=0,"",SUMIF(A4:A7,2,P4:P7))</f>
        <v>0.803874250393592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0.077356167582128</v>
      </c>
      <c r="J4" s="40" t="n">
        <v>0.077356167582128</v>
      </c>
      <c r="K4" s="40" t="n">
        <f aca="false">I4*(1-V4)</f>
        <v>0.0711320973001808</v>
      </c>
      <c r="L4" s="40" t="n">
        <f aca="false">I4*(1+V4)</f>
        <v>0.0835802378640751</v>
      </c>
      <c r="M4" s="40" t="n">
        <f aca="false">F4*N4</f>
        <v>0.607245915519704</v>
      </c>
      <c r="N4" s="40" t="n">
        <f aca="false">J4*H4</f>
        <v>0.607245915519704</v>
      </c>
      <c r="O4" s="40" t="n">
        <f aca="false">K4*Q4</f>
        <v>0.558386963806419</v>
      </c>
      <c r="P4" s="40" t="n">
        <f aca="false">L4*R4</f>
        <v>0.65610486723299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12.4481405638943</v>
      </c>
      <c r="T4" s="42" t="n">
        <f aca="false">200*J4/S4</f>
        <v>1.24285498199624</v>
      </c>
      <c r="U4" s="43" t="n">
        <f aca="false">IFERROR(INDEX(ISO_TOL,MATCH(T4,ISO_DESDE,1)),0)</f>
        <v>0.1</v>
      </c>
      <c r="V4" s="44" t="n">
        <f aca="false">IF(T4&gt;0,U4/T4,0)</f>
        <v>0.08045991000445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1" collapsed="false">
      <c r="A8" s="25" t="n">
        <v>1</v>
      </c>
      <c r="B8" s="26" t="s">
        <v>275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0.220404298115396</v>
      </c>
      <c r="N8" s="30"/>
      <c r="O8" s="30" t="n">
        <f aca="false">IF(SUMIF(A9:A23,2,O9:O23)=0,"",SUMIF(A9:A23,2,O9:O23))</f>
        <v>0.201909698045248</v>
      </c>
      <c r="P8" s="30" t="n">
        <f aca="false">IF(SUMIF(A9:A23,2,P9:P23)=0,"",SUMIF(A9:A23,2,P9:P23))</f>
        <v>0.239048407013482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277</v>
      </c>
      <c r="C9" s="37" t="s">
        <v>278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279</v>
      </c>
      <c r="C10" s="37" t="s">
        <v>280</v>
      </c>
      <c r="D10" s="36" t="s">
        <v>23</v>
      </c>
      <c r="E10" s="36" t="str">
        <f aca="false">INDEX(REF_DATO,MATCH(D10,REF_ID,0))</f>
        <v>Caucho sintético (NBR / SBR)</v>
      </c>
      <c r="F10" s="38" t="n">
        <v>1</v>
      </c>
      <c r="G10" s="35" t="s">
        <v>264</v>
      </c>
      <c r="H10" s="39" t="n">
        <f aca="false">INDEX(REF_VAL,MATCH(D10,REF_ID,0))</f>
        <v>1.2</v>
      </c>
      <c r="I10" s="40" t="n">
        <f aca="false">F10*J10</f>
        <v>0.000593761011528471</v>
      </c>
      <c r="J10" s="40" t="n">
        <v>0.000593761011528471</v>
      </c>
      <c r="K10" s="40" t="n">
        <f aca="false">I10*(1-V10)</f>
        <v>0.00055417694409324</v>
      </c>
      <c r="L10" s="40" t="n">
        <f aca="false">I10*(1+V10)</f>
        <v>0.000633345078963702</v>
      </c>
      <c r="M10" s="40" t="n">
        <f aca="false">F10*N10</f>
        <v>0.000712513213834165</v>
      </c>
      <c r="N10" s="40" t="n">
        <f aca="false">J10*H10</f>
        <v>0.000712513213834165</v>
      </c>
      <c r="O10" s="40" t="n">
        <f aca="false">K10*Q10</f>
        <v>0.000609594638502564</v>
      </c>
      <c r="P10" s="40" t="n">
        <f aca="false">L10*R10</f>
        <v>0.000823348602652813</v>
      </c>
      <c r="Q10" s="39" t="n">
        <f aca="false">INDEX(REF_MIN,MATCH(D10,REF_ID,0))</f>
        <v>1.1</v>
      </c>
      <c r="R10" s="39" t="n">
        <f aca="false">INDEX(REF_MAX,MATCH(D10,REF_ID,0))</f>
        <v>1.3</v>
      </c>
      <c r="S10" s="41" t="n">
        <v>0.0791681348704628</v>
      </c>
      <c r="T10" s="42" t="n">
        <f aca="false">200*J10/S10</f>
        <v>1.5</v>
      </c>
      <c r="U10" s="43" t="n">
        <f aca="false">IFERROR(INDEX(ISO_TOL,MATCH(T10,ISO_DESDE,1)),0)</f>
        <v>0.1</v>
      </c>
      <c r="V10" s="44" t="n">
        <f aca="false">IF(T10&gt;0,U10/T10,0)</f>
        <v>0.0666666666666667</v>
      </c>
    </row>
    <row r="11" customFormat="false" ht="15" hidden="false" customHeight="false" outlineLevel="2" collapsed="false">
      <c r="A11" s="35" t="n">
        <v>2</v>
      </c>
      <c r="B11" s="36" t="s">
        <v>281</v>
      </c>
      <c r="C11" s="37" t="s">
        <v>282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 t="n">
        <f aca="false">IF(SUMIF(A12:A23,3,M12:M23)=0,"",SUMIF(A12:A23,3,M12:M23))</f>
        <v>0.219691784901562</v>
      </c>
      <c r="N11" s="40" t="n">
        <f aca="false">IF(M11="","",M11/F11)</f>
        <v>0.219691784901562</v>
      </c>
      <c r="O11" s="40" t="n">
        <f aca="false">IF(SUMIF(A12:A23,3,O12:O23)=0,"",SUMIF(A12:A23,3,O12:O23))</f>
        <v>0.201300103406745</v>
      </c>
      <c r="P11" s="40" t="n">
        <f aca="false">IF(SUMIF(A12:A23,3,P12:P23)=0,"",SUMIF(A12:A23,3,P12:P23))</f>
        <v>0.238225058410829</v>
      </c>
      <c r="Q11" s="39"/>
      <c r="R11" s="39"/>
      <c r="S11" s="41"/>
      <c r="T11" s="42"/>
      <c r="U11" s="43"/>
      <c r="V11" s="44"/>
    </row>
    <row r="12" customFormat="false" ht="15" hidden="false" customHeight="false" outlineLevel="3" collapsed="false">
      <c r="A12" s="35" t="n">
        <v>3</v>
      </c>
      <c r="B12" s="36" t="s">
        <v>283</v>
      </c>
      <c r="C12" s="45" t="s">
        <v>284</v>
      </c>
      <c r="D12" s="36" t="s">
        <v>17</v>
      </c>
      <c r="E12" s="36" t="str">
        <f aca="false">INDEX(REF_DATO,MATCH(D12,REF_ID,0))</f>
        <v>Latón de forja (CuZn39Pb2 / C37700)</v>
      </c>
      <c r="F12" s="38" t="n">
        <v>1</v>
      </c>
      <c r="G12" s="35" t="s">
        <v>264</v>
      </c>
      <c r="H12" s="39" t="n">
        <f aca="false">INDEX(REF_VAL,MATCH(D12,REF_ID,0))</f>
        <v>8.45</v>
      </c>
      <c r="I12" s="40" t="n">
        <f aca="false">F12*J12</f>
        <v>0.0013818108098158</v>
      </c>
      <c r="J12" s="40" t="n">
        <v>0.0013818108098158</v>
      </c>
      <c r="K12" s="40" t="n">
        <f aca="false">I12*(1-V12)</f>
        <v>0.001316603455282</v>
      </c>
      <c r="L12" s="40" t="n">
        <f aca="false">I12*(1+V12)</f>
        <v>0.0014470181643496</v>
      </c>
      <c r="M12" s="40" t="n">
        <f aca="false">F12*N12</f>
        <v>0.0116763013429435</v>
      </c>
      <c r="N12" s="40" t="n">
        <f aca="false">J12*H12</f>
        <v>0.0116763013429435</v>
      </c>
      <c r="O12" s="40" t="n">
        <f aca="false">K12*Q12</f>
        <v>0.0110594690243688</v>
      </c>
      <c r="P12" s="40" t="n">
        <f aca="false">L12*R12</f>
        <v>0.0122996543969716</v>
      </c>
      <c r="Q12" s="39" t="n">
        <f aca="false">INDEX(REF_MIN,MATCH(D12,REF_ID,0))</f>
        <v>8.4</v>
      </c>
      <c r="R12" s="39" t="n">
        <f aca="false">INDEX(REF_MAX,MATCH(D12,REF_ID,0))</f>
        <v>8.5</v>
      </c>
      <c r="S12" s="41" t="n">
        <v>0.1304147090676</v>
      </c>
      <c r="T12" s="42" t="n">
        <f aca="false">200*J12/S12</f>
        <v>2.11910269891343</v>
      </c>
      <c r="U12" s="43" t="n">
        <f aca="false">IFERROR(INDEX(ISO_TOL,MATCH(T12,ISO_DESDE,1)),0)</f>
        <v>0.1</v>
      </c>
      <c r="V12" s="44" t="n">
        <f aca="false">IF(T12&gt;0,U12/T12,0)</f>
        <v>0.047189784643885</v>
      </c>
    </row>
    <row r="13" customFormat="false" ht="15" hidden="false" customHeight="false" outlineLevel="3" collapsed="false">
      <c r="A13" s="35" t="n">
        <v>3</v>
      </c>
      <c r="B13" s="36" t="s">
        <v>285</v>
      </c>
      <c r="C13" s="45" t="s">
        <v>286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0.000293531467464544</v>
      </c>
      <c r="J13" s="40" t="n">
        <v>0.000293531467464544</v>
      </c>
      <c r="K13" s="40" t="n">
        <f aca="false">I13*(1-V13)</f>
        <v>0.000267547776856755</v>
      </c>
      <c r="L13" s="40" t="n">
        <f aca="false">I13*(1+V13)</f>
        <v>0.000319515158072332</v>
      </c>
      <c r="M13" s="40" t="n">
        <f aca="false">F13*N13</f>
        <v>0.00248034090007539</v>
      </c>
      <c r="N13" s="40" t="n">
        <f aca="false">J13*H13</f>
        <v>0.00248034090007539</v>
      </c>
      <c r="O13" s="40" t="n">
        <f aca="false">K13*Q13</f>
        <v>0.00224740132559674</v>
      </c>
      <c r="P13" s="40" t="n">
        <f aca="false">L13*R13</f>
        <v>0.00271587884361482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0.0519673812155771</v>
      </c>
      <c r="T13" s="42" t="n">
        <f aca="false">200*J13/S13</f>
        <v>1.12967581047382</v>
      </c>
      <c r="U13" s="43" t="n">
        <f aca="false">IFERROR(INDEX(ISO_TOL,MATCH(T13,ISO_DESDE,1)),0)</f>
        <v>0.1</v>
      </c>
      <c r="V13" s="44" t="n">
        <f aca="false">IF(T13&gt;0,U13/T13,0)</f>
        <v>0.0885209713024283</v>
      </c>
    </row>
    <row r="14" customFormat="false" ht="15" hidden="false" customHeight="false" outlineLevel="3" collapsed="false">
      <c r="A14" s="35" t="n">
        <v>3</v>
      </c>
      <c r="B14" s="36" t="s">
        <v>287</v>
      </c>
      <c r="C14" s="45" t="s">
        <v>288</v>
      </c>
      <c r="D14" s="36" t="s">
        <v>17</v>
      </c>
      <c r="E14" s="36" t="str">
        <f aca="false">INDEX(REF_DATO,MATCH(D14,REF_ID,0))</f>
        <v>Latón de forja (CuZn39Pb2 / C37700)</v>
      </c>
      <c r="F14" s="38" t="n">
        <v>1</v>
      </c>
      <c r="G14" s="35" t="s">
        <v>264</v>
      </c>
      <c r="H14" s="39" t="n">
        <f aca="false">INDEX(REF_VAL,MATCH(D14,REF_ID,0))</f>
        <v>8.45</v>
      </c>
      <c r="I14" s="40" t="n">
        <f aca="false">F14*J14</f>
        <v>0.0110703954224216</v>
      </c>
      <c r="J14" s="40" t="n">
        <v>0.0110703954224216</v>
      </c>
      <c r="K14" s="40" t="n">
        <f aca="false">I14*(1-V14)</f>
        <v>0.0108718990150349</v>
      </c>
      <c r="L14" s="40" t="n">
        <f aca="false">I14*(1+V14)</f>
        <v>0.0112688918298083</v>
      </c>
      <c r="M14" s="40" t="n">
        <f aca="false">F14*N14</f>
        <v>0.0935448413194624</v>
      </c>
      <c r="N14" s="40" t="n">
        <f aca="false">J14*H14</f>
        <v>0.0935448413194624</v>
      </c>
      <c r="O14" s="40" t="n">
        <f aca="false">K14*Q14</f>
        <v>0.0913239517262933</v>
      </c>
      <c r="P14" s="40" t="n">
        <f aca="false">L14*R14</f>
        <v>0.0957855805533703</v>
      </c>
      <c r="Q14" s="39" t="n">
        <f aca="false">INDEX(REF_MIN,MATCH(D14,REF_ID,0))</f>
        <v>8.4</v>
      </c>
      <c r="R14" s="39" t="n">
        <f aca="false">INDEX(REF_MAX,MATCH(D14,REF_ID,0))</f>
        <v>8.5</v>
      </c>
      <c r="S14" s="41" t="n">
        <v>0.396992814773357</v>
      </c>
      <c r="T14" s="42" t="n">
        <f aca="false">200*J14/S14</f>
        <v>5.57712634106069</v>
      </c>
      <c r="U14" s="43" t="n">
        <f aca="false">IFERROR(INDEX(ISO_TOL,MATCH(T14,ISO_DESDE,1)),0)</f>
        <v>0.1</v>
      </c>
      <c r="V14" s="44" t="n">
        <f aca="false">IF(T14&gt;0,U14/T14,0)</f>
        <v>0.0179303809676618</v>
      </c>
    </row>
    <row r="15" customFormat="false" ht="15" hidden="false" customHeight="false" outlineLevel="3" collapsed="false">
      <c r="A15" s="35" t="n">
        <v>3</v>
      </c>
      <c r="B15" s="36" t="s">
        <v>289</v>
      </c>
      <c r="C15" s="45" t="s">
        <v>290</v>
      </c>
      <c r="D15" s="36" t="s">
        <v>17</v>
      </c>
      <c r="E15" s="36" t="str">
        <f aca="false">INDEX(REF_DATO,MATCH(D15,REF_ID,0))</f>
        <v>Latón de forja (CuZn39Pb2 / C37700)</v>
      </c>
      <c r="F15" s="38" t="n">
        <v>1</v>
      </c>
      <c r="G15" s="35" t="s">
        <v>264</v>
      </c>
      <c r="H15" s="39" t="n">
        <f aca="false">INDEX(REF_VAL,MATCH(D15,REF_ID,0))</f>
        <v>8.45</v>
      </c>
      <c r="I15" s="40" t="n">
        <f aca="false">F15*J15</f>
        <v>0.000523664225445249</v>
      </c>
      <c r="J15" s="40" t="n">
        <v>0.000523664225445249</v>
      </c>
      <c r="K15" s="40" t="n">
        <f aca="false">I15*(1-V15)</f>
        <v>0.000498335134675681</v>
      </c>
      <c r="L15" s="40" t="n">
        <f aca="false">I15*(1+V15)</f>
        <v>0.000548993316214816</v>
      </c>
      <c r="M15" s="40" t="n">
        <f aca="false">F15*N15</f>
        <v>0.00442496270501235</v>
      </c>
      <c r="N15" s="40" t="n">
        <f aca="false">J15*H15</f>
        <v>0.00442496270501235</v>
      </c>
      <c r="O15" s="40" t="n">
        <f aca="false">K15*Q15</f>
        <v>0.00418601513127572</v>
      </c>
      <c r="P15" s="40" t="n">
        <f aca="false">L15*R15</f>
        <v>0.00466644318782594</v>
      </c>
      <c r="Q15" s="39" t="n">
        <f aca="false">INDEX(REF_MIN,MATCH(D15,REF_ID,0))</f>
        <v>8.4</v>
      </c>
      <c r="R15" s="39" t="n">
        <f aca="false">INDEX(REF_MAX,MATCH(D15,REF_ID,0))</f>
        <v>8.5</v>
      </c>
      <c r="S15" s="41" t="n">
        <v>0.0506581815391354</v>
      </c>
      <c r="T15" s="42" t="n">
        <f aca="false">200*J15/S15</f>
        <v>2.06744186046512</v>
      </c>
      <c r="U15" s="43" t="n">
        <f aca="false">IFERROR(INDEX(ISO_TOL,MATCH(T15,ISO_DESDE,1)),0)</f>
        <v>0.1</v>
      </c>
      <c r="V15" s="44" t="n">
        <f aca="false">IF(T15&gt;0,U15/T15,0)</f>
        <v>0.0483689538807649</v>
      </c>
    </row>
    <row r="16" customFormat="false" ht="15" hidden="false" customHeight="false" outlineLevel="3" collapsed="false">
      <c r="A16" s="35" t="n">
        <v>3</v>
      </c>
      <c r="B16" s="36" t="s">
        <v>291</v>
      </c>
      <c r="C16" s="45" t="s">
        <v>292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0.00022581391002885</v>
      </c>
      <c r="J16" s="40" t="n">
        <v>0.00022581391002885</v>
      </c>
      <c r="K16" s="40" t="n">
        <f aca="false">I16*(1-V16)</f>
        <v>0.00022581391002885</v>
      </c>
      <c r="L16" s="40" t="n">
        <f aca="false">I16*(1+V16)</f>
        <v>0.00022581391002885</v>
      </c>
      <c r="M16" s="40" t="n">
        <f aca="false">F16*N16</f>
        <v>0.00179070430652878</v>
      </c>
      <c r="N16" s="40" t="n">
        <f aca="false">J16*H16</f>
        <v>0.00179070430652878</v>
      </c>
      <c r="O16" s="40" t="n">
        <f aca="false">K16*Q16</f>
        <v>0.00179070430652878</v>
      </c>
      <c r="P16" s="40" t="n">
        <f aca="false">L16*R16</f>
        <v>0.00179070430652878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0.228029361168162</v>
      </c>
      <c r="T16" s="42" t="n">
        <f aca="false">200*J16/S16</f>
        <v>0.198056872037915</v>
      </c>
      <c r="U16" s="43" t="n">
        <f aca="false">IFERROR(INDEX(ISO_TOL,MATCH(T16,ISO_DESDE,1)),0)</f>
        <v>0</v>
      </c>
      <c r="V16" s="44" t="n">
        <f aca="false">IF(T16&gt;0,U16/T16,0)</f>
        <v>0</v>
      </c>
    </row>
    <row r="17" customFormat="false" ht="15" hidden="false" customHeight="false" outlineLevel="3" collapsed="false">
      <c r="A17" s="35" t="n">
        <v>3</v>
      </c>
      <c r="B17" s="36" t="s">
        <v>293</v>
      </c>
      <c r="C17" s="45" t="s">
        <v>294</v>
      </c>
      <c r="D17" s="36" t="s">
        <v>14</v>
      </c>
      <c r="E17" s="36" t="str">
        <f aca="false">INDEX(REF_DATO,MATCH(D17,REF_ID,0))</f>
        <v>Acero inoxidable AISI 302 / 304</v>
      </c>
      <c r="F17" s="38" t="n">
        <v>1</v>
      </c>
      <c r="G17" s="35" t="s">
        <v>264</v>
      </c>
      <c r="H17" s="39" t="n">
        <f aca="false">INDEX(REF_VAL,MATCH(D17,REF_ID,0))</f>
        <v>7.93</v>
      </c>
      <c r="I17" s="40" t="n">
        <f aca="false">F17*J17</f>
        <v>0.000295184045731297</v>
      </c>
      <c r="J17" s="40" t="n">
        <v>0.000295184045731297</v>
      </c>
      <c r="K17" s="40" t="n">
        <f aca="false">I17*(1-V17)</f>
        <v>0.000277767056059795</v>
      </c>
      <c r="L17" s="40" t="n">
        <f aca="false">I17*(1+V17)</f>
        <v>0.000312601035402799</v>
      </c>
      <c r="M17" s="40" t="n">
        <f aca="false">F17*N17</f>
        <v>0.00234080948264919</v>
      </c>
      <c r="N17" s="40" t="n">
        <f aca="false">J17*H17</f>
        <v>0.00234080948264919</v>
      </c>
      <c r="O17" s="40" t="n">
        <f aca="false">K17*Q17</f>
        <v>0.00220269275455418</v>
      </c>
      <c r="P17" s="40" t="n">
        <f aca="false">L17*R17</f>
        <v>0.0024789262107442</v>
      </c>
      <c r="Q17" s="39" t="n">
        <f aca="false">INDEX(REF_MIN,MATCH(D17,REF_ID,0))</f>
        <v>7.93</v>
      </c>
      <c r="R17" s="39" t="n">
        <f aca="false">INDEX(REF_MAX,MATCH(D17,REF_ID,0))</f>
        <v>7.93</v>
      </c>
      <c r="S17" s="41" t="n">
        <v>0.0348339793430036</v>
      </c>
      <c r="T17" s="42" t="n">
        <f aca="false">200*J17/S17</f>
        <v>1.6948051948052</v>
      </c>
      <c r="U17" s="43" t="n">
        <f aca="false">IFERROR(INDEX(ISO_TOL,MATCH(T17,ISO_DESDE,1)),0)</f>
        <v>0.1</v>
      </c>
      <c r="V17" s="44" t="n">
        <f aca="false">IF(T17&gt;0,U17/T17,0)</f>
        <v>0.0590038314176245</v>
      </c>
    </row>
    <row r="18" customFormat="false" ht="15" hidden="false" customHeight="false" outlineLevel="3" collapsed="false">
      <c r="A18" s="35" t="n">
        <v>3</v>
      </c>
      <c r="B18" s="36" t="s">
        <v>295</v>
      </c>
      <c r="C18" s="45" t="s">
        <v>296</v>
      </c>
      <c r="D18" s="36" t="s">
        <v>14</v>
      </c>
      <c r="E18" s="36" t="str">
        <f aca="false">INDEX(REF_DATO,MATCH(D18,REF_ID,0))</f>
        <v>Acero inoxidable AISI 302 / 304</v>
      </c>
      <c r="F18" s="38" t="n">
        <v>1</v>
      </c>
      <c r="G18" s="35" t="s">
        <v>264</v>
      </c>
      <c r="H18" s="39" t="n">
        <f aca="false">INDEX(REF_VAL,MATCH(D18,REF_ID,0))</f>
        <v>7.93</v>
      </c>
      <c r="I18" s="40" t="n">
        <f aca="false">F18*J18</f>
        <v>0.00066512950300883</v>
      </c>
      <c r="J18" s="40" t="n">
        <v>0.00066512950300883</v>
      </c>
      <c r="K18" s="40" t="n">
        <f aca="false">I18*(1-V18)</f>
        <v>0.00062036897363865</v>
      </c>
      <c r="L18" s="40" t="n">
        <f aca="false">I18*(1+V18)</f>
        <v>0.00070989003237901</v>
      </c>
      <c r="M18" s="40" t="n">
        <f aca="false">F18*N18</f>
        <v>0.00527447695886002</v>
      </c>
      <c r="N18" s="40" t="n">
        <f aca="false">J18*H18</f>
        <v>0.00527447695886002</v>
      </c>
      <c r="O18" s="40" t="n">
        <f aca="false">K18*Q18</f>
        <v>0.0049195259609545</v>
      </c>
      <c r="P18" s="40" t="n">
        <f aca="false">L18*R18</f>
        <v>0.00562942795676555</v>
      </c>
      <c r="Q18" s="39" t="n">
        <f aca="false">INDEX(REF_MIN,MATCH(D18,REF_ID,0))</f>
        <v>7.93</v>
      </c>
      <c r="R18" s="39" t="n">
        <f aca="false">INDEX(REF_MAX,MATCH(D18,REF_ID,0))</f>
        <v>7.93</v>
      </c>
      <c r="S18" s="41" t="n">
        <v>0.0895210587403591</v>
      </c>
      <c r="T18" s="42" t="n">
        <f aca="false">200*J18/S18</f>
        <v>1.48597327236249</v>
      </c>
      <c r="U18" s="43" t="n">
        <f aca="false">IFERROR(INDEX(ISO_TOL,MATCH(T18,ISO_DESDE,1)),0)</f>
        <v>0.1</v>
      </c>
      <c r="V18" s="44" t="n">
        <f aca="false">IF(T18&gt;0,U18/T18,0)</f>
        <v>0.0672959614145778</v>
      </c>
    </row>
    <row r="19" customFormat="false" ht="15" hidden="false" customHeight="false" outlineLevel="3" collapsed="false">
      <c r="A19" s="35" t="n">
        <v>3</v>
      </c>
      <c r="B19" s="36" t="s">
        <v>297</v>
      </c>
      <c r="C19" s="45" t="s">
        <v>298</v>
      </c>
      <c r="D19" s="36" t="s">
        <v>10</v>
      </c>
      <c r="E19" s="36" t="str">
        <f aca="false">INDEX(REF_DATO,MATCH(D19,REF_ID,0))</f>
        <v>Acero (chapa LAC/LAF, SAE 1010/1045)</v>
      </c>
      <c r="F19" s="38" t="n">
        <v>1</v>
      </c>
      <c r="G19" s="35" t="s">
        <v>264</v>
      </c>
      <c r="H19" s="39" t="n">
        <f aca="false">INDEX(REF_VAL,MATCH(D19,REF_ID,0))</f>
        <v>7.85</v>
      </c>
      <c r="I19" s="40" t="n">
        <f aca="false">F19*J19</f>
        <v>0.00318806473892393</v>
      </c>
      <c r="J19" s="40" t="n">
        <v>0.00318806473892393</v>
      </c>
      <c r="K19" s="40" t="n">
        <f aca="false">I19*(1-V19)</f>
        <v>0.00258857052792151</v>
      </c>
      <c r="L19" s="40" t="n">
        <f aca="false">I19*(1+V19)</f>
        <v>0.00378755894992635</v>
      </c>
      <c r="M19" s="40" t="n">
        <f aca="false">F19*N19</f>
        <v>0.0250263082005528</v>
      </c>
      <c r="N19" s="40" t="n">
        <f aca="false">J19*H19</f>
        <v>0.0250263082005528</v>
      </c>
      <c r="O19" s="40" t="n">
        <f aca="false">K19*Q19</f>
        <v>0.0203202786441838</v>
      </c>
      <c r="P19" s="40" t="n">
        <f aca="false">L19*R19</f>
        <v>0.0297323377569219</v>
      </c>
      <c r="Q19" s="39" t="n">
        <f aca="false">INDEX(REF_MIN,MATCH(D19,REF_ID,0))</f>
        <v>7.85</v>
      </c>
      <c r="R19" s="39" t="n">
        <f aca="false">INDEX(REF_MAX,MATCH(D19,REF_ID,0))</f>
        <v>7.85</v>
      </c>
      <c r="S19" s="41" t="n">
        <v>1.19898842200485</v>
      </c>
      <c r="T19" s="42" t="n">
        <f aca="false">200*J19/S19</f>
        <v>0.531792414407659</v>
      </c>
      <c r="U19" s="43" t="n">
        <f aca="false">IFERROR(INDEX(ISO_TOL,MATCH(T19,ISO_DESDE,1)),0)</f>
        <v>0.1</v>
      </c>
      <c r="V19" s="44" t="n">
        <f aca="false">IF(T19&gt;0,U19/T19,0)</f>
        <v>0.188043299021829</v>
      </c>
    </row>
    <row r="20" customFormat="false" ht="15" hidden="false" customHeight="false" outlineLevel="3" collapsed="false">
      <c r="A20" s="35" t="n">
        <v>3</v>
      </c>
      <c r="B20" s="36" t="s">
        <v>299</v>
      </c>
      <c r="C20" s="45" t="s">
        <v>300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0.00638748059586976</v>
      </c>
      <c r="J20" s="40" t="n">
        <v>0.00638748059586976</v>
      </c>
      <c r="K20" s="40" t="n">
        <f aca="false">I20*(1-V20)</f>
        <v>0.00542243131863553</v>
      </c>
      <c r="L20" s="40" t="n">
        <f aca="false">I20*(1+V20)</f>
        <v>0.00735252987310399</v>
      </c>
      <c r="M20" s="40" t="n">
        <f aca="false">F20*N20</f>
        <v>0.0501417226775776</v>
      </c>
      <c r="N20" s="40" t="n">
        <f aca="false">J20*H20</f>
        <v>0.0501417226775776</v>
      </c>
      <c r="O20" s="40" t="n">
        <f aca="false">K20*Q20</f>
        <v>0.0425660858512889</v>
      </c>
      <c r="P20" s="40" t="n">
        <f aca="false">L20*R20</f>
        <v>0.0577173595038663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1.93009855446846</v>
      </c>
      <c r="T20" s="42" t="n">
        <f aca="false">200*J20/S20</f>
        <v>0.661881289023485</v>
      </c>
      <c r="U20" s="43" t="n">
        <f aca="false">IFERROR(INDEX(ISO_TOL,MATCH(T20,ISO_DESDE,1)),0)</f>
        <v>0.1</v>
      </c>
      <c r="V20" s="44" t="n">
        <f aca="false">IF(T20&gt;0,U20/T20,0)</f>
        <v>0.151084494543631</v>
      </c>
    </row>
    <row r="21" customFormat="false" ht="15" hidden="false" customHeight="false" outlineLevel="3" collapsed="false">
      <c r="A21" s="35" t="n">
        <v>3</v>
      </c>
      <c r="B21" s="36" t="s">
        <v>301</v>
      </c>
      <c r="C21" s="45" t="s">
        <v>302</v>
      </c>
      <c r="D21" s="36" t="s">
        <v>32</v>
      </c>
      <c r="E21" s="36" t="str">
        <f aca="false">INDEX(REF_DATO,MATCH(D21,REF_ID,0))</f>
        <v>PVC rígido, vinilo y papeles de identificación</v>
      </c>
      <c r="F21" s="38" t="n">
        <v>1</v>
      </c>
      <c r="G21" s="35" t="s">
        <v>264</v>
      </c>
      <c r="H21" s="39" t="n">
        <f aca="false">INDEX(REF_VAL,MATCH(D21,REF_ID,0))</f>
        <v>1.4</v>
      </c>
      <c r="I21" s="40" t="n">
        <f aca="false">F21*J21</f>
        <v>0.0164223692913569</v>
      </c>
      <c r="J21" s="40" t="n">
        <v>0.0164223692913569</v>
      </c>
      <c r="K21" s="40" t="n">
        <f aca="false">I21*(1-V21)</f>
        <v>0.0153214656901484</v>
      </c>
      <c r="L21" s="40" t="n">
        <f aca="false">I21*(1+V21)</f>
        <v>0.0175232728925654</v>
      </c>
      <c r="M21" s="40" t="n">
        <f aca="false">F21*N21</f>
        <v>0.0229913170078997</v>
      </c>
      <c r="N21" s="40" t="n">
        <f aca="false">J21*H21</f>
        <v>0.0229913170078997</v>
      </c>
      <c r="O21" s="40" t="n">
        <f aca="false">K21*Q21</f>
        <v>0.0206839786817004</v>
      </c>
      <c r="P21" s="40" t="n">
        <f aca="false">L21*R21</f>
        <v>0.0254087456942198</v>
      </c>
      <c r="Q21" s="39" t="n">
        <f aca="false">INDEX(REF_MIN,MATCH(D21,REF_ID,0))</f>
        <v>1.35</v>
      </c>
      <c r="R21" s="39" t="n">
        <f aca="false">INDEX(REF_MAX,MATCH(D21,REF_ID,0))</f>
        <v>1.45</v>
      </c>
      <c r="S21" s="41" t="n">
        <v>2.20180720241698</v>
      </c>
      <c r="T21" s="42" t="n">
        <f aca="false">200*J21/S21</f>
        <v>1.49171728326891</v>
      </c>
      <c r="U21" s="43" t="n">
        <f aca="false">IFERROR(INDEX(ISO_TOL,MATCH(T21,ISO_DESDE,1)),0)</f>
        <v>0.1</v>
      </c>
      <c r="V21" s="44" t="n">
        <f aca="false">IF(T21&gt;0,U21/T21,0)</f>
        <v>0.0670368313899686</v>
      </c>
    </row>
    <row r="22" customFormat="false" ht="15" hidden="false" customHeight="false" outlineLevel="3" collapsed="false">
      <c r="A22" s="35" t="n">
        <v>3</v>
      </c>
      <c r="B22" s="36" t="s">
        <v>303</v>
      </c>
      <c r="C22" s="45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3" collapsed="false">
      <c r="A23" s="35" t="n">
        <v>3</v>
      </c>
      <c r="B23" s="36" t="s">
        <v>305</v>
      </c>
      <c r="C23" s="45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307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IF(SUMIF(A25:A25,2,M25:M25)=0,"",SUMIF(A25:A25,2,M25:M25))</f>
        <v>0.000607898178469625</v>
      </c>
      <c r="N24" s="30"/>
      <c r="O24" s="30" t="n">
        <f aca="false">IF(SUMIF(A25:A25,2,O25:O25)=0,"",SUMIF(A25:A25,2,O25:O25))</f>
        <v>0.0005796344928167</v>
      </c>
      <c r="P24" s="30" t="n">
        <f aca="false">IF(SUMIF(A25:A25,2,P25:P25)=0,"",SUMIF(A25:A25,2,P25:P25))</f>
        <v>0.000643230329279467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309</v>
      </c>
      <c r="C25" s="37" t="s">
        <v>310</v>
      </c>
      <c r="D25" s="36" t="s">
        <v>26</v>
      </c>
      <c r="E25" s="36" t="str">
        <f aca="false">INDEX(REF_DATO,MATCH(D25,REF_ID,0))</f>
        <v>Polipropileno</v>
      </c>
      <c r="F25" s="38" t="n">
        <v>1</v>
      </c>
      <c r="G25" s="35" t="s">
        <v>264</v>
      </c>
      <c r="H25" s="39" t="n">
        <f aca="false">INDEX(REF_VAL,MATCH(D25,REF_ID,0))</f>
        <v>0.9</v>
      </c>
      <c r="I25" s="40" t="n">
        <f aca="false">F25*J25</f>
        <v>0.000675442420521805</v>
      </c>
      <c r="J25" s="40" t="n">
        <v>0.000675442420521805</v>
      </c>
      <c r="K25" s="40" t="n">
        <f aca="false">I25*(1-V25)</f>
        <v>0.000644038325351889</v>
      </c>
      <c r="L25" s="40" t="n">
        <f aca="false">I25*(1+V25)</f>
        <v>0.000706846515691722</v>
      </c>
      <c r="M25" s="40" t="n">
        <f aca="false">F25*N25</f>
        <v>0.000607898178469625</v>
      </c>
      <c r="N25" s="40" t="n">
        <f aca="false">J25*H25</f>
        <v>0.000607898178469625</v>
      </c>
      <c r="O25" s="40" t="n">
        <f aca="false">K25*Q25</f>
        <v>0.0005796344928167</v>
      </c>
      <c r="P25" s="40" t="n">
        <f aca="false">L25*R25</f>
        <v>0.000643230329279467</v>
      </c>
      <c r="Q25" s="39" t="n">
        <f aca="false">INDEX(REF_MIN,MATCH(D25,REF_ID,0))</f>
        <v>0.9</v>
      </c>
      <c r="R25" s="39" t="n">
        <f aca="false">INDEX(REF_MAX,MATCH(D25,REF_ID,0))</f>
        <v>0.91</v>
      </c>
      <c r="S25" s="41" t="n">
        <v>0.0628081903398335</v>
      </c>
      <c r="T25" s="42" t="n">
        <f aca="false">200*J25/S25</f>
        <v>2.15081000381389</v>
      </c>
      <c r="U25" s="43" t="n">
        <f aca="false">IFERROR(INDEX(ISO_TOL,MATCH(T25,ISO_DESDE,1)),0)</f>
        <v>0.1</v>
      </c>
      <c r="V25" s="44" t="n">
        <f aca="false">IF(T25&gt;0,U25/T25,0)</f>
        <v>0.0464941114383309</v>
      </c>
    </row>
    <row r="26" customFormat="false" ht="15" hidden="false" customHeight="false" outlineLevel="1" collapsed="false">
      <c r="A26" s="25" t="n">
        <v>1</v>
      </c>
      <c r="B26" s="26" t="s">
        <v>311</v>
      </c>
      <c r="C26" s="27" t="s">
        <v>312</v>
      </c>
      <c r="D26" s="26"/>
      <c r="E26" s="26"/>
      <c r="F26" s="28" t="n">
        <v>1</v>
      </c>
      <c r="G26" s="25" t="s">
        <v>264</v>
      </c>
      <c r="H26" s="29"/>
      <c r="I26" s="30"/>
      <c r="J26" s="30"/>
      <c r="K26" s="30"/>
      <c r="L26" s="30"/>
      <c r="M26" s="30" t="n">
        <f aca="false">IF(SUMIF(A27:A28,2,M27:M28)=0,"",SUMIF(A27:A28,2,M27:M28))</f>
        <v>1.05388858704378</v>
      </c>
      <c r="N26" s="30"/>
      <c r="O26" s="30" t="n">
        <f aca="false">IF(SUMIF(A27:A28,2,O27:O28)=0,"",SUMIF(A27:A28,2,O27:O28))</f>
        <v>1.00279601533426</v>
      </c>
      <c r="P26" s="30" t="n">
        <f aca="false">IF(SUMIF(A27:A28,2,P27:P28)=0,"",SUMIF(A27:A28,2,P27:P28))</f>
        <v>1.10514338910035</v>
      </c>
      <c r="Q26" s="29"/>
      <c r="R26" s="29"/>
      <c r="S26" s="31"/>
      <c r="T26" s="32"/>
      <c r="U26" s="33"/>
      <c r="V26" s="34"/>
    </row>
    <row r="27" customFormat="false" ht="15" hidden="false" customHeight="false" outlineLevel="2" collapsed="false">
      <c r="A27" s="35" t="n">
        <v>2</v>
      </c>
      <c r="B27" s="36" t="s">
        <v>313</v>
      </c>
      <c r="C27" s="37" t="s">
        <v>314</v>
      </c>
      <c r="D27" s="36" t="s">
        <v>37</v>
      </c>
      <c r="E27" s="36" t="str">
        <f aca="false">INDEX(REF_DATO,MATCH(D27,REF_ID,0))</f>
        <v>Polvo ABC asentado en el recipiente</v>
      </c>
      <c r="F27" s="38" t="n">
        <f aca="false">MODELOS!$L$3</f>
        <v>1.05</v>
      </c>
      <c r="G27" s="35" t="s">
        <v>123</v>
      </c>
      <c r="H27" s="39" t="n">
        <f aca="false">INDEX(REF_VAL,MATCH(D27,REF_ID,0))</f>
        <v>1.1</v>
      </c>
      <c r="I27" s="40" t="n">
        <f aca="false">F27*J27</f>
        <v>0.954545454545455</v>
      </c>
      <c r="J27" s="40" t="n">
        <f aca="false">1/H27</f>
        <v>0.909090909090909</v>
      </c>
      <c r="K27" s="40" t="n">
        <f aca="false">MODELOS!$M$3/R27</f>
        <v>0.909090909090909</v>
      </c>
      <c r="L27" s="40" t="n">
        <f aca="false">MODELOS!$N$3/Q27</f>
        <v>1</v>
      </c>
      <c r="M27" s="40" t="n">
        <f aca="false">F27</f>
        <v>1.05</v>
      </c>
      <c r="N27" s="40" t="n">
        <v>1</v>
      </c>
      <c r="O27" s="40" t="n">
        <f aca="false">MODELOS!$M$3</f>
        <v>1</v>
      </c>
      <c r="P27" s="40" t="n">
        <f aca="false">MODELOS!$N$3</f>
        <v>1.1</v>
      </c>
      <c r="Q27" s="39" t="n">
        <f aca="false">INDEX(REF_MIN,MATCH(D27,REF_ID,0))</f>
        <v>1.1</v>
      </c>
      <c r="R27" s="39" t="n">
        <f aca="false">INDEX(REF_MAX,MATCH(D27,REF_ID,0))</f>
        <v>1.1</v>
      </c>
      <c r="S27" s="41"/>
      <c r="T27" s="42"/>
      <c r="U27" s="43"/>
      <c r="V27" s="44"/>
    </row>
    <row r="28" customFormat="false" ht="15" hidden="false" customHeight="false" outlineLevel="2" collapsed="false">
      <c r="A28" s="35" t="n">
        <v>2</v>
      </c>
      <c r="B28" s="36" t="s">
        <v>315</v>
      </c>
      <c r="C28" s="37" t="s">
        <v>316</v>
      </c>
      <c r="D28" s="36" t="s">
        <v>78</v>
      </c>
      <c r="E28" s="36" t="str">
        <f aca="false">INDEX(REF_DATO,MATCH(D28,REF_ID,0))</f>
        <v>Nitrógeno seco (densidad normal)</v>
      </c>
      <c r="F28" s="38" t="n">
        <f aca="false">MODELOS!$AF$3</f>
        <v>0.00388858704378115</v>
      </c>
      <c r="G28" s="35" t="s">
        <v>123</v>
      </c>
      <c r="H28" s="39" t="n">
        <f aca="false">INDEX(REF_VAL,MATCH(D28,REF_ID,0))</f>
        <v>0.00124921923797626</v>
      </c>
      <c r="I28" s="40" t="n">
        <f aca="false">F28*J28</f>
        <v>3.11281392854681</v>
      </c>
      <c r="J28" s="40" t="n">
        <f aca="false">1/H28</f>
        <v>800.5</v>
      </c>
      <c r="K28" s="40" t="n">
        <f aca="false">MODELOS!$AG$3/H28</f>
        <v>2.23821027507857</v>
      </c>
      <c r="L28" s="40" t="n">
        <f aca="false">MODELOS!$AH$3/H28</f>
        <v>4.11728297483049</v>
      </c>
      <c r="M28" s="40" t="n">
        <f aca="false">F28</f>
        <v>0.00388858704378115</v>
      </c>
      <c r="N28" s="40" t="n">
        <v>1</v>
      </c>
      <c r="O28" s="40" t="n">
        <f aca="false">MODELOS!$AG$3</f>
        <v>0.0027960153342643</v>
      </c>
      <c r="P28" s="40" t="n">
        <f aca="false">MODELOS!$AH$3</f>
        <v>0.00514338910035039</v>
      </c>
      <c r="Q28" s="39"/>
      <c r="R28" s="39"/>
      <c r="S28" s="41"/>
      <c r="T28" s="42"/>
      <c r="U28" s="43"/>
      <c r="V28" s="44"/>
    </row>
    <row r="29" customFormat="false" ht="15" hidden="false" customHeight="false" outlineLevel="1" collapsed="false">
      <c r="A29" s="25" t="n">
        <v>1</v>
      </c>
      <c r="B29" s="26" t="s">
        <v>317</v>
      </c>
      <c r="C29" s="27" t="s">
        <v>318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IF(SUMIF(A30:A35,2,M30:M35)=0,"",SUMIF(A30:A35,2,M30:M35))</f>
        <v>0.0123063006868228</v>
      </c>
      <c r="N29" s="30"/>
      <c r="O29" s="30" t="n">
        <f aca="false">IF(SUMIF(A30:A35,2,O30:O35)=0,"",SUMIF(A30:A35,2,O30:O35))</f>
        <v>0.011864265453911</v>
      </c>
      <c r="P29" s="30" t="n">
        <f aca="false">IF(SUMIF(A30:A35,2,P30:P35)=0,"",SUMIF(A30:A35,2,P30:P35))</f>
        <v>0.0127503975899134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319</v>
      </c>
      <c r="C30" s="37" t="s">
        <v>320</v>
      </c>
      <c r="D30" s="36" t="s">
        <v>32</v>
      </c>
      <c r="E30" s="36" t="str">
        <f aca="false">INDEX(REF_DATO,MATCH(D30,REF_ID,0))</f>
        <v>PVC rígido, vinilo y papeles de identificación</v>
      </c>
      <c r="F30" s="38" t="n">
        <v>1</v>
      </c>
      <c r="G30" s="35" t="s">
        <v>264</v>
      </c>
      <c r="H30" s="39" t="n">
        <f aca="false">INDEX(REF_VAL,MATCH(D30,REF_ID,0))</f>
        <v>1.4</v>
      </c>
      <c r="I30" s="40" t="n">
        <f aca="false">F30*J30</f>
        <v>0.00689538239595527</v>
      </c>
      <c r="J30" s="40" t="n">
        <v>0.00689538239595527</v>
      </c>
      <c r="K30" s="40" t="n">
        <f aca="false">I30*(1-V30)</f>
        <v>0.00689538239595527</v>
      </c>
      <c r="L30" s="40" t="n">
        <f aca="false">I30*(1+V30)</f>
        <v>0.00689538239595527</v>
      </c>
      <c r="M30" s="40" t="n">
        <f aca="false">F30*N30</f>
        <v>0.00965353535433738</v>
      </c>
      <c r="N30" s="40" t="n">
        <f aca="false">J30*H30</f>
        <v>0.00965353535433738</v>
      </c>
      <c r="O30" s="40" t="n">
        <f aca="false">K30*Q30</f>
        <v>0.00930876623453961</v>
      </c>
      <c r="P30" s="40" t="n">
        <f aca="false">L30*R30</f>
        <v>0.00999830447413514</v>
      </c>
      <c r="Q30" s="39" t="n">
        <f aca="false">INDEX(REF_MIN,MATCH(D30,REF_ID,0))</f>
        <v>1.35</v>
      </c>
      <c r="R30" s="39" t="n">
        <f aca="false">INDEX(REF_MAX,MATCH(D30,REF_ID,0))</f>
        <v>1.45</v>
      </c>
      <c r="S30" s="41" t="n">
        <v>4.61521298878751</v>
      </c>
      <c r="T30" s="42" t="n">
        <f aca="false">200*J30/S30</f>
        <v>0.298811015340238</v>
      </c>
      <c r="U30" s="43" t="n">
        <f aca="false">IFERROR(INDEX(ISO_TOL,MATCH(T30,ISO_DESDE,1)),0)</f>
        <v>0</v>
      </c>
      <c r="V30" s="44" t="n">
        <f aca="false">IF(T30&gt;0,U30/T30,0)</f>
        <v>0</v>
      </c>
    </row>
    <row r="31" customFormat="false" ht="15" hidden="false" customHeight="false" outlineLevel="2" collapsed="false">
      <c r="A31" s="35" t="n">
        <v>2</v>
      </c>
      <c r="B31" s="36" t="s">
        <v>321</v>
      </c>
      <c r="C31" s="37" t="s">
        <v>322</v>
      </c>
      <c r="D31" s="36" t="s">
        <v>32</v>
      </c>
      <c r="E31" s="36" t="str">
        <f aca="false">INDEX(REF_DATO,MATCH(D31,REF_ID,0))</f>
        <v>PVC rígido, vinilo y papeles de identificación</v>
      </c>
      <c r="F31" s="38" t="n">
        <v>1</v>
      </c>
      <c r="G31" s="35" t="s">
        <v>264</v>
      </c>
      <c r="H31" s="39" t="n">
        <f aca="false">INDEX(REF_VAL,MATCH(D31,REF_ID,0))</f>
        <v>1.4</v>
      </c>
      <c r="I31" s="40" t="n">
        <f aca="false">F31*J31</f>
        <v>0.000637299212598426</v>
      </c>
      <c r="J31" s="40" t="n">
        <v>0.000637299212598426</v>
      </c>
      <c r="K31" s="40" t="n">
        <f aca="false">I31*(1-V31)</f>
        <v>0.000637299212598426</v>
      </c>
      <c r="L31" s="40" t="n">
        <f aca="false">I31*(1+V31)</f>
        <v>0.000637299212598426</v>
      </c>
      <c r="M31" s="40" t="n">
        <f aca="false">F31*N31</f>
        <v>0.000892218897637796</v>
      </c>
      <c r="N31" s="40" t="n">
        <f aca="false">J31*H31</f>
        <v>0.000892218897637796</v>
      </c>
      <c r="O31" s="40" t="n">
        <f aca="false">K31*Q31</f>
        <v>0.000860353937007875</v>
      </c>
      <c r="P31" s="40" t="n">
        <f aca="false">L31*R31</f>
        <v>0.000924083858267717</v>
      </c>
      <c r="Q31" s="39" t="n">
        <f aca="false">INDEX(REF_MIN,MATCH(D31,REF_ID,0))</f>
        <v>1.35</v>
      </c>
      <c r="R31" s="39" t="n">
        <f aca="false">INDEX(REF_MAX,MATCH(D31,REF_ID,0))</f>
        <v>1.45</v>
      </c>
      <c r="S31" s="41" t="n">
        <v>0.430397007874016</v>
      </c>
      <c r="T31" s="42" t="n">
        <f aca="false">200*J31/S31</f>
        <v>0.296144815572219</v>
      </c>
      <c r="U31" s="43" t="n">
        <f aca="false">IFERROR(INDEX(ISO_TOL,MATCH(T31,ISO_DESDE,1)),0)</f>
        <v>0</v>
      </c>
      <c r="V31" s="44" t="n">
        <f aca="false">IF(T31&gt;0,U31/T31,0)</f>
        <v>0</v>
      </c>
    </row>
    <row r="32" customFormat="false" ht="15" hidden="false" customHeight="false" outlineLevel="2" collapsed="false">
      <c r="A32" s="35" t="n">
        <v>2</v>
      </c>
      <c r="B32" s="36" t="s">
        <v>323</v>
      </c>
      <c r="C32" s="37" t="s">
        <v>324</v>
      </c>
      <c r="D32" s="36" t="s">
        <v>32</v>
      </c>
      <c r="E32" s="36" t="str">
        <f aca="false">INDEX(REF_DATO,MATCH(D32,REF_ID,0))</f>
        <v>PVC rígido, vinilo y papeles de identificación</v>
      </c>
      <c r="F32" s="38" t="n">
        <v>1</v>
      </c>
      <c r="G32" s="35" t="s">
        <v>264</v>
      </c>
      <c r="H32" s="39" t="n">
        <f aca="false">INDEX(REF_VAL,MATCH(D32,REF_ID,0))</f>
        <v>1.4</v>
      </c>
      <c r="I32" s="40" t="n">
        <f aca="false">F32*J32</f>
        <v>0.000722834645669294</v>
      </c>
      <c r="J32" s="40" t="n">
        <v>0.000722834645669294</v>
      </c>
      <c r="K32" s="40" t="n">
        <f aca="false">I32*(1-V32)</f>
        <v>0.000722834645669294</v>
      </c>
      <c r="L32" s="40" t="n">
        <f aca="false">I32*(1+V32)</f>
        <v>0.000722834645669294</v>
      </c>
      <c r="M32" s="40" t="n">
        <f aca="false">F32*N32</f>
        <v>0.00101196850393701</v>
      </c>
      <c r="N32" s="40" t="n">
        <f aca="false">J32*H32</f>
        <v>0.00101196850393701</v>
      </c>
      <c r="O32" s="40" t="n">
        <f aca="false">K32*Q32</f>
        <v>0.000975826771653547</v>
      </c>
      <c r="P32" s="40" t="n">
        <f aca="false">L32*R32</f>
        <v>0.00104811023622048</v>
      </c>
      <c r="Q32" s="39" t="n">
        <f aca="false">INDEX(REF_MIN,MATCH(D32,REF_ID,0))</f>
        <v>1.35</v>
      </c>
      <c r="R32" s="39" t="n">
        <f aca="false">INDEX(REF_MAX,MATCH(D32,REF_ID,0))</f>
        <v>1.45</v>
      </c>
      <c r="S32" s="41" t="n">
        <v>0.487903937007874</v>
      </c>
      <c r="T32" s="42" t="n">
        <f aca="false">200*J32/S32</f>
        <v>0.296302034413643</v>
      </c>
      <c r="U32" s="43" t="n">
        <f aca="false">IFERROR(INDEX(ISO_TOL,MATCH(T32,ISO_DESDE,1)),0)</f>
        <v>0</v>
      </c>
      <c r="V32" s="44" t="n">
        <f aca="false">IF(T32&gt;0,U32/T32,0)</f>
        <v>0</v>
      </c>
    </row>
    <row r="33" customFormat="false" ht="15" hidden="false" customHeight="false" outlineLevel="2" collapsed="false">
      <c r="A33" s="35" t="n">
        <v>2</v>
      </c>
      <c r="B33" s="36" t="s">
        <v>325</v>
      </c>
      <c r="C33" s="37" t="s">
        <v>326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0.000338828740157481</v>
      </c>
      <c r="J33" s="40" t="n">
        <v>0.000338828740157481</v>
      </c>
      <c r="K33" s="40" t="n">
        <f aca="false">I33*(1-V33)</f>
        <v>0.000338828740157481</v>
      </c>
      <c r="L33" s="40" t="n">
        <f aca="false">I33*(1+V33)</f>
        <v>0.000338828740157481</v>
      </c>
      <c r="M33" s="40" t="n">
        <f aca="false">F33*N33</f>
        <v>0.000474360236220474</v>
      </c>
      <c r="N33" s="40" t="n">
        <f aca="false">J33*H33</f>
        <v>0.000474360236220474</v>
      </c>
      <c r="O33" s="40" t="n">
        <f aca="false">K33*Q33</f>
        <v>0.0004574187992126</v>
      </c>
      <c r="P33" s="40" t="n">
        <f aca="false">L33*R33</f>
        <v>0.000491301673228348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0.230096456692913</v>
      </c>
      <c r="T33" s="42" t="n">
        <f aca="false">200*J33/S33</f>
        <v>0.294510176321126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327</v>
      </c>
      <c r="C34" s="37" t="s">
        <v>328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6.96450770897794E-005</v>
      </c>
      <c r="J34" s="40" t="n">
        <v>6.96450770897794E-005</v>
      </c>
      <c r="K34" s="40" t="n">
        <f aca="false">I34*(1-V34)</f>
        <v>6.96450770897794E-005</v>
      </c>
      <c r="L34" s="40" t="n">
        <f aca="false">I34*(1+V34)</f>
        <v>6.96450770897794E-005</v>
      </c>
      <c r="M34" s="40" t="n">
        <f aca="false">F34*N34</f>
        <v>9.75031079256911E-005</v>
      </c>
      <c r="N34" s="40" t="n">
        <f aca="false">J34*H34</f>
        <v>9.75031079256911E-005</v>
      </c>
      <c r="O34" s="40" t="n">
        <f aca="false">K34*Q34</f>
        <v>9.40208540712021E-005</v>
      </c>
      <c r="P34" s="40" t="n">
        <f aca="false">L34*R34</f>
        <v>0.00010098536178018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0.0711415952172484</v>
      </c>
      <c r="T34" s="42" t="n">
        <f aca="false">200*J34/S34</f>
        <v>0.195792846300679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329</v>
      </c>
      <c r="C35" s="37" t="s">
        <v>330</v>
      </c>
      <c r="D35" s="36" t="s">
        <v>26</v>
      </c>
      <c r="E35" s="36" t="str">
        <f aca="false">INDEX(REF_DATO,MATCH(D35,REF_ID,0))</f>
        <v>Polipropileno</v>
      </c>
      <c r="F35" s="38" t="n">
        <v>1</v>
      </c>
      <c r="G35" s="35" t="s">
        <v>264</v>
      </c>
      <c r="H35" s="39" t="n">
        <f aca="false">INDEX(REF_VAL,MATCH(D35,REF_ID,0))</f>
        <v>0.9</v>
      </c>
      <c r="I35" s="40" t="n">
        <f aca="false">F35*J35</f>
        <v>0.000196349540849362</v>
      </c>
      <c r="J35" s="40" t="n">
        <v>0.000196349540849362</v>
      </c>
      <c r="K35" s="40" t="n">
        <f aca="false">I35*(1-V35)</f>
        <v>0.000186532063806894</v>
      </c>
      <c r="L35" s="40" t="n">
        <f aca="false">I35*(1+V35)</f>
        <v>0.00020616701789183</v>
      </c>
      <c r="M35" s="40" t="n">
        <f aca="false">F35*N35</f>
        <v>0.000176714586764426</v>
      </c>
      <c r="N35" s="40" t="n">
        <f aca="false">J35*H35</f>
        <v>0.000176714586764426</v>
      </c>
      <c r="O35" s="40" t="n">
        <f aca="false">K35*Q35</f>
        <v>0.000167878857426205</v>
      </c>
      <c r="P35" s="40" t="n">
        <f aca="false">L35*R35</f>
        <v>0.000187611986281566</v>
      </c>
      <c r="Q35" s="39" t="n">
        <f aca="false">INDEX(REF_MIN,MATCH(D35,REF_ID,0))</f>
        <v>0.9</v>
      </c>
      <c r="R35" s="39" t="n">
        <f aca="false">INDEX(REF_MAX,MATCH(D35,REF_ID,0))</f>
        <v>0.91</v>
      </c>
      <c r="S35" s="41" t="n">
        <v>0.0196349540849362</v>
      </c>
      <c r="T35" s="42" t="n">
        <f aca="false">200*J35/S35</f>
        <v>2</v>
      </c>
      <c r="U35" s="43" t="n">
        <f aca="false">IFERROR(INDEX(ISO_TOL,MATCH(T35,ISO_DESDE,1)),0)</f>
        <v>0.1</v>
      </c>
      <c r="V35" s="44" t="n">
        <f aca="false">IF(T35&gt;0,U35/T35,0)</f>
        <v>0.05</v>
      </c>
    </row>
    <row r="36" customFormat="false" ht="15" hidden="false" customHeight="false" outlineLevel="1" collapsed="false">
      <c r="A36" s="25" t="n">
        <v>1</v>
      </c>
      <c r="B36" s="26" t="s">
        <v>331</v>
      </c>
      <c r="C36" s="27" t="s">
        <v>332</v>
      </c>
      <c r="D36" s="26"/>
      <c r="E36" s="26"/>
      <c r="F36" s="28" t="n">
        <v>1</v>
      </c>
      <c r="G36" s="25" t="s">
        <v>264</v>
      </c>
      <c r="H36" s="29"/>
      <c r="I36" s="30"/>
      <c r="J36" s="30"/>
      <c r="K36" s="30"/>
      <c r="L36" s="30"/>
      <c r="M36" s="30" t="n">
        <f aca="false">IF(SUMIF(A37:A37,2,M37:M37)=0,"",SUMIF(A37:A37,2,M37:M37))</f>
        <v>0.631217006526917</v>
      </c>
      <c r="N36" s="30"/>
      <c r="O36" s="30" t="n">
        <f aca="false">IF(SUMIF(A37:A37,2,O37:O37)=0,"",SUMIF(A37:A37,2,O37:O37))</f>
        <v>0.601984663055943</v>
      </c>
      <c r="P36" s="30" t="n">
        <f aca="false">IF(SUMIF(A37:A37,2,P37:P37)=0,"",SUMIF(A37:A37,2,P37:P37))</f>
        <v>0.660449349997891</v>
      </c>
      <c r="Q36" s="29"/>
      <c r="R36" s="29"/>
      <c r="S36" s="31"/>
      <c r="T36" s="32"/>
      <c r="U36" s="33"/>
      <c r="V36" s="34"/>
    </row>
    <row r="37" customFormat="false" ht="15" hidden="false" customHeight="false" outlineLevel="2" collapsed="false">
      <c r="A37" s="35" t="n">
        <v>2</v>
      </c>
      <c r="B37" s="36" t="s">
        <v>333</v>
      </c>
      <c r="C37" s="37" t="s">
        <v>334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0.0804098097486519</v>
      </c>
      <c r="J37" s="40" t="n">
        <v>0.0804098097486519</v>
      </c>
      <c r="K37" s="40" t="n">
        <f aca="false">I37*(1-V37)</f>
        <v>0.0766859443383368</v>
      </c>
      <c r="L37" s="40" t="n">
        <f aca="false">I37*(1+V37)</f>
        <v>0.084133675158967</v>
      </c>
      <c r="M37" s="40" t="n">
        <f aca="false">F37*N37</f>
        <v>0.631217006526917</v>
      </c>
      <c r="N37" s="40" t="n">
        <f aca="false">J37*H37</f>
        <v>0.631217006526917</v>
      </c>
      <c r="O37" s="40" t="n">
        <f aca="false">K37*Q37</f>
        <v>0.601984663055943</v>
      </c>
      <c r="P37" s="40" t="n">
        <f aca="false">L37*R37</f>
        <v>0.660449349997891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7.44773082063026</v>
      </c>
      <c r="T37" s="42" t="n">
        <f aca="false">200*J37/S37</f>
        <v>2.15931031035429</v>
      </c>
      <c r="U37" s="43" t="n">
        <f aca="false">IFERROR(INDEX(ISO_TOL,MATCH(T37,ISO_DESDE,1)),0)</f>
        <v>0.1</v>
      </c>
      <c r="V37" s="44" t="n">
        <f aca="false">IF(T37&gt;0,U37/T37,0)</f>
        <v>0.0463110834605297</v>
      </c>
    </row>
    <row r="38" customFormat="false" ht="15" hidden="false" customHeight="false" outlineLevel="1" collapsed="false">
      <c r="A38" s="25" t="n">
        <v>1</v>
      </c>
      <c r="B38" s="26" t="s">
        <v>335</v>
      </c>
      <c r="C38" s="27" t="s">
        <v>336</v>
      </c>
      <c r="D38" s="26"/>
      <c r="E38" s="26"/>
      <c r="F38" s="28" t="n">
        <v>1</v>
      </c>
      <c r="G38" s="25" t="s">
        <v>264</v>
      </c>
      <c r="H38" s="29"/>
      <c r="I38" s="30"/>
      <c r="J38" s="30"/>
      <c r="K38" s="30"/>
      <c r="L38" s="30"/>
      <c r="M38" s="30" t="str">
        <f aca="false">IF(SUMIF(A39:A42,2,M39:M42)=0,"",SUMIF(A39:A42,2,M39:M42))</f>
        <v/>
      </c>
      <c r="N38" s="30"/>
      <c r="O38" s="30" t="str">
        <f aca="false">IF(SUMIF(A39:A42,2,O39:O42)=0,"",SUMIF(A39:A42,2,O39:O42))</f>
        <v/>
      </c>
      <c r="P38" s="30" t="str">
        <f aca="false">IF(SUMIF(A39:A42,2,P39:P42)=0,"",SUMIF(A39:A42,2,P39:P42))</f>
        <v/>
      </c>
      <c r="Q38" s="29"/>
      <c r="R38" s="29"/>
      <c r="S38" s="31"/>
      <c r="T38" s="32"/>
      <c r="U38" s="33"/>
      <c r="V38" s="34"/>
    </row>
    <row r="39" customFormat="false" ht="15" hidden="false" customHeight="false" outlineLevel="2" collapsed="false">
      <c r="A39" s="35" t="n">
        <v>2</v>
      </c>
      <c r="B39" s="36" t="s">
        <v>337</v>
      </c>
      <c r="C39" s="37" t="s">
        <v>338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339</v>
      </c>
      <c r="C40" s="37" t="s">
        <v>340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341</v>
      </c>
      <c r="C41" s="37" t="s">
        <v>342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2" collapsed="false">
      <c r="A42" s="35" t="n">
        <v>2</v>
      </c>
      <c r="B42" s="36" t="s">
        <v>343</v>
      </c>
      <c r="C42" s="37" t="s">
        <v>344</v>
      </c>
      <c r="D42" s="36"/>
      <c r="E42" s="36"/>
      <c r="F42" s="38" t="n">
        <v>1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0" collapsed="false">
      <c r="A43" s="16" t="n">
        <v>0</v>
      </c>
      <c r="B43" s="17" t="s">
        <v>204</v>
      </c>
      <c r="C43" s="17" t="s">
        <v>205</v>
      </c>
      <c r="D43" s="17"/>
      <c r="E43" s="17"/>
      <c r="F43" s="18" t="n">
        <v>1</v>
      </c>
      <c r="G43" s="16" t="s">
        <v>264</v>
      </c>
      <c r="H43" s="19"/>
      <c r="I43" s="20"/>
      <c r="J43" s="20"/>
      <c r="K43" s="20"/>
      <c r="L43" s="20"/>
      <c r="M43" s="20" t="n">
        <f aca="false">IF(SUMIF(A44:A88,1,M44:M88)=0,"",SUMIF(A44:A88,1,M44:M88))</f>
        <v>4.83093657762479</v>
      </c>
      <c r="N43" s="20"/>
      <c r="O43" s="20" t="n">
        <f aca="false">IF(SUMIF(A44:A88,1,O44:O88)=0,"",SUMIF(A44:A88,1,O44:O88))</f>
        <v>4.61592986423395</v>
      </c>
      <c r="P43" s="20" t="n">
        <f aca="false">IF(SUMIF(A44:A88,1,P44:P88)=0,"",SUMIF(A44:A88,1,P44:P88))</f>
        <v>5.04679203843769</v>
      </c>
      <c r="Q43" s="19"/>
      <c r="R43" s="19"/>
      <c r="S43" s="21"/>
      <c r="T43" s="22"/>
      <c r="U43" s="23"/>
      <c r="V43" s="24"/>
    </row>
    <row r="44" customFormat="false" ht="15" hidden="false" customHeight="false" outlineLevel="1" collapsed="false">
      <c r="A44" s="25" t="n">
        <v>1</v>
      </c>
      <c r="B44" s="26" t="s">
        <v>345</v>
      </c>
      <c r="C44" s="27" t="s">
        <v>266</v>
      </c>
      <c r="D44" s="26"/>
      <c r="E44" s="26"/>
      <c r="F44" s="28" t="n">
        <v>1</v>
      </c>
      <c r="G44" s="25" t="s">
        <v>264</v>
      </c>
      <c r="H44" s="29"/>
      <c r="I44" s="30"/>
      <c r="J44" s="30"/>
      <c r="K44" s="30"/>
      <c r="L44" s="30"/>
      <c r="M44" s="30" t="n">
        <f aca="false">IF(SUMIF(A45:A48,2,M45:M48)=0,"",SUMIF(A45:A48,2,M45:M48))</f>
        <v>1.40463533991433</v>
      </c>
      <c r="N44" s="30"/>
      <c r="O44" s="30" t="n">
        <f aca="false">IF(SUMIF(A45:A48,2,O45:O48)=0,"",SUMIF(A45:A48,2,O45:O48))</f>
        <v>1.29502153338809</v>
      </c>
      <c r="P44" s="30" t="n">
        <f aca="false">IF(SUMIF(A45:A48,2,P45:P48)=0,"",SUMIF(A45:A48,2,P45:P48))</f>
        <v>1.51424914644057</v>
      </c>
      <c r="Q44" s="29"/>
      <c r="R44" s="29"/>
      <c r="S44" s="31"/>
      <c r="T44" s="32"/>
      <c r="U44" s="33"/>
      <c r="V44" s="34"/>
    </row>
    <row r="45" customFormat="false" ht="15" hidden="false" customHeight="false" outlineLevel="2" collapsed="false">
      <c r="A45" s="35" t="n">
        <v>2</v>
      </c>
      <c r="B45" s="36" t="s">
        <v>346</v>
      </c>
      <c r="C45" s="37" t="s">
        <v>268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0.128795305044951</v>
      </c>
      <c r="J45" s="40" t="n">
        <v>0.128795305044951</v>
      </c>
      <c r="K45" s="40" t="n">
        <f aca="false">I45*(1-V45)</f>
        <v>0.118438093971793</v>
      </c>
      <c r="L45" s="40" t="n">
        <f aca="false">I45*(1+V45)</f>
        <v>0.139152516118108</v>
      </c>
      <c r="M45" s="40" t="n">
        <f aca="false">F45*N45</f>
        <v>1.01104314460286</v>
      </c>
      <c r="N45" s="40" t="n">
        <f aca="false">J45*H45</f>
        <v>1.01104314460286</v>
      </c>
      <c r="O45" s="40" t="n">
        <f aca="false">K45*Q45</f>
        <v>0.929739037678576</v>
      </c>
      <c r="P45" s="40" t="n">
        <f aca="false">L45*R45</f>
        <v>1.09234725152715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20.7144221463151</v>
      </c>
      <c r="T45" s="42" t="n">
        <f aca="false">200*J45/S45</f>
        <v>1.24353268592493</v>
      </c>
      <c r="U45" s="43" t="n">
        <f aca="false">IFERROR(INDEX(ISO_TOL,MATCH(T45,ISO_DESDE,1)),0)</f>
        <v>0.1</v>
      </c>
      <c r="V45" s="44" t="n">
        <f aca="false">IF(T45&gt;0,U45/T45,0)</f>
        <v>0.0804160607371736</v>
      </c>
    </row>
    <row r="46" customFormat="false" ht="15" hidden="false" customHeight="false" outlineLevel="2" collapsed="false">
      <c r="A46" s="35" t="n">
        <v>2</v>
      </c>
      <c r="B46" s="36" t="s">
        <v>347</v>
      </c>
      <c r="C46" s="37" t="s">
        <v>270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0.0220939211290204</v>
      </c>
      <c r="J46" s="40" t="n">
        <v>0.0220939211290204</v>
      </c>
      <c r="K46" s="40" t="n">
        <f aca="false">I46*(1-V46)</f>
        <v>0.0202462851191599</v>
      </c>
      <c r="L46" s="40" t="n">
        <f aca="false">I46*(1+V46)</f>
        <v>0.0239415571388808</v>
      </c>
      <c r="M46" s="40" t="n">
        <f aca="false">F46*N46</f>
        <v>0.17343728086281</v>
      </c>
      <c r="N46" s="40" t="n">
        <f aca="false">J46*H46</f>
        <v>0.17343728086281</v>
      </c>
      <c r="O46" s="40" t="n">
        <f aca="false">K46*Q46</f>
        <v>0.158933338185405</v>
      </c>
      <c r="P46" s="40" t="n">
        <f aca="false">L46*R46</f>
        <v>0.187941223540215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3.69527201972098</v>
      </c>
      <c r="T46" s="42" t="n">
        <f aca="false">200*J46/S46</f>
        <v>1.19579403146016</v>
      </c>
      <c r="U46" s="43" t="n">
        <f aca="false">IFERROR(INDEX(ISO_TOL,MATCH(T46,ISO_DESDE,1)),0)</f>
        <v>0.1</v>
      </c>
      <c r="V46" s="44" t="n">
        <f aca="false">IF(T46&gt;0,U46/T46,0)</f>
        <v>0.083626441819493</v>
      </c>
    </row>
    <row r="47" customFormat="false" ht="15" hidden="false" customHeight="false" outlineLevel="2" collapsed="false">
      <c r="A47" s="35" t="n">
        <v>2</v>
      </c>
      <c r="B47" s="36" t="s">
        <v>348</v>
      </c>
      <c r="C47" s="37" t="s">
        <v>272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0.0211038947652496</v>
      </c>
      <c r="J47" s="40" t="n">
        <v>0.0211038947652496</v>
      </c>
      <c r="K47" s="40" t="n">
        <f aca="false">I47*(1-V47)</f>
        <v>0.0195560973672124</v>
      </c>
      <c r="L47" s="40" t="n">
        <f aca="false">I47*(1+V47)</f>
        <v>0.0226516921632869</v>
      </c>
      <c r="M47" s="40" t="n">
        <f aca="false">F47*N47</f>
        <v>0.16566557390721</v>
      </c>
      <c r="N47" s="40" t="n">
        <f aca="false">J47*H47</f>
        <v>0.16566557390721</v>
      </c>
      <c r="O47" s="40" t="n">
        <f aca="false">K47*Q47</f>
        <v>0.153515364332617</v>
      </c>
      <c r="P47" s="40" t="n">
        <f aca="false">L47*R47</f>
        <v>0.177815783481802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3.09559479607456</v>
      </c>
      <c r="T47" s="42" t="n">
        <f aca="false">200*J47/S47</f>
        <v>1.36347914733614</v>
      </c>
      <c r="U47" s="43" t="n">
        <f aca="false">IFERROR(INDEX(ISO_TOL,MATCH(T47,ISO_DESDE,1)),0)</f>
        <v>0.1</v>
      </c>
      <c r="V47" s="44" t="n">
        <f aca="false">IF(T47&gt;0,U47/T47,0)</f>
        <v>0.0733417890514662</v>
      </c>
    </row>
    <row r="48" customFormat="false" ht="15" hidden="false" customHeight="false" outlineLevel="2" collapsed="false">
      <c r="A48" s="35" t="n">
        <v>2</v>
      </c>
      <c r="B48" s="36" t="s">
        <v>349</v>
      </c>
      <c r="C48" s="37" t="s">
        <v>274</v>
      </c>
      <c r="D48" s="36" t="s">
        <v>10</v>
      </c>
      <c r="E48" s="36" t="str">
        <f aca="false">INDEX(REF_DATO,MATCH(D48,REF_ID,0))</f>
        <v>Acero (chapa LAC/LAF, SAE 1010/1045)</v>
      </c>
      <c r="F48" s="38" t="n">
        <v>1</v>
      </c>
      <c r="G48" s="35" t="s">
        <v>264</v>
      </c>
      <c r="H48" s="39" t="n">
        <f aca="false">INDEX(REF_VAL,MATCH(D48,REF_ID,0))</f>
        <v>7.85</v>
      </c>
      <c r="I48" s="40" t="n">
        <f aca="false">F48*J48</f>
        <v>0.00694131726642634</v>
      </c>
      <c r="J48" s="40" t="n">
        <v>0.00694131726642634</v>
      </c>
      <c r="K48" s="40" t="n">
        <f aca="false">I48*(1-V48)</f>
        <v>0.0067304195148395</v>
      </c>
      <c r="L48" s="40" t="n">
        <f aca="false">I48*(1+V48)</f>
        <v>0.00715221501801318</v>
      </c>
      <c r="M48" s="40" t="n">
        <f aca="false">F48*N48</f>
        <v>0.0544893405414468</v>
      </c>
      <c r="N48" s="40" t="n">
        <f aca="false">J48*H48</f>
        <v>0.0544893405414468</v>
      </c>
      <c r="O48" s="40" t="n">
        <f aca="false">K48*Q48</f>
        <v>0.0528337931914901</v>
      </c>
      <c r="P48" s="40" t="n">
        <f aca="false">L48*R48</f>
        <v>0.0561448878914035</v>
      </c>
      <c r="Q48" s="39" t="n">
        <f aca="false">INDEX(REF_MIN,MATCH(D48,REF_ID,0))</f>
        <v>7.85</v>
      </c>
      <c r="R48" s="39" t="n">
        <f aca="false">INDEX(REF_MAX,MATCH(D48,REF_ID,0))</f>
        <v>7.85</v>
      </c>
      <c r="S48" s="41" t="n">
        <v>0.421795503173683</v>
      </c>
      <c r="T48" s="42" t="n">
        <f aca="false">200*J48/S48</f>
        <v>3.29131876191108</v>
      </c>
      <c r="U48" s="43" t="n">
        <f aca="false">IFERROR(INDEX(ISO_TOL,MATCH(T48,ISO_DESDE,1)),0)</f>
        <v>0.1</v>
      </c>
      <c r="V48" s="44" t="n">
        <f aca="false">IF(T48&gt;0,U48/T48,0)</f>
        <v>0.0303829580887923</v>
      </c>
    </row>
    <row r="49" customFormat="false" ht="15" hidden="false" customHeight="false" outlineLevel="1" collapsed="false">
      <c r="A49" s="25" t="n">
        <v>1</v>
      </c>
      <c r="B49" s="26" t="s">
        <v>350</v>
      </c>
      <c r="C49" s="27" t="s">
        <v>276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IF(SUMIF(A50:A64,2,M50:M64)=0,"",SUMIF(A50:A64,2,M50:M64))</f>
        <v>0.398898710186752</v>
      </c>
      <c r="N49" s="30"/>
      <c r="O49" s="30" t="n">
        <f aca="false">IF(SUMIF(A50:A64,2,O50:O64)=0,"",SUMIF(A50:A64,2,O50:O64))</f>
        <v>0.371492012762684</v>
      </c>
      <c r="P49" s="30" t="n">
        <f aca="false">IF(SUMIF(A50:A64,2,P50:P64)=0,"",SUMIF(A50:A64,2,P50:P64))</f>
        <v>0.426538666802096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351</v>
      </c>
      <c r="C50" s="37" t="s">
        <v>278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2" collapsed="false">
      <c r="A51" s="35" t="n">
        <v>2</v>
      </c>
      <c r="B51" s="36" t="s">
        <v>352</v>
      </c>
      <c r="C51" s="37" t="s">
        <v>280</v>
      </c>
      <c r="D51" s="36" t="s">
        <v>23</v>
      </c>
      <c r="E51" s="36" t="str">
        <f aca="false">INDEX(REF_DATO,MATCH(D51,REF_ID,0))</f>
        <v>Caucho sintético (NBR / SBR)</v>
      </c>
      <c r="F51" s="38" t="n">
        <v>1</v>
      </c>
      <c r="G51" s="35" t="s">
        <v>264</v>
      </c>
      <c r="H51" s="39" t="n">
        <f aca="false">INDEX(REF_VAL,MATCH(D51,REF_ID,0))</f>
        <v>1.2</v>
      </c>
      <c r="I51" s="40" t="n">
        <f aca="false">F51*J51</f>
        <v>0.000842575149692783</v>
      </c>
      <c r="J51" s="40" t="n">
        <v>0.000842575149692783</v>
      </c>
      <c r="K51" s="40" t="n">
        <f aca="false">I51*(1-V51)</f>
        <v>0.000786403473046597</v>
      </c>
      <c r="L51" s="40" t="n">
        <f aca="false">I51*(1+V51)</f>
        <v>0.000898746826338968</v>
      </c>
      <c r="M51" s="40" t="n">
        <f aca="false">F51*N51</f>
        <v>0.00101109017963134</v>
      </c>
      <c r="N51" s="40" t="n">
        <f aca="false">J51*H51</f>
        <v>0.00101109017963134</v>
      </c>
      <c r="O51" s="40" t="n">
        <f aca="false">K51*Q51</f>
        <v>0.000865043820351257</v>
      </c>
      <c r="P51" s="40" t="n">
        <f aca="false">L51*R51</f>
        <v>0.00116837087424066</v>
      </c>
      <c r="Q51" s="39" t="n">
        <f aca="false">INDEX(REF_MIN,MATCH(D51,REF_ID,0))</f>
        <v>1.1</v>
      </c>
      <c r="R51" s="39" t="n">
        <f aca="false">INDEX(REF_MAX,MATCH(D51,REF_ID,0))</f>
        <v>1.3</v>
      </c>
      <c r="S51" s="41" t="n">
        <v>0.112343353292371</v>
      </c>
      <c r="T51" s="42" t="n">
        <f aca="false">200*J51/S51</f>
        <v>1.5</v>
      </c>
      <c r="U51" s="43" t="n">
        <f aca="false">IFERROR(INDEX(ISO_TOL,MATCH(T51,ISO_DESDE,1)),0)</f>
        <v>0.1</v>
      </c>
      <c r="V51" s="44" t="n">
        <f aca="false">IF(T51&gt;0,U51/T51,0)</f>
        <v>0.0666666666666666</v>
      </c>
    </row>
    <row r="52" customFormat="false" ht="15" hidden="false" customHeight="false" outlineLevel="2" collapsed="false">
      <c r="A52" s="35" t="n">
        <v>2</v>
      </c>
      <c r="B52" s="36" t="s">
        <v>353</v>
      </c>
      <c r="C52" s="37" t="s">
        <v>354</v>
      </c>
      <c r="D52" s="36"/>
      <c r="E52" s="36"/>
      <c r="F52" s="38" t="n">
        <v>1</v>
      </c>
      <c r="G52" s="35" t="s">
        <v>264</v>
      </c>
      <c r="H52" s="39"/>
      <c r="I52" s="40"/>
      <c r="J52" s="40"/>
      <c r="K52" s="40"/>
      <c r="L52" s="40"/>
      <c r="M52" s="40" t="n">
        <f aca="false">IF(SUMIF(A53:A64,3,M53:M64)=0,"",SUMIF(A53:A64,3,M53:M64))</f>
        <v>0.397887620007121</v>
      </c>
      <c r="N52" s="40" t="n">
        <f aca="false">IF(M52="","",M52/F52)</f>
        <v>0.397887620007121</v>
      </c>
      <c r="O52" s="40" t="n">
        <f aca="false">IF(SUMIF(A53:A64,3,O53:O64)=0,"",SUMIF(A53:A64,3,O53:O64))</f>
        <v>0.370626968942333</v>
      </c>
      <c r="P52" s="40" t="n">
        <f aca="false">IF(SUMIF(A53:A64,3,P53:P64)=0,"",SUMIF(A53:A64,3,P53:P64))</f>
        <v>0.425370295927856</v>
      </c>
      <c r="Q52" s="39"/>
      <c r="R52" s="39"/>
      <c r="S52" s="41"/>
      <c r="T52" s="42"/>
      <c r="U52" s="43"/>
      <c r="V52" s="44"/>
    </row>
    <row r="53" customFormat="false" ht="15" hidden="false" customHeight="false" outlineLevel="3" collapsed="false">
      <c r="A53" s="35" t="n">
        <v>3</v>
      </c>
      <c r="B53" s="36" t="s">
        <v>355</v>
      </c>
      <c r="C53" s="45" t="s">
        <v>284</v>
      </c>
      <c r="D53" s="36" t="s">
        <v>17</v>
      </c>
      <c r="E53" s="36" t="str">
        <f aca="false">INDEX(REF_DATO,MATCH(D53,REF_ID,0))</f>
        <v>Latón de forja (CuZn39Pb2 / C37700)</v>
      </c>
      <c r="F53" s="38" t="n">
        <v>1</v>
      </c>
      <c r="G53" s="35" t="s">
        <v>264</v>
      </c>
      <c r="H53" s="39" t="n">
        <f aca="false">INDEX(REF_VAL,MATCH(D53,REF_ID,0))</f>
        <v>8.45</v>
      </c>
      <c r="I53" s="40" t="n">
        <f aca="false">F53*J53</f>
        <v>0.00289757599381457</v>
      </c>
      <c r="J53" s="40" t="n">
        <v>0.00289757599381457</v>
      </c>
      <c r="K53" s="40" t="n">
        <f aca="false">I53*(1-V53)</f>
        <v>0.0027805356277529</v>
      </c>
      <c r="L53" s="40" t="n">
        <f aca="false">I53*(1+V53)</f>
        <v>0.00301461635987624</v>
      </c>
      <c r="M53" s="40" t="n">
        <f aca="false">F53*N53</f>
        <v>0.0244845171477331</v>
      </c>
      <c r="N53" s="40" t="n">
        <f aca="false">J53*H53</f>
        <v>0.0244845171477331</v>
      </c>
      <c r="O53" s="40" t="n">
        <f aca="false">K53*Q53</f>
        <v>0.0233564992731243</v>
      </c>
      <c r="P53" s="40" t="n">
        <f aca="false">L53*R53</f>
        <v>0.0256242390589481</v>
      </c>
      <c r="Q53" s="39" t="n">
        <f aca="false">INDEX(REF_MIN,MATCH(D53,REF_ID,0))</f>
        <v>8.4</v>
      </c>
      <c r="R53" s="39" t="n">
        <f aca="false">INDEX(REF_MAX,MATCH(D53,REF_ID,0))</f>
        <v>8.5</v>
      </c>
      <c r="S53" s="41" t="n">
        <v>0.234080732123344</v>
      </c>
      <c r="T53" s="42" t="n">
        <f aca="false">200*J53/S53</f>
        <v>2.47570653725378</v>
      </c>
      <c r="U53" s="43" t="n">
        <f aca="false">IFERROR(INDEX(ISO_TOL,MATCH(T53,ISO_DESDE,1)),0)</f>
        <v>0.1</v>
      </c>
      <c r="V53" s="44" t="n">
        <f aca="false">IF(T53&gt;0,U53/T53,0)</f>
        <v>0.0403925095705918</v>
      </c>
    </row>
    <row r="54" customFormat="false" ht="15" hidden="false" customHeight="false" outlineLevel="3" collapsed="false">
      <c r="A54" s="35" t="n">
        <v>3</v>
      </c>
      <c r="B54" s="36" t="s">
        <v>356</v>
      </c>
      <c r="C54" s="45" t="s">
        <v>286</v>
      </c>
      <c r="D54" s="36" t="s">
        <v>17</v>
      </c>
      <c r="E54" s="36" t="str">
        <f aca="false">INDEX(REF_DATO,MATCH(D54,REF_ID,0))</f>
        <v>Latón de forja (CuZn39Pb2 / C37700)</v>
      </c>
      <c r="F54" s="38" t="n">
        <v>1</v>
      </c>
      <c r="G54" s="35" t="s">
        <v>264</v>
      </c>
      <c r="H54" s="39" t="n">
        <f aca="false">INDEX(REF_VAL,MATCH(D54,REF_ID,0))</f>
        <v>8.45</v>
      </c>
      <c r="I54" s="40" t="n">
        <f aca="false">F54*J54</f>
        <v>0.000622782069311975</v>
      </c>
      <c r="J54" s="40" t="n">
        <v>0.000622782069311975</v>
      </c>
      <c r="K54" s="40" t="n">
        <f aca="false">I54*(1-V54)</f>
        <v>0.000575019978783559</v>
      </c>
      <c r="L54" s="40" t="n">
        <f aca="false">I54*(1+V54)</f>
        <v>0.00067054415984039</v>
      </c>
      <c r="M54" s="40" t="n">
        <f aca="false">F54*N54</f>
        <v>0.00526250848568618</v>
      </c>
      <c r="N54" s="40" t="n">
        <f aca="false">J54*H54</f>
        <v>0.00526250848568618</v>
      </c>
      <c r="O54" s="40" t="n">
        <f aca="false">K54*Q54</f>
        <v>0.00483016782178189</v>
      </c>
      <c r="P54" s="40" t="n">
        <f aca="false">L54*R54</f>
        <v>0.00569962535864332</v>
      </c>
      <c r="Q54" s="39" t="n">
        <f aca="false">INDEX(REF_MIN,MATCH(D54,REF_ID,0))</f>
        <v>8.4</v>
      </c>
      <c r="R54" s="39" t="n">
        <f aca="false">INDEX(REF_MAX,MATCH(D54,REF_ID,0))</f>
        <v>8.5</v>
      </c>
      <c r="S54" s="41" t="n">
        <v>0.095524181056832</v>
      </c>
      <c r="T54" s="42" t="n">
        <f aca="false">200*J54/S54</f>
        <v>1.3039254823686</v>
      </c>
      <c r="U54" s="43" t="n">
        <f aca="false">IFERROR(INDEX(ISO_TOL,MATCH(T54,ISO_DESDE,1)),0)</f>
        <v>0.1</v>
      </c>
      <c r="V54" s="44" t="n">
        <f aca="false">IF(T54&gt;0,U54/T54,0)</f>
        <v>0.0766914991325644</v>
      </c>
    </row>
    <row r="55" customFormat="false" ht="15" hidden="false" customHeight="false" outlineLevel="3" collapsed="false">
      <c r="A55" s="35" t="n">
        <v>3</v>
      </c>
      <c r="B55" s="36" t="s">
        <v>357</v>
      </c>
      <c r="C55" s="45" t="s">
        <v>288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0.0157211778450521</v>
      </c>
      <c r="J55" s="40" t="n">
        <v>0.0157211778450521</v>
      </c>
      <c r="K55" s="40" t="n">
        <f aca="false">I55*(1-V55)</f>
        <v>0.0154591130500674</v>
      </c>
      <c r="L55" s="40" t="n">
        <f aca="false">I55*(1+V55)</f>
        <v>0.0159832426400368</v>
      </c>
      <c r="M55" s="40" t="n">
        <f aca="false">F55*N55</f>
        <v>0.13284395279069</v>
      </c>
      <c r="N55" s="40" t="n">
        <f aca="false">J55*H55</f>
        <v>0.13284395279069</v>
      </c>
      <c r="O55" s="40" t="n">
        <f aca="false">K55*Q55</f>
        <v>0.129856549620566</v>
      </c>
      <c r="P55" s="40" t="n">
        <f aca="false">L55*R55</f>
        <v>0.135857562440313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0.524129589969401</v>
      </c>
      <c r="T55" s="42" t="n">
        <f aca="false">200*J55/S55</f>
        <v>5.99896596029616</v>
      </c>
      <c r="U55" s="43" t="n">
        <f aca="false">IFERROR(INDEX(ISO_TOL,MATCH(T55,ISO_DESDE,1)),0)</f>
        <v>0.1</v>
      </c>
      <c r="V55" s="44" t="n">
        <f aca="false">IF(T55&gt;0,U55/T55,0)</f>
        <v>0.0166695394942803</v>
      </c>
    </row>
    <row r="56" customFormat="false" ht="15" hidden="false" customHeight="false" outlineLevel="3" collapsed="false">
      <c r="A56" s="35" t="n">
        <v>3</v>
      </c>
      <c r="B56" s="36" t="s">
        <v>358</v>
      </c>
      <c r="C56" s="45" t="s">
        <v>290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0.00162231844631377</v>
      </c>
      <c r="J56" s="40" t="n">
        <v>0.00162231844631377</v>
      </c>
      <c r="K56" s="40" t="n">
        <f aca="false">I56*(1-V56)</f>
        <v>0.0015672149111698</v>
      </c>
      <c r="L56" s="40" t="n">
        <f aca="false">I56*(1+V56)</f>
        <v>0.00167742198145773</v>
      </c>
      <c r="M56" s="40" t="n">
        <f aca="false">F56*N56</f>
        <v>0.0137085908713513</v>
      </c>
      <c r="N56" s="40" t="n">
        <f aca="false">J56*H56</f>
        <v>0.0137085908713513</v>
      </c>
      <c r="O56" s="40" t="n">
        <f aca="false">K56*Q56</f>
        <v>0.0131646052538263</v>
      </c>
      <c r="P56" s="40" t="n">
        <f aca="false">L56*R56</f>
        <v>0.0142580868423907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0.11020707028793</v>
      </c>
      <c r="T56" s="42" t="n">
        <f aca="false">200*J56/S56</f>
        <v>2.94412770809578</v>
      </c>
      <c r="U56" s="43" t="n">
        <f aca="false">IFERROR(INDEX(ISO_TOL,MATCH(T56,ISO_DESDE,1)),0)</f>
        <v>0.1</v>
      </c>
      <c r="V56" s="44" t="n">
        <f aca="false">IF(T56&gt;0,U56/T56,0)</f>
        <v>0.0339659178931061</v>
      </c>
    </row>
    <row r="57" customFormat="false" ht="15" hidden="false" customHeight="false" outlineLevel="3" collapsed="false">
      <c r="A57" s="35" t="n">
        <v>3</v>
      </c>
      <c r="B57" s="36" t="s">
        <v>359</v>
      </c>
      <c r="C57" s="45" t="s">
        <v>292</v>
      </c>
      <c r="D57" s="36" t="s">
        <v>14</v>
      </c>
      <c r="E57" s="36" t="str">
        <f aca="false">INDEX(REF_DATO,MATCH(D57,REF_ID,0))</f>
        <v>Acero inoxidable AISI 302 / 304</v>
      </c>
      <c r="F57" s="38" t="n">
        <v>1</v>
      </c>
      <c r="G57" s="35" t="s">
        <v>264</v>
      </c>
      <c r="H57" s="39" t="n">
        <f aca="false">INDEX(REF_VAL,MATCH(D57,REF_ID,0))</f>
        <v>7.93</v>
      </c>
      <c r="I57" s="40" t="n">
        <f aca="false">F57*J57</f>
        <v>0.000611811346278937</v>
      </c>
      <c r="J57" s="40" t="n">
        <v>0.000611811346278937</v>
      </c>
      <c r="K57" s="40" t="n">
        <f aca="false">I57*(1-V57)</f>
        <v>0.000611811346278937</v>
      </c>
      <c r="L57" s="40" t="n">
        <f aca="false">I57*(1+V57)</f>
        <v>0.000611811346278937</v>
      </c>
      <c r="M57" s="40" t="n">
        <f aca="false">F57*N57</f>
        <v>0.00485166397599197</v>
      </c>
      <c r="N57" s="40" t="n">
        <f aca="false">J57*H57</f>
        <v>0.00485166397599197</v>
      </c>
      <c r="O57" s="40" t="n">
        <f aca="false">K57*Q57</f>
        <v>0.00485166397599197</v>
      </c>
      <c r="P57" s="40" t="n">
        <f aca="false">L57*R57</f>
        <v>0.00485166397599197</v>
      </c>
      <c r="Q57" s="39" t="n">
        <f aca="false">INDEX(REF_MIN,MATCH(D57,REF_ID,0))</f>
        <v>7.93</v>
      </c>
      <c r="R57" s="39" t="n">
        <f aca="false">INDEX(REF_MAX,MATCH(D57,REF_ID,0))</f>
        <v>7.93</v>
      </c>
      <c r="S57" s="41" t="n">
        <v>0.606955700673548</v>
      </c>
      <c r="T57" s="42" t="n">
        <f aca="false">200*J57/S57</f>
        <v>0.2016</v>
      </c>
      <c r="U57" s="43" t="n">
        <f aca="false">IFERROR(INDEX(ISO_TOL,MATCH(T57,ISO_DESDE,1)),0)</f>
        <v>0</v>
      </c>
      <c r="V57" s="44" t="n">
        <f aca="false">IF(T57&gt;0,U57/T57,0)</f>
        <v>0</v>
      </c>
    </row>
    <row r="58" customFormat="false" ht="15" hidden="false" customHeight="false" outlineLevel="3" collapsed="false">
      <c r="A58" s="35" t="n">
        <v>3</v>
      </c>
      <c r="B58" s="36" t="s">
        <v>360</v>
      </c>
      <c r="C58" s="45" t="s">
        <v>294</v>
      </c>
      <c r="D58" s="36" t="s">
        <v>14</v>
      </c>
      <c r="E58" s="36" t="str">
        <f aca="false">INDEX(REF_DATO,MATCH(D58,REF_ID,0))</f>
        <v>Acero inoxidable AISI 302 / 304</v>
      </c>
      <c r="F58" s="38" t="n">
        <v>1</v>
      </c>
      <c r="G58" s="35" t="s">
        <v>264</v>
      </c>
      <c r="H58" s="39" t="n">
        <f aca="false">INDEX(REF_VAL,MATCH(D58,REF_ID,0))</f>
        <v>7.93</v>
      </c>
      <c r="I58" s="40" t="n">
        <f aca="false">F58*J58</f>
        <v>0.000414690230273853</v>
      </c>
      <c r="J58" s="40" t="n">
        <v>0.000414690230273853</v>
      </c>
      <c r="K58" s="40" t="n">
        <f aca="false">I58*(1-V58)</f>
        <v>0.000392699081698725</v>
      </c>
      <c r="L58" s="40" t="n">
        <f aca="false">I58*(1+V58)</f>
        <v>0.000436681378848982</v>
      </c>
      <c r="M58" s="40" t="n">
        <f aca="false">F58*N58</f>
        <v>0.00328849352607166</v>
      </c>
      <c r="N58" s="40" t="n">
        <f aca="false">J58*H58</f>
        <v>0.00328849352607166</v>
      </c>
      <c r="O58" s="40" t="n">
        <f aca="false">K58*Q58</f>
        <v>0.00311410371787089</v>
      </c>
      <c r="P58" s="40" t="n">
        <f aca="false">L58*R58</f>
        <v>0.00346288333427243</v>
      </c>
      <c r="Q58" s="39" t="n">
        <f aca="false">INDEX(REF_MIN,MATCH(D58,REF_ID,0))</f>
        <v>7.93</v>
      </c>
      <c r="R58" s="39" t="n">
        <f aca="false">INDEX(REF_MAX,MATCH(D58,REF_ID,0))</f>
        <v>7.93</v>
      </c>
      <c r="S58" s="41" t="n">
        <v>0.0439822971502571</v>
      </c>
      <c r="T58" s="42" t="n">
        <f aca="false">200*J58/S58</f>
        <v>1.88571428571429</v>
      </c>
      <c r="U58" s="43" t="n">
        <f aca="false">IFERROR(INDEX(ISO_TOL,MATCH(T58,ISO_DESDE,1)),0)</f>
        <v>0.1</v>
      </c>
      <c r="V58" s="44" t="n">
        <f aca="false">IF(T58&gt;0,U58/T58,0)</f>
        <v>0.053030303030303</v>
      </c>
    </row>
    <row r="59" customFormat="false" ht="15" hidden="false" customHeight="false" outlineLevel="3" collapsed="false">
      <c r="A59" s="35" t="n">
        <v>3</v>
      </c>
      <c r="B59" s="36" t="s">
        <v>361</v>
      </c>
      <c r="C59" s="45" t="s">
        <v>296</v>
      </c>
      <c r="D59" s="36" t="s">
        <v>14</v>
      </c>
      <c r="E59" s="36" t="str">
        <f aca="false">INDEX(REF_DATO,MATCH(D59,REF_ID,0))</f>
        <v>Acero inoxidable AISI 302 / 304</v>
      </c>
      <c r="F59" s="38" t="n">
        <v>1</v>
      </c>
      <c r="G59" s="35" t="s">
        <v>264</v>
      </c>
      <c r="H59" s="39" t="n">
        <f aca="false">INDEX(REF_VAL,MATCH(D59,REF_ID,0))</f>
        <v>7.93</v>
      </c>
      <c r="I59" s="40" t="n">
        <f aca="false">F59*J59</f>
        <v>0.000697299381286492</v>
      </c>
      <c r="J59" s="40" t="n">
        <v>0.000697299381286492</v>
      </c>
      <c r="K59" s="40" t="n">
        <f aca="false">I59*(1-V59)</f>
        <v>0.000650528232618014</v>
      </c>
      <c r="L59" s="40" t="n">
        <f aca="false">I59*(1+V59)</f>
        <v>0.000744070529954969</v>
      </c>
      <c r="M59" s="40" t="n">
        <f aca="false">F59*N59</f>
        <v>0.00552958409360188</v>
      </c>
      <c r="N59" s="40" t="n">
        <f aca="false">J59*H59</f>
        <v>0.00552958409360188</v>
      </c>
      <c r="O59" s="40" t="n">
        <f aca="false">K59*Q59</f>
        <v>0.00515868888466085</v>
      </c>
      <c r="P59" s="40" t="n">
        <f aca="false">L59*R59</f>
        <v>0.0059004793025429</v>
      </c>
      <c r="Q59" s="39" t="n">
        <f aca="false">INDEX(REF_MIN,MATCH(D59,REF_ID,0))</f>
        <v>7.93</v>
      </c>
      <c r="R59" s="39" t="n">
        <f aca="false">INDEX(REF_MAX,MATCH(D59,REF_ID,0))</f>
        <v>7.93</v>
      </c>
      <c r="S59" s="41" t="n">
        <v>0.0935422973369548</v>
      </c>
      <c r="T59" s="42" t="n">
        <f aca="false">200*J59/S59</f>
        <v>1.49087503971536</v>
      </c>
      <c r="U59" s="43" t="n">
        <f aca="false">IFERROR(INDEX(ISO_TOL,MATCH(T59,ISO_DESDE,1)),0)</f>
        <v>0.1</v>
      </c>
      <c r="V59" s="44" t="n">
        <f aca="false">IF(T59&gt;0,U59/T59,0)</f>
        <v>0.0670747026652832</v>
      </c>
    </row>
    <row r="60" customFormat="false" ht="15" hidden="false" customHeight="false" outlineLevel="3" collapsed="false">
      <c r="A60" s="35" t="n">
        <v>3</v>
      </c>
      <c r="B60" s="36" t="s">
        <v>362</v>
      </c>
      <c r="C60" s="45" t="s">
        <v>298</v>
      </c>
      <c r="D60" s="36" t="s">
        <v>10</v>
      </c>
      <c r="E60" s="36" t="str">
        <f aca="false">INDEX(REF_DATO,MATCH(D60,REF_ID,0))</f>
        <v>Acero (chapa LAC/LAF, SAE 1010/1045)</v>
      </c>
      <c r="F60" s="38" t="n">
        <v>1</v>
      </c>
      <c r="G60" s="35" t="s">
        <v>264</v>
      </c>
      <c r="H60" s="39" t="n">
        <f aca="false">INDEX(REF_VAL,MATCH(D60,REF_ID,0))</f>
        <v>7.85</v>
      </c>
      <c r="I60" s="40" t="n">
        <f aca="false">F60*J60</f>
        <v>0.0122208194772713</v>
      </c>
      <c r="J60" s="40" t="n">
        <v>0.0122208194772713</v>
      </c>
      <c r="K60" s="40" t="n">
        <f aca="false">I60*(1-V60)</f>
        <v>0.0109151420660493</v>
      </c>
      <c r="L60" s="40" t="n">
        <f aca="false">I60*(1+V60)</f>
        <v>0.0135264968884933</v>
      </c>
      <c r="M60" s="40" t="n">
        <f aca="false">F60*N60</f>
        <v>0.0959334328965799</v>
      </c>
      <c r="N60" s="40" t="n">
        <f aca="false">J60*H60</f>
        <v>0.0959334328965799</v>
      </c>
      <c r="O60" s="40" t="n">
        <f aca="false">K60*Q60</f>
        <v>0.0856838652184872</v>
      </c>
      <c r="P60" s="40" t="n">
        <f aca="false">L60*R60</f>
        <v>0.106183000574673</v>
      </c>
      <c r="Q60" s="39" t="n">
        <f aca="false">INDEX(REF_MIN,MATCH(D60,REF_ID,0))</f>
        <v>7.85</v>
      </c>
      <c r="R60" s="39" t="n">
        <f aca="false">INDEX(REF_MAX,MATCH(D60,REF_ID,0))</f>
        <v>7.85</v>
      </c>
      <c r="S60" s="41" t="n">
        <v>2.61135482244402</v>
      </c>
      <c r="T60" s="42" t="n">
        <f aca="false">200*J60/S60</f>
        <v>0.935975408032342</v>
      </c>
      <c r="U60" s="43" t="n">
        <f aca="false">IFERROR(INDEX(ISO_TOL,MATCH(T60,ISO_DESDE,1)),0)</f>
        <v>0.1</v>
      </c>
      <c r="V60" s="44" t="n">
        <f aca="false">IF(T60&gt;0,U60/T60,0)</f>
        <v>0.106840413905986</v>
      </c>
    </row>
    <row r="61" customFormat="false" ht="15" hidden="false" customHeight="false" outlineLevel="3" collapsed="false">
      <c r="A61" s="35" t="n">
        <v>3</v>
      </c>
      <c r="B61" s="36" t="s">
        <v>363</v>
      </c>
      <c r="C61" s="45" t="s">
        <v>300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0.00964038014337071</v>
      </c>
      <c r="J61" s="40" t="n">
        <v>0.00964038014337071</v>
      </c>
      <c r="K61" s="40" t="n">
        <f aca="false">I61*(1-V61)</f>
        <v>0.00865558197544063</v>
      </c>
      <c r="L61" s="40" t="n">
        <f aca="false">I61*(1+V61)</f>
        <v>0.0106251783113008</v>
      </c>
      <c r="M61" s="40" t="n">
        <f aca="false">F61*N61</f>
        <v>0.0756769841254601</v>
      </c>
      <c r="N61" s="40" t="n">
        <f aca="false">J61*H61</f>
        <v>0.0756769841254601</v>
      </c>
      <c r="O61" s="40" t="n">
        <f aca="false">K61*Q61</f>
        <v>0.067946318507209</v>
      </c>
      <c r="P61" s="40" t="n">
        <f aca="false">L61*R61</f>
        <v>0.0834076497437112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1.96959633586015</v>
      </c>
      <c r="T61" s="42" t="n">
        <f aca="false">200*J61/S61</f>
        <v>0.978919382398283</v>
      </c>
      <c r="U61" s="43" t="n">
        <f aca="false">IFERROR(INDEX(ISO_TOL,MATCH(T61,ISO_DESDE,1)),0)</f>
        <v>0.1</v>
      </c>
      <c r="V61" s="44" t="n">
        <f aca="false">IF(T61&gt;0,U61/T61,0)</f>
        <v>0.102153457984464</v>
      </c>
    </row>
    <row r="62" customFormat="false" ht="15" hidden="false" customHeight="false" outlineLevel="3" collapsed="false">
      <c r="A62" s="35" t="n">
        <v>3</v>
      </c>
      <c r="B62" s="36" t="s">
        <v>364</v>
      </c>
      <c r="C62" s="45" t="s">
        <v>302</v>
      </c>
      <c r="D62" s="36" t="s">
        <v>32</v>
      </c>
      <c r="E62" s="36" t="str">
        <f aca="false">INDEX(REF_DATO,MATCH(D62,REF_ID,0))</f>
        <v>PVC rígido, vinilo y papeles de identificación</v>
      </c>
      <c r="F62" s="38" t="n">
        <v>1</v>
      </c>
      <c r="G62" s="35" t="s">
        <v>264</v>
      </c>
      <c r="H62" s="39" t="n">
        <f aca="false">INDEX(REF_VAL,MATCH(D62,REF_ID,0))</f>
        <v>1.4</v>
      </c>
      <c r="I62" s="40" t="n">
        <f aca="false">F62*J62</f>
        <v>0.0259342086385389</v>
      </c>
      <c r="J62" s="40" t="n">
        <v>0.0259342086385389</v>
      </c>
      <c r="K62" s="40" t="n">
        <f aca="false">I62*(1-V62)</f>
        <v>0.0241959308657885</v>
      </c>
      <c r="L62" s="40" t="n">
        <f aca="false">I62*(1+V62)</f>
        <v>0.0276724864112894</v>
      </c>
      <c r="M62" s="40" t="n">
        <f aca="false">F62*N62</f>
        <v>0.0363078920939545</v>
      </c>
      <c r="N62" s="40" t="n">
        <f aca="false">J62*H62</f>
        <v>0.0363078920939545</v>
      </c>
      <c r="O62" s="40" t="n">
        <f aca="false">K62*Q62</f>
        <v>0.0326645066688145</v>
      </c>
      <c r="P62" s="40" t="n">
        <f aca="false">L62*R62</f>
        <v>0.0401251052963696</v>
      </c>
      <c r="Q62" s="39" t="n">
        <f aca="false">INDEX(REF_MIN,MATCH(D62,REF_ID,0))</f>
        <v>1.35</v>
      </c>
      <c r="R62" s="39" t="n">
        <f aca="false">INDEX(REF_MAX,MATCH(D62,REF_ID,0))</f>
        <v>1.45</v>
      </c>
      <c r="S62" s="41" t="n">
        <v>3.47655554550084</v>
      </c>
      <c r="T62" s="42" t="n">
        <f aca="false">200*J62/S62</f>
        <v>1.49194847020934</v>
      </c>
      <c r="U62" s="43" t="n">
        <f aca="false">IFERROR(INDEX(ISO_TOL,MATCH(T62,ISO_DESDE,1)),0)</f>
        <v>0.1</v>
      </c>
      <c r="V62" s="44" t="n">
        <f aca="false">IF(T62&gt;0,U62/T62,0)</f>
        <v>0.0670264436049649</v>
      </c>
    </row>
    <row r="63" customFormat="false" ht="15" hidden="false" customHeight="false" outlineLevel="3" collapsed="false">
      <c r="A63" s="35" t="n">
        <v>3</v>
      </c>
      <c r="B63" s="36" t="s">
        <v>365</v>
      </c>
      <c r="C63" s="45" t="s">
        <v>304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3" collapsed="false">
      <c r="A64" s="35" t="n">
        <v>3</v>
      </c>
      <c r="B64" s="36" t="s">
        <v>366</v>
      </c>
      <c r="C64" s="45" t="s">
        <v>306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1" collapsed="false">
      <c r="A65" s="25" t="n">
        <v>1</v>
      </c>
      <c r="B65" s="26" t="s">
        <v>367</v>
      </c>
      <c r="C65" s="27" t="s">
        <v>308</v>
      </c>
      <c r="D65" s="26"/>
      <c r="E65" s="26"/>
      <c r="F65" s="28" t="n">
        <v>1</v>
      </c>
      <c r="G65" s="25" t="s">
        <v>264</v>
      </c>
      <c r="H65" s="29"/>
      <c r="I65" s="30"/>
      <c r="J65" s="30"/>
      <c r="K65" s="30"/>
      <c r="L65" s="30"/>
      <c r="M65" s="30" t="n">
        <f aca="false">IF(SUMIF(A66:A69,2,M66:M69)=0,"",SUMIF(A66:A69,2,M66:M69))</f>
        <v>0.172163108794372</v>
      </c>
      <c r="N65" s="30"/>
      <c r="O65" s="30" t="n">
        <f aca="false">IF(SUMIF(A66:A69,2,O66:O69)=0,"",SUMIF(A66:A69,2,O66:O69))</f>
        <v>0.161456810758534</v>
      </c>
      <c r="P65" s="30" t="n">
        <f aca="false">IF(SUMIF(A66:A69,2,P66:P69)=0,"",SUMIF(A66:A69,2,P66:P69))</f>
        <v>0.18329807803963</v>
      </c>
      <c r="Q65" s="29"/>
      <c r="R65" s="29"/>
      <c r="S65" s="31"/>
      <c r="T65" s="32"/>
      <c r="U65" s="33"/>
      <c r="V65" s="34"/>
    </row>
    <row r="66" customFormat="false" ht="15" hidden="false" customHeight="false" outlineLevel="2" collapsed="false">
      <c r="A66" s="35" t="n">
        <v>2</v>
      </c>
      <c r="B66" s="36" t="s">
        <v>368</v>
      </c>
      <c r="C66" s="37" t="s">
        <v>369</v>
      </c>
      <c r="D66" s="36" t="s">
        <v>17</v>
      </c>
      <c r="E66" s="36" t="str">
        <f aca="false">INDEX(REF_DATO,MATCH(D66,REF_ID,0))</f>
        <v>Latón de forja (CuZn39Pb2 / C37700)</v>
      </c>
      <c r="F66" s="38" t="n">
        <v>1</v>
      </c>
      <c r="G66" s="35" t="s">
        <v>264</v>
      </c>
      <c r="H66" s="39" t="n">
        <f aca="false">INDEX(REF_VAL,MATCH(D66,REF_ID,0))</f>
        <v>8.45</v>
      </c>
      <c r="I66" s="40" t="n">
        <f aca="false">F66*J66</f>
        <v>0.00466607483608731</v>
      </c>
      <c r="J66" s="40" t="n">
        <v>0.00466607483608731</v>
      </c>
      <c r="K66" s="40" t="n">
        <f aca="false">I66*(1-V66)</f>
        <v>0.00458505473234755</v>
      </c>
      <c r="L66" s="40" t="n">
        <f aca="false">I66*(1+V66)</f>
        <v>0.00474709493982706</v>
      </c>
      <c r="M66" s="40" t="n">
        <f aca="false">F66*N66</f>
        <v>0.0394283323649377</v>
      </c>
      <c r="N66" s="40" t="n">
        <f aca="false">J66*H66</f>
        <v>0.0394283323649377</v>
      </c>
      <c r="O66" s="40" t="n">
        <f aca="false">K66*Q66</f>
        <v>0.0385144597517194</v>
      </c>
      <c r="P66" s="40" t="n">
        <f aca="false">L66*R66</f>
        <v>0.04035030698853</v>
      </c>
      <c r="Q66" s="39" t="n">
        <f aca="false">INDEX(REF_MIN,MATCH(D66,REF_ID,0))</f>
        <v>8.4</v>
      </c>
      <c r="R66" s="39" t="n">
        <f aca="false">INDEX(REF_MAX,MATCH(D66,REF_ID,0))</f>
        <v>8.5</v>
      </c>
      <c r="S66" s="41" t="n">
        <v>0.162040207479508</v>
      </c>
      <c r="T66" s="42" t="n">
        <f aca="false">200*J66/S66</f>
        <v>5.75915682739099</v>
      </c>
      <c r="U66" s="43" t="n">
        <f aca="false">IFERROR(INDEX(ISO_TOL,MATCH(T66,ISO_DESDE,1)),0)</f>
        <v>0.1</v>
      </c>
      <c r="V66" s="44" t="n">
        <f aca="false">IF(T66&gt;0,U66/T66,0)</f>
        <v>0.0173636528743917</v>
      </c>
    </row>
    <row r="67" customFormat="false" ht="15" hidden="false" customHeight="false" outlineLevel="2" collapsed="false">
      <c r="A67" s="35" t="n">
        <v>2</v>
      </c>
      <c r="B67" s="36" t="s">
        <v>370</v>
      </c>
      <c r="C67" s="37" t="s">
        <v>371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0.0306825378037798</v>
      </c>
      <c r="J67" s="40" t="n">
        <v>0.0306825378037798</v>
      </c>
      <c r="K67" s="40" t="n">
        <f aca="false">I67*(1-V67)</f>
        <v>0.029532877723192</v>
      </c>
      <c r="L67" s="40" t="n">
        <f aca="false">I67*(1+V67)</f>
        <v>0.0318321978843677</v>
      </c>
      <c r="M67" s="40" t="n">
        <f aca="false">F67*N67</f>
        <v>0.0368190453645358</v>
      </c>
      <c r="N67" s="40" t="n">
        <f aca="false">J67*H67</f>
        <v>0.0368190453645358</v>
      </c>
      <c r="O67" s="40" t="n">
        <f aca="false">K67*Q67</f>
        <v>0.0324861654955112</v>
      </c>
      <c r="P67" s="40" t="n">
        <f aca="false">L67*R67</f>
        <v>0.041381857249678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2.29932016117576</v>
      </c>
      <c r="T67" s="42" t="n">
        <f aca="false">200*J67/S67</f>
        <v>2.66883562557815</v>
      </c>
      <c r="U67" s="43" t="n">
        <f aca="false">IFERROR(INDEX(ISO_TOL,MATCH(T67,ISO_DESDE,1)),0)</f>
        <v>0.1</v>
      </c>
      <c r="V67" s="44" t="n">
        <f aca="false">IF(T67&gt;0,U67/T67,0)</f>
        <v>0.0374695238034141</v>
      </c>
    </row>
    <row r="68" customFormat="false" ht="15" hidden="false" customHeight="false" outlineLevel="2" collapsed="false">
      <c r="A68" s="35" t="n">
        <v>2</v>
      </c>
      <c r="B68" s="36" t="s">
        <v>372</v>
      </c>
      <c r="C68" s="37" t="s">
        <v>373</v>
      </c>
      <c r="D68" s="36" t="s">
        <v>26</v>
      </c>
      <c r="E68" s="36" t="str">
        <f aca="false">INDEX(REF_DATO,MATCH(D68,REF_ID,0))</f>
        <v>Polipropileno</v>
      </c>
      <c r="F68" s="38" t="n">
        <v>1</v>
      </c>
      <c r="G68" s="35" t="s">
        <v>264</v>
      </c>
      <c r="H68" s="39" t="n">
        <f aca="false">INDEX(REF_VAL,MATCH(D68,REF_ID,0))</f>
        <v>0.9</v>
      </c>
      <c r="I68" s="40" t="n">
        <f aca="false">F68*J68</f>
        <v>0.0187178422933425</v>
      </c>
      <c r="J68" s="40" t="n">
        <v>0.0187178422933425</v>
      </c>
      <c r="K68" s="40" t="n">
        <f aca="false">I68*(1-V68)</f>
        <v>0.0183719662939511</v>
      </c>
      <c r="L68" s="40" t="n">
        <f aca="false">I68*(1+V68)</f>
        <v>0.019063718292734</v>
      </c>
      <c r="M68" s="40" t="n">
        <f aca="false">F68*N68</f>
        <v>0.0168460580640083</v>
      </c>
      <c r="N68" s="40" t="n">
        <f aca="false">J68*H68</f>
        <v>0.0168460580640083</v>
      </c>
      <c r="O68" s="40" t="n">
        <f aca="false">K68*Q68</f>
        <v>0.0165347696645559</v>
      </c>
      <c r="P68" s="40" t="n">
        <f aca="false">L68*R68</f>
        <v>0.0173479836463879</v>
      </c>
      <c r="Q68" s="39" t="n">
        <f aca="false">INDEX(REF_MIN,MATCH(D68,REF_ID,0))</f>
        <v>0.9</v>
      </c>
      <c r="R68" s="39" t="n">
        <f aca="false">INDEX(REF_MAX,MATCH(D68,REF_ID,0))</f>
        <v>0.91</v>
      </c>
      <c r="S68" s="41" t="n">
        <v>0.691751998782917</v>
      </c>
      <c r="T68" s="42" t="n">
        <f aca="false">200*J68/S68</f>
        <v>5.41172047967337</v>
      </c>
      <c r="U68" s="43" t="n">
        <f aca="false">IFERROR(INDEX(ISO_TOL,MATCH(T68,ISO_DESDE,1)),0)</f>
        <v>0.1</v>
      </c>
      <c r="V68" s="44" t="n">
        <f aca="false">IF(T68&gt;0,U68/T68,0)</f>
        <v>0.018478411879476</v>
      </c>
    </row>
    <row r="69" customFormat="false" ht="15" hidden="false" customHeight="false" outlineLevel="2" collapsed="false">
      <c r="A69" s="35" t="n">
        <v>2</v>
      </c>
      <c r="B69" s="36" t="s">
        <v>374</v>
      </c>
      <c r="C69" s="37" t="s">
        <v>375</v>
      </c>
      <c r="D69" s="36" t="s">
        <v>10</v>
      </c>
      <c r="E69" s="36" t="str">
        <f aca="false">INDEX(REF_DATO,MATCH(D69,REF_ID,0))</f>
        <v>Acero (chapa LAC/LAF, SAE 1010/1045)</v>
      </c>
      <c r="F69" s="38" t="n">
        <v>1</v>
      </c>
      <c r="G69" s="35" t="s">
        <v>264</v>
      </c>
      <c r="H69" s="39" t="n">
        <f aca="false">INDEX(REF_VAL,MATCH(D69,REF_ID,0))</f>
        <v>7.85</v>
      </c>
      <c r="I69" s="40" t="n">
        <f aca="false">F69*J69</f>
        <v>0.0100725698090306</v>
      </c>
      <c r="J69" s="40" t="n">
        <v>0.0100725698090306</v>
      </c>
      <c r="K69" s="40" t="n">
        <f aca="false">I69*(1-V69)</f>
        <v>0.00941674087219709</v>
      </c>
      <c r="L69" s="40" t="n">
        <f aca="false">I69*(1+V69)</f>
        <v>0.0107283987458642</v>
      </c>
      <c r="M69" s="40" t="n">
        <f aca="false">F69*N69</f>
        <v>0.0790696730008905</v>
      </c>
      <c r="N69" s="40" t="n">
        <f aca="false">J69*H69</f>
        <v>0.0790696730008905</v>
      </c>
      <c r="O69" s="40" t="n">
        <f aca="false">K69*Q69</f>
        <v>0.0739214158467472</v>
      </c>
      <c r="P69" s="40" t="n">
        <f aca="false">L69*R69</f>
        <v>0.0842179301550338</v>
      </c>
      <c r="Q69" s="39" t="n">
        <f aca="false">INDEX(REF_MIN,MATCH(D69,REF_ID,0))</f>
        <v>7.85</v>
      </c>
      <c r="R69" s="39" t="n">
        <f aca="false">INDEX(REF_MAX,MATCH(D69,REF_ID,0))</f>
        <v>7.85</v>
      </c>
      <c r="S69" s="41" t="n">
        <v>1.31165787366709</v>
      </c>
      <c r="T69" s="42" t="n">
        <f aca="false">200*J69/S69</f>
        <v>1.53585321466033</v>
      </c>
      <c r="U69" s="43" t="n">
        <f aca="false">IFERROR(INDEX(ISO_TOL,MATCH(T69,ISO_DESDE,1)),0)</f>
        <v>0.1</v>
      </c>
      <c r="V69" s="44" t="n">
        <f aca="false">IF(T69&gt;0,U69/T69,0)</f>
        <v>0.0651103888349877</v>
      </c>
    </row>
    <row r="70" customFormat="false" ht="15" hidden="false" customHeight="false" outlineLevel="1" collapsed="false">
      <c r="A70" s="25" t="n">
        <v>1</v>
      </c>
      <c r="B70" s="26" t="s">
        <v>376</v>
      </c>
      <c r="C70" s="27" t="s">
        <v>312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IF(SUMIF(A71:A72,2,M71:M72)=0,"",SUMIF(A71:A72,2,M71:M72))</f>
        <v>2.57038372240692</v>
      </c>
      <c r="N70" s="30"/>
      <c r="O70" s="30" t="n">
        <f aca="false">IF(SUMIF(A71:A72,2,O71:O72)=0,"",SUMIF(A71:A72,2,O71:O72))</f>
        <v>2.51765161195874</v>
      </c>
      <c r="P70" s="30" t="n">
        <f aca="false">IF(SUMIF(A71:A72,2,P71:P72)=0,"",SUMIF(A71:A72,2,P71:P72))</f>
        <v>2.62330058820629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377</v>
      </c>
      <c r="C71" s="37" t="s">
        <v>314</v>
      </c>
      <c r="D71" s="36" t="s">
        <v>37</v>
      </c>
      <c r="E71" s="36" t="str">
        <f aca="false">INDEX(REF_DATO,MATCH(D71,REF_ID,0))</f>
        <v>Polvo ABC asentado en el recipiente</v>
      </c>
      <c r="F71" s="38" t="n">
        <f aca="false">MODELOS!$L$4</f>
        <v>2.55</v>
      </c>
      <c r="G71" s="35" t="s">
        <v>123</v>
      </c>
      <c r="H71" s="39" t="n">
        <f aca="false">INDEX(REF_VAL,MATCH(D71,REF_ID,0))</f>
        <v>1.1</v>
      </c>
      <c r="I71" s="40" t="n">
        <f aca="false">F71*J71</f>
        <v>2.31818181818182</v>
      </c>
      <c r="J71" s="40" t="n">
        <f aca="false">1/H71</f>
        <v>0.909090909090909</v>
      </c>
      <c r="K71" s="40" t="n">
        <f aca="false">MODELOS!$M$4/R71</f>
        <v>2.27272727272727</v>
      </c>
      <c r="L71" s="40" t="n">
        <f aca="false">MODELOS!$N$4/Q71</f>
        <v>2.36363636363636</v>
      </c>
      <c r="M71" s="40" t="n">
        <f aca="false">F71</f>
        <v>2.55</v>
      </c>
      <c r="N71" s="40" t="n">
        <v>1</v>
      </c>
      <c r="O71" s="40" t="n">
        <f aca="false">MODELOS!$M$4</f>
        <v>2.5</v>
      </c>
      <c r="P71" s="40" t="n">
        <f aca="false">MODELOS!$N$4</f>
        <v>2.6</v>
      </c>
      <c r="Q71" s="39" t="n">
        <f aca="false">INDEX(REF_MIN,MATCH(D71,REF_ID,0))</f>
        <v>1.1</v>
      </c>
      <c r="R71" s="39" t="n">
        <f aca="false">INDEX(REF_MAX,MATCH(D71,REF_ID,0))</f>
        <v>1.1</v>
      </c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378</v>
      </c>
      <c r="C72" s="37" t="s">
        <v>316</v>
      </c>
      <c r="D72" s="36" t="s">
        <v>78</v>
      </c>
      <c r="E72" s="36" t="str">
        <f aca="false">INDEX(REF_DATO,MATCH(D72,REF_ID,0))</f>
        <v>Nitrógeno seco (densidad normal)</v>
      </c>
      <c r="F72" s="38" t="n">
        <f aca="false">MODELOS!$AF$4</f>
        <v>0.0203837224069173</v>
      </c>
      <c r="G72" s="35" t="s">
        <v>123</v>
      </c>
      <c r="H72" s="39" t="n">
        <f aca="false">INDEX(REF_VAL,MATCH(D72,REF_ID,0))</f>
        <v>0.00124921923797626</v>
      </c>
      <c r="I72" s="40" t="n">
        <f aca="false">F72*J72</f>
        <v>16.3171697867373</v>
      </c>
      <c r="J72" s="40" t="n">
        <f aca="false">1/H72</f>
        <v>800.5</v>
      </c>
      <c r="K72" s="40" t="n">
        <f aca="false">MODELOS!$AG$4/H72</f>
        <v>14.1301153729708</v>
      </c>
      <c r="L72" s="40" t="n">
        <f aca="false">MODELOS!$AH$4/H72</f>
        <v>18.6521208591314</v>
      </c>
      <c r="M72" s="40" t="n">
        <f aca="false">F72</f>
        <v>0.0203837224069173</v>
      </c>
      <c r="N72" s="40" t="n">
        <v>1</v>
      </c>
      <c r="O72" s="40" t="n">
        <f aca="false">MODELOS!$AG$4</f>
        <v>0.0176516119587392</v>
      </c>
      <c r="P72" s="40" t="n">
        <f aca="false">MODELOS!$AH$4</f>
        <v>0.0233005882062854</v>
      </c>
      <c r="Q72" s="39"/>
      <c r="R72" s="39"/>
      <c r="S72" s="41"/>
      <c r="T72" s="42"/>
      <c r="U72" s="43"/>
      <c r="V72" s="44"/>
    </row>
    <row r="73" customFormat="false" ht="15" hidden="false" customHeight="false" outlineLevel="1" collapsed="false">
      <c r="A73" s="25" t="n">
        <v>1</v>
      </c>
      <c r="B73" s="26" t="s">
        <v>379</v>
      </c>
      <c r="C73" s="27" t="s">
        <v>318</v>
      </c>
      <c r="D73" s="26"/>
      <c r="E73" s="26"/>
      <c r="F73" s="28" t="n">
        <v>1</v>
      </c>
      <c r="G73" s="25" t="s">
        <v>264</v>
      </c>
      <c r="H73" s="29"/>
      <c r="I73" s="30"/>
      <c r="J73" s="30"/>
      <c r="K73" s="30"/>
      <c r="L73" s="30"/>
      <c r="M73" s="30" t="n">
        <f aca="false">IF(SUMIF(A74:A80,2,M74:M80)=0,"",SUMIF(A74:A80,2,M74:M80))</f>
        <v>0.0208526377980796</v>
      </c>
      <c r="N73" s="30"/>
      <c r="O73" s="30" t="n">
        <f aca="false">IF(SUMIF(A74:A80,2,O74:O80)=0,"",SUMIF(A74:A80,2,O74:O80))</f>
        <v>0.0201053762397658</v>
      </c>
      <c r="P73" s="30" t="n">
        <f aca="false">IF(SUMIF(A74:A80,2,P74:P80)=0,"",SUMIF(A74:A80,2,P74:P80))</f>
        <v>0.0216019610265723</v>
      </c>
      <c r="Q73" s="29"/>
      <c r="R73" s="29"/>
      <c r="S73" s="31"/>
      <c r="T73" s="32"/>
      <c r="U73" s="33"/>
      <c r="V73" s="34"/>
    </row>
    <row r="74" customFormat="false" ht="15" hidden="false" customHeight="false" outlineLevel="2" collapsed="false">
      <c r="A74" s="35" t="n">
        <v>2</v>
      </c>
      <c r="B74" s="36" t="s">
        <v>380</v>
      </c>
      <c r="C74" s="37" t="s">
        <v>320</v>
      </c>
      <c r="D74" s="36" t="s">
        <v>32</v>
      </c>
      <c r="E74" s="36" t="str">
        <f aca="false">INDEX(REF_DATO,MATCH(D74,REF_ID,0))</f>
        <v>PVC rígido, vinilo y papeles de identificación</v>
      </c>
      <c r="F74" s="38" t="n">
        <v>1</v>
      </c>
      <c r="G74" s="35" t="s">
        <v>264</v>
      </c>
      <c r="H74" s="39" t="n">
        <f aca="false">INDEX(REF_VAL,MATCH(D74,REF_ID,0))</f>
        <v>1.4</v>
      </c>
      <c r="I74" s="40" t="n">
        <f aca="false">F74*J74</f>
        <v>0.0106574557781564</v>
      </c>
      <c r="J74" s="40" t="n">
        <v>0.0106574557781564</v>
      </c>
      <c r="K74" s="40" t="n">
        <f aca="false">I74*(1-V74)</f>
        <v>0.0106574557781564</v>
      </c>
      <c r="L74" s="40" t="n">
        <f aca="false">I74*(1+V74)</f>
        <v>0.0106574557781564</v>
      </c>
      <c r="M74" s="40" t="n">
        <f aca="false">F74*N74</f>
        <v>0.014920438089419</v>
      </c>
      <c r="N74" s="40" t="n">
        <f aca="false">J74*H74</f>
        <v>0.014920438089419</v>
      </c>
      <c r="O74" s="40" t="n">
        <f aca="false">K74*Q74</f>
        <v>0.0143875653005112</v>
      </c>
      <c r="P74" s="40" t="n">
        <f aca="false">L74*R74</f>
        <v>0.0154533108783268</v>
      </c>
      <c r="Q74" s="39" t="n">
        <f aca="false">INDEX(REF_MIN,MATCH(D74,REF_ID,0))</f>
        <v>1.35</v>
      </c>
      <c r="R74" s="39" t="n">
        <f aca="false">INDEX(REF_MAX,MATCH(D74,REF_ID,0))</f>
        <v>1.45</v>
      </c>
      <c r="S74" s="41" t="n">
        <v>7.12812579174125</v>
      </c>
      <c r="T74" s="42" t="n">
        <f aca="false">200*J74/S74</f>
        <v>0.299025468672404</v>
      </c>
      <c r="U74" s="43" t="n">
        <f aca="false">IFERROR(INDEX(ISO_TOL,MATCH(T74,ISO_DESDE,1)),0)</f>
        <v>0</v>
      </c>
      <c r="V74" s="44" t="n">
        <f aca="false">IF(T74&gt;0,U74/T74,0)</f>
        <v>0</v>
      </c>
    </row>
    <row r="75" customFormat="false" ht="15" hidden="false" customHeight="false" outlineLevel="2" collapsed="false">
      <c r="A75" s="35" t="n">
        <v>2</v>
      </c>
      <c r="B75" s="36" t="s">
        <v>381</v>
      </c>
      <c r="C75" s="37" t="s">
        <v>322</v>
      </c>
      <c r="D75" s="36" t="s">
        <v>32</v>
      </c>
      <c r="E75" s="36" t="str">
        <f aca="false">INDEX(REF_DATO,MATCH(D75,REF_ID,0))</f>
        <v>PVC rígido, vinilo y papeles de identificación</v>
      </c>
      <c r="F75" s="38" t="n">
        <v>1</v>
      </c>
      <c r="G75" s="35" t="s">
        <v>264</v>
      </c>
      <c r="H75" s="39" t="n">
        <f aca="false">INDEX(REF_VAL,MATCH(D75,REF_ID,0))</f>
        <v>1.4</v>
      </c>
      <c r="I75" s="40" t="n">
        <f aca="false">F75*J75</f>
        <v>0.000636335806451613</v>
      </c>
      <c r="J75" s="40" t="n">
        <v>0.000636335806451613</v>
      </c>
      <c r="K75" s="40" t="n">
        <f aca="false">I75*(1-V75)</f>
        <v>0.000636335806451613</v>
      </c>
      <c r="L75" s="40" t="n">
        <f aca="false">I75*(1+V75)</f>
        <v>0.000636335806451613</v>
      </c>
      <c r="M75" s="40" t="n">
        <f aca="false">F75*N75</f>
        <v>0.000890870129032259</v>
      </c>
      <c r="N75" s="40" t="n">
        <f aca="false">J75*H75</f>
        <v>0.000890870129032259</v>
      </c>
      <c r="O75" s="40" t="n">
        <f aca="false">K75*Q75</f>
        <v>0.000859053338709678</v>
      </c>
      <c r="P75" s="40" t="n">
        <f aca="false">L75*R75</f>
        <v>0.000922686919354839</v>
      </c>
      <c r="Q75" s="39" t="n">
        <f aca="false">INDEX(REF_MIN,MATCH(D75,REF_ID,0))</f>
        <v>1.35</v>
      </c>
      <c r="R75" s="39" t="n">
        <f aca="false">INDEX(REF_MAX,MATCH(D75,REF_ID,0))</f>
        <v>1.45</v>
      </c>
      <c r="S75" s="41" t="n">
        <v>0.429750548387097</v>
      </c>
      <c r="T75" s="42" t="n">
        <f aca="false">200*J75/S75</f>
        <v>0.296141940406989</v>
      </c>
      <c r="U75" s="43" t="n">
        <f aca="false">IFERROR(INDEX(ISO_TOL,MATCH(T75,ISO_DESDE,1)),0)</f>
        <v>0</v>
      </c>
      <c r="V75" s="44" t="n">
        <f aca="false">IF(T75&gt;0,U75/T75,0)</f>
        <v>0</v>
      </c>
    </row>
    <row r="76" customFormat="false" ht="15" hidden="false" customHeight="false" outlineLevel="2" collapsed="false">
      <c r="A76" s="35" t="n">
        <v>2</v>
      </c>
      <c r="B76" s="36" t="s">
        <v>382</v>
      </c>
      <c r="C76" s="37" t="s">
        <v>324</v>
      </c>
      <c r="D76" s="36" t="s">
        <v>32</v>
      </c>
      <c r="E76" s="36" t="str">
        <f aca="false">INDEX(REF_DATO,MATCH(D76,REF_ID,0))</f>
        <v>PVC rígido, vinilo y papeles de identificación</v>
      </c>
      <c r="F76" s="38" t="n">
        <v>1</v>
      </c>
      <c r="G76" s="35" t="s">
        <v>264</v>
      </c>
      <c r="H76" s="39" t="n">
        <f aca="false">INDEX(REF_VAL,MATCH(D76,REF_ID,0))</f>
        <v>1.4</v>
      </c>
      <c r="I76" s="40" t="n">
        <f aca="false">F76*J76</f>
        <v>0.000721741935483872</v>
      </c>
      <c r="J76" s="40" t="n">
        <v>0.000721741935483872</v>
      </c>
      <c r="K76" s="40" t="n">
        <f aca="false">I76*(1-V76)</f>
        <v>0.000721741935483872</v>
      </c>
      <c r="L76" s="40" t="n">
        <f aca="false">I76*(1+V76)</f>
        <v>0.000721741935483872</v>
      </c>
      <c r="M76" s="40" t="n">
        <f aca="false">F76*N76</f>
        <v>0.00101043870967742</v>
      </c>
      <c r="N76" s="40" t="n">
        <f aca="false">J76*H76</f>
        <v>0.00101043870967742</v>
      </c>
      <c r="O76" s="40" t="n">
        <f aca="false">K76*Q76</f>
        <v>0.000974351612903227</v>
      </c>
      <c r="P76" s="40" t="n">
        <f aca="false">L76*R76</f>
        <v>0.00104652580645161</v>
      </c>
      <c r="Q76" s="39" t="n">
        <f aca="false">INDEX(REF_MIN,MATCH(D76,REF_ID,0))</f>
        <v>1.35</v>
      </c>
      <c r="R76" s="39" t="n">
        <f aca="false">INDEX(REF_MAX,MATCH(D76,REF_ID,0))</f>
        <v>1.45</v>
      </c>
      <c r="S76" s="41" t="n">
        <v>0.48717</v>
      </c>
      <c r="T76" s="42" t="n">
        <f aca="false">200*J76/S76</f>
        <v>0.296299827774236</v>
      </c>
      <c r="U76" s="43" t="n">
        <f aca="false">IFERROR(INDEX(ISO_TOL,MATCH(T76,ISO_DESDE,1)),0)</f>
        <v>0</v>
      </c>
      <c r="V76" s="44" t="n">
        <f aca="false">IF(T76&gt;0,U76/T76,0)</f>
        <v>0</v>
      </c>
    </row>
    <row r="77" customFormat="false" ht="15" hidden="false" customHeight="false" outlineLevel="2" collapsed="false">
      <c r="A77" s="35" t="n">
        <v>2</v>
      </c>
      <c r="B77" s="36" t="s">
        <v>383</v>
      </c>
      <c r="C77" s="37" t="s">
        <v>384</v>
      </c>
      <c r="D77" s="36" t="s">
        <v>32</v>
      </c>
      <c r="E77" s="36" t="str">
        <f aca="false">INDEX(REF_DATO,MATCH(D77,REF_ID,0))</f>
        <v>PVC rígido, vinilo y papeles de identificación</v>
      </c>
      <c r="F77" s="38" t="n">
        <v>1</v>
      </c>
      <c r="G77" s="35" t="s">
        <v>264</v>
      </c>
      <c r="H77" s="39" t="n">
        <f aca="false">INDEX(REF_VAL,MATCH(D77,REF_ID,0))</f>
        <v>1.4</v>
      </c>
      <c r="I77" s="40" t="n">
        <f aca="false">F77*J77</f>
        <v>0.00231558870967738</v>
      </c>
      <c r="J77" s="40" t="n">
        <v>0.00231558870967738</v>
      </c>
      <c r="K77" s="40" t="n">
        <f aca="false">I77*(1-V77)</f>
        <v>0.00231558870967738</v>
      </c>
      <c r="L77" s="40" t="n">
        <f aca="false">I77*(1+V77)</f>
        <v>0.00231558870967738</v>
      </c>
      <c r="M77" s="40" t="n">
        <f aca="false">F77*N77</f>
        <v>0.00324182419354833</v>
      </c>
      <c r="N77" s="40" t="n">
        <f aca="false">J77*H77</f>
        <v>0.00324182419354833</v>
      </c>
      <c r="O77" s="40" t="n">
        <f aca="false">K77*Q77</f>
        <v>0.00312604475806446</v>
      </c>
      <c r="P77" s="40" t="n">
        <f aca="false">L77*R77</f>
        <v>0.0033576036290322</v>
      </c>
      <c r="Q77" s="39" t="n">
        <f aca="false">INDEX(REF_MIN,MATCH(D77,REF_ID,0))</f>
        <v>1.35</v>
      </c>
      <c r="R77" s="39" t="n">
        <f aca="false">INDEX(REF_MAX,MATCH(D77,REF_ID,0))</f>
        <v>1.45</v>
      </c>
      <c r="S77" s="41" t="n">
        <v>1.55544612903226</v>
      </c>
      <c r="T77" s="42" t="n">
        <f aca="false">200*J77/S77</f>
        <v>0.29773949305696</v>
      </c>
      <c r="U77" s="43" t="n">
        <f aca="false">IFERROR(INDEX(ISO_TOL,MATCH(T77,ISO_DESDE,1)),0)</f>
        <v>0</v>
      </c>
      <c r="V77" s="44" t="n">
        <f aca="false">IF(T77&gt;0,U77/T77,0)</f>
        <v>0</v>
      </c>
    </row>
    <row r="78" customFormat="false" ht="15" hidden="false" customHeight="false" outlineLevel="2" collapsed="false">
      <c r="A78" s="35" t="n">
        <v>2</v>
      </c>
      <c r="B78" s="36" t="s">
        <v>385</v>
      </c>
      <c r="C78" s="37" t="s">
        <v>326</v>
      </c>
      <c r="D78" s="36" t="s">
        <v>32</v>
      </c>
      <c r="E78" s="36" t="str">
        <f aca="false">INDEX(REF_DATO,MATCH(D78,REF_ID,0))</f>
        <v>PVC rígido, vinilo y papeles de identificación</v>
      </c>
      <c r="F78" s="38" t="n">
        <v>1</v>
      </c>
      <c r="G78" s="35" t="s">
        <v>264</v>
      </c>
      <c r="H78" s="39" t="n">
        <f aca="false">INDEX(REF_VAL,MATCH(D78,REF_ID,0))</f>
        <v>1.4</v>
      </c>
      <c r="I78" s="40" t="n">
        <f aca="false">F78*J78</f>
        <v>0.000338316532258064</v>
      </c>
      <c r="J78" s="40" t="n">
        <v>0.000338316532258064</v>
      </c>
      <c r="K78" s="40" t="n">
        <f aca="false">I78*(1-V78)</f>
        <v>0.000338316532258064</v>
      </c>
      <c r="L78" s="40" t="n">
        <f aca="false">I78*(1+V78)</f>
        <v>0.000338316532258064</v>
      </c>
      <c r="M78" s="40" t="n">
        <f aca="false">F78*N78</f>
        <v>0.000473643145161289</v>
      </c>
      <c r="N78" s="40" t="n">
        <f aca="false">J78*H78</f>
        <v>0.000473643145161289</v>
      </c>
      <c r="O78" s="40" t="n">
        <f aca="false">K78*Q78</f>
        <v>0.000456727318548386</v>
      </c>
      <c r="P78" s="40" t="n">
        <f aca="false">L78*R78</f>
        <v>0.000490558971774193</v>
      </c>
      <c r="Q78" s="39" t="n">
        <f aca="false">INDEX(REF_MIN,MATCH(D78,REF_ID,0))</f>
        <v>1.35</v>
      </c>
      <c r="R78" s="39" t="n">
        <f aca="false">INDEX(REF_MAX,MATCH(D78,REF_ID,0))</f>
        <v>1.45</v>
      </c>
      <c r="S78" s="41" t="n">
        <v>0.229750887096774</v>
      </c>
      <c r="T78" s="42" t="n">
        <f aca="false">200*J78/S78</f>
        <v>0.294507269619865</v>
      </c>
      <c r="U78" s="43" t="n">
        <f aca="false">IFERROR(INDEX(ISO_TOL,MATCH(T78,ISO_DESDE,1)),0)</f>
        <v>0</v>
      </c>
      <c r="V78" s="44" t="n">
        <f aca="false">IF(T78&gt;0,U78/T78,0)</f>
        <v>0</v>
      </c>
    </row>
    <row r="79" customFormat="false" ht="15" hidden="false" customHeight="false" outlineLevel="2" collapsed="false">
      <c r="A79" s="35" t="n">
        <v>2</v>
      </c>
      <c r="B79" s="36" t="s">
        <v>386</v>
      </c>
      <c r="C79" s="37" t="s">
        <v>328</v>
      </c>
      <c r="D79" s="36" t="s">
        <v>32</v>
      </c>
      <c r="E79" s="36" t="str">
        <f aca="false">INDEX(REF_DATO,MATCH(D79,REF_ID,0))</f>
        <v>PVC rígido, vinilo y papeles de identificación</v>
      </c>
      <c r="F79" s="38" t="n">
        <v>1</v>
      </c>
      <c r="G79" s="35" t="s">
        <v>264</v>
      </c>
      <c r="H79" s="39" t="n">
        <f aca="false">INDEX(REF_VAL,MATCH(D79,REF_ID,0))</f>
        <v>1.4</v>
      </c>
      <c r="I79" s="40" t="n">
        <f aca="false">F79*J79</f>
        <v>9.90778174834939E-005</v>
      </c>
      <c r="J79" s="40" t="n">
        <v>9.90778174834939E-005</v>
      </c>
      <c r="K79" s="40" t="n">
        <f aca="false">I79*(1-V79)</f>
        <v>9.90778174834939E-005</v>
      </c>
      <c r="L79" s="40" t="n">
        <f aca="false">I79*(1+V79)</f>
        <v>9.90778174834939E-005</v>
      </c>
      <c r="M79" s="40" t="n">
        <f aca="false">F79*N79</f>
        <v>0.000138708944476892</v>
      </c>
      <c r="N79" s="40" t="n">
        <f aca="false">J79*H79</f>
        <v>0.000138708944476892</v>
      </c>
      <c r="O79" s="40" t="n">
        <f aca="false">K79*Q79</f>
        <v>0.000133755053602717</v>
      </c>
      <c r="P79" s="40" t="n">
        <f aca="false">L79*R79</f>
        <v>0.000143662835351066</v>
      </c>
      <c r="Q79" s="39" t="n">
        <f aca="false">INDEX(REF_MIN,MATCH(D79,REF_ID,0))</f>
        <v>1.35</v>
      </c>
      <c r="R79" s="39" t="n">
        <f aca="false">INDEX(REF_MAX,MATCH(D79,REF_ID,0))</f>
        <v>1.45</v>
      </c>
      <c r="S79" s="41" t="n">
        <v>0.100858410433796</v>
      </c>
      <c r="T79" s="42" t="n">
        <f aca="false">200*J79/S79</f>
        <v>0.196469123511577</v>
      </c>
      <c r="U79" s="43" t="n">
        <f aca="false">IFERROR(INDEX(ISO_TOL,MATCH(T79,ISO_DESDE,1)),0)</f>
        <v>0</v>
      </c>
      <c r="V79" s="44" t="n">
        <f aca="false">IF(T79&gt;0,U79/T79,0)</f>
        <v>0</v>
      </c>
    </row>
    <row r="80" customFormat="false" ht="15" hidden="false" customHeight="false" outlineLevel="2" collapsed="false">
      <c r="A80" s="35" t="n">
        <v>2</v>
      </c>
      <c r="B80" s="36" t="s">
        <v>387</v>
      </c>
      <c r="C80" s="37" t="s">
        <v>330</v>
      </c>
      <c r="D80" s="36" t="s">
        <v>26</v>
      </c>
      <c r="E80" s="36" t="str">
        <f aca="false">INDEX(REF_DATO,MATCH(D80,REF_ID,0))</f>
        <v>Polipropileno</v>
      </c>
      <c r="F80" s="38" t="n">
        <v>1</v>
      </c>
      <c r="G80" s="35" t="s">
        <v>264</v>
      </c>
      <c r="H80" s="39" t="n">
        <f aca="false">INDEX(REF_VAL,MATCH(D80,REF_ID,0))</f>
        <v>0.9</v>
      </c>
      <c r="I80" s="40" t="n">
        <f aca="false">F80*J80</f>
        <v>0.000196349540849362</v>
      </c>
      <c r="J80" s="40" t="n">
        <v>0.000196349540849362</v>
      </c>
      <c r="K80" s="40" t="n">
        <f aca="false">I80*(1-V80)</f>
        <v>0.000186532063806894</v>
      </c>
      <c r="L80" s="40" t="n">
        <f aca="false">I80*(1+V80)</f>
        <v>0.00020616701789183</v>
      </c>
      <c r="M80" s="40" t="n">
        <f aca="false">F80*N80</f>
        <v>0.000176714586764426</v>
      </c>
      <c r="N80" s="40" t="n">
        <f aca="false">J80*H80</f>
        <v>0.000176714586764426</v>
      </c>
      <c r="O80" s="40" t="n">
        <f aca="false">K80*Q80</f>
        <v>0.000167878857426205</v>
      </c>
      <c r="P80" s="40" t="n">
        <f aca="false">L80*R80</f>
        <v>0.000187611986281566</v>
      </c>
      <c r="Q80" s="39" t="n">
        <f aca="false">INDEX(REF_MIN,MATCH(D80,REF_ID,0))</f>
        <v>0.9</v>
      </c>
      <c r="R80" s="39" t="n">
        <f aca="false">INDEX(REF_MAX,MATCH(D80,REF_ID,0))</f>
        <v>0.91</v>
      </c>
      <c r="S80" s="41" t="n">
        <v>0.0196349540849362</v>
      </c>
      <c r="T80" s="42" t="n">
        <f aca="false">200*J80/S80</f>
        <v>2</v>
      </c>
      <c r="U80" s="43" t="n">
        <f aca="false">IFERROR(INDEX(ISO_TOL,MATCH(T80,ISO_DESDE,1)),0)</f>
        <v>0.1</v>
      </c>
      <c r="V80" s="44" t="n">
        <f aca="false">IF(T80&gt;0,U80/T80,0)</f>
        <v>0.0499999999999999</v>
      </c>
    </row>
    <row r="81" customFormat="false" ht="15" hidden="false" customHeight="false" outlineLevel="1" collapsed="false">
      <c r="A81" s="25" t="n">
        <v>1</v>
      </c>
      <c r="B81" s="26" t="s">
        <v>388</v>
      </c>
      <c r="C81" s="27" t="s">
        <v>332</v>
      </c>
      <c r="D81" s="26"/>
      <c r="E81" s="26"/>
      <c r="F81" s="28" t="n">
        <v>1</v>
      </c>
      <c r="G81" s="25" t="s">
        <v>264</v>
      </c>
      <c r="H81" s="29"/>
      <c r="I81" s="30"/>
      <c r="J81" s="30"/>
      <c r="K81" s="30"/>
      <c r="L81" s="30"/>
      <c r="M81" s="30" t="n">
        <f aca="false">IF(SUMIF(A82:A83,2,M82:M83)=0,"",SUMIF(A82:A83,2,M82:M83))</f>
        <v>0.264003058524336</v>
      </c>
      <c r="N81" s="30"/>
      <c r="O81" s="30" t="n">
        <f aca="false">IF(SUMIF(A82:A83,2,O82:O83)=0,"",SUMIF(A82:A83,2,O82:O83))</f>
        <v>0.25020251912614</v>
      </c>
      <c r="P81" s="30" t="n">
        <f aca="false">IF(SUMIF(A82:A83,2,P82:P83)=0,"",SUMIF(A82:A83,2,P82:P83))</f>
        <v>0.277803597922532</v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389</v>
      </c>
      <c r="C82" s="37" t="s">
        <v>390</v>
      </c>
      <c r="D82" s="36" t="s">
        <v>10</v>
      </c>
      <c r="E82" s="36" t="str">
        <f aca="false">INDEX(REF_DATO,MATCH(D82,REF_ID,0))</f>
        <v>Acero (chapa LAC/LAF, SAE 1010/1045)</v>
      </c>
      <c r="F82" s="38" t="n">
        <v>1</v>
      </c>
      <c r="G82" s="35" t="s">
        <v>264</v>
      </c>
      <c r="H82" s="39" t="n">
        <f aca="false">INDEX(REF_VAL,MATCH(D82,REF_ID,0))</f>
        <v>7.85</v>
      </c>
      <c r="I82" s="40" t="n">
        <f aca="false">F82*J82</f>
        <v>0.0336309628693422</v>
      </c>
      <c r="J82" s="40" t="n">
        <v>0.0336309628693422</v>
      </c>
      <c r="K82" s="40" t="n">
        <f aca="false">I82*(1-V82)</f>
        <v>0.0318729323727567</v>
      </c>
      <c r="L82" s="40" t="n">
        <f aca="false">I82*(1+V82)</f>
        <v>0.0353889933659276</v>
      </c>
      <c r="M82" s="40" t="n">
        <f aca="false">F82*N82</f>
        <v>0.264003058524336</v>
      </c>
      <c r="N82" s="40" t="n">
        <f aca="false">J82*H82</f>
        <v>0.264003058524336</v>
      </c>
      <c r="O82" s="40" t="n">
        <f aca="false">K82*Q82</f>
        <v>0.25020251912614</v>
      </c>
      <c r="P82" s="40" t="n">
        <f aca="false">L82*R82</f>
        <v>0.277803597922532</v>
      </c>
      <c r="Q82" s="39" t="n">
        <f aca="false">INDEX(REF_MIN,MATCH(D82,REF_ID,0))</f>
        <v>7.85</v>
      </c>
      <c r="R82" s="39" t="n">
        <f aca="false">INDEX(REF_MAX,MATCH(D82,REF_ID,0))</f>
        <v>7.85</v>
      </c>
      <c r="S82" s="41" t="n">
        <v>3.51606099317089</v>
      </c>
      <c r="T82" s="42" t="n">
        <f aca="false">200*J82/S82</f>
        <v>1.9129908687399</v>
      </c>
      <c r="U82" s="43" t="n">
        <f aca="false">IFERROR(INDEX(ISO_TOL,MATCH(T82,ISO_DESDE,1)),0)</f>
        <v>0.1</v>
      </c>
      <c r="V82" s="44" t="n">
        <f aca="false">IF(T82&gt;0,U82/T82,0)</f>
        <v>0.0522741648348122</v>
      </c>
    </row>
    <row r="83" customFormat="false" ht="15" hidden="false" customHeight="false" outlineLevel="2" collapsed="false">
      <c r="A83" s="35" t="n">
        <v>2</v>
      </c>
      <c r="B83" s="36" t="s">
        <v>391</v>
      </c>
      <c r="C83" s="37" t="s">
        <v>392</v>
      </c>
      <c r="D83" s="36"/>
      <c r="E83" s="36"/>
      <c r="F83" s="38" t="n">
        <v>2</v>
      </c>
      <c r="G83" s="35" t="s">
        <v>264</v>
      </c>
      <c r="H83" s="39"/>
      <c r="I83" s="40"/>
      <c r="J83" s="40"/>
      <c r="K83" s="40"/>
      <c r="L83" s="40"/>
      <c r="M83" s="40"/>
      <c r="N83" s="40"/>
      <c r="O83" s="40"/>
      <c r="P83" s="40"/>
      <c r="Q83" s="39"/>
      <c r="R83" s="39"/>
      <c r="S83" s="41"/>
      <c r="T83" s="42"/>
      <c r="U83" s="43"/>
      <c r="V83" s="44"/>
    </row>
    <row r="84" customFormat="false" ht="15" hidden="false" customHeight="false" outlineLevel="1" collapsed="false">
      <c r="A84" s="25" t="n">
        <v>1</v>
      </c>
      <c r="B84" s="26" t="s">
        <v>393</v>
      </c>
      <c r="C84" s="27" t="s">
        <v>336</v>
      </c>
      <c r="D84" s="26"/>
      <c r="E84" s="26"/>
      <c r="F84" s="28" t="n">
        <v>1</v>
      </c>
      <c r="G84" s="25" t="s">
        <v>264</v>
      </c>
      <c r="H84" s="29"/>
      <c r="I84" s="30"/>
      <c r="J84" s="30"/>
      <c r="K84" s="30"/>
      <c r="L84" s="30"/>
      <c r="M84" s="30" t="str">
        <f aca="false">IF(SUMIF(A85:A88,2,M85:M88)=0,"",SUMIF(A85:A88,2,M85:M88))</f>
        <v/>
      </c>
      <c r="N84" s="30"/>
      <c r="O84" s="30" t="str">
        <f aca="false">IF(SUMIF(A85:A88,2,O85:O88)=0,"",SUMIF(A85:A88,2,O85:O88))</f>
        <v/>
      </c>
      <c r="P84" s="30" t="str">
        <f aca="false">IF(SUMIF(A85:A88,2,P85:P88)=0,"",SUMIF(A85:A88,2,P85:P88))</f>
        <v/>
      </c>
      <c r="Q84" s="29"/>
      <c r="R84" s="29"/>
      <c r="S84" s="31"/>
      <c r="T84" s="32"/>
      <c r="U84" s="33"/>
      <c r="V84" s="34"/>
    </row>
    <row r="85" customFormat="false" ht="15" hidden="false" customHeight="false" outlineLevel="2" collapsed="false">
      <c r="A85" s="35" t="n">
        <v>2</v>
      </c>
      <c r="B85" s="36" t="s">
        <v>394</v>
      </c>
      <c r="C85" s="37" t="s">
        <v>338</v>
      </c>
      <c r="D85" s="36"/>
      <c r="E85" s="36"/>
      <c r="F85" s="38" t="n">
        <v>1</v>
      </c>
      <c r="G85" s="35" t="s">
        <v>264</v>
      </c>
      <c r="H85" s="39"/>
      <c r="I85" s="40"/>
      <c r="J85" s="40"/>
      <c r="K85" s="40"/>
      <c r="L85" s="40"/>
      <c r="M85" s="40"/>
      <c r="N85" s="40"/>
      <c r="O85" s="40"/>
      <c r="P85" s="40"/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395</v>
      </c>
      <c r="C86" s="37" t="s">
        <v>340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396</v>
      </c>
      <c r="C87" s="37" t="s">
        <v>342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397</v>
      </c>
      <c r="C88" s="37" t="s">
        <v>344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0" collapsed="false">
      <c r="A89" s="16" t="n">
        <v>0</v>
      </c>
      <c r="B89" s="17" t="s">
        <v>206</v>
      </c>
      <c r="C89" s="17" t="s">
        <v>207</v>
      </c>
      <c r="D89" s="17"/>
      <c r="E89" s="17"/>
      <c r="F89" s="18" t="n">
        <v>1</v>
      </c>
      <c r="G89" s="16" t="s">
        <v>264</v>
      </c>
      <c r="H89" s="19"/>
      <c r="I89" s="20"/>
      <c r="J89" s="20"/>
      <c r="K89" s="20"/>
      <c r="L89" s="20"/>
      <c r="M89" s="20" t="n">
        <f aca="false">IF(SUMIF(A90:A134,1,M90:M134)=0,"",SUMIF(A90:A134,1,M90:M134))</f>
        <v>8.78756076644298</v>
      </c>
      <c r="N89" s="20"/>
      <c r="O89" s="20" t="n">
        <f aca="false">IF(SUMIF(A90:A134,1,O90:O134)=0,"",SUMIF(A90:A134,1,O90:O134))</f>
        <v>8.40948330655483</v>
      </c>
      <c r="P89" s="20" t="n">
        <f aca="false">IF(SUMIF(A90:A134,1,P90:P134)=0,"",SUMIF(A90:A134,1,P90:P134))</f>
        <v>9.16693522884172</v>
      </c>
      <c r="Q89" s="19"/>
      <c r="R89" s="19"/>
      <c r="S89" s="21"/>
      <c r="T89" s="22"/>
      <c r="U89" s="23"/>
      <c r="V89" s="24"/>
    </row>
    <row r="90" customFormat="false" ht="15" hidden="false" customHeight="false" outlineLevel="1" collapsed="false">
      <c r="A90" s="25" t="n">
        <v>1</v>
      </c>
      <c r="B90" s="26" t="s">
        <v>398</v>
      </c>
      <c r="C90" s="27" t="s">
        <v>266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n">
        <f aca="false">IF(SUMIF(A91:A94,2,M91:M94)=0,"",SUMIF(A91:A94,2,M91:M94))</f>
        <v>2.69106540062604</v>
      </c>
      <c r="N90" s="30"/>
      <c r="O90" s="30" t="n">
        <f aca="false">IF(SUMIF(A91:A94,2,O91:O94)=0,"",SUMIF(A91:A94,2,O91:O94))</f>
        <v>2.52518629857663</v>
      </c>
      <c r="P90" s="30" t="n">
        <f aca="false">IF(SUMIF(A91:A94,2,P91:P94)=0,"",SUMIF(A91:A94,2,P91:P94))</f>
        <v>2.85694450267545</v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399</v>
      </c>
      <c r="C91" s="37" t="s">
        <v>268</v>
      </c>
      <c r="D91" s="36" t="s">
        <v>10</v>
      </c>
      <c r="E91" s="36" t="str">
        <f aca="false">INDEX(REF_DATO,MATCH(D91,REF_ID,0))</f>
        <v>Acero (chapa LAC/LAF, SAE 1010/1045)</v>
      </c>
      <c r="F91" s="38" t="n">
        <v>1</v>
      </c>
      <c r="G91" s="35" t="s">
        <v>264</v>
      </c>
      <c r="H91" s="39" t="n">
        <f aca="false">INDEX(REF_VAL,MATCH(D91,REF_ID,0))</f>
        <v>7.85</v>
      </c>
      <c r="I91" s="40" t="n">
        <f aca="false">F91*J91</f>
        <v>0.24893432097772</v>
      </c>
      <c r="J91" s="40" t="n">
        <v>0.24893432097772</v>
      </c>
      <c r="K91" s="40" t="n">
        <f aca="false">I91*(1-V91)</f>
        <v>0.233288874164672</v>
      </c>
      <c r="L91" s="40" t="n">
        <f aca="false">I91*(1+V91)</f>
        <v>0.264579767790769</v>
      </c>
      <c r="M91" s="40" t="n">
        <f aca="false">F91*N91</f>
        <v>1.95413441967511</v>
      </c>
      <c r="N91" s="40" t="n">
        <f aca="false">J91*H91</f>
        <v>1.95413441967511</v>
      </c>
      <c r="O91" s="40" t="n">
        <f aca="false">K91*Q91</f>
        <v>1.83131766219267</v>
      </c>
      <c r="P91" s="40" t="n">
        <f aca="false">L91*R91</f>
        <v>2.07695117715754</v>
      </c>
      <c r="Q91" s="39" t="n">
        <f aca="false">INDEX(REF_MIN,MATCH(D91,REF_ID,0))</f>
        <v>7.85</v>
      </c>
      <c r="R91" s="39" t="n">
        <f aca="false">INDEX(REF_MAX,MATCH(D91,REF_ID,0))</f>
        <v>7.85</v>
      </c>
      <c r="S91" s="41" t="n">
        <v>31.2908936260973</v>
      </c>
      <c r="T91" s="42" t="n">
        <f aca="false">200*J91/S91</f>
        <v>1.5910975503116</v>
      </c>
      <c r="U91" s="43" t="n">
        <f aca="false">IFERROR(INDEX(ISO_TOL,MATCH(T91,ISO_DESDE,1)),0)</f>
        <v>0.1</v>
      </c>
      <c r="V91" s="44" t="n">
        <f aca="false">IF(T91&gt;0,U91/T91,0)</f>
        <v>0.0628496976696472</v>
      </c>
    </row>
    <row r="92" customFormat="false" ht="15" hidden="false" customHeight="false" outlineLevel="2" collapsed="false">
      <c r="A92" s="35" t="n">
        <v>2</v>
      </c>
      <c r="B92" s="36" t="s">
        <v>400</v>
      </c>
      <c r="C92" s="37" t="s">
        <v>270</v>
      </c>
      <c r="D92" s="36" t="s">
        <v>10</v>
      </c>
      <c r="E92" s="36" t="str">
        <f aca="false">INDEX(REF_DATO,MATCH(D92,REF_ID,0))</f>
        <v>Acero (chapa LAC/LAF, SAE 1010/1045)</v>
      </c>
      <c r="F92" s="38" t="n">
        <v>1</v>
      </c>
      <c r="G92" s="35" t="s">
        <v>264</v>
      </c>
      <c r="H92" s="39" t="n">
        <f aca="false">INDEX(REF_VAL,MATCH(D92,REF_ID,0))</f>
        <v>7.85</v>
      </c>
      <c r="I92" s="40" t="n">
        <f aca="false">F92*J92</f>
        <v>0.0459583713072003</v>
      </c>
      <c r="J92" s="40" t="n">
        <v>0.0459583713072003</v>
      </c>
      <c r="K92" s="40" t="n">
        <f aca="false">I92*(1-V92)</f>
        <v>0.0429667063861364</v>
      </c>
      <c r="L92" s="40" t="n">
        <f aca="false">I92*(1+V92)</f>
        <v>0.0489500362282642</v>
      </c>
      <c r="M92" s="40" t="n">
        <f aca="false">F92*N92</f>
        <v>0.360773214761522</v>
      </c>
      <c r="N92" s="40" t="n">
        <f aca="false">J92*H92</f>
        <v>0.360773214761522</v>
      </c>
      <c r="O92" s="40" t="n">
        <f aca="false">K92*Q92</f>
        <v>0.33728864513117</v>
      </c>
      <c r="P92" s="40" t="n">
        <f aca="false">L92*R92</f>
        <v>0.384257784391874</v>
      </c>
      <c r="Q92" s="39" t="n">
        <f aca="false">INDEX(REF_MIN,MATCH(D92,REF_ID,0))</f>
        <v>7.85</v>
      </c>
      <c r="R92" s="39" t="n">
        <f aca="false">INDEX(REF_MAX,MATCH(D92,REF_ID,0))</f>
        <v>7.85</v>
      </c>
      <c r="S92" s="41" t="n">
        <v>5.98332984212788</v>
      </c>
      <c r="T92" s="42" t="n">
        <f aca="false">200*J92/S92</f>
        <v>1.53621386484874</v>
      </c>
      <c r="U92" s="43" t="n">
        <f aca="false">IFERROR(INDEX(ISO_TOL,MATCH(T92,ISO_DESDE,1)),0)</f>
        <v>0.1</v>
      </c>
      <c r="V92" s="44" t="n">
        <f aca="false">IF(T92&gt;0,U92/T92,0)</f>
        <v>0.0650951031546942</v>
      </c>
    </row>
    <row r="93" customFormat="false" ht="15" hidden="false" customHeight="false" outlineLevel="2" collapsed="false">
      <c r="A93" s="35" t="n">
        <v>2</v>
      </c>
      <c r="B93" s="36" t="s">
        <v>401</v>
      </c>
      <c r="C93" s="37" t="s">
        <v>272</v>
      </c>
      <c r="D93" s="36" t="s">
        <v>10</v>
      </c>
      <c r="E93" s="36" t="str">
        <f aca="false">INDEX(REF_DATO,MATCH(D93,REF_ID,0))</f>
        <v>Acero (chapa LAC/LAF, SAE 1010/1045)</v>
      </c>
      <c r="F93" s="38" t="n">
        <v>1</v>
      </c>
      <c r="G93" s="35" t="s">
        <v>264</v>
      </c>
      <c r="H93" s="39" t="n">
        <f aca="false">INDEX(REF_VAL,MATCH(D93,REF_ID,0))</f>
        <v>7.85</v>
      </c>
      <c r="I93" s="40" t="n">
        <f aca="false">F93*J93</f>
        <v>0.0404159140887371</v>
      </c>
      <c r="J93" s="40" t="n">
        <v>0.0404159140887371</v>
      </c>
      <c r="K93" s="40" t="n">
        <f aca="false">I93*(1-V93)</f>
        <v>0.0381466534782765</v>
      </c>
      <c r="L93" s="40" t="n">
        <f aca="false">I93*(1+V93)</f>
        <v>0.0426851746991976</v>
      </c>
      <c r="M93" s="40" t="n">
        <f aca="false">F93*N93</f>
        <v>0.317264925596586</v>
      </c>
      <c r="N93" s="40" t="n">
        <f aca="false">J93*H93</f>
        <v>0.317264925596586</v>
      </c>
      <c r="O93" s="40" t="n">
        <f aca="false">K93*Q93</f>
        <v>0.29945122980447</v>
      </c>
      <c r="P93" s="40" t="n">
        <f aca="false">L93*R93</f>
        <v>0.335078621388701</v>
      </c>
      <c r="Q93" s="39" t="n">
        <f aca="false">INDEX(REF_MIN,MATCH(D93,REF_ID,0))</f>
        <v>7.85</v>
      </c>
      <c r="R93" s="39" t="n">
        <f aca="false">INDEX(REF_MAX,MATCH(D93,REF_ID,0))</f>
        <v>7.85</v>
      </c>
      <c r="S93" s="41" t="n">
        <v>4.53852122092116</v>
      </c>
      <c r="T93" s="42" t="n">
        <f aca="false">200*J93/S93</f>
        <v>1.78101686084147</v>
      </c>
      <c r="U93" s="43" t="n">
        <f aca="false">IFERROR(INDEX(ISO_TOL,MATCH(T93,ISO_DESDE,1)),0)</f>
        <v>0.1</v>
      </c>
      <c r="V93" s="44" t="n">
        <f aca="false">IF(T93&gt;0,U93/T93,0)</f>
        <v>0.0561476997768305</v>
      </c>
    </row>
    <row r="94" customFormat="false" ht="15" hidden="false" customHeight="false" outlineLevel="2" collapsed="false">
      <c r="A94" s="35" t="n">
        <v>2</v>
      </c>
      <c r="B94" s="36" t="s">
        <v>402</v>
      </c>
      <c r="C94" s="37" t="s">
        <v>274</v>
      </c>
      <c r="D94" s="36" t="s">
        <v>10</v>
      </c>
      <c r="E94" s="36" t="str">
        <f aca="false">INDEX(REF_DATO,MATCH(D94,REF_ID,0))</f>
        <v>Acero (chapa LAC/LAF, SAE 1010/1045)</v>
      </c>
      <c r="F94" s="38" t="n">
        <v>1</v>
      </c>
      <c r="G94" s="35" t="s">
        <v>264</v>
      </c>
      <c r="H94" s="39" t="n">
        <f aca="false">INDEX(REF_VAL,MATCH(D94,REF_ID,0))</f>
        <v>7.85</v>
      </c>
      <c r="I94" s="40" t="n">
        <f aca="false">F94*J94</f>
        <v>0.00750227268698458</v>
      </c>
      <c r="J94" s="40" t="n">
        <v>0.00750227268698458</v>
      </c>
      <c r="K94" s="40" t="n">
        <f aca="false">I94*(1-V94)</f>
        <v>0.00727754922908514</v>
      </c>
      <c r="L94" s="40" t="n">
        <f aca="false">I94*(1+V94)</f>
        <v>0.00772699614488401</v>
      </c>
      <c r="M94" s="40" t="n">
        <f aca="false">F94*N94</f>
        <v>0.0588928405928289</v>
      </c>
      <c r="N94" s="40" t="n">
        <f aca="false">J94*H94</f>
        <v>0.0588928405928289</v>
      </c>
      <c r="O94" s="40" t="n">
        <f aca="false">K94*Q94</f>
        <v>0.0571287614483184</v>
      </c>
      <c r="P94" s="40" t="n">
        <f aca="false">L94*R94</f>
        <v>0.0606569197373395</v>
      </c>
      <c r="Q94" s="39" t="n">
        <f aca="false">INDEX(REF_MIN,MATCH(D94,REF_ID,0))</f>
        <v>7.85</v>
      </c>
      <c r="R94" s="39" t="n">
        <f aca="false">INDEX(REF_MAX,MATCH(D94,REF_ID,0))</f>
        <v>7.85</v>
      </c>
      <c r="S94" s="41" t="n">
        <v>0.449446915798867</v>
      </c>
      <c r="T94" s="42" t="n">
        <f aca="false">200*J94/S94</f>
        <v>3.33844662106523</v>
      </c>
      <c r="U94" s="43" t="n">
        <f aca="false">IFERROR(INDEX(ISO_TOL,MATCH(T94,ISO_DESDE,1)),0)</f>
        <v>0.1</v>
      </c>
      <c r="V94" s="44" t="n">
        <f aca="false">IF(T94&gt;0,U94/T94,0)</f>
        <v>0.0299540508957103</v>
      </c>
    </row>
    <row r="95" customFormat="false" ht="15" hidden="false" customHeight="false" outlineLevel="1" collapsed="false">
      <c r="A95" s="25" t="n">
        <v>1</v>
      </c>
      <c r="B95" s="26" t="s">
        <v>403</v>
      </c>
      <c r="C95" s="27" t="s">
        <v>276</v>
      </c>
      <c r="D95" s="26"/>
      <c r="E95" s="26"/>
      <c r="F95" s="28" t="n">
        <v>1</v>
      </c>
      <c r="G95" s="25" t="s">
        <v>264</v>
      </c>
      <c r="H95" s="29"/>
      <c r="I95" s="30"/>
      <c r="J95" s="30"/>
      <c r="K95" s="30"/>
      <c r="L95" s="30"/>
      <c r="M95" s="30" t="n">
        <f aca="false">IF(SUMIF(A96:A110,2,M96:M110)=0,"",SUMIF(A96:A110,2,M96:M110))</f>
        <v>0.408780674701619</v>
      </c>
      <c r="N95" s="30"/>
      <c r="O95" s="30" t="n">
        <f aca="false">IF(SUMIF(A96:A110,2,O96:O110)=0,"",SUMIF(A96:A110,2,O96:O110))</f>
        <v>0.380385780826064</v>
      </c>
      <c r="P95" s="30" t="n">
        <f aca="false">IF(SUMIF(A96:A110,2,P96:P110)=0,"",SUMIF(A96:A110,2,P96:P110))</f>
        <v>0.43745588474233</v>
      </c>
      <c r="Q95" s="29"/>
      <c r="R95" s="29"/>
      <c r="S95" s="31"/>
      <c r="T95" s="32"/>
      <c r="U95" s="33"/>
      <c r="V95" s="34"/>
    </row>
    <row r="96" customFormat="false" ht="15" hidden="false" customHeight="false" outlineLevel="2" collapsed="false">
      <c r="A96" s="35" t="n">
        <v>2</v>
      </c>
      <c r="B96" s="36" t="s">
        <v>404</v>
      </c>
      <c r="C96" s="37" t="s">
        <v>278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405</v>
      </c>
      <c r="C97" s="37" t="s">
        <v>280</v>
      </c>
      <c r="D97" s="36" t="s">
        <v>23</v>
      </c>
      <c r="E97" s="36" t="str">
        <f aca="false">INDEX(REF_DATO,MATCH(D97,REF_ID,0))</f>
        <v>Caucho sintético (NBR / SBR)</v>
      </c>
      <c r="F97" s="38" t="n">
        <v>1</v>
      </c>
      <c r="G97" s="35" t="s">
        <v>264</v>
      </c>
      <c r="H97" s="39" t="n">
        <f aca="false">INDEX(REF_VAL,MATCH(D97,REF_ID,0))</f>
        <v>1.2</v>
      </c>
      <c r="I97" s="40" t="n">
        <f aca="false">F97*J97</f>
        <v>0.000842575149692783</v>
      </c>
      <c r="J97" s="40" t="n">
        <v>0.000842575149692783</v>
      </c>
      <c r="K97" s="40" t="n">
        <f aca="false">I97*(1-V97)</f>
        <v>0.000786403473046597</v>
      </c>
      <c r="L97" s="40" t="n">
        <f aca="false">I97*(1+V97)</f>
        <v>0.000898746826338968</v>
      </c>
      <c r="M97" s="40" t="n">
        <f aca="false">F97*N97</f>
        <v>0.00101109017963134</v>
      </c>
      <c r="N97" s="40" t="n">
        <f aca="false">J97*H97</f>
        <v>0.00101109017963134</v>
      </c>
      <c r="O97" s="40" t="n">
        <f aca="false">K97*Q97</f>
        <v>0.000865043820351257</v>
      </c>
      <c r="P97" s="40" t="n">
        <f aca="false">L97*R97</f>
        <v>0.00116837087424066</v>
      </c>
      <c r="Q97" s="39" t="n">
        <f aca="false">INDEX(REF_MIN,MATCH(D97,REF_ID,0))</f>
        <v>1.1</v>
      </c>
      <c r="R97" s="39" t="n">
        <f aca="false">INDEX(REF_MAX,MATCH(D97,REF_ID,0))</f>
        <v>1.3</v>
      </c>
      <c r="S97" s="41" t="n">
        <v>0.112343353292371</v>
      </c>
      <c r="T97" s="42" t="n">
        <f aca="false">200*J97/S97</f>
        <v>1.5</v>
      </c>
      <c r="U97" s="43" t="n">
        <f aca="false">IFERROR(INDEX(ISO_TOL,MATCH(T97,ISO_DESDE,1)),0)</f>
        <v>0.1</v>
      </c>
      <c r="V97" s="44" t="n">
        <f aca="false">IF(T97&gt;0,U97/T97,0)</f>
        <v>0.0666666666666666</v>
      </c>
    </row>
    <row r="98" customFormat="false" ht="15" hidden="false" customHeight="false" outlineLevel="2" collapsed="false">
      <c r="A98" s="35" t="n">
        <v>2</v>
      </c>
      <c r="B98" s="36" t="s">
        <v>406</v>
      </c>
      <c r="C98" s="37" t="s">
        <v>354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 t="n">
        <f aca="false">IF(SUMIF(A99:A110,3,M99:M110)=0,"",SUMIF(A99:A110,3,M99:M110))</f>
        <v>0.407769584521987</v>
      </c>
      <c r="N98" s="40" t="n">
        <f aca="false">IF(M98="","",M98/F98)</f>
        <v>0.407769584521987</v>
      </c>
      <c r="O98" s="40" t="n">
        <f aca="false">IF(SUMIF(A99:A110,3,O99:O110)=0,"",SUMIF(A99:A110,3,O99:O110))</f>
        <v>0.379520737005713</v>
      </c>
      <c r="P98" s="40" t="n">
        <f aca="false">IF(SUMIF(A99:A110,3,P99:P110)=0,"",SUMIF(A99:A110,3,P99:P110))</f>
        <v>0.436287513868089</v>
      </c>
      <c r="Q98" s="39"/>
      <c r="R98" s="39"/>
      <c r="S98" s="41"/>
      <c r="T98" s="42"/>
      <c r="U98" s="43"/>
      <c r="V98" s="44"/>
    </row>
    <row r="99" customFormat="false" ht="15" hidden="false" customHeight="false" outlineLevel="3" collapsed="false">
      <c r="A99" s="35" t="n">
        <v>3</v>
      </c>
      <c r="B99" s="36" t="s">
        <v>407</v>
      </c>
      <c r="C99" s="45" t="s">
        <v>284</v>
      </c>
      <c r="D99" s="36" t="s">
        <v>17</v>
      </c>
      <c r="E99" s="36" t="str">
        <f aca="false">INDEX(REF_DATO,MATCH(D99,REF_ID,0))</f>
        <v>Latón de forja (CuZn39Pb2 / C37700)</v>
      </c>
      <c r="F99" s="38" t="n">
        <v>1</v>
      </c>
      <c r="G99" s="35" t="s">
        <v>264</v>
      </c>
      <c r="H99" s="39" t="n">
        <f aca="false">INDEX(REF_VAL,MATCH(D99,REF_ID,0))</f>
        <v>8.45</v>
      </c>
      <c r="I99" s="40" t="n">
        <f aca="false">F99*J99</f>
        <v>0.00289757599381457</v>
      </c>
      <c r="J99" s="40" t="n">
        <v>0.00289757599381457</v>
      </c>
      <c r="K99" s="40" t="n">
        <f aca="false">I99*(1-V99)</f>
        <v>0.0027805356277529</v>
      </c>
      <c r="L99" s="40" t="n">
        <f aca="false">I99*(1+V99)</f>
        <v>0.00301461635987624</v>
      </c>
      <c r="M99" s="40" t="n">
        <f aca="false">F99*N99</f>
        <v>0.0244845171477331</v>
      </c>
      <c r="N99" s="40" t="n">
        <f aca="false">J99*H99</f>
        <v>0.0244845171477331</v>
      </c>
      <c r="O99" s="40" t="n">
        <f aca="false">K99*Q99</f>
        <v>0.0233564992731243</v>
      </c>
      <c r="P99" s="40" t="n">
        <f aca="false">L99*R99</f>
        <v>0.0256242390589481</v>
      </c>
      <c r="Q99" s="39" t="n">
        <f aca="false">INDEX(REF_MIN,MATCH(D99,REF_ID,0))</f>
        <v>8.4</v>
      </c>
      <c r="R99" s="39" t="n">
        <f aca="false">INDEX(REF_MAX,MATCH(D99,REF_ID,0))</f>
        <v>8.5</v>
      </c>
      <c r="S99" s="41" t="n">
        <v>0.234080732123344</v>
      </c>
      <c r="T99" s="42" t="n">
        <f aca="false">200*J99/S99</f>
        <v>2.47570653725378</v>
      </c>
      <c r="U99" s="43" t="n">
        <f aca="false">IFERROR(INDEX(ISO_TOL,MATCH(T99,ISO_DESDE,1)),0)</f>
        <v>0.1</v>
      </c>
      <c r="V99" s="44" t="n">
        <f aca="false">IF(T99&gt;0,U99/T99,0)</f>
        <v>0.0403925095705918</v>
      </c>
    </row>
    <row r="100" customFormat="false" ht="15" hidden="false" customHeight="false" outlineLevel="3" collapsed="false">
      <c r="A100" s="35" t="n">
        <v>3</v>
      </c>
      <c r="B100" s="36" t="s">
        <v>408</v>
      </c>
      <c r="C100" s="45" t="s">
        <v>286</v>
      </c>
      <c r="D100" s="36" t="s">
        <v>17</v>
      </c>
      <c r="E100" s="36" t="str">
        <f aca="false">INDEX(REF_DATO,MATCH(D100,REF_ID,0))</f>
        <v>Latón de forja (CuZn39Pb2 / C37700)</v>
      </c>
      <c r="F100" s="38" t="n">
        <v>1</v>
      </c>
      <c r="G100" s="35" t="s">
        <v>264</v>
      </c>
      <c r="H100" s="39" t="n">
        <f aca="false">INDEX(REF_VAL,MATCH(D100,REF_ID,0))</f>
        <v>8.45</v>
      </c>
      <c r="I100" s="40" t="n">
        <f aca="false">F100*J100</f>
        <v>0.000622782069311974</v>
      </c>
      <c r="J100" s="40" t="n">
        <v>0.000622782069311974</v>
      </c>
      <c r="K100" s="40" t="n">
        <f aca="false">I100*(1-V100)</f>
        <v>0.000575019978783558</v>
      </c>
      <c r="L100" s="40" t="n">
        <f aca="false">I100*(1+V100)</f>
        <v>0.00067054415984039</v>
      </c>
      <c r="M100" s="40" t="n">
        <f aca="false">F100*N100</f>
        <v>0.00526250848568618</v>
      </c>
      <c r="N100" s="40" t="n">
        <f aca="false">J100*H100</f>
        <v>0.00526250848568618</v>
      </c>
      <c r="O100" s="40" t="n">
        <f aca="false">K100*Q100</f>
        <v>0.00483016782178189</v>
      </c>
      <c r="P100" s="40" t="n">
        <f aca="false">L100*R100</f>
        <v>0.00569962535864332</v>
      </c>
      <c r="Q100" s="39" t="n">
        <f aca="false">INDEX(REF_MIN,MATCH(D100,REF_ID,0))</f>
        <v>8.4</v>
      </c>
      <c r="R100" s="39" t="n">
        <f aca="false">INDEX(REF_MAX,MATCH(D100,REF_ID,0))</f>
        <v>8.5</v>
      </c>
      <c r="S100" s="41" t="n">
        <v>0.095524181056832</v>
      </c>
      <c r="T100" s="42" t="n">
        <f aca="false">200*J100/S100</f>
        <v>1.3039254823686</v>
      </c>
      <c r="U100" s="43" t="n">
        <f aca="false">IFERROR(INDEX(ISO_TOL,MATCH(T100,ISO_DESDE,1)),0)</f>
        <v>0.1</v>
      </c>
      <c r="V100" s="44" t="n">
        <f aca="false">IF(T100&gt;0,U100/T100,0)</f>
        <v>0.0766914991325645</v>
      </c>
    </row>
    <row r="101" customFormat="false" ht="15" hidden="false" customHeight="false" outlineLevel="3" collapsed="false">
      <c r="A101" s="35" t="n">
        <v>3</v>
      </c>
      <c r="B101" s="36" t="s">
        <v>409</v>
      </c>
      <c r="C101" s="45" t="s">
        <v>288</v>
      </c>
      <c r="D101" s="36" t="s">
        <v>17</v>
      </c>
      <c r="E101" s="36" t="str">
        <f aca="false">INDEX(REF_DATO,MATCH(D101,REF_ID,0))</f>
        <v>Latón de forja (CuZn39Pb2 / C37700)</v>
      </c>
      <c r="F101" s="38" t="n">
        <v>1</v>
      </c>
      <c r="G101" s="35" t="s">
        <v>264</v>
      </c>
      <c r="H101" s="39" t="n">
        <f aca="false">INDEX(REF_VAL,MATCH(D101,REF_ID,0))</f>
        <v>8.45</v>
      </c>
      <c r="I101" s="40" t="n">
        <f aca="false">F101*J101</f>
        <v>0.015721177845052</v>
      </c>
      <c r="J101" s="40" t="n">
        <v>0.015721177845052</v>
      </c>
      <c r="K101" s="40" t="n">
        <f aca="false">I101*(1-V101)</f>
        <v>0.0154591130500673</v>
      </c>
      <c r="L101" s="40" t="n">
        <f aca="false">I101*(1+V101)</f>
        <v>0.0159832426400367</v>
      </c>
      <c r="M101" s="40" t="n">
        <f aca="false">F101*N101</f>
        <v>0.132843952790689</v>
      </c>
      <c r="N101" s="40" t="n">
        <f aca="false">J101*H101</f>
        <v>0.132843952790689</v>
      </c>
      <c r="O101" s="40" t="n">
        <f aca="false">K101*Q101</f>
        <v>0.129856549620565</v>
      </c>
      <c r="P101" s="40" t="n">
        <f aca="false">L101*R101</f>
        <v>0.135857562440312</v>
      </c>
      <c r="Q101" s="39" t="n">
        <f aca="false">INDEX(REF_MIN,MATCH(D101,REF_ID,0))</f>
        <v>8.4</v>
      </c>
      <c r="R101" s="39" t="n">
        <f aca="false">INDEX(REF_MAX,MATCH(D101,REF_ID,0))</f>
        <v>8.5</v>
      </c>
      <c r="S101" s="41" t="n">
        <v>0.524129589969398</v>
      </c>
      <c r="T101" s="42" t="n">
        <f aca="false">200*J101/S101</f>
        <v>5.99896596029615</v>
      </c>
      <c r="U101" s="43" t="n">
        <f aca="false">IFERROR(INDEX(ISO_TOL,MATCH(T101,ISO_DESDE,1)),0)</f>
        <v>0.1</v>
      </c>
      <c r="V101" s="44" t="n">
        <f aca="false">IF(T101&gt;0,U101/T101,0)</f>
        <v>0.0166695394942803</v>
      </c>
    </row>
    <row r="102" customFormat="false" ht="15" hidden="false" customHeight="false" outlineLevel="3" collapsed="false">
      <c r="A102" s="35" t="n">
        <v>3</v>
      </c>
      <c r="B102" s="36" t="s">
        <v>410</v>
      </c>
      <c r="C102" s="45" t="s">
        <v>290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0.00162231844631377</v>
      </c>
      <c r="J102" s="40" t="n">
        <v>0.00162231844631377</v>
      </c>
      <c r="K102" s="40" t="n">
        <f aca="false">I102*(1-V102)</f>
        <v>0.0015672149111698</v>
      </c>
      <c r="L102" s="40" t="n">
        <f aca="false">I102*(1+V102)</f>
        <v>0.00167742198145773</v>
      </c>
      <c r="M102" s="40" t="n">
        <f aca="false">F102*N102</f>
        <v>0.0137085908713513</v>
      </c>
      <c r="N102" s="40" t="n">
        <f aca="false">J102*H102</f>
        <v>0.0137085908713513</v>
      </c>
      <c r="O102" s="40" t="n">
        <f aca="false">K102*Q102</f>
        <v>0.0131646052538263</v>
      </c>
      <c r="P102" s="40" t="n">
        <f aca="false">L102*R102</f>
        <v>0.0142580868423907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0.11020707028793</v>
      </c>
      <c r="T102" s="42" t="n">
        <f aca="false">200*J102/S102</f>
        <v>2.94412770809578</v>
      </c>
      <c r="U102" s="43" t="n">
        <f aca="false">IFERROR(INDEX(ISO_TOL,MATCH(T102,ISO_DESDE,1)),0)</f>
        <v>0.1</v>
      </c>
      <c r="V102" s="44" t="n">
        <f aca="false">IF(T102&gt;0,U102/T102,0)</f>
        <v>0.0339659178931061</v>
      </c>
    </row>
    <row r="103" customFormat="false" ht="15" hidden="false" customHeight="false" outlineLevel="3" collapsed="false">
      <c r="A103" s="35" t="n">
        <v>3</v>
      </c>
      <c r="B103" s="36" t="s">
        <v>411</v>
      </c>
      <c r="C103" s="45" t="s">
        <v>292</v>
      </c>
      <c r="D103" s="36" t="s">
        <v>14</v>
      </c>
      <c r="E103" s="36" t="str">
        <f aca="false">INDEX(REF_DATO,MATCH(D103,REF_ID,0))</f>
        <v>Acero inoxidable AISI 302 / 304</v>
      </c>
      <c r="F103" s="38" t="n">
        <v>1</v>
      </c>
      <c r="G103" s="35" t="s">
        <v>264</v>
      </c>
      <c r="H103" s="39" t="n">
        <f aca="false">INDEX(REF_VAL,MATCH(D103,REF_ID,0))</f>
        <v>7.93</v>
      </c>
      <c r="I103" s="40" t="n">
        <f aca="false">F103*J103</f>
        <v>0.000611811346278937</v>
      </c>
      <c r="J103" s="40" t="n">
        <v>0.000611811346278937</v>
      </c>
      <c r="K103" s="40" t="n">
        <f aca="false">I103*(1-V103)</f>
        <v>0.000611811346278937</v>
      </c>
      <c r="L103" s="40" t="n">
        <f aca="false">I103*(1+V103)</f>
        <v>0.000611811346278937</v>
      </c>
      <c r="M103" s="40" t="n">
        <f aca="false">F103*N103</f>
        <v>0.00485166397599197</v>
      </c>
      <c r="N103" s="40" t="n">
        <f aca="false">J103*H103</f>
        <v>0.00485166397599197</v>
      </c>
      <c r="O103" s="40" t="n">
        <f aca="false">K103*Q103</f>
        <v>0.00485166397599197</v>
      </c>
      <c r="P103" s="40" t="n">
        <f aca="false">L103*R103</f>
        <v>0.00485166397599197</v>
      </c>
      <c r="Q103" s="39" t="n">
        <f aca="false">INDEX(REF_MIN,MATCH(D103,REF_ID,0))</f>
        <v>7.93</v>
      </c>
      <c r="R103" s="39" t="n">
        <f aca="false">INDEX(REF_MAX,MATCH(D103,REF_ID,0))</f>
        <v>7.93</v>
      </c>
      <c r="S103" s="41" t="n">
        <v>0.606955700673548</v>
      </c>
      <c r="T103" s="42" t="n">
        <f aca="false">200*J103/S103</f>
        <v>0.2016</v>
      </c>
      <c r="U103" s="43" t="n">
        <f aca="false">IFERROR(INDEX(ISO_TOL,MATCH(T103,ISO_DESDE,1)),0)</f>
        <v>0</v>
      </c>
      <c r="V103" s="44" t="n">
        <f aca="false">IF(T103&gt;0,U103/T103,0)</f>
        <v>0</v>
      </c>
    </row>
    <row r="104" customFormat="false" ht="15" hidden="false" customHeight="false" outlineLevel="3" collapsed="false">
      <c r="A104" s="35" t="n">
        <v>3</v>
      </c>
      <c r="B104" s="36" t="s">
        <v>412</v>
      </c>
      <c r="C104" s="45" t="s">
        <v>294</v>
      </c>
      <c r="D104" s="36" t="s">
        <v>14</v>
      </c>
      <c r="E104" s="36" t="str">
        <f aca="false">INDEX(REF_DATO,MATCH(D104,REF_ID,0))</f>
        <v>Acero inoxidable AISI 302 / 304</v>
      </c>
      <c r="F104" s="38" t="n">
        <v>1</v>
      </c>
      <c r="G104" s="35" t="s">
        <v>264</v>
      </c>
      <c r="H104" s="39" t="n">
        <f aca="false">INDEX(REF_VAL,MATCH(D104,REF_ID,0))</f>
        <v>7.93</v>
      </c>
      <c r="I104" s="40" t="n">
        <f aca="false">F104*J104</f>
        <v>0.000414690230273853</v>
      </c>
      <c r="J104" s="40" t="n">
        <v>0.000414690230273853</v>
      </c>
      <c r="K104" s="40" t="n">
        <f aca="false">I104*(1-V104)</f>
        <v>0.000392699081698725</v>
      </c>
      <c r="L104" s="40" t="n">
        <f aca="false">I104*(1+V104)</f>
        <v>0.000436681378848982</v>
      </c>
      <c r="M104" s="40" t="n">
        <f aca="false">F104*N104</f>
        <v>0.00328849352607166</v>
      </c>
      <c r="N104" s="40" t="n">
        <f aca="false">J104*H104</f>
        <v>0.00328849352607166</v>
      </c>
      <c r="O104" s="40" t="n">
        <f aca="false">K104*Q104</f>
        <v>0.00311410371787089</v>
      </c>
      <c r="P104" s="40" t="n">
        <f aca="false">L104*R104</f>
        <v>0.00346288333427243</v>
      </c>
      <c r="Q104" s="39" t="n">
        <f aca="false">INDEX(REF_MIN,MATCH(D104,REF_ID,0))</f>
        <v>7.93</v>
      </c>
      <c r="R104" s="39" t="n">
        <f aca="false">INDEX(REF_MAX,MATCH(D104,REF_ID,0))</f>
        <v>7.93</v>
      </c>
      <c r="S104" s="41" t="n">
        <v>0.0439822971502571</v>
      </c>
      <c r="T104" s="42" t="n">
        <f aca="false">200*J104/S104</f>
        <v>1.88571428571429</v>
      </c>
      <c r="U104" s="43" t="n">
        <f aca="false">IFERROR(INDEX(ISO_TOL,MATCH(T104,ISO_DESDE,1)),0)</f>
        <v>0.1</v>
      </c>
      <c r="V104" s="44" t="n">
        <f aca="false">IF(T104&gt;0,U104/T104,0)</f>
        <v>0.053030303030303</v>
      </c>
    </row>
    <row r="105" customFormat="false" ht="15" hidden="false" customHeight="false" outlineLevel="3" collapsed="false">
      <c r="A105" s="35" t="n">
        <v>3</v>
      </c>
      <c r="B105" s="36" t="s">
        <v>413</v>
      </c>
      <c r="C105" s="45" t="s">
        <v>296</v>
      </c>
      <c r="D105" s="36" t="s">
        <v>14</v>
      </c>
      <c r="E105" s="36" t="str">
        <f aca="false">INDEX(REF_DATO,MATCH(D105,REF_ID,0))</f>
        <v>Acero inoxidable AISI 302 / 304</v>
      </c>
      <c r="F105" s="38" t="n">
        <v>1</v>
      </c>
      <c r="G105" s="35" t="s">
        <v>264</v>
      </c>
      <c r="H105" s="39" t="n">
        <f aca="false">INDEX(REF_VAL,MATCH(D105,REF_ID,0))</f>
        <v>7.93</v>
      </c>
      <c r="I105" s="40" t="n">
        <f aca="false">F105*J105</f>
        <v>0.0006972993812865</v>
      </c>
      <c r="J105" s="40" t="n">
        <v>0.0006972993812865</v>
      </c>
      <c r="K105" s="40" t="n">
        <f aca="false">I105*(1-V105)</f>
        <v>0.000650528232618022</v>
      </c>
      <c r="L105" s="40" t="n">
        <f aca="false">I105*(1+V105)</f>
        <v>0.000744070529954977</v>
      </c>
      <c r="M105" s="40" t="n">
        <f aca="false">F105*N105</f>
        <v>0.00552958409360194</v>
      </c>
      <c r="N105" s="40" t="n">
        <f aca="false">J105*H105</f>
        <v>0.00552958409360194</v>
      </c>
      <c r="O105" s="40" t="n">
        <f aca="false">K105*Q105</f>
        <v>0.00515868888466092</v>
      </c>
      <c r="P105" s="40" t="n">
        <f aca="false">L105*R105</f>
        <v>0.00590047930254296</v>
      </c>
      <c r="Q105" s="39" t="n">
        <f aca="false">INDEX(REF_MIN,MATCH(D105,REF_ID,0))</f>
        <v>7.93</v>
      </c>
      <c r="R105" s="39" t="n">
        <f aca="false">INDEX(REF_MAX,MATCH(D105,REF_ID,0))</f>
        <v>7.93</v>
      </c>
      <c r="S105" s="41" t="n">
        <v>0.0935422973369542</v>
      </c>
      <c r="T105" s="42" t="n">
        <f aca="false">200*J105/S105</f>
        <v>1.49087503971539</v>
      </c>
      <c r="U105" s="43" t="n">
        <f aca="false">IFERROR(INDEX(ISO_TOL,MATCH(T105,ISO_DESDE,1)),0)</f>
        <v>0.1</v>
      </c>
      <c r="V105" s="44" t="n">
        <f aca="false">IF(T105&gt;0,U105/T105,0)</f>
        <v>0.067074702665282</v>
      </c>
    </row>
    <row r="106" customFormat="false" ht="15" hidden="false" customHeight="false" outlineLevel="3" collapsed="false">
      <c r="A106" s="35" t="n">
        <v>3</v>
      </c>
      <c r="B106" s="36" t="s">
        <v>414</v>
      </c>
      <c r="C106" s="45" t="s">
        <v>298</v>
      </c>
      <c r="D106" s="36" t="s">
        <v>10</v>
      </c>
      <c r="E106" s="36" t="str">
        <f aca="false">INDEX(REF_DATO,MATCH(D106,REF_ID,0))</f>
        <v>Acero (chapa LAC/LAF, SAE 1010/1045)</v>
      </c>
      <c r="F106" s="38" t="n">
        <v>1</v>
      </c>
      <c r="G106" s="35" t="s">
        <v>264</v>
      </c>
      <c r="H106" s="39" t="n">
        <f aca="false">INDEX(REF_VAL,MATCH(D106,REF_ID,0))</f>
        <v>7.85</v>
      </c>
      <c r="I106" s="40" t="n">
        <f aca="false">F106*J106</f>
        <v>0.0122208194772713</v>
      </c>
      <c r="J106" s="40" t="n">
        <v>0.0122208194772713</v>
      </c>
      <c r="K106" s="40" t="n">
        <f aca="false">I106*(1-V106)</f>
        <v>0.0109151420660492</v>
      </c>
      <c r="L106" s="40" t="n">
        <f aca="false">I106*(1+V106)</f>
        <v>0.0135264968884933</v>
      </c>
      <c r="M106" s="40" t="n">
        <f aca="false">F106*N106</f>
        <v>0.0959334328965793</v>
      </c>
      <c r="N106" s="40" t="n">
        <f aca="false">J106*H106</f>
        <v>0.0959334328965793</v>
      </c>
      <c r="O106" s="40" t="n">
        <f aca="false">K106*Q106</f>
        <v>0.0856838652184865</v>
      </c>
      <c r="P106" s="40" t="n">
        <f aca="false">L106*R106</f>
        <v>0.106183000574672</v>
      </c>
      <c r="Q106" s="39" t="n">
        <f aca="false">INDEX(REF_MIN,MATCH(D106,REF_ID,0))</f>
        <v>7.85</v>
      </c>
      <c r="R106" s="39" t="n">
        <f aca="false">INDEX(REF_MAX,MATCH(D106,REF_ID,0))</f>
        <v>7.85</v>
      </c>
      <c r="S106" s="41" t="n">
        <v>2.61135482244402</v>
      </c>
      <c r="T106" s="42" t="n">
        <f aca="false">200*J106/S106</f>
        <v>0.935975408032335</v>
      </c>
      <c r="U106" s="43" t="n">
        <f aca="false">IFERROR(INDEX(ISO_TOL,MATCH(T106,ISO_DESDE,1)),0)</f>
        <v>0.1</v>
      </c>
      <c r="V106" s="44" t="n">
        <f aca="false">IF(T106&gt;0,U106/T106,0)</f>
        <v>0.106840413905987</v>
      </c>
    </row>
    <row r="107" customFormat="false" ht="15" hidden="false" customHeight="false" outlineLevel="3" collapsed="false">
      <c r="A107" s="35" t="n">
        <v>3</v>
      </c>
      <c r="B107" s="36" t="s">
        <v>415</v>
      </c>
      <c r="C107" s="45" t="s">
        <v>300</v>
      </c>
      <c r="D107" s="36" t="s">
        <v>10</v>
      </c>
      <c r="E107" s="36" t="str">
        <f aca="false">INDEX(REF_DATO,MATCH(D107,REF_ID,0))</f>
        <v>Acero (chapa LAC/LAF, SAE 1010/1045)</v>
      </c>
      <c r="F107" s="38" t="n">
        <v>1</v>
      </c>
      <c r="G107" s="35" t="s">
        <v>264</v>
      </c>
      <c r="H107" s="39" t="n">
        <f aca="false">INDEX(REF_VAL,MATCH(D107,REF_ID,0))</f>
        <v>7.85</v>
      </c>
      <c r="I107" s="40" t="n">
        <f aca="false">F107*J107</f>
        <v>0.0096403801433707</v>
      </c>
      <c r="J107" s="40" t="n">
        <v>0.0096403801433707</v>
      </c>
      <c r="K107" s="40" t="n">
        <f aca="false">I107*(1-V107)</f>
        <v>0.00865558197544062</v>
      </c>
      <c r="L107" s="40" t="n">
        <f aca="false">I107*(1+V107)</f>
        <v>0.0106251783113008</v>
      </c>
      <c r="M107" s="40" t="n">
        <f aca="false">F107*N107</f>
        <v>0.07567698412546</v>
      </c>
      <c r="N107" s="40" t="n">
        <f aca="false">J107*H107</f>
        <v>0.07567698412546</v>
      </c>
      <c r="O107" s="40" t="n">
        <f aca="false">K107*Q107</f>
        <v>0.0679463185072089</v>
      </c>
      <c r="P107" s="40" t="n">
        <f aca="false">L107*R107</f>
        <v>0.0834076497437111</v>
      </c>
      <c r="Q107" s="39" t="n">
        <f aca="false">INDEX(REF_MIN,MATCH(D107,REF_ID,0))</f>
        <v>7.85</v>
      </c>
      <c r="R107" s="39" t="n">
        <f aca="false">INDEX(REF_MAX,MATCH(D107,REF_ID,0))</f>
        <v>7.85</v>
      </c>
      <c r="S107" s="41" t="n">
        <v>1.96959633586015</v>
      </c>
      <c r="T107" s="42" t="n">
        <f aca="false">200*J107/S107</f>
        <v>0.978919382398283</v>
      </c>
      <c r="U107" s="43" t="n">
        <f aca="false">IFERROR(INDEX(ISO_TOL,MATCH(T107,ISO_DESDE,1)),0)</f>
        <v>0.1</v>
      </c>
      <c r="V107" s="44" t="n">
        <f aca="false">IF(T107&gt;0,U107/T107,0)</f>
        <v>0.102153457984464</v>
      </c>
    </row>
    <row r="108" customFormat="false" ht="15" hidden="false" customHeight="false" outlineLevel="3" collapsed="false">
      <c r="A108" s="35" t="n">
        <v>3</v>
      </c>
      <c r="B108" s="36" t="s">
        <v>416</v>
      </c>
      <c r="C108" s="45" t="s">
        <v>302</v>
      </c>
      <c r="D108" s="36" t="s">
        <v>32</v>
      </c>
      <c r="E108" s="36" t="str">
        <f aca="false">INDEX(REF_DATO,MATCH(D108,REF_ID,0))</f>
        <v>PVC rígido, vinilo y papeles de identificación</v>
      </c>
      <c r="F108" s="38" t="n">
        <v>1</v>
      </c>
      <c r="G108" s="35" t="s">
        <v>264</v>
      </c>
      <c r="H108" s="39" t="n">
        <f aca="false">INDEX(REF_VAL,MATCH(D108,REF_ID,0))</f>
        <v>1.4</v>
      </c>
      <c r="I108" s="40" t="n">
        <f aca="false">F108*J108</f>
        <v>0.0329927547205877</v>
      </c>
      <c r="J108" s="40" t="n">
        <v>0.0329927547205877</v>
      </c>
      <c r="K108" s="40" t="n">
        <f aca="false">I108*(1-V108)</f>
        <v>0.0307839072090341</v>
      </c>
      <c r="L108" s="40" t="n">
        <f aca="false">I108*(1+V108)</f>
        <v>0.0352016022321414</v>
      </c>
      <c r="M108" s="40" t="n">
        <f aca="false">F108*N108</f>
        <v>0.0461898566088228</v>
      </c>
      <c r="N108" s="40" t="n">
        <f aca="false">J108*H108</f>
        <v>0.0461898566088228</v>
      </c>
      <c r="O108" s="40" t="n">
        <f aca="false">K108*Q108</f>
        <v>0.041558274732196</v>
      </c>
      <c r="P108" s="40" t="n">
        <f aca="false">L108*R108</f>
        <v>0.0510423232366051</v>
      </c>
      <c r="Q108" s="39" t="n">
        <f aca="false">INDEX(REF_MIN,MATCH(D108,REF_ID,0))</f>
        <v>1.35</v>
      </c>
      <c r="R108" s="39" t="n">
        <f aca="false">INDEX(REF_MAX,MATCH(D108,REF_ID,0))</f>
        <v>1.45</v>
      </c>
      <c r="S108" s="41" t="n">
        <v>4.41769502310735</v>
      </c>
      <c r="T108" s="42" t="n">
        <f aca="false">200*J108/S108</f>
        <v>1.49366375668826</v>
      </c>
      <c r="U108" s="43" t="n">
        <f aca="false">IFERROR(INDEX(ISO_TOL,MATCH(T108,ISO_DESDE,1)),0)</f>
        <v>0.1</v>
      </c>
      <c r="V108" s="44" t="n">
        <f aca="false">IF(T108&gt;0,U108/T108,0)</f>
        <v>0.0669494720965309</v>
      </c>
    </row>
    <row r="109" customFormat="false" ht="15" hidden="false" customHeight="false" outlineLevel="3" collapsed="false">
      <c r="A109" s="35" t="n">
        <v>3</v>
      </c>
      <c r="B109" s="36" t="s">
        <v>417</v>
      </c>
      <c r="C109" s="45" t="s">
        <v>304</v>
      </c>
      <c r="D109" s="36"/>
      <c r="E109" s="36"/>
      <c r="F109" s="38" t="n">
        <v>1</v>
      </c>
      <c r="G109" s="35" t="s">
        <v>264</v>
      </c>
      <c r="H109" s="39"/>
      <c r="I109" s="40"/>
      <c r="J109" s="40"/>
      <c r="K109" s="40"/>
      <c r="L109" s="40"/>
      <c r="M109" s="40"/>
      <c r="N109" s="40"/>
      <c r="O109" s="40"/>
      <c r="P109" s="40"/>
      <c r="Q109" s="39"/>
      <c r="R109" s="39"/>
      <c r="S109" s="41"/>
      <c r="T109" s="42"/>
      <c r="U109" s="43"/>
      <c r="V109" s="44"/>
    </row>
    <row r="110" customFormat="false" ht="15" hidden="false" customHeight="false" outlineLevel="3" collapsed="false">
      <c r="A110" s="35" t="n">
        <v>3</v>
      </c>
      <c r="B110" s="36" t="s">
        <v>418</v>
      </c>
      <c r="C110" s="45" t="s">
        <v>306</v>
      </c>
      <c r="D110" s="36"/>
      <c r="E110" s="36"/>
      <c r="F110" s="38" t="n">
        <v>1</v>
      </c>
      <c r="G110" s="35" t="s">
        <v>264</v>
      </c>
      <c r="H110" s="39"/>
      <c r="I110" s="40"/>
      <c r="J110" s="40"/>
      <c r="K110" s="40"/>
      <c r="L110" s="40"/>
      <c r="M110" s="40"/>
      <c r="N110" s="40"/>
      <c r="O110" s="40"/>
      <c r="P110" s="40"/>
      <c r="Q110" s="39"/>
      <c r="R110" s="39"/>
      <c r="S110" s="41"/>
      <c r="T110" s="42"/>
      <c r="U110" s="43"/>
      <c r="V110" s="44"/>
    </row>
    <row r="111" customFormat="false" ht="15" hidden="false" customHeight="false" outlineLevel="1" collapsed="false">
      <c r="A111" s="25" t="n">
        <v>1</v>
      </c>
      <c r="B111" s="26" t="s">
        <v>419</v>
      </c>
      <c r="C111" s="27" t="s">
        <v>308</v>
      </c>
      <c r="D111" s="26"/>
      <c r="E111" s="26"/>
      <c r="F111" s="28" t="n">
        <v>1</v>
      </c>
      <c r="G111" s="25" t="s">
        <v>264</v>
      </c>
      <c r="H111" s="29"/>
      <c r="I111" s="30"/>
      <c r="J111" s="30"/>
      <c r="K111" s="30"/>
      <c r="L111" s="30"/>
      <c r="M111" s="30" t="n">
        <f aca="false">IF(SUMIF(A112:A115,2,M112:M115)=0,"",SUMIF(A112:A115,2,M112:M115))</f>
        <v>0.201643092188796</v>
      </c>
      <c r="N111" s="30"/>
      <c r="O111" s="30" t="n">
        <f aca="false">IF(SUMIF(A112:A115,2,O112:O115)=0,"",SUMIF(A112:A115,2,O112:O115))</f>
        <v>0.188166264800703</v>
      </c>
      <c r="P111" s="30" t="n">
        <f aca="false">IF(SUMIF(A112:A115,2,P112:P115)=0,"",SUMIF(A112:A115,2,P112:P115))</f>
        <v>0.215632736620764</v>
      </c>
      <c r="Q111" s="29"/>
      <c r="R111" s="29"/>
      <c r="S111" s="31"/>
      <c r="T111" s="32"/>
      <c r="U111" s="33"/>
      <c r="V111" s="34"/>
    </row>
    <row r="112" customFormat="false" ht="15" hidden="false" customHeight="false" outlineLevel="2" collapsed="false">
      <c r="A112" s="35" t="n">
        <v>2</v>
      </c>
      <c r="B112" s="36" t="s">
        <v>420</v>
      </c>
      <c r="C112" s="37" t="s">
        <v>369</v>
      </c>
      <c r="D112" s="36" t="s">
        <v>17</v>
      </c>
      <c r="E112" s="36" t="str">
        <f aca="false">INDEX(REF_DATO,MATCH(D112,REF_ID,0))</f>
        <v>Latón de forja (CuZn39Pb2 / C37700)</v>
      </c>
      <c r="F112" s="38" t="n">
        <v>1</v>
      </c>
      <c r="G112" s="35" t="s">
        <v>264</v>
      </c>
      <c r="H112" s="39" t="n">
        <f aca="false">INDEX(REF_VAL,MATCH(D112,REF_ID,0))</f>
        <v>8.45</v>
      </c>
      <c r="I112" s="40" t="n">
        <f aca="false">F112*J112</f>
        <v>0.00466607483608731</v>
      </c>
      <c r="J112" s="40" t="n">
        <v>0.00466607483608731</v>
      </c>
      <c r="K112" s="40" t="n">
        <f aca="false">I112*(1-V112)</f>
        <v>0.00458505473234755</v>
      </c>
      <c r="L112" s="40" t="n">
        <f aca="false">I112*(1+V112)</f>
        <v>0.00474709493982706</v>
      </c>
      <c r="M112" s="40" t="n">
        <f aca="false">F112*N112</f>
        <v>0.0394283323649377</v>
      </c>
      <c r="N112" s="40" t="n">
        <f aca="false">J112*H112</f>
        <v>0.0394283323649377</v>
      </c>
      <c r="O112" s="40" t="n">
        <f aca="false">K112*Q112</f>
        <v>0.0385144597517194</v>
      </c>
      <c r="P112" s="40" t="n">
        <f aca="false">L112*R112</f>
        <v>0.04035030698853</v>
      </c>
      <c r="Q112" s="39" t="n">
        <f aca="false">INDEX(REF_MIN,MATCH(D112,REF_ID,0))</f>
        <v>8.4</v>
      </c>
      <c r="R112" s="39" t="n">
        <f aca="false">INDEX(REF_MAX,MATCH(D112,REF_ID,0))</f>
        <v>8.5</v>
      </c>
      <c r="S112" s="41" t="n">
        <v>0.162040207479508</v>
      </c>
      <c r="T112" s="42" t="n">
        <f aca="false">200*J112/S112</f>
        <v>5.75915682739099</v>
      </c>
      <c r="U112" s="43" t="n">
        <f aca="false">IFERROR(INDEX(ISO_TOL,MATCH(T112,ISO_DESDE,1)),0)</f>
        <v>0.1</v>
      </c>
      <c r="V112" s="44" t="n">
        <f aca="false">IF(T112&gt;0,U112/T112,0)</f>
        <v>0.0173636528743917</v>
      </c>
    </row>
    <row r="113" customFormat="false" ht="15" hidden="false" customHeight="false" outlineLevel="2" collapsed="false">
      <c r="A113" s="35" t="n">
        <v>2</v>
      </c>
      <c r="B113" s="36" t="s">
        <v>421</v>
      </c>
      <c r="C113" s="37" t="s">
        <v>371</v>
      </c>
      <c r="D113" s="36" t="s">
        <v>23</v>
      </c>
      <c r="E113" s="36" t="str">
        <f aca="false">INDEX(REF_DATO,MATCH(D113,REF_ID,0))</f>
        <v>Caucho sintético (NBR / SBR)</v>
      </c>
      <c r="F113" s="38" t="n">
        <v>1</v>
      </c>
      <c r="G113" s="35" t="s">
        <v>264</v>
      </c>
      <c r="H113" s="39" t="n">
        <f aca="false">INDEX(REF_VAL,MATCH(D113,REF_ID,0))</f>
        <v>1.2</v>
      </c>
      <c r="I113" s="40" t="n">
        <f aca="false">F113*J113</f>
        <v>0.0423956379600814</v>
      </c>
      <c r="J113" s="40" t="n">
        <v>0.0423956379600814</v>
      </c>
      <c r="K113" s="40" t="n">
        <f aca="false">I113*(1-V113)</f>
        <v>0.0408252487072126</v>
      </c>
      <c r="L113" s="40" t="n">
        <f aca="false">I113*(1+V113)</f>
        <v>0.0439660272129502</v>
      </c>
      <c r="M113" s="40" t="n">
        <f aca="false">F113*N113</f>
        <v>0.0508747655520977</v>
      </c>
      <c r="N113" s="40" t="n">
        <f aca="false">J113*H113</f>
        <v>0.0508747655520977</v>
      </c>
      <c r="O113" s="40" t="n">
        <f aca="false">K113*Q113</f>
        <v>0.0449077735779339</v>
      </c>
      <c r="P113" s="40" t="n">
        <f aca="false">L113*R113</f>
        <v>0.0571558353768353</v>
      </c>
      <c r="Q113" s="39" t="n">
        <f aca="false">INDEX(REF_MIN,MATCH(D113,REF_ID,0))</f>
        <v>1.1</v>
      </c>
      <c r="R113" s="39" t="n">
        <f aca="false">INDEX(REF_MAX,MATCH(D113,REF_ID,0))</f>
        <v>1.3</v>
      </c>
      <c r="S113" s="41" t="n">
        <v>3.14077850573766</v>
      </c>
      <c r="T113" s="42" t="n">
        <f aca="false">200*J113/S113</f>
        <v>2.69968976689263</v>
      </c>
      <c r="U113" s="43" t="n">
        <f aca="false">IFERROR(INDEX(ISO_TOL,MATCH(T113,ISO_DESDE,1)),0)</f>
        <v>0.1</v>
      </c>
      <c r="V113" s="44" t="n">
        <f aca="false">IF(T113&gt;0,U113/T113,0)</f>
        <v>0.037041293124247</v>
      </c>
    </row>
    <row r="114" customFormat="false" ht="15" hidden="false" customHeight="false" outlineLevel="2" collapsed="false">
      <c r="A114" s="35" t="n">
        <v>2</v>
      </c>
      <c r="B114" s="36" t="s">
        <v>422</v>
      </c>
      <c r="C114" s="37" t="s">
        <v>373</v>
      </c>
      <c r="D114" s="36" t="s">
        <v>26</v>
      </c>
      <c r="E114" s="36" t="str">
        <f aca="false">INDEX(REF_DATO,MATCH(D114,REF_ID,0))</f>
        <v>Polipropileno</v>
      </c>
      <c r="F114" s="38" t="n">
        <v>1</v>
      </c>
      <c r="G114" s="35" t="s">
        <v>264</v>
      </c>
      <c r="H114" s="39" t="n">
        <f aca="false">INDEX(REF_VAL,MATCH(D114,REF_ID,0))</f>
        <v>0.9</v>
      </c>
      <c r="I114" s="40" t="n">
        <f aca="false">F114*J114</f>
        <v>0.0187178422933425</v>
      </c>
      <c r="J114" s="40" t="n">
        <v>0.0187178422933425</v>
      </c>
      <c r="K114" s="40" t="n">
        <f aca="false">I114*(1-V114)</f>
        <v>0.0183719662939511</v>
      </c>
      <c r="L114" s="40" t="n">
        <f aca="false">I114*(1+V114)</f>
        <v>0.019063718292734</v>
      </c>
      <c r="M114" s="40" t="n">
        <f aca="false">F114*N114</f>
        <v>0.0168460580640083</v>
      </c>
      <c r="N114" s="40" t="n">
        <f aca="false">J114*H114</f>
        <v>0.0168460580640083</v>
      </c>
      <c r="O114" s="40" t="n">
        <f aca="false">K114*Q114</f>
        <v>0.0165347696645559</v>
      </c>
      <c r="P114" s="40" t="n">
        <f aca="false">L114*R114</f>
        <v>0.0173479836463879</v>
      </c>
      <c r="Q114" s="39" t="n">
        <f aca="false">INDEX(REF_MIN,MATCH(D114,REF_ID,0))</f>
        <v>0.9</v>
      </c>
      <c r="R114" s="39" t="n">
        <f aca="false">INDEX(REF_MAX,MATCH(D114,REF_ID,0))</f>
        <v>0.91</v>
      </c>
      <c r="S114" s="41" t="n">
        <v>0.691751998782917</v>
      </c>
      <c r="T114" s="42" t="n">
        <f aca="false">200*J114/S114</f>
        <v>5.41172047967337</v>
      </c>
      <c r="U114" s="43" t="n">
        <f aca="false">IFERROR(INDEX(ISO_TOL,MATCH(T114,ISO_DESDE,1)),0)</f>
        <v>0.1</v>
      </c>
      <c r="V114" s="44" t="n">
        <f aca="false">IF(T114&gt;0,U114/T114,0)</f>
        <v>0.018478411879476</v>
      </c>
    </row>
    <row r="115" customFormat="false" ht="15" hidden="false" customHeight="false" outlineLevel="2" collapsed="false">
      <c r="A115" s="35" t="n">
        <v>2</v>
      </c>
      <c r="B115" s="36" t="s">
        <v>423</v>
      </c>
      <c r="C115" s="37" t="s">
        <v>375</v>
      </c>
      <c r="D115" s="36" t="s">
        <v>10</v>
      </c>
      <c r="E115" s="36" t="str">
        <f aca="false">INDEX(REF_DATO,MATCH(D115,REF_ID,0))</f>
        <v>Acero (chapa LAC/LAF, SAE 1010/1045)</v>
      </c>
      <c r="F115" s="38" t="n">
        <v>1</v>
      </c>
      <c r="G115" s="35" t="s">
        <v>264</v>
      </c>
      <c r="H115" s="39" t="n">
        <f aca="false">INDEX(REF_VAL,MATCH(D115,REF_ID,0))</f>
        <v>7.85</v>
      </c>
      <c r="I115" s="40" t="n">
        <f aca="false">F115*J115</f>
        <v>0.0120374441028983</v>
      </c>
      <c r="J115" s="40" t="n">
        <v>0.0120374441028983</v>
      </c>
      <c r="K115" s="40" t="n">
        <f aca="false">I115*(1-V115)</f>
        <v>0.0112368486377699</v>
      </c>
      <c r="L115" s="40" t="n">
        <f aca="false">I115*(1+V115)</f>
        <v>0.0128380395680268</v>
      </c>
      <c r="M115" s="40" t="n">
        <f aca="false">F115*N115</f>
        <v>0.094493936207752</v>
      </c>
      <c r="N115" s="40" t="n">
        <f aca="false">J115*H115</f>
        <v>0.094493936207752</v>
      </c>
      <c r="O115" s="40" t="n">
        <f aca="false">K115*Q115</f>
        <v>0.0882092618064935</v>
      </c>
      <c r="P115" s="40" t="n">
        <f aca="false">L115*R115</f>
        <v>0.10077861060901</v>
      </c>
      <c r="Q115" s="39" t="n">
        <f aca="false">INDEX(REF_MIN,MATCH(D115,REF_ID,0))</f>
        <v>7.85</v>
      </c>
      <c r="R115" s="39" t="n">
        <f aca="false">INDEX(REF_MAX,MATCH(D115,REF_ID,0))</f>
        <v>7.85</v>
      </c>
      <c r="S115" s="41" t="n">
        <v>1.60119093025693</v>
      </c>
      <c r="T115" s="42" t="n">
        <f aca="false">200*J115/S115</f>
        <v>1.50356136491065</v>
      </c>
      <c r="U115" s="43" t="n">
        <f aca="false">IFERROR(INDEX(ISO_TOL,MATCH(T115,ISO_DESDE,1)),0)</f>
        <v>0.1</v>
      </c>
      <c r="V115" s="44" t="n">
        <f aca="false">IF(T115&gt;0,U115/T115,0)</f>
        <v>0.0665087586936915</v>
      </c>
    </row>
    <row r="116" customFormat="false" ht="15" hidden="false" customHeight="false" outlineLevel="1" collapsed="false">
      <c r="A116" s="25" t="n">
        <v>1</v>
      </c>
      <c r="B116" s="26" t="s">
        <v>424</v>
      </c>
      <c r="C116" s="27" t="s">
        <v>312</v>
      </c>
      <c r="D116" s="26"/>
      <c r="E116" s="26"/>
      <c r="F116" s="28" t="n">
        <v>1</v>
      </c>
      <c r="G116" s="25" t="s">
        <v>264</v>
      </c>
      <c r="H116" s="29"/>
      <c r="I116" s="30"/>
      <c r="J116" s="30"/>
      <c r="K116" s="30"/>
      <c r="L116" s="30"/>
      <c r="M116" s="30" t="n">
        <f aca="false">IF(SUMIF(A117:A118,2,M117:M118)=0,"",SUMIF(A117:A118,2,M117:M118))</f>
        <v>5.17273569037695</v>
      </c>
      <c r="N116" s="30"/>
      <c r="O116" s="30" t="n">
        <f aca="false">IF(SUMIF(A117:A118,2,O117:O118)=0,"",SUMIF(A117:A118,2,O117:O118))</f>
        <v>5.01835767643709</v>
      </c>
      <c r="P116" s="30" t="n">
        <f aca="false">IF(SUMIF(A117:A118,2,P117:P118)=0,"",SUMIF(A117:A118,2,P117:P118))</f>
        <v>5.32761551194819</v>
      </c>
      <c r="Q116" s="29"/>
      <c r="R116" s="29"/>
      <c r="S116" s="31"/>
      <c r="T116" s="32"/>
      <c r="U116" s="33"/>
      <c r="V116" s="34"/>
    </row>
    <row r="117" customFormat="false" ht="15" hidden="false" customHeight="false" outlineLevel="2" collapsed="false">
      <c r="A117" s="35" t="n">
        <v>2</v>
      </c>
      <c r="B117" s="36" t="s">
        <v>425</v>
      </c>
      <c r="C117" s="37" t="s">
        <v>314</v>
      </c>
      <c r="D117" s="36" t="s">
        <v>37</v>
      </c>
      <c r="E117" s="36" t="str">
        <f aca="false">INDEX(REF_DATO,MATCH(D117,REF_ID,0))</f>
        <v>Polvo ABC asentado en el recipiente</v>
      </c>
      <c r="F117" s="38" t="n">
        <f aca="false">MODELOS!$L$5</f>
        <v>5.15</v>
      </c>
      <c r="G117" s="35" t="s">
        <v>123</v>
      </c>
      <c r="H117" s="39" t="n">
        <f aca="false">INDEX(REF_VAL,MATCH(D117,REF_ID,0))</f>
        <v>1.1</v>
      </c>
      <c r="I117" s="40" t="n">
        <f aca="false">F117*J117</f>
        <v>4.68181818181818</v>
      </c>
      <c r="J117" s="40" t="n">
        <f aca="false">1/H117</f>
        <v>0.909090909090909</v>
      </c>
      <c r="K117" s="40" t="n">
        <f aca="false">MODELOS!$M$5/R117</f>
        <v>4.54545454545455</v>
      </c>
      <c r="L117" s="40" t="n">
        <f aca="false">MODELOS!$N$5/Q117</f>
        <v>4.81818181818182</v>
      </c>
      <c r="M117" s="40" t="n">
        <f aca="false">F117</f>
        <v>5.15</v>
      </c>
      <c r="N117" s="40" t="n">
        <v>1</v>
      </c>
      <c r="O117" s="40" t="n">
        <f aca="false">MODELOS!$M$5</f>
        <v>5</v>
      </c>
      <c r="P117" s="40" t="n">
        <f aca="false">MODELOS!$N$5</f>
        <v>5.3</v>
      </c>
      <c r="Q117" s="39" t="n">
        <f aca="false">INDEX(REF_MIN,MATCH(D117,REF_ID,0))</f>
        <v>1.1</v>
      </c>
      <c r="R117" s="39" t="n">
        <f aca="false">INDEX(REF_MAX,MATCH(D117,REF_ID,0))</f>
        <v>1.1</v>
      </c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426</v>
      </c>
      <c r="C118" s="37" t="s">
        <v>316</v>
      </c>
      <c r="D118" s="36" t="s">
        <v>78</v>
      </c>
      <c r="E118" s="36" t="str">
        <f aca="false">INDEX(REF_DATO,MATCH(D118,REF_ID,0))</f>
        <v>Nitrógeno seco (densidad normal)</v>
      </c>
      <c r="F118" s="38" t="n">
        <f aca="false">MODELOS!$AF$5</f>
        <v>0.0227356903769463</v>
      </c>
      <c r="G118" s="35" t="s">
        <v>123</v>
      </c>
      <c r="H118" s="39" t="n">
        <f aca="false">INDEX(REF_VAL,MATCH(D118,REF_ID,0))</f>
        <v>0.00124921923797626</v>
      </c>
      <c r="I118" s="40" t="n">
        <f aca="false">F118*J118</f>
        <v>18.1999201467455</v>
      </c>
      <c r="J118" s="40" t="n">
        <f aca="false">1/H118</f>
        <v>800.5</v>
      </c>
      <c r="K118" s="40" t="n">
        <f aca="false">MODELOS!$AG$5/H118</f>
        <v>14.6953199878896</v>
      </c>
      <c r="L118" s="40" t="n">
        <f aca="false">MODELOS!$AH$5/H118</f>
        <v>22.1062173145261</v>
      </c>
      <c r="M118" s="40" t="n">
        <f aca="false">F118</f>
        <v>0.0227356903769463</v>
      </c>
      <c r="N118" s="40" t="n">
        <v>1</v>
      </c>
      <c r="O118" s="40" t="n">
        <f aca="false">MODELOS!$AG$5</f>
        <v>0.0183576764370888</v>
      </c>
      <c r="P118" s="40" t="n">
        <f aca="false">MODELOS!$AH$5</f>
        <v>0.0276155119481901</v>
      </c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427</v>
      </c>
      <c r="C119" s="27" t="s">
        <v>318</v>
      </c>
      <c r="D119" s="26"/>
      <c r="E119" s="26"/>
      <c r="F119" s="28" t="n">
        <v>1</v>
      </c>
      <c r="G119" s="25" t="s">
        <v>264</v>
      </c>
      <c r="H119" s="29"/>
      <c r="I119" s="30"/>
      <c r="J119" s="30"/>
      <c r="K119" s="30"/>
      <c r="L119" s="30"/>
      <c r="M119" s="30" t="n">
        <f aca="false">IF(SUMIF(A120:A126,2,M120:M126)=0,"",SUMIF(A120:A126,2,M120:M126))</f>
        <v>0.0234638030252372</v>
      </c>
      <c r="N119" s="30"/>
      <c r="O119" s="30" t="n">
        <f aca="false">IF(SUMIF(A120:A126,2,O120:O126)=0,"",SUMIF(A120:A126,2,O120:O126))</f>
        <v>0.0226232855659535</v>
      </c>
      <c r="P119" s="30" t="n">
        <f aca="false">IF(SUMIF(A120:A126,2,P120:P126)=0,"",SUMIF(A120:A126,2,P120:P126))</f>
        <v>0.0243063821546997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428</v>
      </c>
      <c r="C120" s="37" t="s">
        <v>320</v>
      </c>
      <c r="D120" s="36" t="s">
        <v>32</v>
      </c>
      <c r="E120" s="36" t="str">
        <f aca="false">INDEX(REF_DATO,MATCH(D120,REF_ID,0))</f>
        <v>PVC rígido, vinilo y papeles de identificación</v>
      </c>
      <c r="F120" s="38" t="n">
        <v>1</v>
      </c>
      <c r="G120" s="35" t="s">
        <v>264</v>
      </c>
      <c r="H120" s="39" t="n">
        <f aca="false">INDEX(REF_VAL,MATCH(D120,REF_ID,0))</f>
        <v>1.4</v>
      </c>
      <c r="I120" s="40" t="n">
        <f aca="false">F120*J120</f>
        <v>0.0125199691343666</v>
      </c>
      <c r="J120" s="40" t="n">
        <v>0.0125199691343666</v>
      </c>
      <c r="K120" s="40" t="n">
        <f aca="false">I120*(1-V120)</f>
        <v>0.0125199691343666</v>
      </c>
      <c r="L120" s="40" t="n">
        <f aca="false">I120*(1+V120)</f>
        <v>0.0125199691343666</v>
      </c>
      <c r="M120" s="40" t="n">
        <f aca="false">F120*N120</f>
        <v>0.0175279567881133</v>
      </c>
      <c r="N120" s="40" t="n">
        <f aca="false">J120*H120</f>
        <v>0.0175279567881133</v>
      </c>
      <c r="O120" s="40" t="n">
        <f aca="false">K120*Q120</f>
        <v>0.0169019583313949</v>
      </c>
      <c r="P120" s="40" t="n">
        <f aca="false">L120*R120</f>
        <v>0.0181539552448316</v>
      </c>
      <c r="Q120" s="39" t="n">
        <f aca="false">INDEX(REF_MIN,MATCH(D120,REF_ID,0))</f>
        <v>1.35</v>
      </c>
      <c r="R120" s="39" t="n">
        <f aca="false">INDEX(REF_MAX,MATCH(D120,REF_ID,0))</f>
        <v>1.45</v>
      </c>
      <c r="S120" s="41" t="n">
        <v>8.37264933827291</v>
      </c>
      <c r="T120" s="42" t="n">
        <f aca="false">200*J120/S120</f>
        <v>0.299068278833452</v>
      </c>
      <c r="U120" s="43" t="n">
        <f aca="false">IFERROR(INDEX(ISO_TOL,MATCH(T120,ISO_DESDE,1)),0)</f>
        <v>0</v>
      </c>
      <c r="V120" s="44" t="n">
        <f aca="false">IF(T120&gt;0,U120/T120,0)</f>
        <v>0</v>
      </c>
    </row>
    <row r="121" customFormat="false" ht="15" hidden="false" customHeight="false" outlineLevel="2" collapsed="false">
      <c r="A121" s="35" t="n">
        <v>2</v>
      </c>
      <c r="B121" s="36" t="s">
        <v>429</v>
      </c>
      <c r="C121" s="37" t="s">
        <v>322</v>
      </c>
      <c r="D121" s="36" t="s">
        <v>32</v>
      </c>
      <c r="E121" s="36" t="str">
        <f aca="false">INDEX(REF_DATO,MATCH(D121,REF_ID,0))</f>
        <v>PVC rígido, vinilo y papeles de identificación</v>
      </c>
      <c r="F121" s="38" t="n">
        <v>1</v>
      </c>
      <c r="G121" s="35" t="s">
        <v>264</v>
      </c>
      <c r="H121" s="39" t="n">
        <f aca="false">INDEX(REF_VAL,MATCH(D121,REF_ID,0))</f>
        <v>1.4</v>
      </c>
      <c r="I121" s="40" t="n">
        <f aca="false">F121*J121</f>
        <v>0.000636044705882347</v>
      </c>
      <c r="J121" s="40" t="n">
        <v>0.000636044705882347</v>
      </c>
      <c r="K121" s="40" t="n">
        <f aca="false">I121*(1-V121)</f>
        <v>0.000636044705882347</v>
      </c>
      <c r="L121" s="40" t="n">
        <f aca="false">I121*(1+V121)</f>
        <v>0.000636044705882347</v>
      </c>
      <c r="M121" s="40" t="n">
        <f aca="false">F121*N121</f>
        <v>0.000890462588235285</v>
      </c>
      <c r="N121" s="40" t="n">
        <f aca="false">J121*H121</f>
        <v>0.000890462588235285</v>
      </c>
      <c r="O121" s="40" t="n">
        <f aca="false">K121*Q121</f>
        <v>0.000858660352941168</v>
      </c>
      <c r="P121" s="40" t="n">
        <f aca="false">L121*R121</f>
        <v>0.000922264823529402</v>
      </c>
      <c r="Q121" s="39" t="n">
        <f aca="false">INDEX(REF_MIN,MATCH(D121,REF_ID,0))</f>
        <v>1.35</v>
      </c>
      <c r="R121" s="39" t="n">
        <f aca="false">INDEX(REF_MAX,MATCH(D121,REF_ID,0))</f>
        <v>1.45</v>
      </c>
      <c r="S121" s="41" t="n">
        <v>0.429555215686275</v>
      </c>
      <c r="T121" s="42" t="n">
        <f aca="false">200*J121/S121</f>
        <v>0.296141069951241</v>
      </c>
      <c r="U121" s="43" t="n">
        <f aca="false">IFERROR(INDEX(ISO_TOL,MATCH(T121,ISO_DESDE,1)),0)</f>
        <v>0</v>
      </c>
      <c r="V121" s="44" t="n">
        <f aca="false">IF(T121&gt;0,U121/T121,0)</f>
        <v>0</v>
      </c>
    </row>
    <row r="122" customFormat="false" ht="15" hidden="false" customHeight="false" outlineLevel="2" collapsed="false">
      <c r="A122" s="35" t="n">
        <v>2</v>
      </c>
      <c r="B122" s="36" t="s">
        <v>430</v>
      </c>
      <c r="C122" s="37" t="s">
        <v>324</v>
      </c>
      <c r="D122" s="36" t="s">
        <v>32</v>
      </c>
      <c r="E122" s="36" t="str">
        <f aca="false">INDEX(REF_DATO,MATCH(D122,REF_ID,0))</f>
        <v>PVC rígido, vinilo y papeles de identificación</v>
      </c>
      <c r="F122" s="38" t="n">
        <v>1</v>
      </c>
      <c r="G122" s="35" t="s">
        <v>264</v>
      </c>
      <c r="H122" s="39" t="n">
        <f aca="false">INDEX(REF_VAL,MATCH(D122,REF_ID,0))</f>
        <v>1.4</v>
      </c>
      <c r="I122" s="40" t="n">
        <f aca="false">F122*J122</f>
        <v>0.000721411764705912</v>
      </c>
      <c r="J122" s="40" t="n">
        <v>0.000721411764705912</v>
      </c>
      <c r="K122" s="40" t="n">
        <f aca="false">I122*(1-V122)</f>
        <v>0.000721411764705912</v>
      </c>
      <c r="L122" s="40" t="n">
        <f aca="false">I122*(1+V122)</f>
        <v>0.000721411764705912</v>
      </c>
      <c r="M122" s="40" t="n">
        <f aca="false">F122*N122</f>
        <v>0.00100997647058828</v>
      </c>
      <c r="N122" s="40" t="n">
        <f aca="false">J122*H122</f>
        <v>0.00100997647058828</v>
      </c>
      <c r="O122" s="40" t="n">
        <f aca="false">K122*Q122</f>
        <v>0.000973905882352981</v>
      </c>
      <c r="P122" s="40" t="n">
        <f aca="false">L122*R122</f>
        <v>0.00104604705882357</v>
      </c>
      <c r="Q122" s="39" t="n">
        <f aca="false">INDEX(REF_MIN,MATCH(D122,REF_ID,0))</f>
        <v>1.35</v>
      </c>
      <c r="R122" s="39" t="n">
        <f aca="false">INDEX(REF_MAX,MATCH(D122,REF_ID,0))</f>
        <v>1.45</v>
      </c>
      <c r="S122" s="41" t="n">
        <v>0.486948235294118</v>
      </c>
      <c r="T122" s="42" t="n">
        <f aca="false">200*J122/S122</f>
        <v>0.296299159712604</v>
      </c>
      <c r="U122" s="43" t="n">
        <f aca="false">IFERROR(INDEX(ISO_TOL,MATCH(T122,ISO_DESDE,1)),0)</f>
        <v>0</v>
      </c>
      <c r="V122" s="44" t="n">
        <f aca="false">IF(T122&gt;0,U122/T122,0)</f>
        <v>0</v>
      </c>
    </row>
    <row r="123" customFormat="false" ht="15" hidden="false" customHeight="false" outlineLevel="2" collapsed="false">
      <c r="A123" s="35" t="n">
        <v>2</v>
      </c>
      <c r="B123" s="36" t="s">
        <v>431</v>
      </c>
      <c r="C123" s="37" t="s">
        <v>384</v>
      </c>
      <c r="D123" s="36" t="s">
        <v>32</v>
      </c>
      <c r="E123" s="36" t="str">
        <f aca="false">INDEX(REF_DATO,MATCH(D123,REF_ID,0))</f>
        <v>PVC rígido, vinilo y papeles de identificación</v>
      </c>
      <c r="F123" s="38" t="n">
        <v>1</v>
      </c>
      <c r="G123" s="35" t="s">
        <v>264</v>
      </c>
      <c r="H123" s="39" t="n">
        <f aca="false">INDEX(REF_VAL,MATCH(D123,REF_ID,0))</f>
        <v>1.4</v>
      </c>
      <c r="I123" s="40" t="n">
        <f aca="false">F123*J123</f>
        <v>0.00231452941176485</v>
      </c>
      <c r="J123" s="40" t="n">
        <v>0.00231452941176485</v>
      </c>
      <c r="K123" s="40" t="n">
        <f aca="false">I123*(1-V123)</f>
        <v>0.00231452941176485</v>
      </c>
      <c r="L123" s="40" t="n">
        <f aca="false">I123*(1+V123)</f>
        <v>0.00231452941176485</v>
      </c>
      <c r="M123" s="40" t="n">
        <f aca="false">F123*N123</f>
        <v>0.00324034117647078</v>
      </c>
      <c r="N123" s="40" t="n">
        <f aca="false">J123*H123</f>
        <v>0.00324034117647078</v>
      </c>
      <c r="O123" s="40" t="n">
        <f aca="false">K123*Q123</f>
        <v>0.00312461470588254</v>
      </c>
      <c r="P123" s="40" t="n">
        <f aca="false">L123*R123</f>
        <v>0.00335606764705903</v>
      </c>
      <c r="Q123" s="39" t="n">
        <f aca="false">INDEX(REF_MIN,MATCH(D123,REF_ID,0))</f>
        <v>1.35</v>
      </c>
      <c r="R123" s="39" t="n">
        <f aca="false">INDEX(REF_MAX,MATCH(D123,REF_ID,0))</f>
        <v>1.45</v>
      </c>
      <c r="S123" s="41" t="n">
        <v>1.55473607843137</v>
      </c>
      <c r="T123" s="42" t="n">
        <f aca="false">200*J123/S123</f>
        <v>0.297739203955446</v>
      </c>
      <c r="U123" s="43" t="n">
        <f aca="false">IFERROR(INDEX(ISO_TOL,MATCH(T123,ISO_DESDE,1)),0)</f>
        <v>0</v>
      </c>
      <c r="V123" s="44" t="n">
        <f aca="false">IF(T123&gt;0,U123/T123,0)</f>
        <v>0</v>
      </c>
    </row>
    <row r="124" customFormat="false" ht="15" hidden="false" customHeight="false" outlineLevel="2" collapsed="false">
      <c r="A124" s="35" t="n">
        <v>2</v>
      </c>
      <c r="B124" s="36" t="s">
        <v>432</v>
      </c>
      <c r="C124" s="37" t="s">
        <v>326</v>
      </c>
      <c r="D124" s="36" t="s">
        <v>32</v>
      </c>
      <c r="E124" s="36" t="str">
        <f aca="false">INDEX(REF_DATO,MATCH(D124,REF_ID,0))</f>
        <v>PVC rígido, vinilo y papeles de identificación</v>
      </c>
      <c r="F124" s="38" t="n">
        <v>1</v>
      </c>
      <c r="G124" s="35" t="s">
        <v>264</v>
      </c>
      <c r="H124" s="39" t="n">
        <f aca="false">INDEX(REF_VAL,MATCH(D124,REF_ID,0))</f>
        <v>1.4</v>
      </c>
      <c r="I124" s="40" t="n">
        <f aca="false">F124*J124</f>
        <v>0.000338161764705884</v>
      </c>
      <c r="J124" s="40" t="n">
        <v>0.000338161764705884</v>
      </c>
      <c r="K124" s="40" t="n">
        <f aca="false">I124*(1-V124)</f>
        <v>0.000338161764705884</v>
      </c>
      <c r="L124" s="40" t="n">
        <f aca="false">I124*(1+V124)</f>
        <v>0.000338161764705884</v>
      </c>
      <c r="M124" s="40" t="n">
        <f aca="false">F124*N124</f>
        <v>0.000473426470588238</v>
      </c>
      <c r="N124" s="40" t="n">
        <f aca="false">J124*H124</f>
        <v>0.000473426470588238</v>
      </c>
      <c r="O124" s="40" t="n">
        <f aca="false">K124*Q124</f>
        <v>0.000456518382352944</v>
      </c>
      <c r="P124" s="40" t="n">
        <f aca="false">L124*R124</f>
        <v>0.000490334558823532</v>
      </c>
      <c r="Q124" s="39" t="n">
        <f aca="false">INDEX(REF_MIN,MATCH(D124,REF_ID,0))</f>
        <v>1.35</v>
      </c>
      <c r="R124" s="39" t="n">
        <f aca="false">INDEX(REF_MAX,MATCH(D124,REF_ID,0))</f>
        <v>1.45</v>
      </c>
      <c r="S124" s="41" t="n">
        <v>0.229646470588236</v>
      </c>
      <c r="T124" s="42" t="n">
        <f aca="false">200*J124/S124</f>
        <v>0.294506389616778</v>
      </c>
      <c r="U124" s="43" t="n">
        <f aca="false">IFERROR(INDEX(ISO_TOL,MATCH(T124,ISO_DESDE,1)),0)</f>
        <v>0</v>
      </c>
      <c r="V124" s="44" t="n">
        <f aca="false">IF(T124&gt;0,U124/T124,0)</f>
        <v>0</v>
      </c>
    </row>
    <row r="125" customFormat="false" ht="15" hidden="false" customHeight="false" outlineLevel="2" collapsed="false">
      <c r="A125" s="35" t="n">
        <v>2</v>
      </c>
      <c r="B125" s="36" t="s">
        <v>433</v>
      </c>
      <c r="C125" s="37" t="s">
        <v>328</v>
      </c>
      <c r="D125" s="36" t="s">
        <v>32</v>
      </c>
      <c r="E125" s="36" t="str">
        <f aca="false">INDEX(REF_DATO,MATCH(D125,REF_ID,0))</f>
        <v>PVC rígido, vinilo y papeles de identificación</v>
      </c>
      <c r="F125" s="38" t="n">
        <v>1</v>
      </c>
      <c r="G125" s="35" t="s">
        <v>264</v>
      </c>
      <c r="H125" s="39" t="n">
        <f aca="false">INDEX(REF_VAL,MATCH(D125,REF_ID,0))</f>
        <v>1.4</v>
      </c>
      <c r="I125" s="40" t="n">
        <f aca="false">F125*J125</f>
        <v>0.000103517817483494</v>
      </c>
      <c r="J125" s="40" t="n">
        <v>0.000103517817483494</v>
      </c>
      <c r="K125" s="40" t="n">
        <f aca="false">I125*(1-V125)</f>
        <v>0.000103517817483494</v>
      </c>
      <c r="L125" s="40" t="n">
        <f aca="false">I125*(1+V125)</f>
        <v>0.000103517817483494</v>
      </c>
      <c r="M125" s="40" t="n">
        <f aca="false">F125*N125</f>
        <v>0.000144924944476891</v>
      </c>
      <c r="N125" s="40" t="n">
        <f aca="false">J125*H125</f>
        <v>0.000144924944476891</v>
      </c>
      <c r="O125" s="40" t="n">
        <f aca="false">K125*Q125</f>
        <v>0.000139749053602717</v>
      </c>
      <c r="P125" s="40" t="n">
        <f aca="false">L125*R125</f>
        <v>0.000150100835351066</v>
      </c>
      <c r="Q125" s="39" t="n">
        <f aca="false">INDEX(REF_MIN,MATCH(D125,REF_ID,0))</f>
        <v>1.35</v>
      </c>
      <c r="R125" s="39" t="n">
        <f aca="false">INDEX(REF_MAX,MATCH(D125,REF_ID,0))</f>
        <v>1.45</v>
      </c>
      <c r="S125" s="41" t="n">
        <v>0.105338410433796</v>
      </c>
      <c r="T125" s="42" t="n">
        <f aca="false">200*J125/S125</f>
        <v>0.196543344554366</v>
      </c>
      <c r="U125" s="43" t="n">
        <f aca="false">IFERROR(INDEX(ISO_TOL,MATCH(T125,ISO_DESDE,1)),0)</f>
        <v>0</v>
      </c>
      <c r="V125" s="44" t="n">
        <f aca="false">IF(T125&gt;0,U125/T125,0)</f>
        <v>0</v>
      </c>
    </row>
    <row r="126" customFormat="false" ht="15" hidden="false" customHeight="false" outlineLevel="2" collapsed="false">
      <c r="A126" s="35" t="n">
        <v>2</v>
      </c>
      <c r="B126" s="36" t="s">
        <v>434</v>
      </c>
      <c r="C126" s="37" t="s">
        <v>330</v>
      </c>
      <c r="D126" s="36" t="s">
        <v>26</v>
      </c>
      <c r="E126" s="36" t="str">
        <f aca="false">INDEX(REF_DATO,MATCH(D126,REF_ID,0))</f>
        <v>Polipropileno</v>
      </c>
      <c r="F126" s="38" t="n">
        <v>1</v>
      </c>
      <c r="G126" s="35" t="s">
        <v>264</v>
      </c>
      <c r="H126" s="39" t="n">
        <f aca="false">INDEX(REF_VAL,MATCH(D126,REF_ID,0))</f>
        <v>0.9</v>
      </c>
      <c r="I126" s="40" t="n">
        <f aca="false">F126*J126</f>
        <v>0.000196349540849362</v>
      </c>
      <c r="J126" s="40" t="n">
        <v>0.000196349540849362</v>
      </c>
      <c r="K126" s="40" t="n">
        <f aca="false">I126*(1-V126)</f>
        <v>0.000186532063806894</v>
      </c>
      <c r="L126" s="40" t="n">
        <f aca="false">I126*(1+V126)</f>
        <v>0.00020616701789183</v>
      </c>
      <c r="M126" s="40" t="n">
        <f aca="false">F126*N126</f>
        <v>0.000176714586764426</v>
      </c>
      <c r="N126" s="40" t="n">
        <f aca="false">J126*H126</f>
        <v>0.000176714586764426</v>
      </c>
      <c r="O126" s="40" t="n">
        <f aca="false">K126*Q126</f>
        <v>0.000167878857426205</v>
      </c>
      <c r="P126" s="40" t="n">
        <f aca="false">L126*R126</f>
        <v>0.000187611986281566</v>
      </c>
      <c r="Q126" s="39" t="n">
        <f aca="false">INDEX(REF_MIN,MATCH(D126,REF_ID,0))</f>
        <v>0.9</v>
      </c>
      <c r="R126" s="39" t="n">
        <f aca="false">INDEX(REF_MAX,MATCH(D126,REF_ID,0))</f>
        <v>0.91</v>
      </c>
      <c r="S126" s="41" t="n">
        <v>0.0196349540849362</v>
      </c>
      <c r="T126" s="42" t="n">
        <f aca="false">200*J126/S126</f>
        <v>2</v>
      </c>
      <c r="U126" s="43" t="n">
        <f aca="false">IFERROR(INDEX(ISO_TOL,MATCH(T126,ISO_DESDE,1)),0)</f>
        <v>0.1</v>
      </c>
      <c r="V126" s="44" t="n">
        <f aca="false">IF(T126&gt;0,U126/T126,0)</f>
        <v>0.05</v>
      </c>
    </row>
    <row r="127" customFormat="false" ht="15" hidden="false" customHeight="false" outlineLevel="1" collapsed="false">
      <c r="A127" s="25" t="n">
        <v>1</v>
      </c>
      <c r="B127" s="26" t="s">
        <v>435</v>
      </c>
      <c r="C127" s="27" t="s">
        <v>332</v>
      </c>
      <c r="D127" s="26"/>
      <c r="E127" s="26"/>
      <c r="F127" s="28" t="n">
        <v>1</v>
      </c>
      <c r="G127" s="25" t="s">
        <v>264</v>
      </c>
      <c r="H127" s="29"/>
      <c r="I127" s="30"/>
      <c r="J127" s="30"/>
      <c r="K127" s="30"/>
      <c r="L127" s="30"/>
      <c r="M127" s="30" t="n">
        <f aca="false">IF(SUMIF(A128:A129,2,M128:M129)=0,"",SUMIF(A128:A129,2,M128:M129))</f>
        <v>0.289872105524336</v>
      </c>
      <c r="N127" s="30"/>
      <c r="O127" s="30" t="n">
        <f aca="false">IF(SUMIF(A128:A129,2,O128:O129)=0,"",SUMIF(A128:A129,2,O128:O129))</f>
        <v>0.274764000348385</v>
      </c>
      <c r="P127" s="30" t="n">
        <f aca="false">IF(SUMIF(A128:A129,2,P128:P129)=0,"",SUMIF(A128:A129,2,P128:P129))</f>
        <v>0.304980210700288</v>
      </c>
      <c r="Q127" s="29"/>
      <c r="R127" s="29"/>
      <c r="S127" s="31"/>
      <c r="T127" s="32"/>
      <c r="U127" s="33"/>
      <c r="V127" s="34"/>
    </row>
    <row r="128" customFormat="false" ht="15" hidden="false" customHeight="false" outlineLevel="2" collapsed="false">
      <c r="A128" s="35" t="n">
        <v>2</v>
      </c>
      <c r="B128" s="36" t="s">
        <v>436</v>
      </c>
      <c r="C128" s="37" t="s">
        <v>390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0.0369263828693422</v>
      </c>
      <c r="J128" s="40" t="n">
        <v>0.0369263828693422</v>
      </c>
      <c r="K128" s="40" t="n">
        <f aca="false">I128*(1-V128)</f>
        <v>0.0350017834838707</v>
      </c>
      <c r="L128" s="40" t="n">
        <f aca="false">I128*(1+V128)</f>
        <v>0.0388509822548137</v>
      </c>
      <c r="M128" s="40" t="n">
        <f aca="false">F128*N128</f>
        <v>0.289872105524336</v>
      </c>
      <c r="N128" s="40" t="n">
        <f aca="false">J128*H128</f>
        <v>0.289872105524336</v>
      </c>
      <c r="O128" s="40" t="n">
        <f aca="false">K128*Q128</f>
        <v>0.274764000348385</v>
      </c>
      <c r="P128" s="40" t="n">
        <f aca="false">L128*R128</f>
        <v>0.304980210700288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3.849198770943</v>
      </c>
      <c r="T128" s="42" t="n">
        <f aca="false">200*J128/S128</f>
        <v>1.91865294918484</v>
      </c>
      <c r="U128" s="43" t="n">
        <f aca="false">IFERROR(INDEX(ISO_TOL,MATCH(T128,ISO_DESDE,1)),0)</f>
        <v>0.1</v>
      </c>
      <c r="V128" s="44" t="n">
        <f aca="false">IF(T128&gt;0,U128/T128,0)</f>
        <v>0.0521199000801505</v>
      </c>
    </row>
    <row r="129" customFormat="false" ht="15" hidden="false" customHeight="false" outlineLevel="2" collapsed="false">
      <c r="A129" s="35" t="n">
        <v>2</v>
      </c>
      <c r="B129" s="36" t="s">
        <v>437</v>
      </c>
      <c r="C129" s="37" t="s">
        <v>392</v>
      </c>
      <c r="D129" s="36"/>
      <c r="E129" s="36"/>
      <c r="F129" s="38" t="n">
        <v>2</v>
      </c>
      <c r="G129" s="35" t="s">
        <v>264</v>
      </c>
      <c r="H129" s="39"/>
      <c r="I129" s="40"/>
      <c r="J129" s="40"/>
      <c r="K129" s="40"/>
      <c r="L129" s="40"/>
      <c r="M129" s="40"/>
      <c r="N129" s="40"/>
      <c r="O129" s="40"/>
      <c r="P129" s="40"/>
      <c r="Q129" s="39"/>
      <c r="R129" s="39"/>
      <c r="S129" s="41"/>
      <c r="T129" s="42"/>
      <c r="U129" s="43"/>
      <c r="V129" s="44"/>
    </row>
    <row r="130" customFormat="false" ht="15" hidden="false" customHeight="false" outlineLevel="1" collapsed="false">
      <c r="A130" s="25" t="n">
        <v>1</v>
      </c>
      <c r="B130" s="26" t="s">
        <v>438</v>
      </c>
      <c r="C130" s="27" t="s">
        <v>336</v>
      </c>
      <c r="D130" s="26"/>
      <c r="E130" s="26"/>
      <c r="F130" s="28" t="n">
        <v>1</v>
      </c>
      <c r="G130" s="25" t="s">
        <v>264</v>
      </c>
      <c r="H130" s="29"/>
      <c r="I130" s="30"/>
      <c r="J130" s="30"/>
      <c r="K130" s="30"/>
      <c r="L130" s="30"/>
      <c r="M130" s="30" t="str">
        <f aca="false">IF(SUMIF(A131:A134,2,M131:M134)=0,"",SUMIF(A131:A134,2,M131:M134))</f>
        <v/>
      </c>
      <c r="N130" s="30"/>
      <c r="O130" s="30" t="str">
        <f aca="false">IF(SUMIF(A131:A134,2,O131:O134)=0,"",SUMIF(A131:A134,2,O131:O134))</f>
        <v/>
      </c>
      <c r="P130" s="30" t="str">
        <f aca="false">IF(SUMIF(A131:A134,2,P131:P134)=0,"",SUMIF(A131:A134,2,P131:P134))</f>
        <v/>
      </c>
      <c r="Q130" s="29"/>
      <c r="R130" s="29"/>
      <c r="S130" s="31"/>
      <c r="T130" s="32"/>
      <c r="U130" s="33"/>
      <c r="V130" s="34"/>
    </row>
    <row r="131" customFormat="false" ht="15" hidden="false" customHeight="false" outlineLevel="2" collapsed="false">
      <c r="A131" s="35" t="n">
        <v>2</v>
      </c>
      <c r="B131" s="36" t="s">
        <v>439</v>
      </c>
      <c r="C131" s="37" t="s">
        <v>338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2" collapsed="false">
      <c r="A132" s="35" t="n">
        <v>2</v>
      </c>
      <c r="B132" s="36" t="s">
        <v>440</v>
      </c>
      <c r="C132" s="37" t="s">
        <v>340</v>
      </c>
      <c r="D132" s="36"/>
      <c r="E132" s="36"/>
      <c r="F132" s="38" t="n">
        <v>1</v>
      </c>
      <c r="G132" s="35" t="s">
        <v>264</v>
      </c>
      <c r="H132" s="39"/>
      <c r="I132" s="40"/>
      <c r="J132" s="40"/>
      <c r="K132" s="40"/>
      <c r="L132" s="40"/>
      <c r="M132" s="40"/>
      <c r="N132" s="40"/>
      <c r="O132" s="40"/>
      <c r="P132" s="40"/>
      <c r="Q132" s="39"/>
      <c r="R132" s="39"/>
      <c r="S132" s="41"/>
      <c r="T132" s="42"/>
      <c r="U132" s="43"/>
      <c r="V132" s="44"/>
    </row>
    <row r="133" customFormat="false" ht="15" hidden="false" customHeight="false" outlineLevel="2" collapsed="false">
      <c r="A133" s="35" t="n">
        <v>2</v>
      </c>
      <c r="B133" s="36" t="s">
        <v>441</v>
      </c>
      <c r="C133" s="37" t="s">
        <v>342</v>
      </c>
      <c r="D133" s="36"/>
      <c r="E133" s="36"/>
      <c r="F133" s="38" t="n">
        <v>1</v>
      </c>
      <c r="G133" s="35" t="s">
        <v>264</v>
      </c>
      <c r="H133" s="39"/>
      <c r="I133" s="40"/>
      <c r="J133" s="40"/>
      <c r="K133" s="40"/>
      <c r="L133" s="40"/>
      <c r="M133" s="40"/>
      <c r="N133" s="40"/>
      <c r="O133" s="40"/>
      <c r="P133" s="40"/>
      <c r="Q133" s="39"/>
      <c r="R133" s="39"/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442</v>
      </c>
      <c r="C134" s="37" t="s">
        <v>344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0" collapsed="false">
      <c r="A135" s="16" t="n">
        <v>0</v>
      </c>
      <c r="B135" s="17" t="s">
        <v>208</v>
      </c>
      <c r="C135" s="17" t="s">
        <v>209</v>
      </c>
      <c r="D135" s="17"/>
      <c r="E135" s="17"/>
      <c r="F135" s="18" t="n">
        <v>1</v>
      </c>
      <c r="G135" s="16" t="s">
        <v>264</v>
      </c>
      <c r="H135" s="19"/>
      <c r="I135" s="20"/>
      <c r="J135" s="20"/>
      <c r="K135" s="20"/>
      <c r="L135" s="20"/>
      <c r="M135" s="20" t="n">
        <f aca="false">IF(SUMIF(A136:A180,1,M136:M180)=0,"",SUMIF(A136:A180,1,M136:M180))</f>
        <v>16.6680531289731</v>
      </c>
      <c r="N135" s="20"/>
      <c r="O135" s="20" t="n">
        <f aca="false">IF(SUMIF(A136:A180,1,O136:O180)=0,"",SUMIF(A136:A180,1,O136:O180))</f>
        <v>16.1665704815955</v>
      </c>
      <c r="P135" s="20" t="n">
        <f aca="false">IF(SUMIF(A136:A180,1,P136:P180)=0,"",SUMIF(A136:A180,1,P136:P180))</f>
        <v>17.1711607164519</v>
      </c>
      <c r="Q135" s="19"/>
      <c r="R135" s="19"/>
      <c r="S135" s="21"/>
      <c r="T135" s="22"/>
      <c r="U135" s="23"/>
      <c r="V135" s="24"/>
    </row>
    <row r="136" customFormat="false" ht="15" hidden="false" customHeight="false" outlineLevel="1" collapsed="false">
      <c r="A136" s="25" t="n">
        <v>1</v>
      </c>
      <c r="B136" s="26" t="s">
        <v>443</v>
      </c>
      <c r="C136" s="27" t="s">
        <v>266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IF(SUMIF(A137:A140,2,M137:M140)=0,"",SUMIF(A137:A140,2,M137:M140))</f>
        <v>5.42712703192002</v>
      </c>
      <c r="N136" s="30"/>
      <c r="O136" s="30" t="n">
        <f aca="false">IF(SUMIF(A137:A140,2,O137:O140)=0,"",SUMIF(A137:A140,2,O137:O140))</f>
        <v>5.14995483413667</v>
      </c>
      <c r="P136" s="30" t="n">
        <f aca="false">IF(SUMIF(A137:A140,2,P137:P140)=0,"",SUMIF(A137:A140,2,P137:P140))</f>
        <v>5.70429922970337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444</v>
      </c>
      <c r="C137" s="37" t="s">
        <v>268</v>
      </c>
      <c r="D137" s="36" t="s">
        <v>10</v>
      </c>
      <c r="E137" s="36" t="str">
        <f aca="false">INDEX(REF_DATO,MATCH(D137,REF_ID,0))</f>
        <v>Acero (chapa LAC/LAF, SAE 1010/1045)</v>
      </c>
      <c r="F137" s="38" t="n">
        <v>1</v>
      </c>
      <c r="G137" s="35" t="s">
        <v>264</v>
      </c>
      <c r="H137" s="39" t="n">
        <f aca="false">INDEX(REF_VAL,MATCH(D137,REF_ID,0))</f>
        <v>7.85</v>
      </c>
      <c r="I137" s="40" t="n">
        <f aca="false">F137*J137</f>
        <v>0.555875624715548</v>
      </c>
      <c r="J137" s="40" t="n">
        <v>0.555875624715548</v>
      </c>
      <c r="K137" s="40" t="n">
        <f aca="false">I137*(1-V137)</f>
        <v>0.527948838891586</v>
      </c>
      <c r="L137" s="40" t="n">
        <f aca="false">I137*(1+V137)</f>
        <v>0.583802410539509</v>
      </c>
      <c r="M137" s="40" t="n">
        <f aca="false">F137*N137</f>
        <v>4.36362365401705</v>
      </c>
      <c r="N137" s="40" t="n">
        <f aca="false">J137*H137</f>
        <v>4.36362365401705</v>
      </c>
      <c r="O137" s="40" t="n">
        <f aca="false">K137*Q137</f>
        <v>4.14439838529895</v>
      </c>
      <c r="P137" s="40" t="n">
        <f aca="false">L137*R137</f>
        <v>4.58284892273514</v>
      </c>
      <c r="Q137" s="39" t="n">
        <f aca="false">INDEX(REF_MIN,MATCH(D137,REF_ID,0))</f>
        <v>7.85</v>
      </c>
      <c r="R137" s="39" t="n">
        <f aca="false">INDEX(REF_MAX,MATCH(D137,REF_ID,0))</f>
        <v>7.85</v>
      </c>
      <c r="S137" s="41" t="n">
        <v>55.8535716479224</v>
      </c>
      <c r="T137" s="42" t="n">
        <f aca="false">200*J137/S137</f>
        <v>1.9904747657663</v>
      </c>
      <c r="U137" s="43" t="n">
        <f aca="false">IFERROR(INDEX(ISO_TOL,MATCH(T137,ISO_DESDE,1)),0)</f>
        <v>0.1</v>
      </c>
      <c r="V137" s="44" t="n">
        <f aca="false">IF(T137&gt;0,U137/T137,0)</f>
        <v>0.0502392704091889</v>
      </c>
    </row>
    <row r="138" customFormat="false" ht="15" hidden="false" customHeight="false" outlineLevel="2" collapsed="false">
      <c r="A138" s="35" t="n">
        <v>2</v>
      </c>
      <c r="B138" s="36" t="s">
        <v>445</v>
      </c>
      <c r="C138" s="37" t="s">
        <v>270</v>
      </c>
      <c r="D138" s="36" t="s">
        <v>10</v>
      </c>
      <c r="E138" s="36" t="str">
        <f aca="false">INDEX(REF_DATO,MATCH(D138,REF_ID,0))</f>
        <v>Acero (chapa LAC/LAF, SAE 1010/1045)</v>
      </c>
      <c r="F138" s="38" t="n">
        <v>1</v>
      </c>
      <c r="G138" s="35" t="s">
        <v>264</v>
      </c>
      <c r="H138" s="39" t="n">
        <f aca="false">INDEX(REF_VAL,MATCH(D138,REF_ID,0))</f>
        <v>7.85</v>
      </c>
      <c r="I138" s="40" t="n">
        <f aca="false">F138*J138</f>
        <v>0.0638201333707663</v>
      </c>
      <c r="J138" s="40" t="n">
        <v>0.0638201333707663</v>
      </c>
      <c r="K138" s="40" t="n">
        <f aca="false">I138*(1-V138)</f>
        <v>0.059665016985105</v>
      </c>
      <c r="L138" s="40" t="n">
        <f aca="false">I138*(1+V138)</f>
        <v>0.0679752497564276</v>
      </c>
      <c r="M138" s="40" t="n">
        <f aca="false">F138*N138</f>
        <v>0.500988046960515</v>
      </c>
      <c r="N138" s="40" t="n">
        <f aca="false">J138*H138</f>
        <v>0.500988046960515</v>
      </c>
      <c r="O138" s="40" t="n">
        <f aca="false">K138*Q138</f>
        <v>0.468370383333074</v>
      </c>
      <c r="P138" s="40" t="n">
        <f aca="false">L138*R138</f>
        <v>0.533605710587957</v>
      </c>
      <c r="Q138" s="39" t="n">
        <f aca="false">INDEX(REF_MIN,MATCH(D138,REF_ID,0))</f>
        <v>7.85</v>
      </c>
      <c r="R138" s="39" t="n">
        <f aca="false">INDEX(REF_MAX,MATCH(D138,REF_ID,0))</f>
        <v>7.85</v>
      </c>
      <c r="S138" s="41" t="n">
        <v>8.31023277132263</v>
      </c>
      <c r="T138" s="42" t="n">
        <f aca="false">200*J138/S138</f>
        <v>1.5359409327498</v>
      </c>
      <c r="U138" s="43" t="n">
        <f aca="false">IFERROR(INDEX(ISO_TOL,MATCH(T138,ISO_DESDE,1)),0)</f>
        <v>0.1</v>
      </c>
      <c r="V138" s="44" t="n">
        <f aca="false">IF(T138&gt;0,U138/T138,0)</f>
        <v>0.065106670359367</v>
      </c>
    </row>
    <row r="139" customFormat="false" ht="15" hidden="false" customHeight="false" outlineLevel="2" collapsed="false">
      <c r="A139" s="35" t="n">
        <v>2</v>
      </c>
      <c r="B139" s="36" t="s">
        <v>446</v>
      </c>
      <c r="C139" s="37" t="s">
        <v>272</v>
      </c>
      <c r="D139" s="36" t="s">
        <v>10</v>
      </c>
      <c r="E139" s="36" t="str">
        <f aca="false">INDEX(REF_DATO,MATCH(D139,REF_ID,0))</f>
        <v>Acero (chapa LAC/LAF, SAE 1010/1045)</v>
      </c>
      <c r="F139" s="38" t="n">
        <v>1</v>
      </c>
      <c r="G139" s="35" t="s">
        <v>264</v>
      </c>
      <c r="H139" s="39" t="n">
        <f aca="false">INDEX(REF_VAL,MATCH(D139,REF_ID,0))</f>
        <v>7.85</v>
      </c>
      <c r="I139" s="40" t="n">
        <f aca="false">F139*J139</f>
        <v>0.0647622839221063</v>
      </c>
      <c r="J139" s="40" t="n">
        <v>0.0647622839221063</v>
      </c>
      <c r="K139" s="40" t="n">
        <f aca="false">I139*(1-V139)</f>
        <v>0.0617484374058981</v>
      </c>
      <c r="L139" s="40" t="n">
        <f aca="false">I139*(1+V139)</f>
        <v>0.0677761304383145</v>
      </c>
      <c r="M139" s="40" t="n">
        <f aca="false">F139*N139</f>
        <v>0.508383928788534</v>
      </c>
      <c r="N139" s="40" t="n">
        <f aca="false">J139*H139</f>
        <v>0.508383928788534</v>
      </c>
      <c r="O139" s="40" t="n">
        <f aca="false">K139*Q139</f>
        <v>0.4847252336363</v>
      </c>
      <c r="P139" s="40" t="n">
        <f aca="false">L139*R139</f>
        <v>0.532042623940769</v>
      </c>
      <c r="Q139" s="39" t="n">
        <f aca="false">INDEX(REF_MIN,MATCH(D139,REF_ID,0))</f>
        <v>7.85</v>
      </c>
      <c r="R139" s="39" t="n">
        <f aca="false">INDEX(REF_MAX,MATCH(D139,REF_ID,0))</f>
        <v>7.85</v>
      </c>
      <c r="S139" s="41" t="n">
        <v>6.02769303241639</v>
      </c>
      <c r="T139" s="42" t="n">
        <f aca="false">200*J139/S139</f>
        <v>2.14882488453943</v>
      </c>
      <c r="U139" s="43" t="n">
        <f aca="false">IFERROR(INDEX(ISO_TOL,MATCH(T139,ISO_DESDE,1)),0)</f>
        <v>0.1</v>
      </c>
      <c r="V139" s="44" t="n">
        <f aca="false">IF(T139&gt;0,U139/T139,0)</f>
        <v>0.0465370634524431</v>
      </c>
    </row>
    <row r="140" customFormat="false" ht="15" hidden="false" customHeight="false" outlineLevel="2" collapsed="false">
      <c r="A140" s="35" t="n">
        <v>2</v>
      </c>
      <c r="B140" s="36" t="s">
        <v>447</v>
      </c>
      <c r="C140" s="37" t="s">
        <v>274</v>
      </c>
      <c r="D140" s="36" t="s">
        <v>10</v>
      </c>
      <c r="E140" s="36" t="str">
        <f aca="false">INDEX(REF_DATO,MATCH(D140,REF_ID,0))</f>
        <v>Acero (chapa LAC/LAF, SAE 1010/1045)</v>
      </c>
      <c r="F140" s="38" t="n">
        <v>1</v>
      </c>
      <c r="G140" s="35" t="s">
        <v>264</v>
      </c>
      <c r="H140" s="39" t="n">
        <f aca="false">INDEX(REF_VAL,MATCH(D140,REF_ID,0))</f>
        <v>7.85</v>
      </c>
      <c r="I140" s="40" t="n">
        <f aca="false">F140*J140</f>
        <v>0.00689572001960729</v>
      </c>
      <c r="J140" s="40" t="n">
        <v>0.00689572001960729</v>
      </c>
      <c r="K140" s="40" t="n">
        <f aca="false">I140*(1-V140)</f>
        <v>0.00668290851825968</v>
      </c>
      <c r="L140" s="40" t="n">
        <f aca="false">I140*(1+V140)</f>
        <v>0.0071085315209549</v>
      </c>
      <c r="M140" s="40" t="n">
        <f aca="false">F140*N140</f>
        <v>0.0541314021539172</v>
      </c>
      <c r="N140" s="40" t="n">
        <f aca="false">J140*H140</f>
        <v>0.0541314021539172</v>
      </c>
      <c r="O140" s="40" t="n">
        <f aca="false">K140*Q140</f>
        <v>0.0524608318683385</v>
      </c>
      <c r="P140" s="40" t="n">
        <f aca="false">L140*R140</f>
        <v>0.055801972439496</v>
      </c>
      <c r="Q140" s="39" t="n">
        <f aca="false">INDEX(REF_MIN,MATCH(D140,REF_ID,0))</f>
        <v>7.85</v>
      </c>
      <c r="R140" s="39" t="n">
        <f aca="false">INDEX(REF_MAX,MATCH(D140,REF_ID,0))</f>
        <v>7.85</v>
      </c>
      <c r="S140" s="41" t="n">
        <v>0.425623002695221</v>
      </c>
      <c r="T140" s="42" t="n">
        <f aca="false">200*J140/S140</f>
        <v>3.24029480358944</v>
      </c>
      <c r="U140" s="43" t="n">
        <f aca="false">IFERROR(INDEX(ISO_TOL,MATCH(T140,ISO_DESDE,1)),0)</f>
        <v>0.1</v>
      </c>
      <c r="V140" s="44" t="n">
        <f aca="false">IF(T140&gt;0,U140/T140,0)</f>
        <v>0.0308613894912355</v>
      </c>
    </row>
    <row r="141" customFormat="false" ht="15" hidden="false" customHeight="false" outlineLevel="1" collapsed="false">
      <c r="A141" s="25" t="n">
        <v>1</v>
      </c>
      <c r="B141" s="26" t="s">
        <v>448</v>
      </c>
      <c r="C141" s="27" t="s">
        <v>276</v>
      </c>
      <c r="D141" s="26"/>
      <c r="E141" s="26"/>
      <c r="F141" s="28" t="n">
        <v>1</v>
      </c>
      <c r="G141" s="25" t="s">
        <v>264</v>
      </c>
      <c r="H141" s="29"/>
      <c r="I141" s="30"/>
      <c r="J141" s="30"/>
      <c r="K141" s="30"/>
      <c r="L141" s="30"/>
      <c r="M141" s="30" t="n">
        <f aca="false">IF(SUMIF(A142:A156,2,M142:M156)=0,"",SUMIF(A142:A156,2,M142:M156))</f>
        <v>0.431418407048649</v>
      </c>
      <c r="N141" s="30"/>
      <c r="O141" s="30" t="n">
        <f aca="false">IF(SUMIF(A142:A156,2,O142:O156)=0,"",SUMIF(A142:A156,2,O142:O156))</f>
        <v>0.400759739940661</v>
      </c>
      <c r="P141" s="30" t="n">
        <f aca="false">IF(SUMIF(A142:A156,2,P142:P156)=0,"",SUMIF(A142:A156,2,P142:P156))</f>
        <v>0.462465189047154</v>
      </c>
      <c r="Q141" s="29"/>
      <c r="R141" s="29"/>
      <c r="S141" s="31"/>
      <c r="T141" s="32"/>
      <c r="U141" s="33"/>
      <c r="V141" s="34"/>
    </row>
    <row r="142" customFormat="false" ht="15" hidden="false" customHeight="false" outlineLevel="2" collapsed="false">
      <c r="A142" s="35" t="n">
        <v>2</v>
      </c>
      <c r="B142" s="36" t="s">
        <v>449</v>
      </c>
      <c r="C142" s="37" t="s">
        <v>278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450</v>
      </c>
      <c r="C143" s="37" t="s">
        <v>280</v>
      </c>
      <c r="D143" s="36" t="s">
        <v>23</v>
      </c>
      <c r="E143" s="36" t="str">
        <f aca="false">INDEX(REF_DATO,MATCH(D143,REF_ID,0))</f>
        <v>Caucho sintético (NBR / SBR)</v>
      </c>
      <c r="F143" s="38" t="n">
        <v>1</v>
      </c>
      <c r="G143" s="35" t="s">
        <v>264</v>
      </c>
      <c r="H143" s="39" t="n">
        <f aca="false">INDEX(REF_VAL,MATCH(D143,REF_ID,0))</f>
        <v>1.2</v>
      </c>
      <c r="I143" s="40" t="n">
        <f aca="false">F143*J143</f>
        <v>0.000842575149692783</v>
      </c>
      <c r="J143" s="40" t="n">
        <v>0.000842575149692783</v>
      </c>
      <c r="K143" s="40" t="n">
        <f aca="false">I143*(1-V143)</f>
        <v>0.000786403473046597</v>
      </c>
      <c r="L143" s="40" t="n">
        <f aca="false">I143*(1+V143)</f>
        <v>0.000898746826338968</v>
      </c>
      <c r="M143" s="40" t="n">
        <f aca="false">F143*N143</f>
        <v>0.00101109017963134</v>
      </c>
      <c r="N143" s="40" t="n">
        <f aca="false">J143*H143</f>
        <v>0.00101109017963134</v>
      </c>
      <c r="O143" s="40" t="n">
        <f aca="false">K143*Q143</f>
        <v>0.000865043820351257</v>
      </c>
      <c r="P143" s="40" t="n">
        <f aca="false">L143*R143</f>
        <v>0.00116837087424066</v>
      </c>
      <c r="Q143" s="39" t="n">
        <f aca="false">INDEX(REF_MIN,MATCH(D143,REF_ID,0))</f>
        <v>1.1</v>
      </c>
      <c r="R143" s="39" t="n">
        <f aca="false">INDEX(REF_MAX,MATCH(D143,REF_ID,0))</f>
        <v>1.3</v>
      </c>
      <c r="S143" s="41" t="n">
        <v>0.112343353292371</v>
      </c>
      <c r="T143" s="42" t="n">
        <f aca="false">200*J143/S143</f>
        <v>1.5</v>
      </c>
      <c r="U143" s="43" t="n">
        <f aca="false">IFERROR(INDEX(ISO_TOL,MATCH(T143,ISO_DESDE,1)),0)</f>
        <v>0.1</v>
      </c>
      <c r="V143" s="44" t="n">
        <f aca="false">IF(T143&gt;0,U143/T143,0)</f>
        <v>0.0666666666666666</v>
      </c>
    </row>
    <row r="144" customFormat="false" ht="15" hidden="false" customHeight="false" outlineLevel="2" collapsed="false">
      <c r="A144" s="35" t="n">
        <v>2</v>
      </c>
      <c r="B144" s="36" t="s">
        <v>451</v>
      </c>
      <c r="C144" s="37" t="s">
        <v>354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 t="n">
        <f aca="false">IF(SUMIF(A145:A156,3,M145:M156)=0,"",SUMIF(A145:A156,3,M145:M156))</f>
        <v>0.430407316869018</v>
      </c>
      <c r="N144" s="40" t="n">
        <f aca="false">IF(M144="","",M144/F144)</f>
        <v>0.430407316869018</v>
      </c>
      <c r="O144" s="40" t="n">
        <f aca="false">IF(SUMIF(A145:A156,3,O145:O156)=0,"",SUMIF(A145:A156,3,O145:O156))</f>
        <v>0.39989469612031</v>
      </c>
      <c r="P144" s="40" t="n">
        <f aca="false">IF(SUMIF(A145:A156,3,P145:P156)=0,"",SUMIF(A145:A156,3,P145:P156))</f>
        <v>0.461296818172913</v>
      </c>
      <c r="Q144" s="39"/>
      <c r="R144" s="39"/>
      <c r="S144" s="41"/>
      <c r="T144" s="42"/>
      <c r="U144" s="43"/>
      <c r="V144" s="44"/>
    </row>
    <row r="145" customFormat="false" ht="15" hidden="false" customHeight="false" outlineLevel="3" collapsed="false">
      <c r="A145" s="35" t="n">
        <v>3</v>
      </c>
      <c r="B145" s="36" t="s">
        <v>452</v>
      </c>
      <c r="C145" s="45" t="s">
        <v>284</v>
      </c>
      <c r="D145" s="36" t="s">
        <v>17</v>
      </c>
      <c r="E145" s="36" t="str">
        <f aca="false">INDEX(REF_DATO,MATCH(D145,REF_ID,0))</f>
        <v>Latón de forja (CuZn39Pb2 / C37700)</v>
      </c>
      <c r="F145" s="38" t="n">
        <v>1</v>
      </c>
      <c r="G145" s="35" t="s">
        <v>264</v>
      </c>
      <c r="H145" s="39" t="n">
        <f aca="false">INDEX(REF_VAL,MATCH(D145,REF_ID,0))</f>
        <v>8.45</v>
      </c>
      <c r="I145" s="40" t="n">
        <f aca="false">F145*J145</f>
        <v>0.00289757599381457</v>
      </c>
      <c r="J145" s="40" t="n">
        <v>0.00289757599381457</v>
      </c>
      <c r="K145" s="40" t="n">
        <f aca="false">I145*(1-V145)</f>
        <v>0.00278053562775289</v>
      </c>
      <c r="L145" s="40" t="n">
        <f aca="false">I145*(1+V145)</f>
        <v>0.00301461635987624</v>
      </c>
      <c r="M145" s="40" t="n">
        <f aca="false">F145*N145</f>
        <v>0.0244845171477331</v>
      </c>
      <c r="N145" s="40" t="n">
        <f aca="false">J145*H145</f>
        <v>0.0244845171477331</v>
      </c>
      <c r="O145" s="40" t="n">
        <f aca="false">K145*Q145</f>
        <v>0.0233564992731243</v>
      </c>
      <c r="P145" s="40" t="n">
        <f aca="false">L145*R145</f>
        <v>0.025624239058948</v>
      </c>
      <c r="Q145" s="39" t="n">
        <f aca="false">INDEX(REF_MIN,MATCH(D145,REF_ID,0))</f>
        <v>8.4</v>
      </c>
      <c r="R145" s="39" t="n">
        <f aca="false">INDEX(REF_MAX,MATCH(D145,REF_ID,0))</f>
        <v>8.5</v>
      </c>
      <c r="S145" s="41" t="n">
        <v>0.234080732123344</v>
      </c>
      <c r="T145" s="42" t="n">
        <f aca="false">200*J145/S145</f>
        <v>2.47570653725378</v>
      </c>
      <c r="U145" s="43" t="n">
        <f aca="false">IFERROR(INDEX(ISO_TOL,MATCH(T145,ISO_DESDE,1)),0)</f>
        <v>0.1</v>
      </c>
      <c r="V145" s="44" t="n">
        <f aca="false">IF(T145&gt;0,U145/T145,0)</f>
        <v>0.0403925095705918</v>
      </c>
    </row>
    <row r="146" customFormat="false" ht="15" hidden="false" customHeight="false" outlineLevel="3" collapsed="false">
      <c r="A146" s="35" t="n">
        <v>3</v>
      </c>
      <c r="B146" s="36" t="s">
        <v>453</v>
      </c>
      <c r="C146" s="45" t="s">
        <v>286</v>
      </c>
      <c r="D146" s="36" t="s">
        <v>17</v>
      </c>
      <c r="E146" s="36" t="str">
        <f aca="false">INDEX(REF_DATO,MATCH(D146,REF_ID,0))</f>
        <v>Latón de forja (CuZn39Pb2 / C37700)</v>
      </c>
      <c r="F146" s="38" t="n">
        <v>1</v>
      </c>
      <c r="G146" s="35" t="s">
        <v>264</v>
      </c>
      <c r="H146" s="39" t="n">
        <f aca="false">INDEX(REF_VAL,MATCH(D146,REF_ID,0))</f>
        <v>8.45</v>
      </c>
      <c r="I146" s="40" t="n">
        <f aca="false">F146*J146</f>
        <v>0.000622782069311974</v>
      </c>
      <c r="J146" s="40" t="n">
        <v>0.000622782069311974</v>
      </c>
      <c r="K146" s="40" t="n">
        <f aca="false">I146*(1-V146)</f>
        <v>0.000575019978783558</v>
      </c>
      <c r="L146" s="40" t="n">
        <f aca="false">I146*(1+V146)</f>
        <v>0.00067054415984039</v>
      </c>
      <c r="M146" s="40" t="n">
        <f aca="false">F146*N146</f>
        <v>0.00526250848568618</v>
      </c>
      <c r="N146" s="40" t="n">
        <f aca="false">J146*H146</f>
        <v>0.00526250848568618</v>
      </c>
      <c r="O146" s="40" t="n">
        <f aca="false">K146*Q146</f>
        <v>0.00483016782178189</v>
      </c>
      <c r="P146" s="40" t="n">
        <f aca="false">L146*R146</f>
        <v>0.00569962535864331</v>
      </c>
      <c r="Q146" s="39" t="n">
        <f aca="false">INDEX(REF_MIN,MATCH(D146,REF_ID,0))</f>
        <v>8.4</v>
      </c>
      <c r="R146" s="39" t="n">
        <f aca="false">INDEX(REF_MAX,MATCH(D146,REF_ID,0))</f>
        <v>8.5</v>
      </c>
      <c r="S146" s="41" t="n">
        <v>0.095524181056832</v>
      </c>
      <c r="T146" s="42" t="n">
        <f aca="false">200*J146/S146</f>
        <v>1.3039254823686</v>
      </c>
      <c r="U146" s="43" t="n">
        <f aca="false">IFERROR(INDEX(ISO_TOL,MATCH(T146,ISO_DESDE,1)),0)</f>
        <v>0.1</v>
      </c>
      <c r="V146" s="44" t="n">
        <f aca="false">IF(T146&gt;0,U146/T146,0)</f>
        <v>0.0766914991325645</v>
      </c>
    </row>
    <row r="147" customFormat="false" ht="15" hidden="false" customHeight="false" outlineLevel="3" collapsed="false">
      <c r="A147" s="35" t="n">
        <v>3</v>
      </c>
      <c r="B147" s="36" t="s">
        <v>454</v>
      </c>
      <c r="C147" s="45" t="s">
        <v>288</v>
      </c>
      <c r="D147" s="36" t="s">
        <v>17</v>
      </c>
      <c r="E147" s="36" t="str">
        <f aca="false">INDEX(REF_DATO,MATCH(D147,REF_ID,0))</f>
        <v>Latón de forja (CuZn39Pb2 / C37700)</v>
      </c>
      <c r="F147" s="38" t="n">
        <v>1</v>
      </c>
      <c r="G147" s="35" t="s">
        <v>264</v>
      </c>
      <c r="H147" s="39" t="n">
        <f aca="false">INDEX(REF_VAL,MATCH(D147,REF_ID,0))</f>
        <v>8.45</v>
      </c>
      <c r="I147" s="40" t="n">
        <f aca="false">F147*J147</f>
        <v>0.0157211778450519</v>
      </c>
      <c r="J147" s="40" t="n">
        <v>0.0157211778450519</v>
      </c>
      <c r="K147" s="40" t="n">
        <f aca="false">I147*(1-V147)</f>
        <v>0.0154591130500672</v>
      </c>
      <c r="L147" s="40" t="n">
        <f aca="false">I147*(1+V147)</f>
        <v>0.0159832426400366</v>
      </c>
      <c r="M147" s="40" t="n">
        <f aca="false">F147*N147</f>
        <v>0.132843952790689</v>
      </c>
      <c r="N147" s="40" t="n">
        <f aca="false">J147*H147</f>
        <v>0.132843952790689</v>
      </c>
      <c r="O147" s="40" t="n">
        <f aca="false">K147*Q147</f>
        <v>0.129856549620565</v>
      </c>
      <c r="P147" s="40" t="n">
        <f aca="false">L147*R147</f>
        <v>0.135857562440311</v>
      </c>
      <c r="Q147" s="39" t="n">
        <f aca="false">INDEX(REF_MIN,MATCH(D147,REF_ID,0))</f>
        <v>8.4</v>
      </c>
      <c r="R147" s="39" t="n">
        <f aca="false">INDEX(REF_MAX,MATCH(D147,REF_ID,0))</f>
        <v>8.5</v>
      </c>
      <c r="S147" s="41" t="n">
        <v>0.524129589969397</v>
      </c>
      <c r="T147" s="42" t="n">
        <f aca="false">200*J147/S147</f>
        <v>5.99896596029613</v>
      </c>
      <c r="U147" s="43" t="n">
        <f aca="false">IFERROR(INDEX(ISO_TOL,MATCH(T147,ISO_DESDE,1)),0)</f>
        <v>0.1</v>
      </c>
      <c r="V147" s="44" t="n">
        <f aca="false">IF(T147&gt;0,U147/T147,0)</f>
        <v>0.0166695394942804</v>
      </c>
    </row>
    <row r="148" customFormat="false" ht="15" hidden="false" customHeight="false" outlineLevel="3" collapsed="false">
      <c r="A148" s="35" t="n">
        <v>3</v>
      </c>
      <c r="B148" s="36" t="s">
        <v>455</v>
      </c>
      <c r="C148" s="45" t="s">
        <v>290</v>
      </c>
      <c r="D148" s="36" t="s">
        <v>17</v>
      </c>
      <c r="E148" s="36" t="str">
        <f aca="false">INDEX(REF_DATO,MATCH(D148,REF_ID,0))</f>
        <v>Latón de forja (CuZn39Pb2 / C37700)</v>
      </c>
      <c r="F148" s="38" t="n">
        <v>1</v>
      </c>
      <c r="G148" s="35" t="s">
        <v>264</v>
      </c>
      <c r="H148" s="39" t="n">
        <f aca="false">INDEX(REF_VAL,MATCH(D148,REF_ID,0))</f>
        <v>8.45</v>
      </c>
      <c r="I148" s="40" t="n">
        <f aca="false">F148*J148</f>
        <v>0.00162231844631377</v>
      </c>
      <c r="J148" s="40" t="n">
        <v>0.00162231844631377</v>
      </c>
      <c r="K148" s="40" t="n">
        <f aca="false">I148*(1-V148)</f>
        <v>0.0015672149111698</v>
      </c>
      <c r="L148" s="40" t="n">
        <f aca="false">I148*(1+V148)</f>
        <v>0.00167742198145773</v>
      </c>
      <c r="M148" s="40" t="n">
        <f aca="false">F148*N148</f>
        <v>0.0137085908713513</v>
      </c>
      <c r="N148" s="40" t="n">
        <f aca="false">J148*H148</f>
        <v>0.0137085908713513</v>
      </c>
      <c r="O148" s="40" t="n">
        <f aca="false">K148*Q148</f>
        <v>0.0131646052538263</v>
      </c>
      <c r="P148" s="40" t="n">
        <f aca="false">L148*R148</f>
        <v>0.0142580868423907</v>
      </c>
      <c r="Q148" s="39" t="n">
        <f aca="false">INDEX(REF_MIN,MATCH(D148,REF_ID,0))</f>
        <v>8.4</v>
      </c>
      <c r="R148" s="39" t="n">
        <f aca="false">INDEX(REF_MAX,MATCH(D148,REF_ID,0))</f>
        <v>8.5</v>
      </c>
      <c r="S148" s="41" t="n">
        <v>0.11020707028793</v>
      </c>
      <c r="T148" s="42" t="n">
        <f aca="false">200*J148/S148</f>
        <v>2.94412770809578</v>
      </c>
      <c r="U148" s="43" t="n">
        <f aca="false">IFERROR(INDEX(ISO_TOL,MATCH(T148,ISO_DESDE,1)),0)</f>
        <v>0.1</v>
      </c>
      <c r="V148" s="44" t="n">
        <f aca="false">IF(T148&gt;0,U148/T148,0)</f>
        <v>0.0339659178931061</v>
      </c>
    </row>
    <row r="149" customFormat="false" ht="15" hidden="false" customHeight="false" outlineLevel="3" collapsed="false">
      <c r="A149" s="35" t="n">
        <v>3</v>
      </c>
      <c r="B149" s="36" t="s">
        <v>456</v>
      </c>
      <c r="C149" s="45" t="s">
        <v>292</v>
      </c>
      <c r="D149" s="36" t="s">
        <v>14</v>
      </c>
      <c r="E149" s="36" t="str">
        <f aca="false">INDEX(REF_DATO,MATCH(D149,REF_ID,0))</f>
        <v>Acero inoxidable AISI 302 / 304</v>
      </c>
      <c r="F149" s="38" t="n">
        <v>1</v>
      </c>
      <c r="G149" s="35" t="s">
        <v>264</v>
      </c>
      <c r="H149" s="39" t="n">
        <f aca="false">INDEX(REF_VAL,MATCH(D149,REF_ID,0))</f>
        <v>7.93</v>
      </c>
      <c r="I149" s="40" t="n">
        <f aca="false">F149*J149</f>
        <v>0.000611811346278937</v>
      </c>
      <c r="J149" s="40" t="n">
        <v>0.000611811346278937</v>
      </c>
      <c r="K149" s="40" t="n">
        <f aca="false">I149*(1-V149)</f>
        <v>0.000611811346278937</v>
      </c>
      <c r="L149" s="40" t="n">
        <f aca="false">I149*(1+V149)</f>
        <v>0.000611811346278937</v>
      </c>
      <c r="M149" s="40" t="n">
        <f aca="false">F149*N149</f>
        <v>0.00485166397599197</v>
      </c>
      <c r="N149" s="40" t="n">
        <f aca="false">J149*H149</f>
        <v>0.00485166397599197</v>
      </c>
      <c r="O149" s="40" t="n">
        <f aca="false">K149*Q149</f>
        <v>0.00485166397599197</v>
      </c>
      <c r="P149" s="40" t="n">
        <f aca="false">L149*R149</f>
        <v>0.00485166397599197</v>
      </c>
      <c r="Q149" s="39" t="n">
        <f aca="false">INDEX(REF_MIN,MATCH(D149,REF_ID,0))</f>
        <v>7.93</v>
      </c>
      <c r="R149" s="39" t="n">
        <f aca="false">INDEX(REF_MAX,MATCH(D149,REF_ID,0))</f>
        <v>7.93</v>
      </c>
      <c r="S149" s="41" t="n">
        <v>0.606955700673548</v>
      </c>
      <c r="T149" s="42" t="n">
        <f aca="false">200*J149/S149</f>
        <v>0.2016</v>
      </c>
      <c r="U149" s="43" t="n">
        <f aca="false">IFERROR(INDEX(ISO_TOL,MATCH(T149,ISO_DESDE,1)),0)</f>
        <v>0</v>
      </c>
      <c r="V149" s="44" t="n">
        <f aca="false">IF(T149&gt;0,U149/T149,0)</f>
        <v>0</v>
      </c>
    </row>
    <row r="150" customFormat="false" ht="15" hidden="false" customHeight="false" outlineLevel="3" collapsed="false">
      <c r="A150" s="35" t="n">
        <v>3</v>
      </c>
      <c r="B150" s="36" t="s">
        <v>457</v>
      </c>
      <c r="C150" s="45" t="s">
        <v>294</v>
      </c>
      <c r="D150" s="36" t="s">
        <v>14</v>
      </c>
      <c r="E150" s="36" t="str">
        <f aca="false">INDEX(REF_DATO,MATCH(D150,REF_ID,0))</f>
        <v>Acero inoxidable AISI 302 / 304</v>
      </c>
      <c r="F150" s="38" t="n">
        <v>1</v>
      </c>
      <c r="G150" s="35" t="s">
        <v>264</v>
      </c>
      <c r="H150" s="39" t="n">
        <f aca="false">INDEX(REF_VAL,MATCH(D150,REF_ID,0))</f>
        <v>7.93</v>
      </c>
      <c r="I150" s="40" t="n">
        <f aca="false">F150*J150</f>
        <v>0.000414690230273852</v>
      </c>
      <c r="J150" s="40" t="n">
        <v>0.000414690230273852</v>
      </c>
      <c r="K150" s="40" t="n">
        <f aca="false">I150*(1-V150)</f>
        <v>0.000392699081698723</v>
      </c>
      <c r="L150" s="40" t="n">
        <f aca="false">I150*(1+V150)</f>
        <v>0.00043668137884898</v>
      </c>
      <c r="M150" s="40" t="n">
        <f aca="false">F150*N150</f>
        <v>0.00328849352607164</v>
      </c>
      <c r="N150" s="40" t="n">
        <f aca="false">J150*H150</f>
        <v>0.00328849352607164</v>
      </c>
      <c r="O150" s="40" t="n">
        <f aca="false">K150*Q150</f>
        <v>0.00311410371787087</v>
      </c>
      <c r="P150" s="40" t="n">
        <f aca="false">L150*R150</f>
        <v>0.00346288333427241</v>
      </c>
      <c r="Q150" s="39" t="n">
        <f aca="false">INDEX(REF_MIN,MATCH(D150,REF_ID,0))</f>
        <v>7.93</v>
      </c>
      <c r="R150" s="39" t="n">
        <f aca="false">INDEX(REF_MAX,MATCH(D150,REF_ID,0))</f>
        <v>7.93</v>
      </c>
      <c r="S150" s="41" t="n">
        <v>0.0439822971502571</v>
      </c>
      <c r="T150" s="42" t="n">
        <f aca="false">200*J150/S150</f>
        <v>1.88571428571428</v>
      </c>
      <c r="U150" s="43" t="n">
        <f aca="false">IFERROR(INDEX(ISO_TOL,MATCH(T150,ISO_DESDE,1)),0)</f>
        <v>0.1</v>
      </c>
      <c r="V150" s="44" t="n">
        <f aca="false">IF(T150&gt;0,U150/T150,0)</f>
        <v>0.0530303030303032</v>
      </c>
    </row>
    <row r="151" customFormat="false" ht="15" hidden="false" customHeight="false" outlineLevel="3" collapsed="false">
      <c r="A151" s="35" t="n">
        <v>3</v>
      </c>
      <c r="B151" s="36" t="s">
        <v>458</v>
      </c>
      <c r="C151" s="45" t="s">
        <v>296</v>
      </c>
      <c r="D151" s="36" t="s">
        <v>14</v>
      </c>
      <c r="E151" s="36" t="str">
        <f aca="false">INDEX(REF_DATO,MATCH(D151,REF_ID,0))</f>
        <v>Acero inoxidable AISI 302 / 304</v>
      </c>
      <c r="F151" s="38" t="n">
        <v>1</v>
      </c>
      <c r="G151" s="35" t="s">
        <v>264</v>
      </c>
      <c r="H151" s="39" t="n">
        <f aca="false">INDEX(REF_VAL,MATCH(D151,REF_ID,0))</f>
        <v>7.93</v>
      </c>
      <c r="I151" s="40" t="n">
        <f aca="false">F151*J151</f>
        <v>0.000697299383997888</v>
      </c>
      <c r="J151" s="40" t="n">
        <v>0.000697299383997888</v>
      </c>
      <c r="K151" s="40" t="n">
        <f aca="false">I151*(1-V151)</f>
        <v>0.000650528235344709</v>
      </c>
      <c r="L151" s="40" t="n">
        <f aca="false">I151*(1+V151)</f>
        <v>0.000744070532651067</v>
      </c>
      <c r="M151" s="40" t="n">
        <f aca="false">F151*N151</f>
        <v>0.00552958411510325</v>
      </c>
      <c r="N151" s="40" t="n">
        <f aca="false">J151*H151</f>
        <v>0.00552958411510325</v>
      </c>
      <c r="O151" s="40" t="n">
        <f aca="false">K151*Q151</f>
        <v>0.00515868890628354</v>
      </c>
      <c r="P151" s="40" t="n">
        <f aca="false">L151*R151</f>
        <v>0.00590047932392296</v>
      </c>
      <c r="Q151" s="39" t="n">
        <f aca="false">INDEX(REF_MIN,MATCH(D151,REF_ID,0))</f>
        <v>7.93</v>
      </c>
      <c r="R151" s="39" t="n">
        <f aca="false">INDEX(REF_MAX,MATCH(D151,REF_ID,0))</f>
        <v>7.93</v>
      </c>
      <c r="S151" s="41" t="n">
        <v>0.0935422973063581</v>
      </c>
      <c r="T151" s="42" t="n">
        <f aca="false">200*J151/S151</f>
        <v>1.49087504600016</v>
      </c>
      <c r="U151" s="43" t="n">
        <f aca="false">IFERROR(INDEX(ISO_TOL,MATCH(T151,ISO_DESDE,1)),0)</f>
        <v>0.1</v>
      </c>
      <c r="V151" s="44" t="n">
        <f aca="false">IF(T151&gt;0,U151/T151,0)</f>
        <v>0.0670747023825289</v>
      </c>
    </row>
    <row r="152" customFormat="false" ht="15" hidden="false" customHeight="false" outlineLevel="3" collapsed="false">
      <c r="A152" s="35" t="n">
        <v>3</v>
      </c>
      <c r="B152" s="36" t="s">
        <v>459</v>
      </c>
      <c r="C152" s="45" t="s">
        <v>298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0.0122208194772706</v>
      </c>
      <c r="J152" s="40" t="n">
        <v>0.0122208194772706</v>
      </c>
      <c r="K152" s="40" t="n">
        <f aca="false">I152*(1-V152)</f>
        <v>0.0109151420660484</v>
      </c>
      <c r="L152" s="40" t="n">
        <f aca="false">I152*(1+V152)</f>
        <v>0.0135264968884928</v>
      </c>
      <c r="M152" s="40" t="n">
        <f aca="false">F152*N152</f>
        <v>0.0959334328965742</v>
      </c>
      <c r="N152" s="40" t="n">
        <f aca="false">J152*H152</f>
        <v>0.0959334328965742</v>
      </c>
      <c r="O152" s="40" t="n">
        <f aca="false">K152*Q152</f>
        <v>0.08568386521848</v>
      </c>
      <c r="P152" s="40" t="n">
        <f aca="false">L152*R152</f>
        <v>0.106183000574668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2.61135482244438</v>
      </c>
      <c r="T152" s="42" t="n">
        <f aca="false">200*J152/S152</f>
        <v>0.935975408032158</v>
      </c>
      <c r="U152" s="43" t="n">
        <f aca="false">IFERROR(INDEX(ISO_TOL,MATCH(T152,ISO_DESDE,1)),0)</f>
        <v>0.1</v>
      </c>
      <c r="V152" s="44" t="n">
        <f aca="false">IF(T152&gt;0,U152/T152,0)</f>
        <v>0.106840413906007</v>
      </c>
    </row>
    <row r="153" customFormat="false" ht="15" hidden="false" customHeight="false" outlineLevel="3" collapsed="false">
      <c r="A153" s="35" t="n">
        <v>3</v>
      </c>
      <c r="B153" s="36" t="s">
        <v>460</v>
      </c>
      <c r="C153" s="45" t="s">
        <v>300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0.00964038014337072</v>
      </c>
      <c r="J153" s="40" t="n">
        <v>0.00964038014337072</v>
      </c>
      <c r="K153" s="40" t="n">
        <f aca="false">I153*(1-V153)</f>
        <v>0.00865558197544065</v>
      </c>
      <c r="L153" s="40" t="n">
        <f aca="false">I153*(1+V153)</f>
        <v>0.0106251783113008</v>
      </c>
      <c r="M153" s="40" t="n">
        <f aca="false">F153*N153</f>
        <v>0.0756769841254601</v>
      </c>
      <c r="N153" s="40" t="n">
        <f aca="false">J153*H153</f>
        <v>0.0756769841254601</v>
      </c>
      <c r="O153" s="40" t="n">
        <f aca="false">K153*Q153</f>
        <v>0.0679463185072091</v>
      </c>
      <c r="P153" s="40" t="n">
        <f aca="false">L153*R153</f>
        <v>0.0834076497437112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1.96959633586015</v>
      </c>
      <c r="T153" s="42" t="n">
        <f aca="false">200*J153/S153</f>
        <v>0.978919382398286</v>
      </c>
      <c r="U153" s="43" t="n">
        <f aca="false">IFERROR(INDEX(ISO_TOL,MATCH(T153,ISO_DESDE,1)),0)</f>
        <v>0.1</v>
      </c>
      <c r="V153" s="44" t="n">
        <f aca="false">IF(T153&gt;0,U153/T153,0)</f>
        <v>0.102153457984463</v>
      </c>
    </row>
    <row r="154" customFormat="false" ht="15" hidden="false" customHeight="false" outlineLevel="3" collapsed="false">
      <c r="A154" s="35" t="n">
        <v>3</v>
      </c>
      <c r="B154" s="36" t="s">
        <v>461</v>
      </c>
      <c r="C154" s="45" t="s">
        <v>302</v>
      </c>
      <c r="D154" s="36" t="s">
        <v>32</v>
      </c>
      <c r="E154" s="36" t="str">
        <f aca="false">INDEX(REF_DATO,MATCH(D154,REF_ID,0))</f>
        <v>PVC rígido, vinilo y papeles de identificación</v>
      </c>
      <c r="F154" s="38" t="n">
        <v>1</v>
      </c>
      <c r="G154" s="35" t="s">
        <v>264</v>
      </c>
      <c r="H154" s="39" t="n">
        <f aca="false">INDEX(REF_VAL,MATCH(D154,REF_ID,0))</f>
        <v>1.4</v>
      </c>
      <c r="I154" s="40" t="n">
        <f aca="false">F154*J154</f>
        <v>0.0491625635245409</v>
      </c>
      <c r="J154" s="40" t="n">
        <v>0.0491625635245409</v>
      </c>
      <c r="K154" s="40" t="n">
        <f aca="false">I154*(1-V154)</f>
        <v>0.0458757287593904</v>
      </c>
      <c r="L154" s="40" t="n">
        <f aca="false">I154*(1+V154)</f>
        <v>0.0524493982896915</v>
      </c>
      <c r="M154" s="40" t="n">
        <f aca="false">F154*N154</f>
        <v>0.0688275889343573</v>
      </c>
      <c r="N154" s="40" t="n">
        <f aca="false">J154*H154</f>
        <v>0.0688275889343573</v>
      </c>
      <c r="O154" s="40" t="n">
        <f aca="false">K154*Q154</f>
        <v>0.061932233825177</v>
      </c>
      <c r="P154" s="40" t="n">
        <f aca="false">L154*R154</f>
        <v>0.0760516275200527</v>
      </c>
      <c r="Q154" s="39" t="n">
        <f aca="false">INDEX(REF_MIN,MATCH(D154,REF_ID,0))</f>
        <v>1.35</v>
      </c>
      <c r="R154" s="39" t="n">
        <f aca="false">INDEX(REF_MAX,MATCH(D154,REF_ID,0))</f>
        <v>1.45</v>
      </c>
      <c r="S154" s="41" t="n">
        <v>6.57366953030112</v>
      </c>
      <c r="T154" s="42" t="n">
        <f aca="false">200*J154/S154</f>
        <v>1.49574186222559</v>
      </c>
      <c r="U154" s="43" t="n">
        <f aca="false">IFERROR(INDEX(ISO_TOL,MATCH(T154,ISO_DESDE,1)),0)</f>
        <v>0.1</v>
      </c>
      <c r="V154" s="44" t="n">
        <f aca="false">IF(T154&gt;0,U154/T154,0)</f>
        <v>0.0668564560005061</v>
      </c>
    </row>
    <row r="155" customFormat="false" ht="15" hidden="false" customHeight="false" outlineLevel="3" collapsed="false">
      <c r="A155" s="35" t="n">
        <v>3</v>
      </c>
      <c r="B155" s="36" t="s">
        <v>462</v>
      </c>
      <c r="C155" s="45" t="s">
        <v>304</v>
      </c>
      <c r="D155" s="36"/>
      <c r="E155" s="36"/>
      <c r="F155" s="38" t="n">
        <v>1</v>
      </c>
      <c r="G155" s="35" t="s">
        <v>264</v>
      </c>
      <c r="H155" s="39"/>
      <c r="I155" s="40"/>
      <c r="J155" s="40"/>
      <c r="K155" s="40"/>
      <c r="L155" s="40"/>
      <c r="M155" s="40"/>
      <c r="N155" s="40"/>
      <c r="O155" s="40"/>
      <c r="P155" s="40"/>
      <c r="Q155" s="39"/>
      <c r="R155" s="39"/>
      <c r="S155" s="41"/>
      <c r="T155" s="42"/>
      <c r="U155" s="43"/>
      <c r="V155" s="44"/>
    </row>
    <row r="156" customFormat="false" ht="15" hidden="false" customHeight="false" outlineLevel="3" collapsed="false">
      <c r="A156" s="35" t="n">
        <v>3</v>
      </c>
      <c r="B156" s="36" t="s">
        <v>463</v>
      </c>
      <c r="C156" s="45" t="s">
        <v>306</v>
      </c>
      <c r="D156" s="36"/>
      <c r="E156" s="36"/>
      <c r="F156" s="38" t="n">
        <v>1</v>
      </c>
      <c r="G156" s="35" t="s">
        <v>264</v>
      </c>
      <c r="H156" s="39"/>
      <c r="I156" s="40"/>
      <c r="J156" s="40"/>
      <c r="K156" s="40"/>
      <c r="L156" s="40"/>
      <c r="M156" s="40"/>
      <c r="N156" s="40"/>
      <c r="O156" s="40"/>
      <c r="P156" s="40"/>
      <c r="Q156" s="39"/>
      <c r="R156" s="39"/>
      <c r="S156" s="41"/>
      <c r="T156" s="42"/>
      <c r="U156" s="43"/>
      <c r="V156" s="44"/>
    </row>
    <row r="157" customFormat="false" ht="15" hidden="false" customHeight="false" outlineLevel="1" collapsed="false">
      <c r="A157" s="25" t="n">
        <v>1</v>
      </c>
      <c r="B157" s="26" t="s">
        <v>464</v>
      </c>
      <c r="C157" s="27" t="s">
        <v>308</v>
      </c>
      <c r="D157" s="26"/>
      <c r="E157" s="26"/>
      <c r="F157" s="28" t="n">
        <v>1</v>
      </c>
      <c r="G157" s="25" t="s">
        <v>264</v>
      </c>
      <c r="H157" s="29"/>
      <c r="I157" s="30"/>
      <c r="J157" s="30"/>
      <c r="K157" s="30"/>
      <c r="L157" s="30"/>
      <c r="M157" s="30" t="n">
        <f aca="false">IF(SUMIF(A158:A161,2,M158:M161)=0,"",SUMIF(A158:A161,2,M158:M161))</f>
        <v>0.245890991673926</v>
      </c>
      <c r="N157" s="30"/>
      <c r="O157" s="30" t="n">
        <f aca="false">IF(SUMIF(A158:A161,2,O158:O161)=0,"",SUMIF(A158:A161,2,O158:O161))</f>
        <v>0.227916024182074</v>
      </c>
      <c r="P157" s="30" t="n">
        <f aca="false">IF(SUMIF(A158:A161,2,P158:P161)=0,"",SUMIF(A158:A161,2,P158:P161))</f>
        <v>0.264552880132923</v>
      </c>
      <c r="Q157" s="29"/>
      <c r="R157" s="29"/>
      <c r="S157" s="31"/>
      <c r="T157" s="32"/>
      <c r="U157" s="33"/>
      <c r="V157" s="34"/>
    </row>
    <row r="158" customFormat="false" ht="15" hidden="false" customHeight="false" outlineLevel="2" collapsed="false">
      <c r="A158" s="35" t="n">
        <v>2</v>
      </c>
      <c r="B158" s="36" t="s">
        <v>465</v>
      </c>
      <c r="C158" s="37" t="s">
        <v>369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0.00466607483608731</v>
      </c>
      <c r="J158" s="40" t="n">
        <v>0.00466607483608731</v>
      </c>
      <c r="K158" s="40" t="n">
        <f aca="false">I158*(1-V158)</f>
        <v>0.00458505473234755</v>
      </c>
      <c r="L158" s="40" t="n">
        <f aca="false">I158*(1+V158)</f>
        <v>0.00474709493982706</v>
      </c>
      <c r="M158" s="40" t="n">
        <f aca="false">F158*N158</f>
        <v>0.0394283323649378</v>
      </c>
      <c r="N158" s="40" t="n">
        <f aca="false">J158*H158</f>
        <v>0.0394283323649378</v>
      </c>
      <c r="O158" s="40" t="n">
        <f aca="false">K158*Q158</f>
        <v>0.0385144597517195</v>
      </c>
      <c r="P158" s="40" t="n">
        <f aca="false">L158*R158</f>
        <v>0.04035030698853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0.162040207479508</v>
      </c>
      <c r="T158" s="42" t="n">
        <f aca="false">200*J158/S158</f>
        <v>5.759156827391</v>
      </c>
      <c r="U158" s="43" t="n">
        <f aca="false">IFERROR(INDEX(ISO_TOL,MATCH(T158,ISO_DESDE,1)),0)</f>
        <v>0.1</v>
      </c>
      <c r="V158" s="44" t="n">
        <f aca="false">IF(T158&gt;0,U158/T158,0)</f>
        <v>0.0173636528743916</v>
      </c>
    </row>
    <row r="159" customFormat="false" ht="15" hidden="false" customHeight="false" outlineLevel="2" collapsed="false">
      <c r="A159" s="35" t="n">
        <v>2</v>
      </c>
      <c r="B159" s="36" t="s">
        <v>466</v>
      </c>
      <c r="C159" s="37" t="s">
        <v>371</v>
      </c>
      <c r="D159" s="36" t="s">
        <v>23</v>
      </c>
      <c r="E159" s="36" t="str">
        <f aca="false">INDEX(REF_DATO,MATCH(D159,REF_ID,0))</f>
        <v>Caucho sintético (NBR / SBR)</v>
      </c>
      <c r="F159" s="38" t="n">
        <v>1</v>
      </c>
      <c r="G159" s="35" t="s">
        <v>264</v>
      </c>
      <c r="H159" s="39" t="n">
        <f aca="false">INDEX(REF_VAL,MATCH(D159,REF_ID,0))</f>
        <v>1.2</v>
      </c>
      <c r="I159" s="40" t="n">
        <f aca="false">F159*J159</f>
        <v>0.066630904079167</v>
      </c>
      <c r="J159" s="40" t="n">
        <v>0.066630904079167</v>
      </c>
      <c r="K159" s="40" t="n">
        <f aca="false">I159*(1-V159)</f>
        <v>0.0641899952099517</v>
      </c>
      <c r="L159" s="40" t="n">
        <f aca="false">I159*(1+V159)</f>
        <v>0.0690718129483823</v>
      </c>
      <c r="M159" s="40" t="n">
        <f aca="false">F159*N159</f>
        <v>0.0799570848950004</v>
      </c>
      <c r="N159" s="40" t="n">
        <f aca="false">J159*H159</f>
        <v>0.0799570848950004</v>
      </c>
      <c r="O159" s="40" t="n">
        <f aca="false">K159*Q159</f>
        <v>0.0706089947309469</v>
      </c>
      <c r="P159" s="40" t="n">
        <f aca="false">L159*R159</f>
        <v>0.089793356832897</v>
      </c>
      <c r="Q159" s="39" t="n">
        <f aca="false">INDEX(REF_MIN,MATCH(D159,REF_ID,0))</f>
        <v>1.1</v>
      </c>
      <c r="R159" s="39" t="n">
        <f aca="false">INDEX(REF_MAX,MATCH(D159,REF_ID,0))</f>
        <v>1.3</v>
      </c>
      <c r="S159" s="41" t="n">
        <v>4.88181773843058</v>
      </c>
      <c r="T159" s="42" t="n">
        <f aca="false">200*J159/S159</f>
        <v>2.72975795694444</v>
      </c>
      <c r="U159" s="43" t="n">
        <f aca="false">IFERROR(INDEX(ISO_TOL,MATCH(T159,ISO_DESDE,1)),0)</f>
        <v>0.1</v>
      </c>
      <c r="V159" s="44" t="n">
        <f aca="false">IF(T159&gt;0,U159/T159,0)</f>
        <v>0.0366332845538933</v>
      </c>
    </row>
    <row r="160" customFormat="false" ht="15" hidden="false" customHeight="false" outlineLevel="2" collapsed="false">
      <c r="A160" s="35" t="n">
        <v>2</v>
      </c>
      <c r="B160" s="36" t="s">
        <v>467</v>
      </c>
      <c r="C160" s="37" t="s">
        <v>373</v>
      </c>
      <c r="D160" s="36" t="s">
        <v>26</v>
      </c>
      <c r="E160" s="36" t="str">
        <f aca="false">INDEX(REF_DATO,MATCH(D160,REF_ID,0))</f>
        <v>Polipropileno</v>
      </c>
      <c r="F160" s="38" t="n">
        <v>1</v>
      </c>
      <c r="G160" s="35" t="s">
        <v>264</v>
      </c>
      <c r="H160" s="39" t="n">
        <f aca="false">INDEX(REF_VAL,MATCH(D160,REF_ID,0))</f>
        <v>0.9</v>
      </c>
      <c r="I160" s="40" t="n">
        <f aca="false">F160*J160</f>
        <v>0.0187178422933425</v>
      </c>
      <c r="J160" s="40" t="n">
        <v>0.0187178422933425</v>
      </c>
      <c r="K160" s="40" t="n">
        <f aca="false">I160*(1-V160)</f>
        <v>0.0183719662939511</v>
      </c>
      <c r="L160" s="40" t="n">
        <f aca="false">I160*(1+V160)</f>
        <v>0.019063718292734</v>
      </c>
      <c r="M160" s="40" t="n">
        <f aca="false">F160*N160</f>
        <v>0.0168460580640083</v>
      </c>
      <c r="N160" s="40" t="n">
        <f aca="false">J160*H160</f>
        <v>0.0168460580640083</v>
      </c>
      <c r="O160" s="40" t="n">
        <f aca="false">K160*Q160</f>
        <v>0.0165347696645559</v>
      </c>
      <c r="P160" s="40" t="n">
        <f aca="false">L160*R160</f>
        <v>0.0173479836463879</v>
      </c>
      <c r="Q160" s="39" t="n">
        <f aca="false">INDEX(REF_MIN,MATCH(D160,REF_ID,0))</f>
        <v>0.9</v>
      </c>
      <c r="R160" s="39" t="n">
        <f aca="false">INDEX(REF_MAX,MATCH(D160,REF_ID,0))</f>
        <v>0.91</v>
      </c>
      <c r="S160" s="41" t="n">
        <v>0.691751998782917</v>
      </c>
      <c r="T160" s="42" t="n">
        <f aca="false">200*J160/S160</f>
        <v>5.41172047967337</v>
      </c>
      <c r="U160" s="43" t="n">
        <f aca="false">IFERROR(INDEX(ISO_TOL,MATCH(T160,ISO_DESDE,1)),0)</f>
        <v>0.1</v>
      </c>
      <c r="V160" s="44" t="n">
        <f aca="false">IF(T160&gt;0,U160/T160,0)</f>
        <v>0.018478411879476</v>
      </c>
    </row>
    <row r="161" customFormat="false" ht="15" hidden="false" customHeight="false" outlineLevel="2" collapsed="false">
      <c r="A161" s="35" t="n">
        <v>2</v>
      </c>
      <c r="B161" s="36" t="s">
        <v>468</v>
      </c>
      <c r="C161" s="37" t="s">
        <v>375</v>
      </c>
      <c r="D161" s="36" t="s">
        <v>10</v>
      </c>
      <c r="E161" s="36" t="str">
        <f aca="false">INDEX(REF_DATO,MATCH(D161,REF_ID,0))</f>
        <v>Acero (chapa LAC/LAF, SAE 1010/1045)</v>
      </c>
      <c r="F161" s="38" t="n">
        <v>1</v>
      </c>
      <c r="G161" s="35" t="s">
        <v>264</v>
      </c>
      <c r="H161" s="39" t="n">
        <f aca="false">INDEX(REF_VAL,MATCH(D161,REF_ID,0))</f>
        <v>7.85</v>
      </c>
      <c r="I161" s="40" t="n">
        <f aca="false">F161*J161</f>
        <v>0.0139693651401248</v>
      </c>
      <c r="J161" s="40" t="n">
        <v>0.0139693651401248</v>
      </c>
      <c r="K161" s="40" t="n">
        <f aca="false">I161*(1-V161)</f>
        <v>0.0130264713420193</v>
      </c>
      <c r="L161" s="40" t="n">
        <f aca="false">I161*(1+V161)</f>
        <v>0.0149122589382303</v>
      </c>
      <c r="M161" s="40" t="n">
        <f aca="false">F161*N161</f>
        <v>0.10965951634998</v>
      </c>
      <c r="N161" s="40" t="n">
        <f aca="false">J161*H161</f>
        <v>0.10965951634998</v>
      </c>
      <c r="O161" s="40" t="n">
        <f aca="false">K161*Q161</f>
        <v>0.102257800034851</v>
      </c>
      <c r="P161" s="40" t="n">
        <f aca="false">L161*R161</f>
        <v>0.117061232665108</v>
      </c>
      <c r="Q161" s="39" t="n">
        <f aca="false">INDEX(REF_MIN,MATCH(D161,REF_ID,0))</f>
        <v>7.85</v>
      </c>
      <c r="R161" s="39" t="n">
        <f aca="false">INDEX(REF_MAX,MATCH(D161,REF_ID,0))</f>
        <v>7.85</v>
      </c>
      <c r="S161" s="41" t="n">
        <v>1.885787596211</v>
      </c>
      <c r="T161" s="42" t="n">
        <f aca="false">200*J161/S161</f>
        <v>1.48154173547356</v>
      </c>
      <c r="U161" s="43" t="n">
        <f aca="false">IFERROR(INDEX(ISO_TOL,MATCH(T161,ISO_DESDE,1)),0)</f>
        <v>0.1</v>
      </c>
      <c r="V161" s="44" t="n">
        <f aca="false">IF(T161&gt;0,U161/T161,0)</f>
        <v>0.0674972547891377</v>
      </c>
    </row>
    <row r="162" customFormat="false" ht="15" hidden="false" customHeight="false" outlineLevel="1" collapsed="false">
      <c r="A162" s="25" t="n">
        <v>1</v>
      </c>
      <c r="B162" s="26" t="s">
        <v>469</v>
      </c>
      <c r="C162" s="27" t="s">
        <v>312</v>
      </c>
      <c r="D162" s="26"/>
      <c r="E162" s="26"/>
      <c r="F162" s="28" t="n">
        <v>1</v>
      </c>
      <c r="G162" s="25" t="s">
        <v>264</v>
      </c>
      <c r="H162" s="29"/>
      <c r="I162" s="30"/>
      <c r="J162" s="30"/>
      <c r="K162" s="30"/>
      <c r="L162" s="30"/>
      <c r="M162" s="30" t="n">
        <f aca="false">IF(SUMIF(A163:A164,2,M163:M164)=0,"",SUMIF(A163:A164,2,M163:M164))</f>
        <v>10.2064472312807</v>
      </c>
      <c r="N162" s="30"/>
      <c r="O162" s="30" t="n">
        <f aca="false">IF(SUMIF(A163:A164,2,O163:O164)=0,"",SUMIF(A163:A164,2,O163:O164))</f>
        <v>10.0487184490061</v>
      </c>
      <c r="P162" s="30" t="n">
        <f aca="false">IF(SUMIF(A163:A164,2,P163:P164)=0,"",SUMIF(A163:A164,2,P163:P164))</f>
        <v>10.3647238561286</v>
      </c>
      <c r="Q162" s="29"/>
      <c r="R162" s="29"/>
      <c r="S162" s="31"/>
      <c r="T162" s="32"/>
      <c r="U162" s="33"/>
      <c r="V162" s="34"/>
    </row>
    <row r="163" customFormat="false" ht="15" hidden="false" customHeight="false" outlineLevel="2" collapsed="false">
      <c r="A163" s="35" t="n">
        <v>2</v>
      </c>
      <c r="B163" s="36" t="s">
        <v>470</v>
      </c>
      <c r="C163" s="37" t="s">
        <v>314</v>
      </c>
      <c r="D163" s="36" t="s">
        <v>37</v>
      </c>
      <c r="E163" s="36" t="str">
        <f aca="false">INDEX(REF_DATO,MATCH(D163,REF_ID,0))</f>
        <v>Polvo ABC asentado en el recipiente</v>
      </c>
      <c r="F163" s="38" t="n">
        <f aca="false">MODELOS!$L$6</f>
        <v>10.15</v>
      </c>
      <c r="G163" s="35" t="s">
        <v>123</v>
      </c>
      <c r="H163" s="39" t="n">
        <f aca="false">INDEX(REF_VAL,MATCH(D163,REF_ID,0))</f>
        <v>1.1</v>
      </c>
      <c r="I163" s="40" t="n">
        <f aca="false">F163*J163</f>
        <v>9.22727272727273</v>
      </c>
      <c r="J163" s="40" t="n">
        <f aca="false">1/H163</f>
        <v>0.909090909090909</v>
      </c>
      <c r="K163" s="40" t="n">
        <f aca="false">MODELOS!$M$6/R163</f>
        <v>9.09090909090909</v>
      </c>
      <c r="L163" s="40" t="n">
        <f aca="false">MODELOS!$N$6/Q163</f>
        <v>9.36363636363636</v>
      </c>
      <c r="M163" s="40" t="n">
        <f aca="false">F163</f>
        <v>10.15</v>
      </c>
      <c r="N163" s="40" t="n">
        <v>1</v>
      </c>
      <c r="O163" s="40" t="n">
        <f aca="false">MODELOS!$M$6</f>
        <v>10</v>
      </c>
      <c r="P163" s="40" t="n">
        <f aca="false">MODELOS!$N$6</f>
        <v>10.3</v>
      </c>
      <c r="Q163" s="39" t="n">
        <f aca="false">INDEX(REF_MIN,MATCH(D163,REF_ID,0))</f>
        <v>1.1</v>
      </c>
      <c r="R163" s="39" t="n">
        <f aca="false">INDEX(REF_MAX,MATCH(D163,REF_ID,0))</f>
        <v>1.1</v>
      </c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471</v>
      </c>
      <c r="C164" s="37" t="s">
        <v>316</v>
      </c>
      <c r="D164" s="36" t="s">
        <v>78</v>
      </c>
      <c r="E164" s="36" t="str">
        <f aca="false">INDEX(REF_DATO,MATCH(D164,REF_ID,0))</f>
        <v>Nitrógeno seco (densidad normal)</v>
      </c>
      <c r="F164" s="38" t="n">
        <f aca="false">MODELOS!$AF$6</f>
        <v>0.0564472312806942</v>
      </c>
      <c r="G164" s="35" t="s">
        <v>123</v>
      </c>
      <c r="H164" s="39" t="n">
        <f aca="false">INDEX(REF_VAL,MATCH(D164,REF_ID,0))</f>
        <v>0.00124921923797626</v>
      </c>
      <c r="I164" s="40" t="n">
        <f aca="false">F164*J164</f>
        <v>45.1860086401957</v>
      </c>
      <c r="J164" s="40" t="n">
        <f aca="false">1/H164</f>
        <v>800.5</v>
      </c>
      <c r="K164" s="40" t="n">
        <f aca="false">MODELOS!$AG$6/H164</f>
        <v>38.9991184293993</v>
      </c>
      <c r="L164" s="40" t="n">
        <f aca="false">MODELOS!$AH$6/H164</f>
        <v>51.8114468309206</v>
      </c>
      <c r="M164" s="40" t="n">
        <f aca="false">F164</f>
        <v>0.0564472312806942</v>
      </c>
      <c r="N164" s="40" t="n">
        <v>1</v>
      </c>
      <c r="O164" s="40" t="n">
        <f aca="false">MODELOS!$AG$6</f>
        <v>0.0487184490061203</v>
      </c>
      <c r="P164" s="40" t="n">
        <f aca="false">MODELOS!$AH$6</f>
        <v>0.0647238561285704</v>
      </c>
      <c r="Q164" s="39"/>
      <c r="R164" s="39"/>
      <c r="S164" s="41"/>
      <c r="T164" s="42"/>
      <c r="U164" s="43"/>
      <c r="V164" s="44"/>
    </row>
    <row r="165" customFormat="false" ht="15" hidden="false" customHeight="false" outlineLevel="1" collapsed="false">
      <c r="A165" s="25" t="n">
        <v>1</v>
      </c>
      <c r="B165" s="26" t="s">
        <v>472</v>
      </c>
      <c r="C165" s="27" t="s">
        <v>318</v>
      </c>
      <c r="D165" s="26"/>
      <c r="E165" s="26"/>
      <c r="F165" s="28" t="n">
        <v>1</v>
      </c>
      <c r="G165" s="25" t="s">
        <v>264</v>
      </c>
      <c r="H165" s="29"/>
      <c r="I165" s="30"/>
      <c r="J165" s="30"/>
      <c r="K165" s="30"/>
      <c r="L165" s="30"/>
      <c r="M165" s="30" t="n">
        <f aca="false">IF(SUMIF(A166:A172,2,M166:M172)=0,"",SUMIF(A166:A172,2,M166:M172))</f>
        <v>0.0381160858812064</v>
      </c>
      <c r="N165" s="30"/>
      <c r="O165" s="30" t="n">
        <f aca="false">IF(SUMIF(A166:A172,2,O166:O172)=0,"",SUMIF(A166:A172,2,O166:O172))</f>
        <v>0.0367522726056381</v>
      </c>
      <c r="P165" s="30" t="n">
        <f aca="false">IF(SUMIF(A166:A172,2,P166:P172)=0,"",SUMIF(A166:A172,2,P166:P172))</f>
        <v>0.0394819608269536</v>
      </c>
      <c r="Q165" s="29"/>
      <c r="R165" s="29"/>
      <c r="S165" s="31"/>
      <c r="T165" s="32"/>
      <c r="U165" s="33"/>
      <c r="V165" s="34"/>
    </row>
    <row r="166" customFormat="false" ht="15" hidden="false" customHeight="false" outlineLevel="2" collapsed="false">
      <c r="A166" s="35" t="n">
        <v>2</v>
      </c>
      <c r="B166" s="36" t="s">
        <v>473</v>
      </c>
      <c r="C166" s="37" t="s">
        <v>320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0.0229921138575613</v>
      </c>
      <c r="J166" s="40" t="n">
        <v>0.0229921138575613</v>
      </c>
      <c r="K166" s="40" t="n">
        <f aca="false">I166*(1-V166)</f>
        <v>0.0229921138575613</v>
      </c>
      <c r="L166" s="40" t="n">
        <f aca="false">I166*(1+V166)</f>
        <v>0.0229921138575613</v>
      </c>
      <c r="M166" s="40" t="n">
        <f aca="false">F166*N166</f>
        <v>0.0321889594005858</v>
      </c>
      <c r="N166" s="40" t="n">
        <f aca="false">J166*H166</f>
        <v>0.0321889594005858</v>
      </c>
      <c r="O166" s="40" t="n">
        <f aca="false">K166*Q166</f>
        <v>0.0310393537077077</v>
      </c>
      <c r="P166" s="40" t="n">
        <f aca="false">L166*R166</f>
        <v>0.0333385650934638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15.3620558072862</v>
      </c>
      <c r="T166" s="42" t="n">
        <f aca="false">200*J166/S166</f>
        <v>0.299336418849046</v>
      </c>
      <c r="U166" s="43" t="n">
        <f aca="false">IFERROR(INDEX(ISO_TOL,MATCH(T166,ISO_DESDE,1)),0)</f>
        <v>0</v>
      </c>
      <c r="V166" s="44" t="n">
        <f aca="false">IF(T166&gt;0,U166/T166,0)</f>
        <v>0</v>
      </c>
    </row>
    <row r="167" customFormat="false" ht="15" hidden="false" customHeight="false" outlineLevel="2" collapsed="false">
      <c r="A167" s="35" t="n">
        <v>2</v>
      </c>
      <c r="B167" s="36" t="s">
        <v>474</v>
      </c>
      <c r="C167" s="37" t="s">
        <v>322</v>
      </c>
      <c r="D167" s="36" t="s">
        <v>32</v>
      </c>
      <c r="E167" s="36" t="str">
        <f aca="false">INDEX(REF_DATO,MATCH(D167,REF_ID,0))</f>
        <v>PVC rígido, vinilo y papeles de identificación</v>
      </c>
      <c r="F167" s="38" t="n">
        <v>1</v>
      </c>
      <c r="G167" s="35" t="s">
        <v>264</v>
      </c>
      <c r="H167" s="39" t="n">
        <f aca="false">INDEX(REF_VAL,MATCH(D167,REF_ID,0))</f>
        <v>1.4</v>
      </c>
      <c r="I167" s="40" t="n">
        <f aca="false">F167*J167</f>
        <v>0.000635849256198345</v>
      </c>
      <c r="J167" s="40" t="n">
        <v>0.000635849256198345</v>
      </c>
      <c r="K167" s="40" t="n">
        <f aca="false">I167*(1-V167)</f>
        <v>0.000635849256198345</v>
      </c>
      <c r="L167" s="40" t="n">
        <f aca="false">I167*(1+V167)</f>
        <v>0.000635849256198345</v>
      </c>
      <c r="M167" s="40" t="n">
        <f aca="false">F167*N167</f>
        <v>0.000890188958677683</v>
      </c>
      <c r="N167" s="40" t="n">
        <f aca="false">J167*H167</f>
        <v>0.000890188958677683</v>
      </c>
      <c r="O167" s="40" t="n">
        <f aca="false">K167*Q167</f>
        <v>0.000858396495867766</v>
      </c>
      <c r="P167" s="40" t="n">
        <f aca="false">L167*R167</f>
        <v>0.0009219814214876</v>
      </c>
      <c r="Q167" s="39" t="n">
        <f aca="false">INDEX(REF_MIN,MATCH(D167,REF_ID,0))</f>
        <v>1.35</v>
      </c>
      <c r="R167" s="39" t="n">
        <f aca="false">INDEX(REF_MAX,MATCH(D167,REF_ID,0))</f>
        <v>1.45</v>
      </c>
      <c r="S167" s="41" t="n">
        <v>0.429424066115703</v>
      </c>
      <c r="T167" s="42" t="n">
        <f aca="false">200*J167/S167</f>
        <v>0.29614048506868</v>
      </c>
      <c r="U167" s="43" t="n">
        <f aca="false">IFERROR(INDEX(ISO_TOL,MATCH(T167,ISO_DESDE,1)),0)</f>
        <v>0</v>
      </c>
      <c r="V167" s="44" t="n">
        <f aca="false">IF(T167&gt;0,U167/T167,0)</f>
        <v>0</v>
      </c>
    </row>
    <row r="168" customFormat="false" ht="15" hidden="false" customHeight="false" outlineLevel="2" collapsed="false">
      <c r="A168" s="35" t="n">
        <v>2</v>
      </c>
      <c r="B168" s="36" t="s">
        <v>475</v>
      </c>
      <c r="C168" s="37" t="s">
        <v>324</v>
      </c>
      <c r="D168" s="36" t="s">
        <v>32</v>
      </c>
      <c r="E168" s="36" t="str">
        <f aca="false">INDEX(REF_DATO,MATCH(D168,REF_ID,0))</f>
        <v>PVC rígido, vinilo y papeles de identificación</v>
      </c>
      <c r="F168" s="38" t="n">
        <v>1</v>
      </c>
      <c r="G168" s="35" t="s">
        <v>264</v>
      </c>
      <c r="H168" s="39" t="n">
        <f aca="false">INDEX(REF_VAL,MATCH(D168,REF_ID,0))</f>
        <v>1.4</v>
      </c>
      <c r="I168" s="40" t="n">
        <f aca="false">F168*J168</f>
        <v>0.000721190082644636</v>
      </c>
      <c r="J168" s="40" t="n">
        <v>0.000721190082644636</v>
      </c>
      <c r="K168" s="40" t="n">
        <f aca="false">I168*(1-V168)</f>
        <v>0.000721190082644636</v>
      </c>
      <c r="L168" s="40" t="n">
        <f aca="false">I168*(1+V168)</f>
        <v>0.000721190082644636</v>
      </c>
      <c r="M168" s="40" t="n">
        <f aca="false">F168*N168</f>
        <v>0.00100966611570249</v>
      </c>
      <c r="N168" s="40" t="n">
        <f aca="false">J168*H168</f>
        <v>0.00100966611570249</v>
      </c>
      <c r="O168" s="40" t="n">
        <f aca="false">K168*Q168</f>
        <v>0.000973606611570259</v>
      </c>
      <c r="P168" s="40" t="n">
        <f aca="false">L168*R168</f>
        <v>0.00104572561983472</v>
      </c>
      <c r="Q168" s="39" t="n">
        <f aca="false">INDEX(REF_MIN,MATCH(D168,REF_ID,0))</f>
        <v>1.35</v>
      </c>
      <c r="R168" s="39" t="n">
        <f aca="false">INDEX(REF_MAX,MATCH(D168,REF_ID,0))</f>
        <v>1.45</v>
      </c>
      <c r="S168" s="41" t="n">
        <v>0.486799338842976</v>
      </c>
      <c r="T168" s="42" t="n">
        <f aca="false">200*J168/S168</f>
        <v>0.296298710823544</v>
      </c>
      <c r="U168" s="43" t="n">
        <f aca="false">IFERROR(INDEX(ISO_TOL,MATCH(T168,ISO_DESDE,1)),0)</f>
        <v>0</v>
      </c>
      <c r="V168" s="44" t="n">
        <f aca="false">IF(T168&gt;0,U168/T168,0)</f>
        <v>0</v>
      </c>
    </row>
    <row r="169" customFormat="false" ht="15" hidden="false" customHeight="false" outlineLevel="2" collapsed="false">
      <c r="A169" s="35" t="n">
        <v>2</v>
      </c>
      <c r="B169" s="36" t="s">
        <v>476</v>
      </c>
      <c r="C169" s="37" t="s">
        <v>384</v>
      </c>
      <c r="D169" s="36" t="s">
        <v>32</v>
      </c>
      <c r="E169" s="36" t="str">
        <f aca="false">INDEX(REF_DATO,MATCH(D169,REF_ID,0))</f>
        <v>PVC rígido, vinilo y papeles de identificación</v>
      </c>
      <c r="F169" s="38" t="n">
        <v>1</v>
      </c>
      <c r="G169" s="35" t="s">
        <v>264</v>
      </c>
      <c r="H169" s="39" t="n">
        <f aca="false">INDEX(REF_VAL,MATCH(D169,REF_ID,0))</f>
        <v>1.4</v>
      </c>
      <c r="I169" s="40" t="n">
        <f aca="false">F169*J169</f>
        <v>0.00231381818181813</v>
      </c>
      <c r="J169" s="40" t="n">
        <v>0.00231381818181813</v>
      </c>
      <c r="K169" s="40" t="n">
        <f aca="false">I169*(1-V169)</f>
        <v>0.00231381818181813</v>
      </c>
      <c r="L169" s="40" t="n">
        <f aca="false">I169*(1+V169)</f>
        <v>0.00231381818181813</v>
      </c>
      <c r="M169" s="40" t="n">
        <f aca="false">F169*N169</f>
        <v>0.00323934545454539</v>
      </c>
      <c r="N169" s="40" t="n">
        <f aca="false">J169*H169</f>
        <v>0.00323934545454539</v>
      </c>
      <c r="O169" s="40" t="n">
        <f aca="false">K169*Q169</f>
        <v>0.00312365454545448</v>
      </c>
      <c r="P169" s="40" t="n">
        <f aca="false">L169*R169</f>
        <v>0.00335503636363629</v>
      </c>
      <c r="Q169" s="39" t="n">
        <f aca="false">INDEX(REF_MIN,MATCH(D169,REF_ID,0))</f>
        <v>1.35</v>
      </c>
      <c r="R169" s="39" t="n">
        <f aca="false">INDEX(REF_MAX,MATCH(D169,REF_ID,0))</f>
        <v>1.45</v>
      </c>
      <c r="S169" s="41" t="n">
        <v>1.55425933884298</v>
      </c>
      <c r="T169" s="42" t="n">
        <f aca="false">200*J169/S169</f>
        <v>0.297739009699705</v>
      </c>
      <c r="U169" s="43" t="n">
        <f aca="false">IFERROR(INDEX(ISO_TOL,MATCH(T169,ISO_DESDE,1)),0)</f>
        <v>0</v>
      </c>
      <c r="V169" s="44" t="n">
        <f aca="false">IF(T169&gt;0,U169/T169,0)</f>
        <v>0</v>
      </c>
    </row>
    <row r="170" customFormat="false" ht="15" hidden="false" customHeight="false" outlineLevel="2" collapsed="false">
      <c r="A170" s="35" t="n">
        <v>2</v>
      </c>
      <c r="B170" s="36" t="s">
        <v>477</v>
      </c>
      <c r="C170" s="37" t="s">
        <v>326</v>
      </c>
      <c r="D170" s="36" t="s">
        <v>32</v>
      </c>
      <c r="E170" s="36" t="str">
        <f aca="false">INDEX(REF_DATO,MATCH(D170,REF_ID,0))</f>
        <v>PVC rígido, vinilo y papeles de identificación</v>
      </c>
      <c r="F170" s="38" t="n">
        <v>1</v>
      </c>
      <c r="G170" s="35" t="s">
        <v>264</v>
      </c>
      <c r="H170" s="39" t="n">
        <f aca="false">INDEX(REF_VAL,MATCH(D170,REF_ID,0))</f>
        <v>1.4</v>
      </c>
      <c r="I170" s="40" t="n">
        <f aca="false">F170*J170</f>
        <v>0.000338057851239653</v>
      </c>
      <c r="J170" s="40" t="n">
        <v>0.000338057851239653</v>
      </c>
      <c r="K170" s="40" t="n">
        <f aca="false">I170*(1-V170)</f>
        <v>0.000338057851239653</v>
      </c>
      <c r="L170" s="40" t="n">
        <f aca="false">I170*(1+V170)</f>
        <v>0.000338057851239653</v>
      </c>
      <c r="M170" s="40" t="n">
        <f aca="false">F170*N170</f>
        <v>0.000473280991735514</v>
      </c>
      <c r="N170" s="40" t="n">
        <f aca="false">J170*H170</f>
        <v>0.000473280991735514</v>
      </c>
      <c r="O170" s="40" t="n">
        <f aca="false">K170*Q170</f>
        <v>0.000456378099173531</v>
      </c>
      <c r="P170" s="40" t="n">
        <f aca="false">L170*R170</f>
        <v>0.000490183884297497</v>
      </c>
      <c r="Q170" s="39" t="n">
        <f aca="false">INDEX(REF_MIN,MATCH(D170,REF_ID,0))</f>
        <v>1.35</v>
      </c>
      <c r="R170" s="39" t="n">
        <f aca="false">INDEX(REF_MAX,MATCH(D170,REF_ID,0))</f>
        <v>1.45</v>
      </c>
      <c r="S170" s="41" t="n">
        <v>0.229576363636363</v>
      </c>
      <c r="T170" s="42" t="n">
        <f aca="false">200*J170/S170</f>
        <v>0.294505798319132</v>
      </c>
      <c r="U170" s="43" t="n">
        <f aca="false">IFERROR(INDEX(ISO_TOL,MATCH(T170,ISO_DESDE,1)),0)</f>
        <v>0</v>
      </c>
      <c r="V170" s="44" t="n">
        <f aca="false">IF(T170&gt;0,U170/T170,0)</f>
        <v>0</v>
      </c>
    </row>
    <row r="171" customFormat="false" ht="15" hidden="false" customHeight="false" outlineLevel="2" collapsed="false">
      <c r="A171" s="35" t="n">
        <v>2</v>
      </c>
      <c r="B171" s="36" t="s">
        <v>478</v>
      </c>
      <c r="C171" s="37" t="s">
        <v>328</v>
      </c>
      <c r="D171" s="36" t="s">
        <v>32</v>
      </c>
      <c r="E171" s="36" t="str">
        <f aca="false">INDEX(REF_DATO,MATCH(D171,REF_ID,0))</f>
        <v>PVC rígido, vinilo y papeles de identificación</v>
      </c>
      <c r="F171" s="38" t="n">
        <v>1</v>
      </c>
      <c r="G171" s="35" t="s">
        <v>264</v>
      </c>
      <c r="H171" s="39" t="n">
        <f aca="false">INDEX(REF_VAL,MATCH(D171,REF_ID,0))</f>
        <v>1.4</v>
      </c>
      <c r="I171" s="40" t="n">
        <f aca="false">F171*J171</f>
        <v>9.85216951393564E-005</v>
      </c>
      <c r="J171" s="40" t="n">
        <v>9.85216951393564E-005</v>
      </c>
      <c r="K171" s="40" t="n">
        <f aca="false">I171*(1-V171)</f>
        <v>9.85216951393564E-005</v>
      </c>
      <c r="L171" s="40" t="n">
        <f aca="false">I171*(1+V171)</f>
        <v>9.85216951393564E-005</v>
      </c>
      <c r="M171" s="40" t="n">
        <f aca="false">F171*N171</f>
        <v>0.000137930373195099</v>
      </c>
      <c r="N171" s="40" t="n">
        <f aca="false">J171*H171</f>
        <v>0.000137930373195099</v>
      </c>
      <c r="O171" s="40" t="n">
        <f aca="false">K171*Q171</f>
        <v>0.000133004288438131</v>
      </c>
      <c r="P171" s="40" t="n">
        <f aca="false">L171*R171</f>
        <v>0.000142856457952067</v>
      </c>
      <c r="Q171" s="39" t="n">
        <f aca="false">INDEX(REF_MIN,MATCH(D171,REF_ID,0))</f>
        <v>1.35</v>
      </c>
      <c r="R171" s="39" t="n">
        <f aca="false">INDEX(REF_MAX,MATCH(D171,REF_ID,0))</f>
        <v>1.45</v>
      </c>
      <c r="S171" s="41" t="n">
        <v>0.100297301798228</v>
      </c>
      <c r="T171" s="42" t="n">
        <f aca="false">200*J171/S171</f>
        <v>0.19645931320776</v>
      </c>
      <c r="U171" s="43" t="n">
        <f aca="false">IFERROR(INDEX(ISO_TOL,MATCH(T171,ISO_DESDE,1)),0)</f>
        <v>0</v>
      </c>
      <c r="V171" s="44" t="n">
        <f aca="false">IF(T171&gt;0,U171/T171,0)</f>
        <v>0</v>
      </c>
    </row>
    <row r="172" customFormat="false" ht="15" hidden="false" customHeight="false" outlineLevel="2" collapsed="false">
      <c r="A172" s="35" t="n">
        <v>2</v>
      </c>
      <c r="B172" s="36" t="s">
        <v>479</v>
      </c>
      <c r="C172" s="37" t="s">
        <v>330</v>
      </c>
      <c r="D172" s="36" t="s">
        <v>26</v>
      </c>
      <c r="E172" s="36" t="str">
        <f aca="false">INDEX(REF_DATO,MATCH(D172,REF_ID,0))</f>
        <v>Polipropileno</v>
      </c>
      <c r="F172" s="38" t="n">
        <v>1</v>
      </c>
      <c r="G172" s="35" t="s">
        <v>264</v>
      </c>
      <c r="H172" s="39" t="n">
        <f aca="false">INDEX(REF_VAL,MATCH(D172,REF_ID,0))</f>
        <v>0.9</v>
      </c>
      <c r="I172" s="40" t="n">
        <f aca="false">F172*J172</f>
        <v>0.000196349540849362</v>
      </c>
      <c r="J172" s="40" t="n">
        <v>0.000196349540849362</v>
      </c>
      <c r="K172" s="40" t="n">
        <f aca="false">I172*(1-V172)</f>
        <v>0.000186532063806894</v>
      </c>
      <c r="L172" s="40" t="n">
        <f aca="false">I172*(1+V172)</f>
        <v>0.00020616701789183</v>
      </c>
      <c r="M172" s="40" t="n">
        <f aca="false">F172*N172</f>
        <v>0.000176714586764426</v>
      </c>
      <c r="N172" s="40" t="n">
        <f aca="false">J172*H172</f>
        <v>0.000176714586764426</v>
      </c>
      <c r="O172" s="40" t="n">
        <f aca="false">K172*Q172</f>
        <v>0.000167878857426205</v>
      </c>
      <c r="P172" s="40" t="n">
        <f aca="false">L172*R172</f>
        <v>0.000187611986281566</v>
      </c>
      <c r="Q172" s="39" t="n">
        <f aca="false">INDEX(REF_MIN,MATCH(D172,REF_ID,0))</f>
        <v>0.9</v>
      </c>
      <c r="R172" s="39" t="n">
        <f aca="false">INDEX(REF_MAX,MATCH(D172,REF_ID,0))</f>
        <v>0.91</v>
      </c>
      <c r="S172" s="41" t="n">
        <v>0.0196349540849362</v>
      </c>
      <c r="T172" s="42" t="n">
        <f aca="false">200*J172/S172</f>
        <v>2</v>
      </c>
      <c r="U172" s="43" t="n">
        <f aca="false">IFERROR(INDEX(ISO_TOL,MATCH(T172,ISO_DESDE,1)),0)</f>
        <v>0.1</v>
      </c>
      <c r="V172" s="44" t="n">
        <f aca="false">IF(T172&gt;0,U172/T172,0)</f>
        <v>0.05</v>
      </c>
    </row>
    <row r="173" customFormat="false" ht="15" hidden="false" customHeight="false" outlineLevel="1" collapsed="false">
      <c r="A173" s="25" t="n">
        <v>1</v>
      </c>
      <c r="B173" s="26" t="s">
        <v>480</v>
      </c>
      <c r="C173" s="27" t="s">
        <v>332</v>
      </c>
      <c r="D173" s="26"/>
      <c r="E173" s="26"/>
      <c r="F173" s="28" t="n">
        <v>1</v>
      </c>
      <c r="G173" s="25" t="s">
        <v>264</v>
      </c>
      <c r="H173" s="29"/>
      <c r="I173" s="30"/>
      <c r="J173" s="30"/>
      <c r="K173" s="30"/>
      <c r="L173" s="30"/>
      <c r="M173" s="30" t="n">
        <f aca="false">IF(SUMIF(A174:A175,2,M174:M175)=0,"",SUMIF(A174:A175,2,M174:M175))</f>
        <v>0.319053381168636</v>
      </c>
      <c r="N173" s="30"/>
      <c r="O173" s="30" t="n">
        <f aca="false">IF(SUMIF(A174:A175,2,O174:O175)=0,"",SUMIF(A174:A175,2,O174:O175))</f>
        <v>0.302469161724327</v>
      </c>
      <c r="P173" s="30" t="n">
        <f aca="false">IF(SUMIF(A174:A175,2,P174:P175)=0,"",SUMIF(A174:A175,2,P174:P175))</f>
        <v>0.335637600612946</v>
      </c>
      <c r="Q173" s="29"/>
      <c r="R173" s="29"/>
      <c r="S173" s="31"/>
      <c r="T173" s="32"/>
      <c r="U173" s="33"/>
      <c r="V173" s="34"/>
    </row>
    <row r="174" customFormat="false" ht="15" hidden="false" customHeight="false" outlineLevel="2" collapsed="false">
      <c r="A174" s="35" t="n">
        <v>2</v>
      </c>
      <c r="B174" s="36" t="s">
        <v>481</v>
      </c>
      <c r="C174" s="37" t="s">
        <v>390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0.0406437428240301</v>
      </c>
      <c r="J174" s="40" t="n">
        <v>0.0406437428240301</v>
      </c>
      <c r="K174" s="40" t="n">
        <f aca="false">I174*(1-V174)</f>
        <v>0.0385311034043728</v>
      </c>
      <c r="L174" s="40" t="n">
        <f aca="false">I174*(1+V174)</f>
        <v>0.0427563822436874</v>
      </c>
      <c r="M174" s="40" t="n">
        <f aca="false">F174*N174</f>
        <v>0.319053381168636</v>
      </c>
      <c r="N174" s="40" t="n">
        <f aca="false">J174*H174</f>
        <v>0.319053381168636</v>
      </c>
      <c r="O174" s="40" t="n">
        <f aca="false">K174*Q174</f>
        <v>0.302469161724327</v>
      </c>
      <c r="P174" s="40" t="n">
        <f aca="false">L174*R174</f>
        <v>0.335637600612946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4.22527883931454</v>
      </c>
      <c r="T174" s="42" t="n">
        <f aca="false">200*J174/S174</f>
        <v>1.92383718896165</v>
      </c>
      <c r="U174" s="43" t="n">
        <f aca="false">IFERROR(INDEX(ISO_TOL,MATCH(T174,ISO_DESDE,1)),0)</f>
        <v>0.1</v>
      </c>
      <c r="V174" s="44" t="n">
        <f aca="false">IF(T174&gt;0,U174/T174,0)</f>
        <v>0.051979450534467</v>
      </c>
    </row>
    <row r="175" customFormat="false" ht="15" hidden="false" customHeight="false" outlineLevel="2" collapsed="false">
      <c r="A175" s="35" t="n">
        <v>2</v>
      </c>
      <c r="B175" s="36" t="s">
        <v>482</v>
      </c>
      <c r="C175" s="37" t="s">
        <v>392</v>
      </c>
      <c r="D175" s="36"/>
      <c r="E175" s="36"/>
      <c r="F175" s="38" t="n">
        <v>2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1" collapsed="false">
      <c r="A176" s="25" t="n">
        <v>1</v>
      </c>
      <c r="B176" s="26" t="s">
        <v>483</v>
      </c>
      <c r="C176" s="27" t="s">
        <v>336</v>
      </c>
      <c r="D176" s="26"/>
      <c r="E176" s="26"/>
      <c r="F176" s="28" t="n">
        <v>1</v>
      </c>
      <c r="G176" s="25" t="s">
        <v>264</v>
      </c>
      <c r="H176" s="29"/>
      <c r="I176" s="30"/>
      <c r="J176" s="30"/>
      <c r="K176" s="30"/>
      <c r="L176" s="30"/>
      <c r="M176" s="30" t="str">
        <f aca="false">IF(SUMIF(A177:A180,2,M177:M180)=0,"",SUMIF(A177:A180,2,M177:M180))</f>
        <v/>
      </c>
      <c r="N176" s="30"/>
      <c r="O176" s="30" t="str">
        <f aca="false">IF(SUMIF(A177:A180,2,O177:O180)=0,"",SUMIF(A177:A180,2,O177:O180))</f>
        <v/>
      </c>
      <c r="P176" s="30" t="str">
        <f aca="false">IF(SUMIF(A177:A180,2,P177:P180)=0,"",SUMIF(A177:A180,2,P177:P180))</f>
        <v/>
      </c>
      <c r="Q176" s="29"/>
      <c r="R176" s="29"/>
      <c r="S176" s="31"/>
      <c r="T176" s="32"/>
      <c r="U176" s="33"/>
      <c r="V176" s="34"/>
    </row>
    <row r="177" customFormat="false" ht="15" hidden="false" customHeight="false" outlineLevel="2" collapsed="false">
      <c r="A177" s="35" t="n">
        <v>2</v>
      </c>
      <c r="B177" s="36" t="s">
        <v>484</v>
      </c>
      <c r="C177" s="37" t="s">
        <v>338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485</v>
      </c>
      <c r="C178" s="37" t="s">
        <v>340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486</v>
      </c>
      <c r="C179" s="37" t="s">
        <v>342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487</v>
      </c>
      <c r="C180" s="37" t="s">
        <v>344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0" collapsed="false">
      <c r="A181" s="16" t="n">
        <v>0</v>
      </c>
      <c r="B181" s="17" t="s">
        <v>235</v>
      </c>
      <c r="C181" s="17" t="s">
        <v>236</v>
      </c>
      <c r="D181" s="17"/>
      <c r="E181" s="17"/>
      <c r="F181" s="18" t="n">
        <v>1</v>
      </c>
      <c r="G181" s="16" t="s">
        <v>264</v>
      </c>
      <c r="H181" s="19"/>
      <c r="I181" s="20"/>
      <c r="J181" s="20"/>
      <c r="K181" s="20"/>
      <c r="L181" s="20"/>
      <c r="M181" s="20" t="n">
        <f aca="false">IF(SUMIF(A182:A235,1,M182:M235)=0,"",SUMIF(A182:A235,1,M182:M235))</f>
        <v>56.48069960114</v>
      </c>
      <c r="N181" s="20"/>
      <c r="O181" s="20" t="n">
        <f aca="false">IF(SUMIF(A182:A235,1,O182:O235)=0,"",SUMIF(A182:A235,1,O182:O235))</f>
        <v>54.2731919870444</v>
      </c>
      <c r="P181" s="20" t="n">
        <f aca="false">IF(SUMIF(A182:A235,1,P182:P235)=0,"",SUMIF(A182:A235,1,P182:P235))</f>
        <v>58.705416652326</v>
      </c>
      <c r="Q181" s="19"/>
      <c r="R181" s="19"/>
      <c r="S181" s="21"/>
      <c r="T181" s="22"/>
      <c r="U181" s="23"/>
      <c r="V181" s="24"/>
    </row>
    <row r="182" customFormat="false" ht="15" hidden="false" customHeight="false" outlineLevel="1" collapsed="false">
      <c r="A182" s="25" t="n">
        <v>1</v>
      </c>
      <c r="B182" s="26" t="s">
        <v>488</v>
      </c>
      <c r="C182" s="27" t="s">
        <v>266</v>
      </c>
      <c r="D182" s="26"/>
      <c r="E182" s="26"/>
      <c r="F182" s="28" t="n">
        <v>1</v>
      </c>
      <c r="G182" s="25" t="s">
        <v>264</v>
      </c>
      <c r="H182" s="29"/>
      <c r="I182" s="30"/>
      <c r="J182" s="30"/>
      <c r="K182" s="30"/>
      <c r="L182" s="30"/>
      <c r="M182" s="30" t="n">
        <f aca="false">IF(SUMIF(A183:A186,2,M183:M186)=0,"",SUMIF(A183:A186,2,M183:M186))</f>
        <v>15.5961158516687</v>
      </c>
      <c r="N182" s="30"/>
      <c r="O182" s="30" t="n">
        <f aca="false">IF(SUMIF(A183:A186,2,O183:O186)=0,"",SUMIF(A183:A186,2,O183:O186))</f>
        <v>15.1012198395563</v>
      </c>
      <c r="P182" s="30" t="n">
        <f aca="false">IF(SUMIF(A183:A186,2,P183:P186)=0,"",SUMIF(A183:A186,2,P183:P186))</f>
        <v>16.0910118637812</v>
      </c>
      <c r="Q182" s="29"/>
      <c r="R182" s="29"/>
      <c r="S182" s="31"/>
      <c r="T182" s="32"/>
      <c r="U182" s="33"/>
      <c r="V182" s="34"/>
    </row>
    <row r="183" customFormat="false" ht="15" hidden="false" customHeight="false" outlineLevel="2" collapsed="false">
      <c r="A183" s="35" t="n">
        <v>2</v>
      </c>
      <c r="B183" s="36" t="s">
        <v>489</v>
      </c>
      <c r="C183" s="37" t="s">
        <v>268</v>
      </c>
      <c r="D183" s="36" t="s">
        <v>10</v>
      </c>
      <c r="E183" s="36" t="str">
        <f aca="false">INDEX(REF_DATO,MATCH(D183,REF_ID,0))</f>
        <v>Acero (chapa LAC/LAF, SAE 1010/1045)</v>
      </c>
      <c r="F183" s="38" t="n">
        <v>1</v>
      </c>
      <c r="G183" s="35" t="s">
        <v>264</v>
      </c>
      <c r="H183" s="39" t="n">
        <f aca="false">INDEX(REF_VAL,MATCH(D183,REF_ID,0))</f>
        <v>7.85</v>
      </c>
      <c r="I183" s="40" t="n">
        <f aca="false">F183*J183</f>
        <v>1.35452305666387</v>
      </c>
      <c r="J183" s="40" t="n">
        <v>1.35452305666387</v>
      </c>
      <c r="K183" s="40" t="n">
        <f aca="false">I183*(1-V183)</f>
        <v>1.31191946001601</v>
      </c>
      <c r="L183" s="40" t="n">
        <f aca="false">I183*(1+V183)</f>
        <v>1.39712665331173</v>
      </c>
      <c r="M183" s="40" t="n">
        <f aca="false">F183*N183</f>
        <v>10.6330059948114</v>
      </c>
      <c r="N183" s="40" t="n">
        <f aca="false">J183*H183</f>
        <v>10.6330059948114</v>
      </c>
      <c r="O183" s="40" t="n">
        <f aca="false">K183*Q183</f>
        <v>10.2985677611257</v>
      </c>
      <c r="P183" s="40" t="n">
        <f aca="false">L183*R183</f>
        <v>10.9674442284971</v>
      </c>
      <c r="Q183" s="39" t="n">
        <f aca="false">INDEX(REF_MIN,MATCH(D183,REF_ID,0))</f>
        <v>7.85</v>
      </c>
      <c r="R183" s="39" t="n">
        <f aca="false">INDEX(REF_MAX,MATCH(D183,REF_ID,0))</f>
        <v>7.85</v>
      </c>
      <c r="S183" s="41" t="n">
        <v>85.2071932957173</v>
      </c>
      <c r="T183" s="42" t="n">
        <f aca="false">200*J183/S183</f>
        <v>3.1793631600161</v>
      </c>
      <c r="U183" s="43" t="n">
        <f aca="false">IFERROR(INDEX(ISO_TOL,MATCH(T183,ISO_DESDE,1)),0)</f>
        <v>0.1</v>
      </c>
      <c r="V183" s="44" t="n">
        <f aca="false">IF(T183&gt;0,U183/T183,0)</f>
        <v>0.0314528397565925</v>
      </c>
    </row>
    <row r="184" customFormat="false" ht="15" hidden="false" customHeight="false" outlineLevel="2" collapsed="false">
      <c r="A184" s="35" t="n">
        <v>2</v>
      </c>
      <c r="B184" s="36" t="s">
        <v>490</v>
      </c>
      <c r="C184" s="37" t="s">
        <v>270</v>
      </c>
      <c r="D184" s="36" t="s">
        <v>10</v>
      </c>
      <c r="E184" s="36" t="str">
        <f aca="false">INDEX(REF_DATO,MATCH(D184,REF_ID,0))</f>
        <v>Acero (chapa LAC/LAF, SAE 1010/1045)</v>
      </c>
      <c r="F184" s="38" t="n">
        <v>1</v>
      </c>
      <c r="G184" s="35" t="s">
        <v>264</v>
      </c>
      <c r="H184" s="39" t="n">
        <f aca="false">INDEX(REF_VAL,MATCH(D184,REF_ID,0))</f>
        <v>7.85</v>
      </c>
      <c r="I184" s="40" t="n">
        <f aca="false">F184*J184</f>
        <v>0.304107883242238</v>
      </c>
      <c r="J184" s="40" t="n">
        <v>0.304107883242238</v>
      </c>
      <c r="K184" s="40" t="n">
        <f aca="false">I184*(1-V184)</f>
        <v>0.294150961436217</v>
      </c>
      <c r="L184" s="40" t="n">
        <f aca="false">I184*(1+V184)</f>
        <v>0.314064805048259</v>
      </c>
      <c r="M184" s="40" t="n">
        <f aca="false">F184*N184</f>
        <v>2.38724688345157</v>
      </c>
      <c r="N184" s="40" t="n">
        <f aca="false">J184*H184</f>
        <v>2.38724688345157</v>
      </c>
      <c r="O184" s="40" t="n">
        <f aca="false">K184*Q184</f>
        <v>2.3090850472743</v>
      </c>
      <c r="P184" s="40" t="n">
        <f aca="false">L184*R184</f>
        <v>2.46540871962883</v>
      </c>
      <c r="Q184" s="39" t="n">
        <f aca="false">INDEX(REF_MIN,MATCH(D184,REF_ID,0))</f>
        <v>7.85</v>
      </c>
      <c r="R184" s="39" t="n">
        <f aca="false">INDEX(REF_MAX,MATCH(D184,REF_ID,0))</f>
        <v>7.85</v>
      </c>
      <c r="S184" s="41" t="n">
        <v>19.9138436120424</v>
      </c>
      <c r="T184" s="42" t="n">
        <f aca="false">200*J184/S184</f>
        <v>3.0542359292039</v>
      </c>
      <c r="U184" s="43" t="n">
        <f aca="false">IFERROR(INDEX(ISO_TOL,MATCH(T184,ISO_DESDE,1)),0)</f>
        <v>0.1</v>
      </c>
      <c r="V184" s="44" t="n">
        <f aca="false">IF(T184&gt;0,U184/T184,0)</f>
        <v>0.0327414130139139</v>
      </c>
    </row>
    <row r="185" customFormat="false" ht="15" hidden="false" customHeight="false" outlineLevel="2" collapsed="false">
      <c r="A185" s="35" t="n">
        <v>2</v>
      </c>
      <c r="B185" s="36" t="s">
        <v>491</v>
      </c>
      <c r="C185" s="37" t="s">
        <v>272</v>
      </c>
      <c r="D185" s="36" t="s">
        <v>10</v>
      </c>
      <c r="E185" s="36" t="str">
        <f aca="false">INDEX(REF_DATO,MATCH(D185,REF_ID,0))</f>
        <v>Acero (chapa LAC/LAF, SAE 1010/1045)</v>
      </c>
      <c r="F185" s="38" t="n">
        <v>1</v>
      </c>
      <c r="G185" s="35" t="s">
        <v>264</v>
      </c>
      <c r="H185" s="39" t="n">
        <f aca="false">INDEX(REF_VAL,MATCH(D185,REF_ID,0))</f>
        <v>7.85</v>
      </c>
      <c r="I185" s="40" t="n">
        <f aca="false">F185*J185</f>
        <v>0.311246262887546</v>
      </c>
      <c r="J185" s="40" t="n">
        <v>0.311246262887546</v>
      </c>
      <c r="K185" s="40" t="n">
        <f aca="false">I185*(1-V185)</f>
        <v>0.301208274408581</v>
      </c>
      <c r="L185" s="40" t="n">
        <f aca="false">I185*(1+V185)</f>
        <v>0.321284251366512</v>
      </c>
      <c r="M185" s="40" t="n">
        <f aca="false">F185*N185</f>
        <v>2.44328316366724</v>
      </c>
      <c r="N185" s="40" t="n">
        <f aca="false">J185*H185</f>
        <v>2.44328316366724</v>
      </c>
      <c r="O185" s="40" t="n">
        <f aca="false">K185*Q185</f>
        <v>2.36448495410736</v>
      </c>
      <c r="P185" s="40" t="n">
        <f aca="false">L185*R185</f>
        <v>2.52208137322712</v>
      </c>
      <c r="Q185" s="39" t="n">
        <f aca="false">INDEX(REF_MIN,MATCH(D185,REF_ID,0))</f>
        <v>7.85</v>
      </c>
      <c r="R185" s="39" t="n">
        <f aca="false">INDEX(REF_MAX,MATCH(D185,REF_ID,0))</f>
        <v>7.85</v>
      </c>
      <c r="S185" s="41" t="n">
        <v>20.0759769579315</v>
      </c>
      <c r="T185" s="42" t="n">
        <f aca="false">200*J185/S185</f>
        <v>3.1006836034904</v>
      </c>
      <c r="U185" s="43" t="n">
        <f aca="false">IFERROR(INDEX(ISO_TOL,MATCH(T185,ISO_DESDE,1)),0)</f>
        <v>0.1</v>
      </c>
      <c r="V185" s="44" t="n">
        <f aca="false">IF(T185&gt;0,U185/T185,0)</f>
        <v>0.0322509526245861</v>
      </c>
    </row>
    <row r="186" customFormat="false" ht="15" hidden="false" customHeight="false" outlineLevel="2" collapsed="false">
      <c r="A186" s="35" t="n">
        <v>2</v>
      </c>
      <c r="B186" s="36" t="s">
        <v>492</v>
      </c>
      <c r="C186" s="37" t="s">
        <v>274</v>
      </c>
      <c r="D186" s="36" t="s">
        <v>10</v>
      </c>
      <c r="E186" s="36" t="str">
        <f aca="false">INDEX(REF_DATO,MATCH(D186,REF_ID,0))</f>
        <v>Acero (chapa LAC/LAF, SAE 1010/1045)</v>
      </c>
      <c r="F186" s="38" t="n">
        <v>1</v>
      </c>
      <c r="G186" s="35" t="s">
        <v>264</v>
      </c>
      <c r="H186" s="39" t="n">
        <f aca="false">INDEX(REF_VAL,MATCH(D186,REF_ID,0))</f>
        <v>7.85</v>
      </c>
      <c r="I186" s="40" t="n">
        <f aca="false">F186*J186</f>
        <v>0.0168891477373944</v>
      </c>
      <c r="J186" s="40" t="n">
        <v>0.0168891477373944</v>
      </c>
      <c r="K186" s="40" t="n">
        <f aca="false">I186*(1-V186)</f>
        <v>0.0164435766941267</v>
      </c>
      <c r="L186" s="40" t="n">
        <f aca="false">I186*(1+V186)</f>
        <v>0.0173347187806621</v>
      </c>
      <c r="M186" s="40" t="n">
        <f aca="false">F186*N186</f>
        <v>0.132579809738546</v>
      </c>
      <c r="N186" s="40" t="n">
        <f aca="false">J186*H186</f>
        <v>0.132579809738546</v>
      </c>
      <c r="O186" s="40" t="n">
        <f aca="false">K186*Q186</f>
        <v>0.129082077048895</v>
      </c>
      <c r="P186" s="40" t="n">
        <f aca="false">L186*R186</f>
        <v>0.136077542428198</v>
      </c>
      <c r="Q186" s="39" t="n">
        <f aca="false">INDEX(REF_MIN,MATCH(D186,REF_ID,0))</f>
        <v>7.85</v>
      </c>
      <c r="R186" s="39" t="n">
        <f aca="false">INDEX(REF_MAX,MATCH(D186,REF_ID,0))</f>
        <v>7.85</v>
      </c>
      <c r="S186" s="41" t="n">
        <v>0.891142086535391</v>
      </c>
      <c r="T186" s="42" t="n">
        <f aca="false">200*J186/S186</f>
        <v>3.79045002869443</v>
      </c>
      <c r="U186" s="43" t="n">
        <f aca="false">IFERROR(INDEX(ISO_TOL,MATCH(T186,ISO_DESDE,1)),0)</f>
        <v>0.1</v>
      </c>
      <c r="V186" s="44" t="n">
        <f aca="false">IF(T186&gt;0,U186/T186,0)</f>
        <v>0.0263820916363442</v>
      </c>
    </row>
    <row r="187" customFormat="false" ht="15" hidden="false" customHeight="false" outlineLevel="1" collapsed="false">
      <c r="A187" s="25" t="n">
        <v>1</v>
      </c>
      <c r="B187" s="26" t="s">
        <v>493</v>
      </c>
      <c r="C187" s="27" t="s">
        <v>276</v>
      </c>
      <c r="D187" s="26"/>
      <c r="E187" s="26"/>
      <c r="F187" s="28" t="n">
        <v>1</v>
      </c>
      <c r="G187" s="25" t="s">
        <v>264</v>
      </c>
      <c r="H187" s="29"/>
      <c r="I187" s="30"/>
      <c r="J187" s="30"/>
      <c r="K187" s="30"/>
      <c r="L187" s="30"/>
      <c r="M187" s="30" t="n">
        <f aca="false">IF(SUMIF(A188:A202,2,M188:M202)=0,"",SUMIF(A188:A202,2,M188:M202))</f>
        <v>1.2389842062398</v>
      </c>
      <c r="N187" s="30"/>
      <c r="O187" s="30" t="n">
        <f aca="false">IF(SUMIF(A188:A202,2,O188:O202)=0,"",SUMIF(A188:A202,2,O188:O202))</f>
        <v>1.18003260314094</v>
      </c>
      <c r="P187" s="30" t="n">
        <f aca="false">IF(SUMIF(A188:A202,2,P188:P202)=0,"",SUMIF(A188:A202,2,P188:P202))</f>
        <v>1.29799524075265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494</v>
      </c>
      <c r="C188" s="37" t="s">
        <v>278</v>
      </c>
      <c r="D188" s="36"/>
      <c r="E188" s="36"/>
      <c r="F188" s="38" t="n">
        <v>1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495</v>
      </c>
      <c r="C189" s="37" t="s">
        <v>280</v>
      </c>
      <c r="D189" s="36" t="s">
        <v>23</v>
      </c>
      <c r="E189" s="36" t="str">
        <f aca="false">INDEX(REF_DATO,MATCH(D189,REF_ID,0))</f>
        <v>Caucho sintético (NBR / SBR)</v>
      </c>
      <c r="F189" s="38" t="n">
        <v>1</v>
      </c>
      <c r="G189" s="35" t="s">
        <v>264</v>
      </c>
      <c r="H189" s="39" t="n">
        <f aca="false">INDEX(REF_VAL,MATCH(D189,REF_ID,0))</f>
        <v>1.2</v>
      </c>
      <c r="I189" s="40" t="n">
        <f aca="false">F189*J189</f>
        <v>0.000842575149692783</v>
      </c>
      <c r="J189" s="40" t="n">
        <v>0.000842575149692783</v>
      </c>
      <c r="K189" s="40" t="n">
        <f aca="false">I189*(1-V189)</f>
        <v>0.000786403473046598</v>
      </c>
      <c r="L189" s="40" t="n">
        <f aca="false">I189*(1+V189)</f>
        <v>0.000898746826338969</v>
      </c>
      <c r="M189" s="40" t="n">
        <f aca="false">F189*N189</f>
        <v>0.00101109017963134</v>
      </c>
      <c r="N189" s="40" t="n">
        <f aca="false">J189*H189</f>
        <v>0.00101109017963134</v>
      </c>
      <c r="O189" s="40" t="n">
        <f aca="false">K189*Q189</f>
        <v>0.000865043820351257</v>
      </c>
      <c r="P189" s="40" t="n">
        <f aca="false">L189*R189</f>
        <v>0.00116837087424066</v>
      </c>
      <c r="Q189" s="39" t="n">
        <f aca="false">INDEX(REF_MIN,MATCH(D189,REF_ID,0))</f>
        <v>1.1</v>
      </c>
      <c r="R189" s="39" t="n">
        <f aca="false">INDEX(REF_MAX,MATCH(D189,REF_ID,0))</f>
        <v>1.3</v>
      </c>
      <c r="S189" s="41" t="n">
        <v>0.112343353292371</v>
      </c>
      <c r="T189" s="42" t="n">
        <f aca="false">200*J189/S189</f>
        <v>1.5</v>
      </c>
      <c r="U189" s="43" t="n">
        <f aca="false">IFERROR(INDEX(ISO_TOL,MATCH(T189,ISO_DESDE,1)),0)</f>
        <v>0.1</v>
      </c>
      <c r="V189" s="44" t="n">
        <f aca="false">IF(T189&gt;0,U189/T189,0)</f>
        <v>0.0666666666666666</v>
      </c>
    </row>
    <row r="190" customFormat="false" ht="15" hidden="false" customHeight="false" outlineLevel="2" collapsed="false">
      <c r="A190" s="35" t="n">
        <v>2</v>
      </c>
      <c r="B190" s="36" t="s">
        <v>496</v>
      </c>
      <c r="C190" s="37" t="s">
        <v>497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 t="n">
        <f aca="false">IF(SUMIF(A191:A202,3,M191:M202)=0,"",SUMIF(A191:A202,3,M191:M202))</f>
        <v>1.23797311606017</v>
      </c>
      <c r="N190" s="40" t="n">
        <f aca="false">IF(M190="","",M190/F190)</f>
        <v>1.23797311606017</v>
      </c>
      <c r="O190" s="40" t="n">
        <f aca="false">IF(SUMIF(A191:A202,3,O191:O202)=0,"",SUMIF(A191:A202,3,O191:O202))</f>
        <v>1.17916755932059</v>
      </c>
      <c r="P190" s="40" t="n">
        <f aca="false">IF(SUMIF(A191:A202,3,P191:P202)=0,"",SUMIF(A191:A202,3,P191:P202))</f>
        <v>1.29682686987841</v>
      </c>
      <c r="Q190" s="39"/>
      <c r="R190" s="39"/>
      <c r="S190" s="41"/>
      <c r="T190" s="42"/>
      <c r="U190" s="43"/>
      <c r="V190" s="44"/>
    </row>
    <row r="191" customFormat="false" ht="15" hidden="false" customHeight="false" outlineLevel="3" collapsed="false">
      <c r="A191" s="35" t="n">
        <v>3</v>
      </c>
      <c r="B191" s="36" t="s">
        <v>498</v>
      </c>
      <c r="C191" s="45" t="s">
        <v>284</v>
      </c>
      <c r="D191" s="36" t="s">
        <v>17</v>
      </c>
      <c r="E191" s="36" t="str">
        <f aca="false">INDEX(REF_DATO,MATCH(D191,REF_ID,0))</f>
        <v>Latón de forja (CuZn39Pb2 / C37700)</v>
      </c>
      <c r="F191" s="38" t="n">
        <v>1</v>
      </c>
      <c r="G191" s="35" t="s">
        <v>264</v>
      </c>
      <c r="H191" s="39" t="n">
        <f aca="false">INDEX(REF_VAL,MATCH(D191,REF_ID,0))</f>
        <v>8.45</v>
      </c>
      <c r="I191" s="40" t="n">
        <f aca="false">F191*J191</f>
        <v>0.00289757599381457</v>
      </c>
      <c r="J191" s="40" t="n">
        <v>0.00289757599381457</v>
      </c>
      <c r="K191" s="40" t="n">
        <f aca="false">I191*(1-V191)</f>
        <v>0.00278053562775289</v>
      </c>
      <c r="L191" s="40" t="n">
        <f aca="false">I191*(1+V191)</f>
        <v>0.00301461635987624</v>
      </c>
      <c r="M191" s="40" t="n">
        <f aca="false">F191*N191</f>
        <v>0.0244845171477331</v>
      </c>
      <c r="N191" s="40" t="n">
        <f aca="false">J191*H191</f>
        <v>0.0244845171477331</v>
      </c>
      <c r="O191" s="40" t="n">
        <f aca="false">K191*Q191</f>
        <v>0.0233564992731243</v>
      </c>
      <c r="P191" s="40" t="n">
        <f aca="false">L191*R191</f>
        <v>0.025624239058948</v>
      </c>
      <c r="Q191" s="39" t="n">
        <f aca="false">INDEX(REF_MIN,MATCH(D191,REF_ID,0))</f>
        <v>8.4</v>
      </c>
      <c r="R191" s="39" t="n">
        <f aca="false">INDEX(REF_MAX,MATCH(D191,REF_ID,0))</f>
        <v>8.5</v>
      </c>
      <c r="S191" s="41" t="n">
        <v>0.234080732123344</v>
      </c>
      <c r="T191" s="42" t="n">
        <f aca="false">200*J191/S191</f>
        <v>2.47570653725378</v>
      </c>
      <c r="U191" s="43" t="n">
        <f aca="false">IFERROR(INDEX(ISO_TOL,MATCH(T191,ISO_DESDE,1)),0)</f>
        <v>0.1</v>
      </c>
      <c r="V191" s="44" t="n">
        <f aca="false">IF(T191&gt;0,U191/T191,0)</f>
        <v>0.0403925095705918</v>
      </c>
    </row>
    <row r="192" customFormat="false" ht="15" hidden="false" customHeight="false" outlineLevel="3" collapsed="false">
      <c r="A192" s="35" t="n">
        <v>3</v>
      </c>
      <c r="B192" s="36" t="s">
        <v>499</v>
      </c>
      <c r="C192" s="45" t="s">
        <v>286</v>
      </c>
      <c r="D192" s="36" t="s">
        <v>17</v>
      </c>
      <c r="E192" s="36" t="str">
        <f aca="false">INDEX(REF_DATO,MATCH(D192,REF_ID,0))</f>
        <v>Latón de forja (CuZn39Pb2 / C37700)</v>
      </c>
      <c r="F192" s="38" t="n">
        <v>1</v>
      </c>
      <c r="G192" s="35" t="s">
        <v>264</v>
      </c>
      <c r="H192" s="39" t="n">
        <f aca="false">INDEX(REF_VAL,MATCH(D192,REF_ID,0))</f>
        <v>8.45</v>
      </c>
      <c r="I192" s="40" t="n">
        <f aca="false">F192*J192</f>
        <v>0.000622782069311974</v>
      </c>
      <c r="J192" s="40" t="n">
        <v>0.000622782069311974</v>
      </c>
      <c r="K192" s="40" t="n">
        <f aca="false">I192*(1-V192)</f>
        <v>0.000575019978783558</v>
      </c>
      <c r="L192" s="40" t="n">
        <f aca="false">I192*(1+V192)</f>
        <v>0.00067054415984039</v>
      </c>
      <c r="M192" s="40" t="n">
        <f aca="false">F192*N192</f>
        <v>0.00526250848568618</v>
      </c>
      <c r="N192" s="40" t="n">
        <f aca="false">J192*H192</f>
        <v>0.00526250848568618</v>
      </c>
      <c r="O192" s="40" t="n">
        <f aca="false">K192*Q192</f>
        <v>0.00483016782178189</v>
      </c>
      <c r="P192" s="40" t="n">
        <f aca="false">L192*R192</f>
        <v>0.00569962535864331</v>
      </c>
      <c r="Q192" s="39" t="n">
        <f aca="false">INDEX(REF_MIN,MATCH(D192,REF_ID,0))</f>
        <v>8.4</v>
      </c>
      <c r="R192" s="39" t="n">
        <f aca="false">INDEX(REF_MAX,MATCH(D192,REF_ID,0))</f>
        <v>8.5</v>
      </c>
      <c r="S192" s="41" t="n">
        <v>0.095524181056832</v>
      </c>
      <c r="T192" s="42" t="n">
        <f aca="false">200*J192/S192</f>
        <v>1.3039254823686</v>
      </c>
      <c r="U192" s="43" t="n">
        <f aca="false">IFERROR(INDEX(ISO_TOL,MATCH(T192,ISO_DESDE,1)),0)</f>
        <v>0.1</v>
      </c>
      <c r="V192" s="44" t="n">
        <f aca="false">IF(T192&gt;0,U192/T192,0)</f>
        <v>0.0766914991325645</v>
      </c>
    </row>
    <row r="193" customFormat="false" ht="15" hidden="false" customHeight="false" outlineLevel="3" collapsed="false">
      <c r="A193" s="35" t="n">
        <v>3</v>
      </c>
      <c r="B193" s="36" t="s">
        <v>500</v>
      </c>
      <c r="C193" s="45" t="s">
        <v>288</v>
      </c>
      <c r="D193" s="36" t="s">
        <v>17</v>
      </c>
      <c r="E193" s="36" t="str">
        <f aca="false">INDEX(REF_DATO,MATCH(D193,REF_ID,0))</f>
        <v>Latón de forja (CuZn39Pb2 / C37700)</v>
      </c>
      <c r="F193" s="38" t="n">
        <v>1</v>
      </c>
      <c r="G193" s="35" t="s">
        <v>264</v>
      </c>
      <c r="H193" s="39" t="n">
        <f aca="false">INDEX(REF_VAL,MATCH(D193,REF_ID,0))</f>
        <v>8.45</v>
      </c>
      <c r="I193" s="40" t="n">
        <f aca="false">F193*J193</f>
        <v>0.0157211778450514</v>
      </c>
      <c r="J193" s="40" t="n">
        <v>0.0157211778450514</v>
      </c>
      <c r="K193" s="40" t="n">
        <f aca="false">I193*(1-V193)</f>
        <v>0.0154591130500667</v>
      </c>
      <c r="L193" s="40" t="n">
        <f aca="false">I193*(1+V193)</f>
        <v>0.0159832426400361</v>
      </c>
      <c r="M193" s="40" t="n">
        <f aca="false">F193*N193</f>
        <v>0.132843952790684</v>
      </c>
      <c r="N193" s="40" t="n">
        <f aca="false">J193*H193</f>
        <v>0.132843952790684</v>
      </c>
      <c r="O193" s="40" t="n">
        <f aca="false">K193*Q193</f>
        <v>0.12985654962056</v>
      </c>
      <c r="P193" s="40" t="n">
        <f aca="false">L193*R193</f>
        <v>0.135857562440307</v>
      </c>
      <c r="Q193" s="39" t="n">
        <f aca="false">INDEX(REF_MIN,MATCH(D193,REF_ID,0))</f>
        <v>8.4</v>
      </c>
      <c r="R193" s="39" t="n">
        <f aca="false">INDEX(REF_MAX,MATCH(D193,REF_ID,0))</f>
        <v>8.5</v>
      </c>
      <c r="S193" s="41" t="n">
        <v>0.524129589969383</v>
      </c>
      <c r="T193" s="42" t="n">
        <f aca="false">200*J193/S193</f>
        <v>5.9989659602961</v>
      </c>
      <c r="U193" s="43" t="n">
        <f aca="false">IFERROR(INDEX(ISO_TOL,MATCH(T193,ISO_DESDE,1)),0)</f>
        <v>0.1</v>
      </c>
      <c r="V193" s="44" t="n">
        <f aca="false">IF(T193&gt;0,U193/T193,0)</f>
        <v>0.0166695394942805</v>
      </c>
    </row>
    <row r="194" customFormat="false" ht="15" hidden="false" customHeight="false" outlineLevel="3" collapsed="false">
      <c r="A194" s="35" t="n">
        <v>3</v>
      </c>
      <c r="B194" s="36" t="s">
        <v>501</v>
      </c>
      <c r="C194" s="45" t="s">
        <v>290</v>
      </c>
      <c r="D194" s="36" t="s">
        <v>17</v>
      </c>
      <c r="E194" s="36" t="str">
        <f aca="false">INDEX(REF_DATO,MATCH(D194,REF_ID,0))</f>
        <v>Latón de forja (CuZn39Pb2 / C37700)</v>
      </c>
      <c r="F194" s="38" t="n">
        <v>1</v>
      </c>
      <c r="G194" s="35" t="s">
        <v>264</v>
      </c>
      <c r="H194" s="39" t="n">
        <f aca="false">INDEX(REF_VAL,MATCH(D194,REF_ID,0))</f>
        <v>8.45</v>
      </c>
      <c r="I194" s="40" t="n">
        <f aca="false">F194*J194</f>
        <v>0.00162231844631377</v>
      </c>
      <c r="J194" s="40" t="n">
        <v>0.00162231844631377</v>
      </c>
      <c r="K194" s="40" t="n">
        <f aca="false">I194*(1-V194)</f>
        <v>0.0015672149111698</v>
      </c>
      <c r="L194" s="40" t="n">
        <f aca="false">I194*(1+V194)</f>
        <v>0.00167742198145773</v>
      </c>
      <c r="M194" s="40" t="n">
        <f aca="false">F194*N194</f>
        <v>0.0137085908713513</v>
      </c>
      <c r="N194" s="40" t="n">
        <f aca="false">J194*H194</f>
        <v>0.0137085908713513</v>
      </c>
      <c r="O194" s="40" t="n">
        <f aca="false">K194*Q194</f>
        <v>0.0131646052538263</v>
      </c>
      <c r="P194" s="40" t="n">
        <f aca="false">L194*R194</f>
        <v>0.0142580868423907</v>
      </c>
      <c r="Q194" s="39" t="n">
        <f aca="false">INDEX(REF_MIN,MATCH(D194,REF_ID,0))</f>
        <v>8.4</v>
      </c>
      <c r="R194" s="39" t="n">
        <f aca="false">INDEX(REF_MAX,MATCH(D194,REF_ID,0))</f>
        <v>8.5</v>
      </c>
      <c r="S194" s="41" t="n">
        <v>0.11020707028793</v>
      </c>
      <c r="T194" s="42" t="n">
        <f aca="false">200*J194/S194</f>
        <v>2.94412770809578</v>
      </c>
      <c r="U194" s="43" t="n">
        <f aca="false">IFERROR(INDEX(ISO_TOL,MATCH(T194,ISO_DESDE,1)),0)</f>
        <v>0.1</v>
      </c>
      <c r="V194" s="44" t="n">
        <f aca="false">IF(T194&gt;0,U194/T194,0)</f>
        <v>0.0339659178931061</v>
      </c>
    </row>
    <row r="195" customFormat="false" ht="15" hidden="false" customHeight="false" outlineLevel="3" collapsed="false">
      <c r="A195" s="35" t="n">
        <v>3</v>
      </c>
      <c r="B195" s="36" t="s">
        <v>502</v>
      </c>
      <c r="C195" s="45" t="s">
        <v>292</v>
      </c>
      <c r="D195" s="36" t="s">
        <v>14</v>
      </c>
      <c r="E195" s="36" t="str">
        <f aca="false">INDEX(REF_DATO,MATCH(D195,REF_ID,0))</f>
        <v>Acero inoxidable AISI 302 / 304</v>
      </c>
      <c r="F195" s="38" t="n">
        <v>1</v>
      </c>
      <c r="G195" s="35" t="s">
        <v>264</v>
      </c>
      <c r="H195" s="39" t="n">
        <f aca="false">INDEX(REF_VAL,MATCH(D195,REF_ID,0))</f>
        <v>7.93</v>
      </c>
      <c r="I195" s="40" t="n">
        <f aca="false">F195*J195</f>
        <v>0.000611811346278936</v>
      </c>
      <c r="J195" s="40" t="n">
        <v>0.000611811346278936</v>
      </c>
      <c r="K195" s="40" t="n">
        <f aca="false">I195*(1-V195)</f>
        <v>0.000611811346278936</v>
      </c>
      <c r="L195" s="40" t="n">
        <f aca="false">I195*(1+V195)</f>
        <v>0.000611811346278936</v>
      </c>
      <c r="M195" s="40" t="n">
        <f aca="false">F195*N195</f>
        <v>0.00485166397599196</v>
      </c>
      <c r="N195" s="40" t="n">
        <f aca="false">J195*H195</f>
        <v>0.00485166397599196</v>
      </c>
      <c r="O195" s="40" t="n">
        <f aca="false">K195*Q195</f>
        <v>0.00485166397599196</v>
      </c>
      <c r="P195" s="40" t="n">
        <f aca="false">L195*R195</f>
        <v>0.00485166397599196</v>
      </c>
      <c r="Q195" s="39" t="n">
        <f aca="false">INDEX(REF_MIN,MATCH(D195,REF_ID,0))</f>
        <v>7.93</v>
      </c>
      <c r="R195" s="39" t="n">
        <f aca="false">INDEX(REF_MAX,MATCH(D195,REF_ID,0))</f>
        <v>7.93</v>
      </c>
      <c r="S195" s="41" t="n">
        <v>0.606955700673548</v>
      </c>
      <c r="T195" s="42" t="n">
        <f aca="false">200*J195/S195</f>
        <v>0.2016</v>
      </c>
      <c r="U195" s="43" t="n">
        <f aca="false">IFERROR(INDEX(ISO_TOL,MATCH(T195,ISO_DESDE,1)),0)</f>
        <v>0</v>
      </c>
      <c r="V195" s="44" t="n">
        <f aca="false">IF(T195&gt;0,U195/T195,0)</f>
        <v>0</v>
      </c>
    </row>
    <row r="196" customFormat="false" ht="15" hidden="false" customHeight="false" outlineLevel="3" collapsed="false">
      <c r="A196" s="35" t="n">
        <v>3</v>
      </c>
      <c r="B196" s="36" t="s">
        <v>503</v>
      </c>
      <c r="C196" s="45" t="s">
        <v>294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0.000414690230273852</v>
      </c>
      <c r="J196" s="40" t="n">
        <v>0.000414690230273852</v>
      </c>
      <c r="K196" s="40" t="n">
        <f aca="false">I196*(1-V196)</f>
        <v>0.000392699081698723</v>
      </c>
      <c r="L196" s="40" t="n">
        <f aca="false">I196*(1+V196)</f>
        <v>0.00043668137884898</v>
      </c>
      <c r="M196" s="40" t="n">
        <f aca="false">F196*N196</f>
        <v>0.00328849352607164</v>
      </c>
      <c r="N196" s="40" t="n">
        <f aca="false">J196*H196</f>
        <v>0.00328849352607164</v>
      </c>
      <c r="O196" s="40" t="n">
        <f aca="false">K196*Q196</f>
        <v>0.00311410371787087</v>
      </c>
      <c r="P196" s="40" t="n">
        <f aca="false">L196*R196</f>
        <v>0.00346288333427241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0.0439822971502571</v>
      </c>
      <c r="T196" s="42" t="n">
        <f aca="false">200*J196/S196</f>
        <v>1.88571428571428</v>
      </c>
      <c r="U196" s="43" t="n">
        <f aca="false">IFERROR(INDEX(ISO_TOL,MATCH(T196,ISO_DESDE,1)),0)</f>
        <v>0.1</v>
      </c>
      <c r="V196" s="44" t="n">
        <f aca="false">IF(T196&gt;0,U196/T196,0)</f>
        <v>0.0530303030303032</v>
      </c>
    </row>
    <row r="197" customFormat="false" ht="15" hidden="false" customHeight="false" outlineLevel="3" collapsed="false">
      <c r="A197" s="35" t="n">
        <v>3</v>
      </c>
      <c r="B197" s="36" t="s">
        <v>504</v>
      </c>
      <c r="C197" s="45" t="s">
        <v>296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0.0006972993839979</v>
      </c>
      <c r="J197" s="40" t="n">
        <v>0.0006972993839979</v>
      </c>
      <c r="K197" s="40" t="n">
        <f aca="false">I197*(1-V197)</f>
        <v>0.000650528235344721</v>
      </c>
      <c r="L197" s="40" t="n">
        <f aca="false">I197*(1+V197)</f>
        <v>0.000744070532651079</v>
      </c>
      <c r="M197" s="40" t="n">
        <f aca="false">F197*N197</f>
        <v>0.00552958411510334</v>
      </c>
      <c r="N197" s="40" t="n">
        <f aca="false">J197*H197</f>
        <v>0.00552958411510334</v>
      </c>
      <c r="O197" s="40" t="n">
        <f aca="false">K197*Q197</f>
        <v>0.00515868890628364</v>
      </c>
      <c r="P197" s="40" t="n">
        <f aca="false">L197*R197</f>
        <v>0.00590047932392305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0.0935422973063579</v>
      </c>
      <c r="T197" s="42" t="n">
        <f aca="false">200*J197/S197</f>
        <v>1.49087504600019</v>
      </c>
      <c r="U197" s="43" t="n">
        <f aca="false">IFERROR(INDEX(ISO_TOL,MATCH(T197,ISO_DESDE,1)),0)</f>
        <v>0.1</v>
      </c>
      <c r="V197" s="44" t="n">
        <f aca="false">IF(T197&gt;0,U197/T197,0)</f>
        <v>0.0670747023825276</v>
      </c>
    </row>
    <row r="198" customFormat="false" ht="15" hidden="false" customHeight="false" outlineLevel="3" collapsed="false">
      <c r="A198" s="35" t="n">
        <v>3</v>
      </c>
      <c r="B198" s="36" t="s">
        <v>505</v>
      </c>
      <c r="C198" s="45" t="s">
        <v>298</v>
      </c>
      <c r="D198" s="36" t="s">
        <v>10</v>
      </c>
      <c r="E198" s="36" t="str">
        <f aca="false">INDEX(REF_DATO,MATCH(D198,REF_ID,0))</f>
        <v>Acero (chapa LAC/LAF, SAE 1010/1045)</v>
      </c>
      <c r="F198" s="38" t="n">
        <v>1</v>
      </c>
      <c r="G198" s="35" t="s">
        <v>264</v>
      </c>
      <c r="H198" s="39" t="n">
        <f aca="false">INDEX(REF_VAL,MATCH(D198,REF_ID,0))</f>
        <v>7.85</v>
      </c>
      <c r="I198" s="40" t="n">
        <f aca="false">F198*J198</f>
        <v>0.0122208194772705</v>
      </c>
      <c r="J198" s="40" t="n">
        <v>0.0122208194772705</v>
      </c>
      <c r="K198" s="40" t="n">
        <f aca="false">I198*(1-V198)</f>
        <v>0.0109151420660483</v>
      </c>
      <c r="L198" s="40" t="n">
        <f aca="false">I198*(1+V198)</f>
        <v>0.0135264968884927</v>
      </c>
      <c r="M198" s="40" t="n">
        <f aca="false">F198*N198</f>
        <v>0.0959334328965736</v>
      </c>
      <c r="N198" s="40" t="n">
        <f aca="false">J198*H198</f>
        <v>0.0959334328965736</v>
      </c>
      <c r="O198" s="40" t="n">
        <f aca="false">K198*Q198</f>
        <v>0.0856838652184794</v>
      </c>
      <c r="P198" s="40" t="n">
        <f aca="false">L198*R198</f>
        <v>0.106183000574668</v>
      </c>
      <c r="Q198" s="39" t="n">
        <f aca="false">INDEX(REF_MIN,MATCH(D198,REF_ID,0))</f>
        <v>7.85</v>
      </c>
      <c r="R198" s="39" t="n">
        <f aca="false">INDEX(REF_MAX,MATCH(D198,REF_ID,0))</f>
        <v>7.85</v>
      </c>
      <c r="S198" s="41" t="n">
        <v>2.61135482244437</v>
      </c>
      <c r="T198" s="42" t="n">
        <f aca="false">200*J198/S198</f>
        <v>0.935975408032155</v>
      </c>
      <c r="U198" s="43" t="n">
        <f aca="false">IFERROR(INDEX(ISO_TOL,MATCH(T198,ISO_DESDE,1)),0)</f>
        <v>0.1</v>
      </c>
      <c r="V198" s="44" t="n">
        <f aca="false">IF(T198&gt;0,U198/T198,0)</f>
        <v>0.106840413906008</v>
      </c>
    </row>
    <row r="199" customFormat="false" ht="15" hidden="false" customHeight="false" outlineLevel="3" collapsed="false">
      <c r="A199" s="35" t="n">
        <v>3</v>
      </c>
      <c r="B199" s="36" t="s">
        <v>506</v>
      </c>
      <c r="C199" s="45" t="s">
        <v>300</v>
      </c>
      <c r="D199" s="36" t="s">
        <v>10</v>
      </c>
      <c r="E199" s="36" t="str">
        <f aca="false">INDEX(REF_DATO,MATCH(D199,REF_ID,0))</f>
        <v>Acero (chapa LAC/LAF, SAE 1010/1045)</v>
      </c>
      <c r="F199" s="38" t="n">
        <v>1</v>
      </c>
      <c r="G199" s="35" t="s">
        <v>264</v>
      </c>
      <c r="H199" s="39" t="n">
        <f aca="false">INDEX(REF_VAL,MATCH(D199,REF_ID,0))</f>
        <v>7.85</v>
      </c>
      <c r="I199" s="40" t="n">
        <f aca="false">F199*J199</f>
        <v>0.00964038014337059</v>
      </c>
      <c r="J199" s="40" t="n">
        <v>0.00964038014337059</v>
      </c>
      <c r="K199" s="40" t="n">
        <f aca="false">I199*(1-V199)</f>
        <v>0.00865558197544052</v>
      </c>
      <c r="L199" s="40" t="n">
        <f aca="false">I199*(1+V199)</f>
        <v>0.0106251783113007</v>
      </c>
      <c r="M199" s="40" t="n">
        <f aca="false">F199*N199</f>
        <v>0.0756769841254591</v>
      </c>
      <c r="N199" s="40" t="n">
        <f aca="false">J199*H199</f>
        <v>0.0756769841254591</v>
      </c>
      <c r="O199" s="40" t="n">
        <f aca="false">K199*Q199</f>
        <v>0.0679463185072081</v>
      </c>
      <c r="P199" s="40" t="n">
        <f aca="false">L199*R199</f>
        <v>0.0834076497437102</v>
      </c>
      <c r="Q199" s="39" t="n">
        <f aca="false">INDEX(REF_MIN,MATCH(D199,REF_ID,0))</f>
        <v>7.85</v>
      </c>
      <c r="R199" s="39" t="n">
        <f aca="false">INDEX(REF_MAX,MATCH(D199,REF_ID,0))</f>
        <v>7.85</v>
      </c>
      <c r="S199" s="41" t="n">
        <v>1.96959633586014</v>
      </c>
      <c r="T199" s="42" t="n">
        <f aca="false">200*J199/S199</f>
        <v>0.978919382398279</v>
      </c>
      <c r="U199" s="43" t="n">
        <f aca="false">IFERROR(INDEX(ISO_TOL,MATCH(T199,ISO_DESDE,1)),0)</f>
        <v>0.1</v>
      </c>
      <c r="V199" s="44" t="n">
        <f aca="false">IF(T199&gt;0,U199/T199,0)</f>
        <v>0.102153457984464</v>
      </c>
    </row>
    <row r="200" customFormat="false" ht="15" hidden="false" customHeight="false" outlineLevel="3" collapsed="false">
      <c r="A200" s="35" t="n">
        <v>3</v>
      </c>
      <c r="B200" s="36" t="s">
        <v>507</v>
      </c>
      <c r="C200" s="45" t="s">
        <v>302</v>
      </c>
      <c r="D200" s="36" t="s">
        <v>10</v>
      </c>
      <c r="E200" s="36" t="str">
        <f aca="false">INDEX(REF_DATO,MATCH(D200,REF_ID,0))</f>
        <v>Acero (chapa LAC/LAF, SAE 1010/1045)</v>
      </c>
      <c r="F200" s="38" t="n">
        <v>1</v>
      </c>
      <c r="G200" s="35" t="s">
        <v>264</v>
      </c>
      <c r="H200" s="39" t="n">
        <f aca="false">INDEX(REF_VAL,MATCH(D200,REF_ID,0))</f>
        <v>7.85</v>
      </c>
      <c r="I200" s="40" t="n">
        <f aca="false">F200*J200</f>
        <v>0.111642469824906</v>
      </c>
      <c r="J200" s="40" t="n">
        <v>0.111642469824906</v>
      </c>
      <c r="K200" s="40" t="n">
        <f aca="false">I200*(1-V200)</f>
        <v>0.107159884971397</v>
      </c>
      <c r="L200" s="40" t="n">
        <f aca="false">I200*(1+V200)</f>
        <v>0.116125054678415</v>
      </c>
      <c r="M200" s="40" t="n">
        <f aca="false">F200*N200</f>
        <v>0.876393388125511</v>
      </c>
      <c r="N200" s="40" t="n">
        <f aca="false">J200*H200</f>
        <v>0.876393388125511</v>
      </c>
      <c r="O200" s="40" t="n">
        <f aca="false">K200*Q200</f>
        <v>0.841205097025463</v>
      </c>
      <c r="P200" s="40" t="n">
        <f aca="false">L200*R200</f>
        <v>0.911581679225558</v>
      </c>
      <c r="Q200" s="39" t="n">
        <f aca="false">INDEX(REF_MIN,MATCH(D200,REF_ID,0))</f>
        <v>7.85</v>
      </c>
      <c r="R200" s="39" t="n">
        <f aca="false">INDEX(REF_MAX,MATCH(D200,REF_ID,0))</f>
        <v>7.85</v>
      </c>
      <c r="S200" s="41" t="n">
        <v>8.96516970701855</v>
      </c>
      <c r="T200" s="42" t="n">
        <f aca="false">200*J200/S200</f>
        <v>2.49058240888635</v>
      </c>
      <c r="U200" s="43" t="n">
        <f aca="false">IFERROR(INDEX(ISO_TOL,MATCH(T200,ISO_DESDE,1)),0)</f>
        <v>0.1</v>
      </c>
      <c r="V200" s="44" t="n">
        <f aca="false">IF(T200&gt;0,U200/T200,0)</f>
        <v>0.0401512512267019</v>
      </c>
    </row>
    <row r="201" customFormat="false" ht="15" hidden="false" customHeight="false" outlineLevel="3" collapsed="false">
      <c r="A201" s="35" t="n">
        <v>3</v>
      </c>
      <c r="B201" s="36" t="s">
        <v>508</v>
      </c>
      <c r="C201" s="45" t="s">
        <v>304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3" collapsed="false">
      <c r="A202" s="35" t="n">
        <v>3</v>
      </c>
      <c r="B202" s="36" t="s">
        <v>509</v>
      </c>
      <c r="C202" s="45" t="s">
        <v>306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1" collapsed="false">
      <c r="A203" s="25" t="n">
        <v>1</v>
      </c>
      <c r="B203" s="26" t="s">
        <v>510</v>
      </c>
      <c r="C203" s="27" t="s">
        <v>308</v>
      </c>
      <c r="D203" s="26"/>
      <c r="E203" s="26"/>
      <c r="F203" s="28" t="n">
        <v>1</v>
      </c>
      <c r="G203" s="25" t="s">
        <v>264</v>
      </c>
      <c r="H203" s="29"/>
      <c r="I203" s="30"/>
      <c r="J203" s="30"/>
      <c r="K203" s="30"/>
      <c r="L203" s="30"/>
      <c r="M203" s="30" t="n">
        <f aca="false">IF(SUMIF(A204:A208,2,M204:M208)=0,"",SUMIF(A204:A208,2,M204:M208))</f>
        <v>2.15924459767949</v>
      </c>
      <c r="N203" s="30"/>
      <c r="O203" s="30" t="n">
        <f aca="false">IF(SUMIF(A204:A208,2,O204:O208)=0,"",SUMIF(A204:A208,2,O204:O208))</f>
        <v>1.95807169187319</v>
      </c>
      <c r="P203" s="30" t="n">
        <f aca="false">IF(SUMIF(A204:A208,2,P204:P208)=0,"",SUMIF(A204:A208,2,P204:P208))</f>
        <v>2.36897121102794</v>
      </c>
      <c r="Q203" s="29"/>
      <c r="R203" s="29"/>
      <c r="S203" s="31"/>
      <c r="T203" s="32"/>
      <c r="U203" s="33"/>
      <c r="V203" s="34"/>
    </row>
    <row r="204" customFormat="false" ht="15" hidden="false" customHeight="false" outlineLevel="2" collapsed="false">
      <c r="A204" s="35" t="n">
        <v>2</v>
      </c>
      <c r="B204" s="36" t="s">
        <v>511</v>
      </c>
      <c r="C204" s="37" t="s">
        <v>369</v>
      </c>
      <c r="D204" s="36" t="s">
        <v>17</v>
      </c>
      <c r="E204" s="36" t="str">
        <f aca="false">INDEX(REF_DATO,MATCH(D204,REF_ID,0))</f>
        <v>Latón de forja (CuZn39Pb2 / C37700)</v>
      </c>
      <c r="F204" s="38" t="n">
        <v>1</v>
      </c>
      <c r="G204" s="35" t="s">
        <v>264</v>
      </c>
      <c r="H204" s="39" t="n">
        <f aca="false">INDEX(REF_VAL,MATCH(D204,REF_ID,0))</f>
        <v>8.45</v>
      </c>
      <c r="I204" s="40" t="n">
        <f aca="false">F204*J204</f>
        <v>0.00723822947387088</v>
      </c>
      <c r="J204" s="40" t="n">
        <v>0.00723822947387088</v>
      </c>
      <c r="K204" s="40" t="n">
        <f aca="false">I204*(1-V204)</f>
        <v>0.00702711444754965</v>
      </c>
      <c r="L204" s="40" t="n">
        <f aca="false">I204*(1+V204)</f>
        <v>0.00744934450019212</v>
      </c>
      <c r="M204" s="40" t="n">
        <f aca="false">F204*N204</f>
        <v>0.061163039054209</v>
      </c>
      <c r="N204" s="40" t="n">
        <f aca="false">J204*H204</f>
        <v>0.061163039054209</v>
      </c>
      <c r="O204" s="40" t="n">
        <f aca="false">K204*Q204</f>
        <v>0.0590277613594171</v>
      </c>
      <c r="P204" s="40" t="n">
        <f aca="false">L204*R204</f>
        <v>0.063319428251633</v>
      </c>
      <c r="Q204" s="39" t="n">
        <f aca="false">INDEX(REF_MIN,MATCH(D204,REF_ID,0))</f>
        <v>8.4</v>
      </c>
      <c r="R204" s="39" t="n">
        <f aca="false">INDEX(REF_MAX,MATCH(D204,REF_ID,0))</f>
        <v>8.5</v>
      </c>
      <c r="S204" s="41" t="n">
        <v>0.211115026321234</v>
      </c>
      <c r="T204" s="42" t="n">
        <f aca="false">200*J204/S204</f>
        <v>6.85714285714286</v>
      </c>
      <c r="U204" s="43" t="n">
        <f aca="false">IFERROR(INDEX(ISO_TOL,MATCH(T204,ISO_DESDE,1)),0)</f>
        <v>0.2</v>
      </c>
      <c r="V204" s="44" t="n">
        <f aca="false">IF(T204&gt;0,U204/T204,0)</f>
        <v>0.0291666666666667</v>
      </c>
    </row>
    <row r="205" customFormat="false" ht="15" hidden="false" customHeight="false" outlineLevel="2" collapsed="false">
      <c r="A205" s="35" t="n">
        <v>2</v>
      </c>
      <c r="B205" s="36" t="s">
        <v>512</v>
      </c>
      <c r="C205" s="37" t="s">
        <v>513</v>
      </c>
      <c r="D205" s="36" t="s">
        <v>23</v>
      </c>
      <c r="E205" s="36" t="str">
        <f aca="false">INDEX(REF_DATO,MATCH(D205,REF_ID,0))</f>
        <v>Caucho sintético (NBR / SBR)</v>
      </c>
      <c r="F205" s="38" t="n">
        <v>1</v>
      </c>
      <c r="G205" s="35" t="s">
        <v>264</v>
      </c>
      <c r="H205" s="39" t="n">
        <f aca="false">INDEX(REF_VAL,MATCH(D205,REF_ID,0))</f>
        <v>1.2</v>
      </c>
      <c r="I205" s="40" t="n">
        <f aca="false">F205*J205</f>
        <v>1.25039361370082</v>
      </c>
      <c r="J205" s="40" t="n">
        <v>1.25039361370082</v>
      </c>
      <c r="K205" s="40" t="n">
        <f aca="false">I205*(1-V205)</f>
        <v>1.21705171717311</v>
      </c>
      <c r="L205" s="40" t="n">
        <f aca="false">I205*(1+V205)</f>
        <v>1.28373551022852</v>
      </c>
      <c r="M205" s="40" t="n">
        <f aca="false">F205*N205</f>
        <v>1.50047233644098</v>
      </c>
      <c r="N205" s="40" t="n">
        <f aca="false">J205*H205</f>
        <v>1.50047233644098</v>
      </c>
      <c r="O205" s="40" t="n">
        <f aca="false">K205*Q205</f>
        <v>1.33875688889043</v>
      </c>
      <c r="P205" s="40" t="n">
        <f aca="false">L205*R205</f>
        <v>1.66885616329707</v>
      </c>
      <c r="Q205" s="39" t="n">
        <f aca="false">INDEX(REF_MIN,MATCH(D205,REF_ID,0))</f>
        <v>1.1</v>
      </c>
      <c r="R205" s="39" t="n">
        <f aca="false">INDEX(REF_MAX,MATCH(D205,REF_ID,0))</f>
        <v>1.3</v>
      </c>
      <c r="S205" s="41" t="n">
        <v>66.6837930554017</v>
      </c>
      <c r="T205" s="42" t="n">
        <f aca="false">200*J205/S205</f>
        <v>3.7502174258803</v>
      </c>
      <c r="U205" s="43" t="n">
        <f aca="false">IFERROR(INDEX(ISO_TOL,MATCH(T205,ISO_DESDE,1)),0)</f>
        <v>0.1</v>
      </c>
      <c r="V205" s="44" t="n">
        <f aca="false">IF(T205&gt;0,U205/T205,0)</f>
        <v>0.0266651206167138</v>
      </c>
    </row>
    <row r="206" customFormat="false" ht="15" hidden="false" customHeight="false" outlineLevel="2" collapsed="false">
      <c r="A206" s="35" t="n">
        <v>2</v>
      </c>
      <c r="B206" s="36" t="s">
        <v>514</v>
      </c>
      <c r="C206" s="37" t="s">
        <v>371</v>
      </c>
      <c r="D206" s="36" t="s">
        <v>23</v>
      </c>
      <c r="E206" s="36" t="str">
        <f aca="false">INDEX(REF_DATO,MATCH(D206,REF_ID,0))</f>
        <v>Caucho sintético (NBR / SBR)</v>
      </c>
      <c r="F206" s="38" t="n">
        <v>1</v>
      </c>
      <c r="G206" s="35" t="s">
        <v>264</v>
      </c>
      <c r="H206" s="39" t="n">
        <f aca="false">INDEX(REF_VAL,MATCH(D206,REF_ID,0))</f>
        <v>1.2</v>
      </c>
      <c r="I206" s="40" t="n">
        <f aca="false">F206*J206</f>
        <v>0.139764358725449</v>
      </c>
      <c r="J206" s="40" t="n">
        <v>0.139764358725449</v>
      </c>
      <c r="K206" s="40" t="n">
        <f aca="false">I206*(1-V206)</f>
        <v>0.13587372707101</v>
      </c>
      <c r="L206" s="40" t="n">
        <f aca="false">I206*(1+V206)</f>
        <v>0.143654990379889</v>
      </c>
      <c r="M206" s="40" t="n">
        <f aca="false">F206*N206</f>
        <v>0.167717230470539</v>
      </c>
      <c r="N206" s="40" t="n">
        <f aca="false">J206*H206</f>
        <v>0.167717230470539</v>
      </c>
      <c r="O206" s="40" t="n">
        <f aca="false">K206*Q206</f>
        <v>0.149461099778111</v>
      </c>
      <c r="P206" s="40" t="n">
        <f aca="false">L206*R206</f>
        <v>0.186751487493855</v>
      </c>
      <c r="Q206" s="39" t="n">
        <f aca="false">INDEX(REF_MIN,MATCH(D206,REF_ID,0))</f>
        <v>1.1</v>
      </c>
      <c r="R206" s="39" t="n">
        <f aca="false">INDEX(REF_MAX,MATCH(D206,REF_ID,0))</f>
        <v>1.3</v>
      </c>
      <c r="S206" s="41" t="n">
        <v>7.78126330887884</v>
      </c>
      <c r="T206" s="42" t="n">
        <f aca="false">200*J206/S206</f>
        <v>3.59233078685232</v>
      </c>
      <c r="U206" s="43" t="n">
        <f aca="false">IFERROR(INDEX(ISO_TOL,MATCH(T206,ISO_DESDE,1)),0)</f>
        <v>0.1</v>
      </c>
      <c r="V206" s="44" t="n">
        <f aca="false">IF(T206&gt;0,U206/T206,0)</f>
        <v>0.0278370801391656</v>
      </c>
    </row>
    <row r="207" customFormat="false" ht="15" hidden="false" customHeight="false" outlineLevel="2" collapsed="false">
      <c r="A207" s="35" t="n">
        <v>2</v>
      </c>
      <c r="B207" s="36" t="s">
        <v>515</v>
      </c>
      <c r="C207" s="37" t="s">
        <v>516</v>
      </c>
      <c r="D207" s="36" t="s">
        <v>17</v>
      </c>
      <c r="E207" s="36" t="str">
        <f aca="false">INDEX(REF_DATO,MATCH(D207,REF_ID,0))</f>
        <v>Latón de forja (CuZn39Pb2 / C37700)</v>
      </c>
      <c r="F207" s="38" t="n">
        <v>1</v>
      </c>
      <c r="G207" s="35" t="s">
        <v>264</v>
      </c>
      <c r="H207" s="39" t="n">
        <f aca="false">INDEX(REF_VAL,MATCH(D207,REF_ID,0))</f>
        <v>8.45</v>
      </c>
      <c r="I207" s="40" t="n">
        <f aca="false">F207*J207</f>
        <v>0.0414388603746334</v>
      </c>
      <c r="J207" s="40" t="n">
        <v>0.0414388603746334</v>
      </c>
      <c r="K207" s="40" t="n">
        <f aca="false">I207*(1-V207)</f>
        <v>0.0397381805740957</v>
      </c>
      <c r="L207" s="40" t="n">
        <f aca="false">I207*(1+V207)</f>
        <v>0.0431395401751711</v>
      </c>
      <c r="M207" s="40" t="n">
        <f aca="false">F207*N207</f>
        <v>0.350158370165652</v>
      </c>
      <c r="N207" s="40" t="n">
        <f aca="false">J207*H207</f>
        <v>0.350158370165652</v>
      </c>
      <c r="O207" s="40" t="n">
        <f aca="false">K207*Q207</f>
        <v>0.333800716822404</v>
      </c>
      <c r="P207" s="40" t="n">
        <f aca="false">L207*R207</f>
        <v>0.366686091488954</v>
      </c>
      <c r="Q207" s="39" t="n">
        <f aca="false">INDEX(REF_MIN,MATCH(D207,REF_ID,0))</f>
        <v>8.4</v>
      </c>
      <c r="R207" s="39" t="n">
        <f aca="false">INDEX(REF_MAX,MATCH(D207,REF_ID,0))</f>
        <v>8.5</v>
      </c>
      <c r="S207" s="41" t="n">
        <v>3.40135960107539</v>
      </c>
      <c r="T207" s="42" t="n">
        <f aca="false">200*J207/S207</f>
        <v>2.43660566565981</v>
      </c>
      <c r="U207" s="43" t="n">
        <f aca="false">IFERROR(INDEX(ISO_TOL,MATCH(T207,ISO_DESDE,1)),0)</f>
        <v>0.1</v>
      </c>
      <c r="V207" s="44" t="n">
        <f aca="false">IF(T207&gt;0,U207/T207,0)</f>
        <v>0.0410406991206437</v>
      </c>
    </row>
    <row r="208" customFormat="false" ht="15" hidden="false" customHeight="false" outlineLevel="2" collapsed="false">
      <c r="A208" s="35" t="n">
        <v>2</v>
      </c>
      <c r="B208" s="36" t="s">
        <v>517</v>
      </c>
      <c r="C208" s="37" t="s">
        <v>518</v>
      </c>
      <c r="D208" s="36" t="s">
        <v>26</v>
      </c>
      <c r="E208" s="36" t="str">
        <f aca="false">INDEX(REF_DATO,MATCH(D208,REF_ID,0))</f>
        <v>Polipropileno</v>
      </c>
      <c r="F208" s="38" t="n">
        <v>1</v>
      </c>
      <c r="G208" s="35" t="s">
        <v>264</v>
      </c>
      <c r="H208" s="39" t="n">
        <f aca="false">INDEX(REF_VAL,MATCH(D208,REF_ID,0))</f>
        <v>0.9</v>
      </c>
      <c r="I208" s="40" t="n">
        <f aca="false">F208*J208</f>
        <v>0.0885929128312322</v>
      </c>
      <c r="J208" s="40" t="n">
        <v>0.0885929128312322</v>
      </c>
      <c r="K208" s="40" t="n">
        <f aca="false">I208*(1-V208)</f>
        <v>0.085583583358704</v>
      </c>
      <c r="L208" s="40" t="n">
        <f aca="false">I208*(1+V208)</f>
        <v>0.0916022423037604</v>
      </c>
      <c r="M208" s="40" t="n">
        <f aca="false">F208*N208</f>
        <v>0.079733621548109</v>
      </c>
      <c r="N208" s="40" t="n">
        <f aca="false">J208*H208</f>
        <v>0.079733621548109</v>
      </c>
      <c r="O208" s="40" t="n">
        <f aca="false">K208*Q208</f>
        <v>0.0770252250228336</v>
      </c>
      <c r="P208" s="40" t="n">
        <f aca="false">L208*R208</f>
        <v>0.083358040496422</v>
      </c>
      <c r="Q208" s="39" t="n">
        <f aca="false">INDEX(REF_MIN,MATCH(D208,REF_ID,0))</f>
        <v>0.9</v>
      </c>
      <c r="R208" s="39" t="n">
        <f aca="false">INDEX(REF_MAX,MATCH(D208,REF_ID,0))</f>
        <v>0.91</v>
      </c>
      <c r="S208" s="41" t="n">
        <v>6.01865894505646</v>
      </c>
      <c r="T208" s="42" t="n">
        <f aca="false">200*J208/S208</f>
        <v>2.9439419525175</v>
      </c>
      <c r="U208" s="43" t="n">
        <f aca="false">IFERROR(INDEX(ISO_TOL,MATCH(T208,ISO_DESDE,1)),0)</f>
        <v>0.1</v>
      </c>
      <c r="V208" s="44" t="n">
        <f aca="false">IF(T208&gt;0,U208/T208,0)</f>
        <v>0.0339680610599286</v>
      </c>
    </row>
    <row r="209" customFormat="false" ht="15" hidden="false" customHeight="false" outlineLevel="1" collapsed="false">
      <c r="A209" s="25" t="n">
        <v>1</v>
      </c>
      <c r="B209" s="26" t="s">
        <v>519</v>
      </c>
      <c r="C209" s="27" t="s">
        <v>520</v>
      </c>
      <c r="D209" s="26"/>
      <c r="E209" s="26"/>
      <c r="F209" s="28" t="n">
        <v>1</v>
      </c>
      <c r="G209" s="25" t="s">
        <v>264</v>
      </c>
      <c r="H209" s="29"/>
      <c r="I209" s="30"/>
      <c r="J209" s="30"/>
      <c r="K209" s="30"/>
      <c r="L209" s="30"/>
      <c r="M209" s="30" t="n">
        <f aca="false">IF(SUMIF(A210:A219,2,M210:M219)=0,"",SUMIF(A210:A219,2,M210:M219))</f>
        <v>12.2458631680049</v>
      </c>
      <c r="N209" s="30"/>
      <c r="O209" s="30" t="n">
        <f aca="false">IF(SUMIF(A210:A219,2,O210:O219)=0,"",SUMIF(A210:A219,2,O210:O219))</f>
        <v>11.5753793567659</v>
      </c>
      <c r="P209" s="30" t="n">
        <f aca="false">IF(SUMIF(A210:A219,2,P210:P219)=0,"",SUMIF(A210:A219,2,P210:P219))</f>
        <v>12.9223124867019</v>
      </c>
      <c r="Q209" s="29"/>
      <c r="R209" s="29"/>
      <c r="S209" s="31"/>
      <c r="T209" s="32"/>
      <c r="U209" s="33"/>
      <c r="V209" s="34"/>
    </row>
    <row r="210" customFormat="false" ht="15" hidden="false" customHeight="false" outlineLevel="2" collapsed="false">
      <c r="A210" s="35" t="n">
        <v>2</v>
      </c>
      <c r="B210" s="36" t="s">
        <v>521</v>
      </c>
      <c r="C210" s="37" t="s">
        <v>522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0.015108511624526</v>
      </c>
      <c r="J210" s="40" t="n">
        <v>0.015108511624526</v>
      </c>
      <c r="K210" s="40" t="n">
        <f aca="false">I210*(1-V210)</f>
        <v>0.01458992501869</v>
      </c>
      <c r="L210" s="40" t="n">
        <f aca="false">I210*(1+V210)</f>
        <v>0.0156270982303621</v>
      </c>
      <c r="M210" s="40" t="n">
        <f aca="false">F210*N210</f>
        <v>0.118601816252529</v>
      </c>
      <c r="N210" s="40" t="n">
        <f aca="false">J210*H210</f>
        <v>0.118601816252529</v>
      </c>
      <c r="O210" s="40" t="n">
        <f aca="false">K210*Q210</f>
        <v>0.114530911396716</v>
      </c>
      <c r="P210" s="40" t="n">
        <f aca="false">L210*R210</f>
        <v>0.122672721108342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1.03717321167211</v>
      </c>
      <c r="T210" s="42" t="n">
        <f aca="false">200*J210/S210</f>
        <v>2.91340182227971</v>
      </c>
      <c r="U210" s="43" t="n">
        <f aca="false">IFERROR(INDEX(ISO_TOL,MATCH(T210,ISO_DESDE,1)),0)</f>
        <v>0.1</v>
      </c>
      <c r="V210" s="44" t="n">
        <f aca="false">IF(T210&gt;0,U210/T210,0)</f>
        <v>0.0343241358728028</v>
      </c>
    </row>
    <row r="211" customFormat="false" ht="15" hidden="false" customHeight="false" outlineLevel="2" collapsed="false">
      <c r="A211" s="35" t="n">
        <v>2</v>
      </c>
      <c r="B211" s="36" t="s">
        <v>523</v>
      </c>
      <c r="C211" s="37" t="s">
        <v>524</v>
      </c>
      <c r="D211" s="36" t="s">
        <v>10</v>
      </c>
      <c r="E211" s="36" t="str">
        <f aca="false">INDEX(REF_DATO,MATCH(D211,REF_ID,0))</f>
        <v>Acero (chapa LAC/LAF, SAE 1010/1045)</v>
      </c>
      <c r="F211" s="38" t="n">
        <v>1</v>
      </c>
      <c r="G211" s="35" t="s">
        <v>264</v>
      </c>
      <c r="H211" s="39" t="n">
        <f aca="false">INDEX(REF_VAL,MATCH(D211,REF_ID,0))</f>
        <v>7.85</v>
      </c>
      <c r="I211" s="40" t="n">
        <f aca="false">F211*J211</f>
        <v>0.0195199201465766</v>
      </c>
      <c r="J211" s="40" t="n">
        <v>0.0195199201465766</v>
      </c>
      <c r="K211" s="40" t="n">
        <f aca="false">I211*(1-V211)</f>
        <v>0.0189997926545118</v>
      </c>
      <c r="L211" s="40" t="n">
        <f aca="false">I211*(1+V211)</f>
        <v>0.0200400476386414</v>
      </c>
      <c r="M211" s="40" t="n">
        <f aca="false">F211*N211</f>
        <v>0.153231373150626</v>
      </c>
      <c r="N211" s="40" t="n">
        <f aca="false">J211*H211</f>
        <v>0.153231373150626</v>
      </c>
      <c r="O211" s="40" t="n">
        <f aca="false">K211*Q211</f>
        <v>0.149148372337918</v>
      </c>
      <c r="P211" s="40" t="n">
        <f aca="false">L211*R211</f>
        <v>0.157314373963335</v>
      </c>
      <c r="Q211" s="39" t="n">
        <f aca="false">INDEX(REF_MIN,MATCH(D211,REF_ID,0))</f>
        <v>7.85</v>
      </c>
      <c r="R211" s="39" t="n">
        <f aca="false">INDEX(REF_MAX,MATCH(D211,REF_ID,0))</f>
        <v>7.85</v>
      </c>
      <c r="S211" s="41" t="n">
        <v>1.04025498412959</v>
      </c>
      <c r="T211" s="42" t="n">
        <f aca="false">200*J211/S211</f>
        <v>3.75291066986031</v>
      </c>
      <c r="U211" s="43" t="n">
        <f aca="false">IFERROR(INDEX(ISO_TOL,MATCH(T211,ISO_DESDE,1)),0)</f>
        <v>0.1</v>
      </c>
      <c r="V211" s="44" t="n">
        <f aca="false">IF(T211&gt;0,U211/T211,0)</f>
        <v>0.0266459846228427</v>
      </c>
    </row>
    <row r="212" customFormat="false" ht="15" hidden="false" customHeight="false" outlineLevel="2" collapsed="false">
      <c r="A212" s="35" t="n">
        <v>2</v>
      </c>
      <c r="B212" s="36" t="s">
        <v>525</v>
      </c>
      <c r="C212" s="37" t="s">
        <v>526</v>
      </c>
      <c r="D212" s="36" t="s">
        <v>10</v>
      </c>
      <c r="E212" s="36" t="str">
        <f aca="false">INDEX(REF_DATO,MATCH(D212,REF_ID,0))</f>
        <v>Acero (chapa LAC/LAF, SAE 1010/1045)</v>
      </c>
      <c r="F212" s="38" t="n">
        <v>1</v>
      </c>
      <c r="G212" s="35" t="s">
        <v>264</v>
      </c>
      <c r="H212" s="39" t="n">
        <f aca="false">INDEX(REF_VAL,MATCH(D212,REF_ID,0))</f>
        <v>7.85</v>
      </c>
      <c r="I212" s="40" t="n">
        <f aca="false">F212*J212</f>
        <v>0.0505771284486729</v>
      </c>
      <c r="J212" s="40" t="n">
        <v>0.0505771284486729</v>
      </c>
      <c r="K212" s="40" t="n">
        <f aca="false">I212*(1-V212)</f>
        <v>0.0480335693726205</v>
      </c>
      <c r="L212" s="40" t="n">
        <f aca="false">I212*(1+V212)</f>
        <v>0.0531206875247254</v>
      </c>
      <c r="M212" s="40" t="n">
        <f aca="false">F212*N212</f>
        <v>0.397030458322082</v>
      </c>
      <c r="N212" s="40" t="n">
        <f aca="false">J212*H212</f>
        <v>0.397030458322082</v>
      </c>
      <c r="O212" s="40" t="n">
        <f aca="false">K212*Q212</f>
        <v>0.377063519575071</v>
      </c>
      <c r="P212" s="40" t="n">
        <f aca="false">L212*R212</f>
        <v>0.416997397069094</v>
      </c>
      <c r="Q212" s="39" t="n">
        <f aca="false">INDEX(REF_MIN,MATCH(D212,REF_ID,0))</f>
        <v>7.85</v>
      </c>
      <c r="R212" s="39" t="n">
        <f aca="false">INDEX(REF_MAX,MATCH(D212,REF_ID,0))</f>
        <v>7.85</v>
      </c>
      <c r="S212" s="41" t="n">
        <v>5.08711815210488</v>
      </c>
      <c r="T212" s="42" t="n">
        <f aca="false">200*J212/S212</f>
        <v>1.98843930635839</v>
      </c>
      <c r="U212" s="43" t="n">
        <f aca="false">IFERROR(INDEX(ISO_TOL,MATCH(T212,ISO_DESDE,1)),0)</f>
        <v>0.1</v>
      </c>
      <c r="V212" s="44" t="n">
        <f aca="false">IF(T212&gt;0,U212/T212,0)</f>
        <v>0.0502906976744185</v>
      </c>
    </row>
    <row r="213" customFormat="false" ht="15" hidden="false" customHeight="false" outlineLevel="2" collapsed="false">
      <c r="A213" s="35" t="n">
        <v>2</v>
      </c>
      <c r="B213" s="36" t="s">
        <v>527</v>
      </c>
      <c r="C213" s="37" t="s">
        <v>528</v>
      </c>
      <c r="D213" s="36" t="s">
        <v>23</v>
      </c>
      <c r="E213" s="36" t="str">
        <f aca="false">INDEX(REF_DATO,MATCH(D213,REF_ID,0))</f>
        <v>Caucho sintético (NBR / SBR)</v>
      </c>
      <c r="F213" s="38" t="n">
        <v>2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3.4042297994299</v>
      </c>
      <c r="J213" s="40" t="n">
        <v>1.70211489971495</v>
      </c>
      <c r="K213" s="40" t="n">
        <f aca="false">I213*(1-V213)</f>
        <v>3.37440226213966</v>
      </c>
      <c r="L213" s="40" t="n">
        <f aca="false">I213*(1+V213)</f>
        <v>3.43405733672015</v>
      </c>
      <c r="M213" s="40" t="n">
        <f aca="false">F213*N213</f>
        <v>4.08507575931588</v>
      </c>
      <c r="N213" s="40" t="n">
        <f aca="false">J213*H213</f>
        <v>2.04253787965794</v>
      </c>
      <c r="O213" s="40" t="n">
        <f aca="false">K213*Q213</f>
        <v>3.71184248835363</v>
      </c>
      <c r="P213" s="40" t="n">
        <f aca="false">L213*R213</f>
        <v>4.46427453773619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14.9137686451215</v>
      </c>
      <c r="T213" s="42" t="n">
        <f aca="false">200*J213/S213</f>
        <v>22.8260869565217</v>
      </c>
      <c r="U213" s="43" t="n">
        <f aca="false">IFERROR(INDEX(ISO_TOL,MATCH(T213,ISO_DESDE,1)),0)</f>
        <v>0.2</v>
      </c>
      <c r="V213" s="44" t="n">
        <f aca="false">IF(T213&gt;0,U213/T213,0)</f>
        <v>0.00876190476190476</v>
      </c>
    </row>
    <row r="214" customFormat="false" ht="15" hidden="false" customHeight="false" outlineLevel="2" collapsed="false">
      <c r="A214" s="35" t="n">
        <v>2</v>
      </c>
      <c r="B214" s="36" t="s">
        <v>529</v>
      </c>
      <c r="C214" s="37" t="s">
        <v>530</v>
      </c>
      <c r="D214" s="36" t="s">
        <v>10</v>
      </c>
      <c r="E214" s="36" t="str">
        <f aca="false">INDEX(REF_DATO,MATCH(D214,REF_ID,0))</f>
        <v>Acero (chapa LAC/LAF, SAE 1010/1045)</v>
      </c>
      <c r="F214" s="38" t="n">
        <v>2</v>
      </c>
      <c r="G214" s="35" t="s">
        <v>264</v>
      </c>
      <c r="H214" s="39" t="n">
        <f aca="false">INDEX(REF_VAL,MATCH(D214,REF_ID,0))</f>
        <v>7.85</v>
      </c>
      <c r="I214" s="40" t="n">
        <f aca="false">F214*J214</f>
        <v>0.473229479866122</v>
      </c>
      <c r="J214" s="40" t="n">
        <v>0.236614739933061</v>
      </c>
      <c r="K214" s="40" t="n">
        <f aca="false">I214*(1-V214)</f>
        <v>0.459107589311945</v>
      </c>
      <c r="L214" s="40" t="n">
        <f aca="false">I214*(1+V214)</f>
        <v>0.487351370420299</v>
      </c>
      <c r="M214" s="40" t="n">
        <f aca="false">F214*N214</f>
        <v>3.71485141694906</v>
      </c>
      <c r="N214" s="40" t="n">
        <f aca="false">J214*H214</f>
        <v>1.85742570847453</v>
      </c>
      <c r="O214" s="40" t="n">
        <f aca="false">K214*Q214</f>
        <v>3.60399457609877</v>
      </c>
      <c r="P214" s="40" t="n">
        <f aca="false">L214*R214</f>
        <v>3.82570825779935</v>
      </c>
      <c r="Q214" s="39" t="n">
        <f aca="false">INDEX(REF_MIN,MATCH(D214,REF_ID,0))</f>
        <v>7.85</v>
      </c>
      <c r="R214" s="39" t="n">
        <f aca="false">INDEX(REF_MAX,MATCH(D214,REF_ID,0))</f>
        <v>7.85</v>
      </c>
      <c r="S214" s="41" t="n">
        <v>14.1218905541769</v>
      </c>
      <c r="T214" s="42" t="n">
        <f aca="false">200*J214/S214</f>
        <v>3.35103489189804</v>
      </c>
      <c r="U214" s="43" t="n">
        <f aca="false">IFERROR(INDEX(ISO_TOL,MATCH(T214,ISO_DESDE,1)),0)</f>
        <v>0.1</v>
      </c>
      <c r="V214" s="44" t="n">
        <f aca="false">IF(T214&gt;0,U214/T214,0)</f>
        <v>0.0298415275357994</v>
      </c>
    </row>
    <row r="215" customFormat="false" ht="15" hidden="false" customHeight="false" outlineLevel="2" collapsed="false">
      <c r="A215" s="35" t="n">
        <v>2</v>
      </c>
      <c r="B215" s="36" t="s">
        <v>531</v>
      </c>
      <c r="C215" s="37" t="s">
        <v>532</v>
      </c>
      <c r="D215" s="36" t="s">
        <v>10</v>
      </c>
      <c r="E215" s="36" t="str">
        <f aca="false">INDEX(REF_DATO,MATCH(D215,REF_ID,0))</f>
        <v>Acero (chapa LAC/LAF, SAE 1010/1045)</v>
      </c>
      <c r="F215" s="38" t="n">
        <v>1</v>
      </c>
      <c r="G215" s="35" t="s">
        <v>264</v>
      </c>
      <c r="H215" s="39" t="n">
        <f aca="false">INDEX(REF_VAL,MATCH(D215,REF_ID,0))</f>
        <v>7.85</v>
      </c>
      <c r="I215" s="40" t="n">
        <f aca="false">F215*J215</f>
        <v>0.136182433530031</v>
      </c>
      <c r="J215" s="40" t="n">
        <v>0.136182433530031</v>
      </c>
      <c r="K215" s="40" t="n">
        <f aca="false">I215*(1-V215)</f>
        <v>0.133205207212081</v>
      </c>
      <c r="L215" s="40" t="n">
        <f aca="false">I215*(1+V215)</f>
        <v>0.139159659847981</v>
      </c>
      <c r="M215" s="40" t="n">
        <f aca="false">F215*N215</f>
        <v>1.06903210321074</v>
      </c>
      <c r="N215" s="40" t="n">
        <f aca="false">J215*H215</f>
        <v>1.06903210321074</v>
      </c>
      <c r="O215" s="40" t="n">
        <f aca="false">K215*Q215</f>
        <v>1.04566087661483</v>
      </c>
      <c r="P215" s="40" t="n">
        <f aca="false">L215*R215</f>
        <v>1.09240332980665</v>
      </c>
      <c r="Q215" s="39" t="n">
        <f aca="false">INDEX(REF_MIN,MATCH(D215,REF_ID,0))</f>
        <v>7.85</v>
      </c>
      <c r="R215" s="39" t="n">
        <f aca="false">INDEX(REF_MAX,MATCH(D215,REF_ID,0))</f>
        <v>7.85</v>
      </c>
      <c r="S215" s="41" t="n">
        <v>2.97722631795023</v>
      </c>
      <c r="T215" s="42" t="n">
        <f aca="false">200*J215/S215</f>
        <v>9.14827554149733</v>
      </c>
      <c r="U215" s="43" t="n">
        <f aca="false">IFERROR(INDEX(ISO_TOL,MATCH(T215,ISO_DESDE,1)),0)</f>
        <v>0.2</v>
      </c>
      <c r="V215" s="44" t="n">
        <f aca="false">IF(T215&gt;0,U215/T215,0)</f>
        <v>0.0218620437363068</v>
      </c>
    </row>
    <row r="216" customFormat="false" ht="15" hidden="false" customHeight="false" outlineLevel="2" collapsed="false">
      <c r="A216" s="35" t="n">
        <v>2</v>
      </c>
      <c r="B216" s="36" t="s">
        <v>533</v>
      </c>
      <c r="C216" s="37" t="s">
        <v>534</v>
      </c>
      <c r="D216" s="36" t="s">
        <v>10</v>
      </c>
      <c r="E216" s="36" t="str">
        <f aca="false">INDEX(REF_DATO,MATCH(D216,REF_ID,0))</f>
        <v>Acero (chapa LAC/LAF, SAE 1010/1045)</v>
      </c>
      <c r="F216" s="38" t="n">
        <v>1</v>
      </c>
      <c r="G216" s="35" t="s">
        <v>264</v>
      </c>
      <c r="H216" s="39" t="n">
        <f aca="false">INDEX(REF_VAL,MATCH(D216,REF_ID,0))</f>
        <v>7.85</v>
      </c>
      <c r="I216" s="40" t="n">
        <f aca="false">F216*J216</f>
        <v>0.0150544805800758</v>
      </c>
      <c r="J216" s="40" t="n">
        <v>0.0150544805800758</v>
      </c>
      <c r="K216" s="40" t="n">
        <f aca="false">I216*(1-V216)</f>
        <v>0.0145271964544955</v>
      </c>
      <c r="L216" s="40" t="n">
        <f aca="false">I216*(1+V216)</f>
        <v>0.0155817647056562</v>
      </c>
      <c r="M216" s="40" t="n">
        <f aca="false">F216*N216</f>
        <v>0.118177672553595</v>
      </c>
      <c r="N216" s="40" t="n">
        <f aca="false">J216*H216</f>
        <v>0.118177672553595</v>
      </c>
      <c r="O216" s="40" t="n">
        <f aca="false">K216*Q216</f>
        <v>0.11403849216779</v>
      </c>
      <c r="P216" s="40" t="n">
        <f aca="false">L216*R216</f>
        <v>0.122316852939401</v>
      </c>
      <c r="Q216" s="39" t="n">
        <f aca="false">INDEX(REF_MIN,MATCH(D216,REF_ID,0))</f>
        <v>7.85</v>
      </c>
      <c r="R216" s="39" t="n">
        <f aca="false">INDEX(REF_MAX,MATCH(D216,REF_ID,0))</f>
        <v>7.85</v>
      </c>
      <c r="S216" s="41" t="n">
        <v>1.0545682511607</v>
      </c>
      <c r="T216" s="42" t="n">
        <f aca="false">200*J216/S216</f>
        <v>2.85509838998213</v>
      </c>
      <c r="U216" s="43" t="n">
        <f aca="false">IFERROR(INDEX(ISO_TOL,MATCH(T216,ISO_DESDE,1)),0)</f>
        <v>0.1</v>
      </c>
      <c r="V216" s="44" t="n">
        <f aca="false">IF(T216&gt;0,U216/T216,0)</f>
        <v>0.0350250626566414</v>
      </c>
    </row>
    <row r="217" customFormat="false" ht="15" hidden="false" customHeight="false" outlineLevel="2" collapsed="false">
      <c r="A217" s="35" t="n">
        <v>2</v>
      </c>
      <c r="B217" s="36" t="s">
        <v>535</v>
      </c>
      <c r="C217" s="37" t="s">
        <v>536</v>
      </c>
      <c r="D217" s="36" t="s">
        <v>10</v>
      </c>
      <c r="E217" s="36" t="str">
        <f aca="false">INDEX(REF_DATO,MATCH(D217,REF_ID,0))</f>
        <v>Acero (chapa LAC/LAF, SAE 1010/1045)</v>
      </c>
      <c r="F217" s="38" t="n">
        <v>1</v>
      </c>
      <c r="G217" s="35" t="s">
        <v>264</v>
      </c>
      <c r="H217" s="39" t="n">
        <f aca="false">INDEX(REF_VAL,MATCH(D217,REF_ID,0))</f>
        <v>7.85</v>
      </c>
      <c r="I217" s="40" t="n">
        <f aca="false">F217*J217</f>
        <v>0.00167535674298742</v>
      </c>
      <c r="J217" s="40" t="n">
        <v>0.00167535674298742</v>
      </c>
      <c r="K217" s="40" t="n">
        <f aca="false">I217*(1-V217)</f>
        <v>0.00159145265834271</v>
      </c>
      <c r="L217" s="40" t="n">
        <f aca="false">I217*(1+V217)</f>
        <v>0.00175926082763212</v>
      </c>
      <c r="M217" s="40" t="n">
        <f aca="false">F217*N217</f>
        <v>0.0131515504324512</v>
      </c>
      <c r="N217" s="40" t="n">
        <f aca="false">J217*H217</f>
        <v>0.0131515504324512</v>
      </c>
      <c r="O217" s="40" t="n">
        <f aca="false">K217*Q217</f>
        <v>0.0124929033679903</v>
      </c>
      <c r="P217" s="40" t="n">
        <f aca="false">L217*R217</f>
        <v>0.0138101974969122</v>
      </c>
      <c r="Q217" s="39" t="n">
        <f aca="false">INDEX(REF_MIN,MATCH(D217,REF_ID,0))</f>
        <v>7.85</v>
      </c>
      <c r="R217" s="39" t="n">
        <f aca="false">INDEX(REF_MAX,MATCH(D217,REF_ID,0))</f>
        <v>7.85</v>
      </c>
      <c r="S217" s="41" t="n">
        <v>0.167808169289417</v>
      </c>
      <c r="T217" s="42" t="n">
        <f aca="false">200*J217/S217</f>
        <v>1.99675230363541</v>
      </c>
      <c r="U217" s="43" t="n">
        <f aca="false">IFERROR(INDEX(ISO_TOL,MATCH(T217,ISO_DESDE,1)),0)</f>
        <v>0.1</v>
      </c>
      <c r="V217" s="44" t="n">
        <f aca="false">IF(T217&gt;0,U217/T217,0)</f>
        <v>0.0500813244677039</v>
      </c>
    </row>
    <row r="218" customFormat="false" ht="15" hidden="false" customHeight="false" outlineLevel="2" collapsed="false">
      <c r="A218" s="35" t="n">
        <v>2</v>
      </c>
      <c r="B218" s="36" t="s">
        <v>537</v>
      </c>
      <c r="C218" s="37" t="s">
        <v>538</v>
      </c>
      <c r="D218" s="36" t="s">
        <v>10</v>
      </c>
      <c r="E218" s="36" t="str">
        <f aca="false">INDEX(REF_DATO,MATCH(D218,REF_ID,0))</f>
        <v>Acero (chapa LAC/LAF, SAE 1010/1045)</v>
      </c>
      <c r="F218" s="38" t="n">
        <v>1</v>
      </c>
      <c r="G218" s="35" t="s">
        <v>264</v>
      </c>
      <c r="H218" s="39" t="n">
        <f aca="false">INDEX(REF_VAL,MATCH(D218,REF_ID,0))</f>
        <v>7.85</v>
      </c>
      <c r="I218" s="40" t="n">
        <f aca="false">F218*J218</f>
        <v>0.221337841760241</v>
      </c>
      <c r="J218" s="40" t="n">
        <v>0.221337841760241</v>
      </c>
      <c r="K218" s="40" t="n">
        <f aca="false">I218*(1-V218)</f>
        <v>0.208397773153276</v>
      </c>
      <c r="L218" s="40" t="n">
        <f aca="false">I218*(1+V218)</f>
        <v>0.234277910367206</v>
      </c>
      <c r="M218" s="40" t="n">
        <f aca="false">F218*N218</f>
        <v>1.7375020578179</v>
      </c>
      <c r="N218" s="40" t="n">
        <f aca="false">J218*H218</f>
        <v>1.7375020578179</v>
      </c>
      <c r="O218" s="40" t="n">
        <f aca="false">K218*Q218</f>
        <v>1.63592251925322</v>
      </c>
      <c r="P218" s="40" t="n">
        <f aca="false">L218*R218</f>
        <v>1.83908159638257</v>
      </c>
      <c r="Q218" s="39" t="n">
        <f aca="false">INDEX(REF_MIN,MATCH(D218,REF_ID,0))</f>
        <v>7.85</v>
      </c>
      <c r="R218" s="39" t="n">
        <f aca="false">INDEX(REF_MAX,MATCH(D218,REF_ID,0))</f>
        <v>7.85</v>
      </c>
      <c r="S218" s="41" t="n">
        <v>25.88013721393</v>
      </c>
      <c r="T218" s="42" t="n">
        <f aca="false">200*J218/S218</f>
        <v>1.71048429867757</v>
      </c>
      <c r="U218" s="43" t="n">
        <f aca="false">IFERROR(INDEX(ISO_TOL,MATCH(T218,ISO_DESDE,1)),0)</f>
        <v>0.1</v>
      </c>
      <c r="V218" s="44" t="n">
        <f aca="false">IF(T218&gt;0,U218/T218,0)</f>
        <v>0.0584629745372777</v>
      </c>
    </row>
    <row r="219" customFormat="false" ht="15" hidden="false" customHeight="false" outlineLevel="2" collapsed="false">
      <c r="A219" s="35" t="n">
        <v>2</v>
      </c>
      <c r="B219" s="36" t="s">
        <v>539</v>
      </c>
      <c r="C219" s="37" t="s">
        <v>540</v>
      </c>
      <c r="D219" s="36" t="s">
        <v>10</v>
      </c>
      <c r="E219" s="36" t="str">
        <f aca="false">INDEX(REF_DATO,MATCH(D219,REF_ID,0))</f>
        <v>Acero (chapa LAC/LAF, SAE 1010/1045)</v>
      </c>
      <c r="F219" s="38" t="n">
        <v>1</v>
      </c>
      <c r="G219" s="35" t="s">
        <v>264</v>
      </c>
      <c r="H219" s="39" t="n">
        <f aca="false">INDEX(REF_VAL,MATCH(D219,REF_ID,0))</f>
        <v>7.85</v>
      </c>
      <c r="I219" s="40" t="n">
        <f aca="false">F219*J219</f>
        <v>0.106905600000001</v>
      </c>
      <c r="J219" s="40" t="n">
        <v>0.106905600000001</v>
      </c>
      <c r="K219" s="40" t="n">
        <f aca="false">I219*(1-V219)</f>
        <v>0.103271936000001</v>
      </c>
      <c r="L219" s="40" t="n">
        <f aca="false">I219*(1+V219)</f>
        <v>0.110539264000001</v>
      </c>
      <c r="M219" s="40" t="n">
        <f aca="false">F219*N219</f>
        <v>0.839208960000005</v>
      </c>
      <c r="N219" s="40" t="n">
        <f aca="false">J219*H219</f>
        <v>0.839208960000005</v>
      </c>
      <c r="O219" s="40" t="n">
        <f aca="false">K219*Q219</f>
        <v>0.810684697600005</v>
      </c>
      <c r="P219" s="40" t="n">
        <f aca="false">L219*R219</f>
        <v>0.867733222400005</v>
      </c>
      <c r="Q219" s="39" t="n">
        <f aca="false">INDEX(REF_MIN,MATCH(D219,REF_ID,0))</f>
        <v>7.85</v>
      </c>
      <c r="R219" s="39" t="n">
        <f aca="false">INDEX(REF_MAX,MATCH(D219,REF_ID,0))</f>
        <v>7.85</v>
      </c>
      <c r="S219" s="41" t="n">
        <v>7.267328</v>
      </c>
      <c r="T219" s="42" t="n">
        <f aca="false">200*J219/S219</f>
        <v>2.94208820628436</v>
      </c>
      <c r="U219" s="43" t="n">
        <f aca="false">IFERROR(INDEX(ISO_TOL,MATCH(T219,ISO_DESDE,1)),0)</f>
        <v>0.1</v>
      </c>
      <c r="V219" s="44" t="n">
        <f aca="false">IF(T219&gt;0,U219/T219,0)</f>
        <v>0.0339894636015324</v>
      </c>
    </row>
    <row r="220" customFormat="false" ht="15" hidden="false" customHeight="false" outlineLevel="1" collapsed="false">
      <c r="A220" s="25" t="n">
        <v>1</v>
      </c>
      <c r="B220" s="26" t="s">
        <v>541</v>
      </c>
      <c r="C220" s="27" t="s">
        <v>312</v>
      </c>
      <c r="D220" s="26"/>
      <c r="E220" s="26"/>
      <c r="F220" s="28" t="n">
        <v>1</v>
      </c>
      <c r="G220" s="25" t="s">
        <v>264</v>
      </c>
      <c r="H220" s="29"/>
      <c r="I220" s="30"/>
      <c r="J220" s="30"/>
      <c r="K220" s="30"/>
      <c r="L220" s="30"/>
      <c r="M220" s="30" t="n">
        <f aca="false">IF(SUMIF(A221:A222,2,M221:M222)=0,"",SUMIF(A221:A222,2,M221:M222))</f>
        <v>25.2013284582345</v>
      </c>
      <c r="N220" s="30"/>
      <c r="O220" s="30" t="n">
        <f aca="false">IF(SUMIF(A221:A222,2,O221:O222)=0,"",SUMIF(A221:A222,2,O221:O222))</f>
        <v>24.4207263908649</v>
      </c>
      <c r="P220" s="30" t="n">
        <f aca="false">IF(SUMIF(A221:A222,2,P221:P222)=0,"",SUMIF(A221:A222,2,P221:P222))</f>
        <v>25.9845592546099</v>
      </c>
      <c r="Q220" s="29"/>
      <c r="R220" s="29"/>
      <c r="S220" s="31"/>
      <c r="T220" s="32"/>
      <c r="U220" s="33"/>
      <c r="V220" s="34"/>
    </row>
    <row r="221" customFormat="false" ht="15" hidden="false" customHeight="false" outlineLevel="2" collapsed="false">
      <c r="A221" s="35" t="n">
        <v>2</v>
      </c>
      <c r="B221" s="36" t="s">
        <v>542</v>
      </c>
      <c r="C221" s="37" t="s">
        <v>543</v>
      </c>
      <c r="D221" s="36" t="s">
        <v>37</v>
      </c>
      <c r="E221" s="36" t="str">
        <f aca="false">INDEX(REF_DATO,MATCH(D221,REF_ID,0))</f>
        <v>Polvo ABC asentado en el recipiente</v>
      </c>
      <c r="F221" s="38" t="n">
        <f aca="false">MODELOS!$L$16</f>
        <v>25</v>
      </c>
      <c r="G221" s="35" t="s">
        <v>123</v>
      </c>
      <c r="H221" s="39" t="n">
        <f aca="false">INDEX(REF_VAL,MATCH(D221,REF_ID,0))</f>
        <v>1.1</v>
      </c>
      <c r="I221" s="40" t="n">
        <f aca="false">F221*J221</f>
        <v>22.7272727272727</v>
      </c>
      <c r="J221" s="40" t="n">
        <f aca="false">1/H221</f>
        <v>0.909090909090909</v>
      </c>
      <c r="K221" s="40" t="n">
        <f aca="false">MODELOS!$M$16/R221</f>
        <v>22.0454545454545</v>
      </c>
      <c r="L221" s="40" t="n">
        <f aca="false">MODELOS!$N$16/Q221</f>
        <v>23.4090909090909</v>
      </c>
      <c r="M221" s="40" t="n">
        <f aca="false">F221</f>
        <v>25</v>
      </c>
      <c r="N221" s="40" t="n">
        <v>1</v>
      </c>
      <c r="O221" s="40" t="n">
        <f aca="false">MODELOS!$M$16</f>
        <v>24.25</v>
      </c>
      <c r="P221" s="40" t="n">
        <f aca="false">MODELOS!$N$16</f>
        <v>25.75</v>
      </c>
      <c r="Q221" s="39" t="n">
        <f aca="false">INDEX(REF_MIN,MATCH(D221,REF_ID,0))</f>
        <v>1.1</v>
      </c>
      <c r="R221" s="39" t="n">
        <f aca="false">INDEX(REF_MAX,MATCH(D221,REF_ID,0))</f>
        <v>1.1</v>
      </c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544</v>
      </c>
      <c r="C222" s="37" t="s">
        <v>316</v>
      </c>
      <c r="D222" s="36" t="s">
        <v>78</v>
      </c>
      <c r="E222" s="36" t="str">
        <f aca="false">INDEX(REF_DATO,MATCH(D222,REF_ID,0))</f>
        <v>Nitrógeno seco (densidad normal)</v>
      </c>
      <c r="F222" s="38" t="n">
        <f aca="false">MODELOS!$AF$16</f>
        <v>0.201328458234476</v>
      </c>
      <c r="G222" s="35" t="s">
        <v>123</v>
      </c>
      <c r="H222" s="39" t="n">
        <f aca="false">INDEX(REF_VAL,MATCH(D222,REF_ID,0))</f>
        <v>0.00124921923797626</v>
      </c>
      <c r="I222" s="40" t="n">
        <f aca="false">F222*J222</f>
        <v>161.163430816698</v>
      </c>
      <c r="J222" s="40" t="n">
        <f aca="false">1/H222</f>
        <v>800.5</v>
      </c>
      <c r="K222" s="40" t="n">
        <f aca="false">MODELOS!$AG$16/H222</f>
        <v>136.666475887373</v>
      </c>
      <c r="L222" s="40" t="n">
        <f aca="false">MODELOS!$AH$16/H222</f>
        <v>187.764683315256</v>
      </c>
      <c r="M222" s="40" t="n">
        <f aca="false">F222</f>
        <v>0.201328458234476</v>
      </c>
      <c r="N222" s="40" t="n">
        <v>1</v>
      </c>
      <c r="O222" s="40" t="n">
        <f aca="false">MODELOS!$AG$16</f>
        <v>0.170726390864926</v>
      </c>
      <c r="P222" s="40" t="n">
        <f aca="false">MODELOS!$AH$16</f>
        <v>0.234559254609939</v>
      </c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545</v>
      </c>
      <c r="C223" s="27" t="s">
        <v>318</v>
      </c>
      <c r="D223" s="26"/>
      <c r="E223" s="26"/>
      <c r="F223" s="28" t="n">
        <v>1</v>
      </c>
      <c r="G223" s="25" t="s">
        <v>264</v>
      </c>
      <c r="H223" s="29"/>
      <c r="I223" s="30"/>
      <c r="J223" s="30"/>
      <c r="K223" s="30"/>
      <c r="L223" s="30"/>
      <c r="M223" s="30" t="n">
        <f aca="false">IF(SUMIF(A224:A230,2,M224:M230)=0,"",SUMIF(A224:A230,2,M224:M230))</f>
        <v>0.039163319312678</v>
      </c>
      <c r="N223" s="30"/>
      <c r="O223" s="30" t="n">
        <f aca="false">IF(SUMIF(A224:A230,2,O224:O230)=0,"",SUMIF(A224:A230,2,O224:O230))</f>
        <v>0.0377621048431285</v>
      </c>
      <c r="P223" s="30" t="n">
        <f aca="false">IF(SUMIF(A224:A230,2,P224:P230)=0,"",SUMIF(A224:A230,2,P224:P230))</f>
        <v>0.0405665954524063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546</v>
      </c>
      <c r="C224" s="37" t="s">
        <v>320</v>
      </c>
      <c r="D224" s="36" t="s">
        <v>32</v>
      </c>
      <c r="E224" s="36" t="str">
        <f aca="false">INDEX(REF_DATO,MATCH(D224,REF_ID,0))</f>
        <v>PVC rígido, vinilo y papeles de identificación</v>
      </c>
      <c r="F224" s="38" t="n">
        <v>1</v>
      </c>
      <c r="G224" s="35" t="s">
        <v>264</v>
      </c>
      <c r="H224" s="39" t="n">
        <f aca="false">INDEX(REF_VAL,MATCH(D224,REF_ID,0))</f>
        <v>1.4</v>
      </c>
      <c r="I224" s="40" t="n">
        <f aca="false">F224*J224</f>
        <v>0.0236996745269834</v>
      </c>
      <c r="J224" s="40" t="n">
        <v>0.0236996745269834</v>
      </c>
      <c r="K224" s="40" t="n">
        <f aca="false">I224*(1-V224)</f>
        <v>0.0236996745269834</v>
      </c>
      <c r="L224" s="40" t="n">
        <f aca="false">I224*(1+V224)</f>
        <v>0.0236996745269834</v>
      </c>
      <c r="M224" s="40" t="n">
        <f aca="false">F224*N224</f>
        <v>0.0331795443377768</v>
      </c>
      <c r="N224" s="40" t="n">
        <f aca="false">J224*H224</f>
        <v>0.0331795443377768</v>
      </c>
      <c r="O224" s="40" t="n">
        <f aca="false">K224*Q224</f>
        <v>0.0319945606114276</v>
      </c>
      <c r="P224" s="40" t="n">
        <f aca="false">L224*R224</f>
        <v>0.0343645280641259</v>
      </c>
      <c r="Q224" s="39" t="n">
        <f aca="false">INDEX(REF_MIN,MATCH(D224,REF_ID,0))</f>
        <v>1.35</v>
      </c>
      <c r="R224" s="39" t="n">
        <f aca="false">INDEX(REF_MAX,MATCH(D224,REF_ID,0))</f>
        <v>1.45</v>
      </c>
      <c r="S224" s="41" t="n">
        <v>15.8349341340578</v>
      </c>
      <c r="T224" s="42" t="n">
        <f aca="false">200*J224/S224</f>
        <v>0.299334046183497</v>
      </c>
      <c r="U224" s="43" t="n">
        <f aca="false">IFERROR(INDEX(ISO_TOL,MATCH(T224,ISO_DESDE,1)),0)</f>
        <v>0</v>
      </c>
      <c r="V224" s="44" t="n">
        <f aca="false">IF(T224&gt;0,U224/T224,0)</f>
        <v>0</v>
      </c>
    </row>
    <row r="225" customFormat="false" ht="15" hidden="false" customHeight="false" outlineLevel="2" collapsed="false">
      <c r="A225" s="35" t="n">
        <v>2</v>
      </c>
      <c r="B225" s="36" t="s">
        <v>547</v>
      </c>
      <c r="C225" s="37" t="s">
        <v>322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0.000635488752260436</v>
      </c>
      <c r="J225" s="40" t="n">
        <v>0.000635488752260436</v>
      </c>
      <c r="K225" s="40" t="n">
        <f aca="false">I225*(1-V225)</f>
        <v>0.000635488752260436</v>
      </c>
      <c r="L225" s="40" t="n">
        <f aca="false">I225*(1+V225)</f>
        <v>0.000635488752260436</v>
      </c>
      <c r="M225" s="40" t="n">
        <f aca="false">F225*N225</f>
        <v>0.00088968425316461</v>
      </c>
      <c r="N225" s="40" t="n">
        <f aca="false">J225*H225</f>
        <v>0.00088968425316461</v>
      </c>
      <c r="O225" s="40" t="n">
        <f aca="false">K225*Q225</f>
        <v>0.000857909815551588</v>
      </c>
      <c r="P225" s="40" t="n">
        <f aca="false">L225*R225</f>
        <v>0.000921458690777632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0.429182162748644</v>
      </c>
      <c r="T225" s="42" t="n">
        <f aca="false">200*J225/S225</f>
        <v>0.296139405324083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548</v>
      </c>
      <c r="C226" s="37" t="s">
        <v>324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0.00072078119349007</v>
      </c>
      <c r="J226" s="40" t="n">
        <v>0.00072078119349007</v>
      </c>
      <c r="K226" s="40" t="n">
        <f aca="false">I226*(1-V226)</f>
        <v>0.00072078119349007</v>
      </c>
      <c r="L226" s="40" t="n">
        <f aca="false">I226*(1+V226)</f>
        <v>0.00072078119349007</v>
      </c>
      <c r="M226" s="40" t="n">
        <f aca="false">F226*N226</f>
        <v>0.0010090936708861</v>
      </c>
      <c r="N226" s="40" t="n">
        <f aca="false">J226*H226</f>
        <v>0.0010090936708861</v>
      </c>
      <c r="O226" s="40" t="n">
        <f aca="false">K226*Q226</f>
        <v>0.000973054611211595</v>
      </c>
      <c r="P226" s="40" t="n">
        <f aca="false">L226*R226</f>
        <v>0.0010451327305606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0.486524701627487</v>
      </c>
      <c r="T226" s="42" t="n">
        <f aca="false">200*J226/S226</f>
        <v>0.296297882133822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549</v>
      </c>
      <c r="C227" s="37" t="s">
        <v>384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0.00231250632911406</v>
      </c>
      <c r="J227" s="40" t="n">
        <v>0.00231250632911406</v>
      </c>
      <c r="K227" s="40" t="n">
        <f aca="false">I227*(1-V227)</f>
        <v>0.00231250632911406</v>
      </c>
      <c r="L227" s="40" t="n">
        <f aca="false">I227*(1+V227)</f>
        <v>0.00231250632911406</v>
      </c>
      <c r="M227" s="40" t="n">
        <f aca="false">F227*N227</f>
        <v>0.00323750886075969</v>
      </c>
      <c r="N227" s="40" t="n">
        <f aca="false">J227*H227</f>
        <v>0.00323750886075969</v>
      </c>
      <c r="O227" s="40" t="n">
        <f aca="false">K227*Q227</f>
        <v>0.00312188354430398</v>
      </c>
      <c r="P227" s="40" t="n">
        <f aca="false">L227*R227</f>
        <v>0.00335313417721539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1.55338</v>
      </c>
      <c r="T227" s="42" t="n">
        <f aca="false">200*J227/S227</f>
        <v>0.297738651085254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550</v>
      </c>
      <c r="C228" s="37" t="s">
        <v>326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0.000337866184448484</v>
      </c>
      <c r="J228" s="40" t="n">
        <v>0.000337866184448484</v>
      </c>
      <c r="K228" s="40" t="n">
        <f aca="false">I228*(1-V228)</f>
        <v>0.000337866184448484</v>
      </c>
      <c r="L228" s="40" t="n">
        <f aca="false">I228*(1+V228)</f>
        <v>0.000337866184448484</v>
      </c>
      <c r="M228" s="40" t="n">
        <f aca="false">F228*N228</f>
        <v>0.000473012658227877</v>
      </c>
      <c r="N228" s="40" t="n">
        <f aca="false">J228*H228</f>
        <v>0.000473012658227877</v>
      </c>
      <c r="O228" s="40" t="n">
        <f aca="false">K228*Q228</f>
        <v>0.000456119349005453</v>
      </c>
      <c r="P228" s="40" t="n">
        <f aca="false">L228*R228</f>
        <v>0.000489905967450301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0.22944705244123</v>
      </c>
      <c r="T228" s="42" t="n">
        <f aca="false">200*J228/S228</f>
        <v>0.294504706731871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551</v>
      </c>
      <c r="C229" s="37" t="s">
        <v>328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0.000141257817927495</v>
      </c>
      <c r="J229" s="40" t="n">
        <v>0.000141257817927495</v>
      </c>
      <c r="K229" s="40" t="n">
        <f aca="false">I229*(1-V229)</f>
        <v>0.000141257817927495</v>
      </c>
      <c r="L229" s="40" t="n">
        <f aca="false">I229*(1+V229)</f>
        <v>0.000141257817927495</v>
      </c>
      <c r="M229" s="40" t="n">
        <f aca="false">F229*N229</f>
        <v>0.000197760945098492</v>
      </c>
      <c r="N229" s="40" t="n">
        <f aca="false">J229*H229</f>
        <v>0.000197760945098492</v>
      </c>
      <c r="O229" s="40" t="n">
        <f aca="false">K229*Q229</f>
        <v>0.000190698054202118</v>
      </c>
      <c r="P229" s="40" t="n">
        <f aca="false">L229*R229</f>
        <v>0.000204823835994867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0.143418410881797</v>
      </c>
      <c r="T229" s="42" t="n">
        <f aca="false">200*J229/S229</f>
        <v>0.196987007538268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552</v>
      </c>
      <c r="C230" s="37" t="s">
        <v>330</v>
      </c>
      <c r="D230" s="36" t="s">
        <v>26</v>
      </c>
      <c r="E230" s="36" t="str">
        <f aca="false">INDEX(REF_DATO,MATCH(D230,REF_ID,0))</f>
        <v>Polipropileno</v>
      </c>
      <c r="F230" s="38" t="n">
        <v>1</v>
      </c>
      <c r="G230" s="35" t="s">
        <v>264</v>
      </c>
      <c r="H230" s="39" t="n">
        <f aca="false">INDEX(REF_VAL,MATCH(D230,REF_ID,0))</f>
        <v>0.9</v>
      </c>
      <c r="I230" s="40" t="n">
        <f aca="false">F230*J230</f>
        <v>0.000196349540849362</v>
      </c>
      <c r="J230" s="40" t="n">
        <v>0.000196349540849362</v>
      </c>
      <c r="K230" s="40" t="n">
        <f aca="false">I230*(1-V230)</f>
        <v>0.000186532063806894</v>
      </c>
      <c r="L230" s="40" t="n">
        <f aca="false">I230*(1+V230)</f>
        <v>0.00020616701789183</v>
      </c>
      <c r="M230" s="40" t="n">
        <f aca="false">F230*N230</f>
        <v>0.000176714586764426</v>
      </c>
      <c r="N230" s="40" t="n">
        <f aca="false">J230*H230</f>
        <v>0.000176714586764426</v>
      </c>
      <c r="O230" s="40" t="n">
        <f aca="false">K230*Q230</f>
        <v>0.000167878857426205</v>
      </c>
      <c r="P230" s="40" t="n">
        <f aca="false">L230*R230</f>
        <v>0.000187611986281566</v>
      </c>
      <c r="Q230" s="39" t="n">
        <f aca="false">INDEX(REF_MIN,MATCH(D230,REF_ID,0))</f>
        <v>0.9</v>
      </c>
      <c r="R230" s="39" t="n">
        <f aca="false">INDEX(REF_MAX,MATCH(D230,REF_ID,0))</f>
        <v>0.91</v>
      </c>
      <c r="S230" s="41" t="n">
        <v>0.0196349540849362</v>
      </c>
      <c r="T230" s="42" t="n">
        <f aca="false">200*J230/S230</f>
        <v>2</v>
      </c>
      <c r="U230" s="43" t="n">
        <f aca="false">IFERROR(INDEX(ISO_TOL,MATCH(T230,ISO_DESDE,1)),0)</f>
        <v>0.1</v>
      </c>
      <c r="V230" s="44" t="n">
        <f aca="false">IF(T230&gt;0,U230/T230,0)</f>
        <v>0.05</v>
      </c>
    </row>
    <row r="231" customFormat="false" ht="15" hidden="false" customHeight="false" outlineLevel="1" collapsed="false">
      <c r="A231" s="25" t="n">
        <v>1</v>
      </c>
      <c r="B231" s="26" t="s">
        <v>553</v>
      </c>
      <c r="C231" s="27" t="s">
        <v>336</v>
      </c>
      <c r="D231" s="26"/>
      <c r="E231" s="26"/>
      <c r="F231" s="28" t="n">
        <v>1</v>
      </c>
      <c r="G231" s="25" t="s">
        <v>264</v>
      </c>
      <c r="H231" s="29"/>
      <c r="I231" s="30"/>
      <c r="J231" s="30"/>
      <c r="K231" s="30"/>
      <c r="L231" s="30"/>
      <c r="M231" s="30" t="str">
        <f aca="false">IF(SUMIF(A232:A235,2,M232:M235)=0,"",SUMIF(A232:A235,2,M232:M235))</f>
        <v/>
      </c>
      <c r="N231" s="30"/>
      <c r="O231" s="30" t="str">
        <f aca="false">IF(SUMIF(A232:A235,2,O232:O235)=0,"",SUMIF(A232:A235,2,O232:O235))</f>
        <v/>
      </c>
      <c r="P231" s="30" t="str">
        <f aca="false">IF(SUMIF(A232:A235,2,P232:P235)=0,"",SUMIF(A232:A235,2,P232:P235))</f>
        <v/>
      </c>
      <c r="Q231" s="29"/>
      <c r="R231" s="29"/>
      <c r="S231" s="31"/>
      <c r="T231" s="32"/>
      <c r="U231" s="33"/>
      <c r="V231" s="34"/>
    </row>
    <row r="232" customFormat="false" ht="15" hidden="false" customHeight="false" outlineLevel="2" collapsed="false">
      <c r="A232" s="35" t="n">
        <v>2</v>
      </c>
      <c r="B232" s="36" t="s">
        <v>554</v>
      </c>
      <c r="C232" s="37" t="s">
        <v>338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2" collapsed="false">
      <c r="A233" s="35" t="n">
        <v>2</v>
      </c>
      <c r="B233" s="36" t="s">
        <v>555</v>
      </c>
      <c r="C233" s="37" t="s">
        <v>340</v>
      </c>
      <c r="D233" s="36"/>
      <c r="E233" s="36"/>
      <c r="F233" s="38" t="n">
        <v>1</v>
      </c>
      <c r="G233" s="35" t="s">
        <v>264</v>
      </c>
      <c r="H233" s="39"/>
      <c r="I233" s="40"/>
      <c r="J233" s="40"/>
      <c r="K233" s="40"/>
      <c r="L233" s="40"/>
      <c r="M233" s="40"/>
      <c r="N233" s="40"/>
      <c r="O233" s="40"/>
      <c r="P233" s="40"/>
      <c r="Q233" s="39"/>
      <c r="R233" s="39"/>
      <c r="S233" s="41"/>
      <c r="T233" s="42"/>
      <c r="U233" s="43"/>
      <c r="V233" s="44"/>
    </row>
    <row r="234" customFormat="false" ht="15" hidden="false" customHeight="false" outlineLevel="2" collapsed="false">
      <c r="A234" s="35" t="n">
        <v>2</v>
      </c>
      <c r="B234" s="36" t="s">
        <v>556</v>
      </c>
      <c r="C234" s="37" t="s">
        <v>342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2" collapsed="false">
      <c r="A235" s="35" t="n">
        <v>2</v>
      </c>
      <c r="B235" s="36" t="s">
        <v>557</v>
      </c>
      <c r="C235" s="37" t="s">
        <v>344</v>
      </c>
      <c r="D235" s="36"/>
      <c r="E235" s="36"/>
      <c r="F235" s="38" t="n">
        <v>1</v>
      </c>
      <c r="G235" s="35" t="s">
        <v>264</v>
      </c>
      <c r="H235" s="39"/>
      <c r="I235" s="40"/>
      <c r="J235" s="40"/>
      <c r="K235" s="40"/>
      <c r="L235" s="40"/>
      <c r="M235" s="40"/>
      <c r="N235" s="40"/>
      <c r="O235" s="40"/>
      <c r="P235" s="40"/>
      <c r="Q235" s="39"/>
      <c r="R235" s="39"/>
      <c r="S235" s="41"/>
      <c r="T235" s="42"/>
      <c r="U235" s="43"/>
      <c r="V235" s="44"/>
    </row>
    <row r="236" customFormat="false" ht="15" hidden="false" customHeight="false" outlineLevel="0" collapsed="false">
      <c r="A236" s="16" t="n">
        <v>0</v>
      </c>
      <c r="B236" s="17" t="s">
        <v>238</v>
      </c>
      <c r="C236" s="17" t="s">
        <v>239</v>
      </c>
      <c r="D236" s="17"/>
      <c r="E236" s="17"/>
      <c r="F236" s="18" t="n">
        <v>1</v>
      </c>
      <c r="G236" s="16" t="s">
        <v>264</v>
      </c>
      <c r="H236" s="19"/>
      <c r="I236" s="20"/>
      <c r="J236" s="20"/>
      <c r="K236" s="20"/>
      <c r="L236" s="20"/>
      <c r="M236" s="20" t="n">
        <f aca="false">IF(SUMIF(A237:A289,1,M237:M289)=0,"",SUMIF(A237:A289,1,M237:M289))</f>
        <v>95.9443800063987</v>
      </c>
      <c r="N236" s="20"/>
      <c r="O236" s="20" t="n">
        <f aca="false">IF(SUMIF(A237:A289,1,O237:O289)=0,"",SUMIF(A237:A289,1,O237:O289))</f>
        <v>92.3835679924425</v>
      </c>
      <c r="P236" s="20" t="n">
        <f aca="false">IF(SUMIF(A237:A289,1,P237:P289)=0,"",SUMIF(A237:A289,1,P237:P289))</f>
        <v>99.5290340401423</v>
      </c>
      <c r="Q236" s="19"/>
      <c r="R236" s="19"/>
      <c r="S236" s="21"/>
      <c r="T236" s="22"/>
      <c r="U236" s="23"/>
      <c r="V236" s="24"/>
    </row>
    <row r="237" customFormat="false" ht="15" hidden="false" customHeight="false" outlineLevel="1" collapsed="false">
      <c r="A237" s="25" t="n">
        <v>1</v>
      </c>
      <c r="B237" s="26" t="s">
        <v>558</v>
      </c>
      <c r="C237" s="27" t="s">
        <v>266</v>
      </c>
      <c r="D237" s="26"/>
      <c r="E237" s="26"/>
      <c r="F237" s="28" t="n">
        <v>1</v>
      </c>
      <c r="G237" s="25" t="s">
        <v>264</v>
      </c>
      <c r="H237" s="29"/>
      <c r="I237" s="30"/>
      <c r="J237" s="30"/>
      <c r="K237" s="30"/>
      <c r="L237" s="30"/>
      <c r="M237" s="30" t="n">
        <f aca="false">IF(SUMIF(A238:A241,2,M238:M241)=0,"",SUMIF(A238:A241,2,M238:M241))</f>
        <v>23.0823666004926</v>
      </c>
      <c r="N237" s="30"/>
      <c r="O237" s="30" t="n">
        <f aca="false">IF(SUMIF(A238:A241,2,O238:O241)=0,"",SUMIF(A238:A241,2,O238:O241))</f>
        <v>22.3515447171397</v>
      </c>
      <c r="P237" s="30" t="n">
        <f aca="false">IF(SUMIF(A238:A241,2,P238:P241)=0,"",SUMIF(A238:A241,2,P238:P241))</f>
        <v>23.8131884838456</v>
      </c>
      <c r="Q237" s="29"/>
      <c r="R237" s="29"/>
      <c r="S237" s="31"/>
      <c r="T237" s="32"/>
      <c r="U237" s="33"/>
      <c r="V237" s="34"/>
    </row>
    <row r="238" customFormat="false" ht="15" hidden="false" customHeight="false" outlineLevel="2" collapsed="false">
      <c r="A238" s="35" t="n">
        <v>2</v>
      </c>
      <c r="B238" s="36" t="s">
        <v>559</v>
      </c>
      <c r="C238" s="37" t="s">
        <v>268</v>
      </c>
      <c r="D238" s="36" t="s">
        <v>10</v>
      </c>
      <c r="E238" s="36" t="str">
        <f aca="false">INDEX(REF_DATO,MATCH(D238,REF_ID,0))</f>
        <v>Acero (chapa LAC/LAF, SAE 1010/1045)</v>
      </c>
      <c r="F238" s="38" t="n">
        <v>1</v>
      </c>
      <c r="G238" s="35" t="s">
        <v>264</v>
      </c>
      <c r="H238" s="39" t="n">
        <f aca="false">INDEX(REF_VAL,MATCH(D238,REF_ID,0))</f>
        <v>7.85</v>
      </c>
      <c r="I238" s="40" t="n">
        <f aca="false">F238*J238</f>
        <v>2.03828541984203</v>
      </c>
      <c r="J238" s="40" t="n">
        <v>2.03828541984203</v>
      </c>
      <c r="K238" s="40" t="n">
        <f aca="false">I238*(1-V238)</f>
        <v>1.97427051837511</v>
      </c>
      <c r="L238" s="40" t="n">
        <f aca="false">I238*(1+V238)</f>
        <v>2.10230032130894</v>
      </c>
      <c r="M238" s="40" t="n">
        <f aca="false">F238*N238</f>
        <v>16.0005405457599</v>
      </c>
      <c r="N238" s="40" t="n">
        <f aca="false">J238*H238</f>
        <v>16.0005405457599</v>
      </c>
      <c r="O238" s="40" t="n">
        <f aca="false">K238*Q238</f>
        <v>15.4980235692446</v>
      </c>
      <c r="P238" s="40" t="n">
        <f aca="false">L238*R238</f>
        <v>16.5030575222752</v>
      </c>
      <c r="Q238" s="39" t="n">
        <f aca="false">INDEX(REF_MIN,MATCH(D238,REF_ID,0))</f>
        <v>7.85</v>
      </c>
      <c r="R238" s="39" t="n">
        <f aca="false">INDEX(REF_MAX,MATCH(D238,REF_ID,0))</f>
        <v>7.85</v>
      </c>
      <c r="S238" s="41" t="n">
        <v>128.029802933828</v>
      </c>
      <c r="T238" s="42" t="n">
        <f aca="false">200*J238/S238</f>
        <v>3.18407960199003</v>
      </c>
      <c r="U238" s="43" t="n">
        <f aca="false">IFERROR(INDEX(ISO_TOL,MATCH(T238,ISO_DESDE,1)),0)</f>
        <v>0.1</v>
      </c>
      <c r="V238" s="44" t="n">
        <f aca="false">IF(T238&gt;0,U238/T238,0)</f>
        <v>0.0314062500000002</v>
      </c>
    </row>
    <row r="239" customFormat="false" ht="15" hidden="false" customHeight="false" outlineLevel="2" collapsed="false">
      <c r="A239" s="35" t="n">
        <v>2</v>
      </c>
      <c r="B239" s="36" t="s">
        <v>560</v>
      </c>
      <c r="C239" s="37" t="s">
        <v>270</v>
      </c>
      <c r="D239" s="36" t="s">
        <v>10</v>
      </c>
      <c r="E239" s="36" t="str">
        <f aca="false">INDEX(REF_DATO,MATCH(D239,REF_ID,0))</f>
        <v>Acero (chapa LAC/LAF, SAE 1010/1045)</v>
      </c>
      <c r="F239" s="38" t="n">
        <v>1</v>
      </c>
      <c r="G239" s="35" t="s">
        <v>264</v>
      </c>
      <c r="H239" s="39" t="n">
        <f aca="false">INDEX(REF_VAL,MATCH(D239,REF_ID,0))</f>
        <v>7.85</v>
      </c>
      <c r="I239" s="40" t="n">
        <f aca="false">F239*J239</f>
        <v>0.399694102926945</v>
      </c>
      <c r="J239" s="40" t="n">
        <v>0.399694102926945</v>
      </c>
      <c r="K239" s="40" t="n">
        <f aca="false">I239*(1-V239)</f>
        <v>0.386616367645973</v>
      </c>
      <c r="L239" s="40" t="n">
        <f aca="false">I239*(1+V239)</f>
        <v>0.412771838207917</v>
      </c>
      <c r="M239" s="40" t="n">
        <f aca="false">F239*N239</f>
        <v>3.13759870797652</v>
      </c>
      <c r="N239" s="40" t="n">
        <f aca="false">J239*H239</f>
        <v>3.13759870797652</v>
      </c>
      <c r="O239" s="40" t="n">
        <f aca="false">K239*Q239</f>
        <v>3.03493848602089</v>
      </c>
      <c r="P239" s="40" t="n">
        <f aca="false">L239*R239</f>
        <v>3.24025892993215</v>
      </c>
      <c r="Q239" s="39" t="n">
        <f aca="false">INDEX(REF_MIN,MATCH(D239,REF_ID,0))</f>
        <v>7.85</v>
      </c>
      <c r="R239" s="39" t="n">
        <f aca="false">INDEX(REF_MAX,MATCH(D239,REF_ID,0))</f>
        <v>7.85</v>
      </c>
      <c r="S239" s="41" t="n">
        <v>26.1554705619438</v>
      </c>
      <c r="T239" s="42" t="n">
        <f aca="false">200*J239/S239</f>
        <v>3.05629449090088</v>
      </c>
      <c r="U239" s="43" t="n">
        <f aca="false">IFERROR(INDEX(ISO_TOL,MATCH(T239,ISO_DESDE,1)),0)</f>
        <v>0.1</v>
      </c>
      <c r="V239" s="44" t="n">
        <f aca="false">IF(T239&gt;0,U239/T239,0)</f>
        <v>0.0327193600936419</v>
      </c>
    </row>
    <row r="240" customFormat="false" ht="15" hidden="false" customHeight="false" outlineLevel="2" collapsed="false">
      <c r="A240" s="35" t="n">
        <v>2</v>
      </c>
      <c r="B240" s="36" t="s">
        <v>561</v>
      </c>
      <c r="C240" s="37" t="s">
        <v>272</v>
      </c>
      <c r="D240" s="36" t="s">
        <v>10</v>
      </c>
      <c r="E240" s="36" t="str">
        <f aca="false">INDEX(REF_DATO,MATCH(D240,REF_ID,0))</f>
        <v>Acero (chapa LAC/LAF, SAE 1010/1045)</v>
      </c>
      <c r="F240" s="38" t="n">
        <v>1</v>
      </c>
      <c r="G240" s="35" t="s">
        <v>264</v>
      </c>
      <c r="H240" s="39" t="n">
        <f aca="false">INDEX(REF_VAL,MATCH(D240,REF_ID,0))</f>
        <v>7.85</v>
      </c>
      <c r="I240" s="40" t="n">
        <f aca="false">F240*J240</f>
        <v>0.42494412788623</v>
      </c>
      <c r="J240" s="40" t="n">
        <v>0.42494412788623</v>
      </c>
      <c r="K240" s="40" t="n">
        <f aca="false">I240*(1-V240)</f>
        <v>0.411400242549429</v>
      </c>
      <c r="L240" s="40" t="n">
        <f aca="false">I240*(1+V240)</f>
        <v>0.438488013223032</v>
      </c>
      <c r="M240" s="40" t="n">
        <f aca="false">F240*N240</f>
        <v>3.33581140390691</v>
      </c>
      <c r="N240" s="40" t="n">
        <f aca="false">J240*H240</f>
        <v>3.33581140390691</v>
      </c>
      <c r="O240" s="40" t="n">
        <f aca="false">K240*Q240</f>
        <v>3.22949190401301</v>
      </c>
      <c r="P240" s="40" t="n">
        <f aca="false">L240*R240</f>
        <v>3.4421309038008</v>
      </c>
      <c r="Q240" s="39" t="n">
        <f aca="false">INDEX(REF_MIN,MATCH(D240,REF_ID,0))</f>
        <v>7.85</v>
      </c>
      <c r="R240" s="39" t="n">
        <f aca="false">INDEX(REF_MAX,MATCH(D240,REF_ID,0))</f>
        <v>7.85</v>
      </c>
      <c r="S240" s="41" t="n">
        <v>27.0877706736028</v>
      </c>
      <c r="T240" s="42" t="n">
        <f aca="false">200*J240/S240</f>
        <v>3.13753488987073</v>
      </c>
      <c r="U240" s="43" t="n">
        <f aca="false">IFERROR(INDEX(ISO_TOL,MATCH(T240,ISO_DESDE,1)),0)</f>
        <v>0.1</v>
      </c>
      <c r="V240" s="44" t="n">
        <f aca="false">IF(T240&gt;0,U240/T240,0)</f>
        <v>0.0318721555329446</v>
      </c>
    </row>
    <row r="241" customFormat="false" ht="15" hidden="false" customHeight="false" outlineLevel="2" collapsed="false">
      <c r="A241" s="35" t="n">
        <v>2</v>
      </c>
      <c r="B241" s="36" t="s">
        <v>562</v>
      </c>
      <c r="C241" s="37" t="s">
        <v>274</v>
      </c>
      <c r="D241" s="36" t="s">
        <v>10</v>
      </c>
      <c r="E241" s="36" t="str">
        <f aca="false">INDEX(REF_DATO,MATCH(D241,REF_ID,0))</f>
        <v>Acero (chapa LAC/LAF, SAE 1010/1045)</v>
      </c>
      <c r="F241" s="38" t="n">
        <v>1</v>
      </c>
      <c r="G241" s="35" t="s">
        <v>264</v>
      </c>
      <c r="H241" s="39" t="n">
        <f aca="false">INDEX(REF_VAL,MATCH(D241,REF_ID,0))</f>
        <v>7.85</v>
      </c>
      <c r="I241" s="40" t="n">
        <f aca="false">F241*J241</f>
        <v>0.0775052156495928</v>
      </c>
      <c r="J241" s="40" t="n">
        <v>0.0775052156495928</v>
      </c>
      <c r="K241" s="40" t="n">
        <f aca="false">I241*(1-V241)</f>
        <v>0.0750434086447346</v>
      </c>
      <c r="L241" s="40" t="n">
        <f aca="false">I241*(1+V241)</f>
        <v>0.079967022654451</v>
      </c>
      <c r="M241" s="40" t="n">
        <f aca="false">F241*N241</f>
        <v>0.608415942849303</v>
      </c>
      <c r="N241" s="40" t="n">
        <f aca="false">J241*H241</f>
        <v>0.608415942849303</v>
      </c>
      <c r="O241" s="40" t="n">
        <f aca="false">K241*Q241</f>
        <v>0.589090757861167</v>
      </c>
      <c r="P241" s="40" t="n">
        <f aca="false">L241*R241</f>
        <v>0.62774112783744</v>
      </c>
      <c r="Q241" s="39" t="n">
        <f aca="false">INDEX(REF_MIN,MATCH(D241,REF_ID,0))</f>
        <v>7.85</v>
      </c>
      <c r="R241" s="39" t="n">
        <f aca="false">INDEX(REF_MAX,MATCH(D241,REF_ID,0))</f>
        <v>7.85</v>
      </c>
      <c r="S241" s="41" t="n">
        <v>2.46180700485818</v>
      </c>
      <c r="T241" s="42" t="n">
        <f aca="false">200*J241/S241</f>
        <v>6.29661183810447</v>
      </c>
      <c r="U241" s="43" t="n">
        <f aca="false">IFERROR(INDEX(ISO_TOL,MATCH(T241,ISO_DESDE,1)),0)</f>
        <v>0.2</v>
      </c>
      <c r="V241" s="44" t="n">
        <f aca="false">IF(T241&gt;0,U241/T241,0)</f>
        <v>0.0317631140591649</v>
      </c>
    </row>
    <row r="242" customFormat="false" ht="15" hidden="false" customHeight="false" outlineLevel="1" collapsed="false">
      <c r="A242" s="25" t="n">
        <v>1</v>
      </c>
      <c r="B242" s="26" t="s">
        <v>563</v>
      </c>
      <c r="C242" s="27" t="s">
        <v>276</v>
      </c>
      <c r="D242" s="26"/>
      <c r="E242" s="26"/>
      <c r="F242" s="28" t="n">
        <v>1</v>
      </c>
      <c r="G242" s="25" t="s">
        <v>264</v>
      </c>
      <c r="H242" s="29"/>
      <c r="I242" s="30"/>
      <c r="J242" s="30"/>
      <c r="K242" s="30"/>
      <c r="L242" s="30"/>
      <c r="M242" s="30" t="n">
        <f aca="false">IF(SUMIF(A243:A256,2,M243:M256)=0,"",SUMIF(A243:A256,2,M243:M256))</f>
        <v>2.69810986910657</v>
      </c>
      <c r="N242" s="30"/>
      <c r="O242" s="30" t="n">
        <f aca="false">IF(SUMIF(A243:A256,2,O243:O256)=0,"",SUMIF(A243:A256,2,O243:O256))</f>
        <v>2.61074945687722</v>
      </c>
      <c r="P242" s="30" t="n">
        <f aca="false">IF(SUMIF(A243:A256,2,P243:P256)=0,"",SUMIF(A243:A256,2,P243:P256))</f>
        <v>2.78580516918437</v>
      </c>
      <c r="Q242" s="29"/>
      <c r="R242" s="29"/>
      <c r="S242" s="31"/>
      <c r="T242" s="32"/>
      <c r="U242" s="33"/>
      <c r="V242" s="34"/>
    </row>
    <row r="243" customFormat="false" ht="15" hidden="false" customHeight="false" outlineLevel="2" collapsed="false">
      <c r="A243" s="35" t="n">
        <v>2</v>
      </c>
      <c r="B243" s="36" t="s">
        <v>564</v>
      </c>
      <c r="C243" s="37" t="s">
        <v>278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565</v>
      </c>
      <c r="C244" s="37" t="s">
        <v>280</v>
      </c>
      <c r="D244" s="36" t="s">
        <v>23</v>
      </c>
      <c r="E244" s="36" t="str">
        <f aca="false">INDEX(REF_DATO,MATCH(D244,REF_ID,0))</f>
        <v>Caucho sintético (NBR / SBR)</v>
      </c>
      <c r="F244" s="38" t="n">
        <v>1</v>
      </c>
      <c r="G244" s="35" t="s">
        <v>264</v>
      </c>
      <c r="H244" s="39" t="n">
        <f aca="false">INDEX(REF_VAL,MATCH(D244,REF_ID,0))</f>
        <v>1.2</v>
      </c>
      <c r="I244" s="40" t="n">
        <f aca="false">F244*J244</f>
        <v>0.00212057504117311</v>
      </c>
      <c r="J244" s="40" t="n">
        <v>0.00212057504117311</v>
      </c>
      <c r="K244" s="40" t="n">
        <f aca="false">I244*(1-V244)</f>
        <v>0.00197920337176157</v>
      </c>
      <c r="L244" s="40" t="n">
        <f aca="false">I244*(1+V244)</f>
        <v>0.00226194671058465</v>
      </c>
      <c r="M244" s="40" t="n">
        <f aca="false">F244*N244</f>
        <v>0.00254469004940773</v>
      </c>
      <c r="N244" s="40" t="n">
        <f aca="false">J244*H244</f>
        <v>0.00254469004940773</v>
      </c>
      <c r="O244" s="40" t="n">
        <f aca="false">K244*Q244</f>
        <v>0.00217712370893773</v>
      </c>
      <c r="P244" s="40" t="n">
        <f aca="false">L244*R244</f>
        <v>0.00294053072376005</v>
      </c>
      <c r="Q244" s="39" t="n">
        <f aca="false">INDEX(REF_MIN,MATCH(D244,REF_ID,0))</f>
        <v>1.1</v>
      </c>
      <c r="R244" s="39" t="n">
        <f aca="false">INDEX(REF_MAX,MATCH(D244,REF_ID,0))</f>
        <v>1.3</v>
      </c>
      <c r="S244" s="41" t="n">
        <v>0.282743338823082</v>
      </c>
      <c r="T244" s="42" t="n">
        <f aca="false">200*J244/S244</f>
        <v>1.5</v>
      </c>
      <c r="U244" s="43" t="n">
        <f aca="false">IFERROR(INDEX(ISO_TOL,MATCH(T244,ISO_DESDE,1)),0)</f>
        <v>0.1</v>
      </c>
      <c r="V244" s="44" t="n">
        <f aca="false">IF(T244&gt;0,U244/T244,0)</f>
        <v>0.0666666666666668</v>
      </c>
    </row>
    <row r="245" customFormat="false" ht="15" hidden="false" customHeight="false" outlineLevel="2" collapsed="false">
      <c r="A245" s="35" t="n">
        <v>2</v>
      </c>
      <c r="B245" s="36" t="s">
        <v>566</v>
      </c>
      <c r="C245" s="37" t="s">
        <v>567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 t="n">
        <f aca="false">IF(SUMIF(A246:A256,3,M246:M256)=0,"",SUMIF(A246:A256,3,M246:M256))</f>
        <v>2.69556517905716</v>
      </c>
      <c r="N245" s="40" t="n">
        <f aca="false">IF(M245="","",M245/F245)</f>
        <v>2.69556517905716</v>
      </c>
      <c r="O245" s="40" t="n">
        <f aca="false">IF(SUMIF(A246:A256,3,O246:O256)=0,"",SUMIF(A246:A256,3,O246:O256))</f>
        <v>2.60857233316828</v>
      </c>
      <c r="P245" s="40" t="n">
        <f aca="false">IF(SUMIF(A246:A256,3,P246:P256)=0,"",SUMIF(A246:A256,3,P246:P256))</f>
        <v>2.78286463846061</v>
      </c>
      <c r="Q245" s="39"/>
      <c r="R245" s="39"/>
      <c r="S245" s="41"/>
      <c r="T245" s="42"/>
      <c r="U245" s="43"/>
      <c r="V245" s="44"/>
    </row>
    <row r="246" customFormat="false" ht="15" hidden="false" customHeight="false" outlineLevel="3" collapsed="false">
      <c r="A246" s="35" t="n">
        <v>3</v>
      </c>
      <c r="B246" s="36" t="s">
        <v>568</v>
      </c>
      <c r="C246" s="45" t="s">
        <v>284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0.0153319271936849</v>
      </c>
      <c r="J246" s="40" t="n">
        <v>0.0153319271936849</v>
      </c>
      <c r="K246" s="40" t="n">
        <f aca="false">I246*(1-V246)</f>
        <v>0.0148516876326939</v>
      </c>
      <c r="L246" s="40" t="n">
        <f aca="false">I246*(1+V246)</f>
        <v>0.0158121667546759</v>
      </c>
      <c r="M246" s="40" t="n">
        <f aca="false">F246*N246</f>
        <v>0.129554784786637</v>
      </c>
      <c r="N246" s="40" t="n">
        <f aca="false">J246*H246</f>
        <v>0.129554784786637</v>
      </c>
      <c r="O246" s="40" t="n">
        <f aca="false">K246*Q246</f>
        <v>0.124754176114629</v>
      </c>
      <c r="P246" s="40" t="n">
        <f aca="false">L246*R246</f>
        <v>0.134403417414745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0.960479121982008</v>
      </c>
      <c r="T246" s="42" t="n">
        <f aca="false">200*J246/S246</f>
        <v>3.19255813953489</v>
      </c>
      <c r="U246" s="43" t="n">
        <f aca="false">IFERROR(INDEX(ISO_TOL,MATCH(T246,ISO_DESDE,1)),0)</f>
        <v>0.1</v>
      </c>
      <c r="V246" s="44" t="n">
        <f aca="false">IF(T246&gt;0,U246/T246,0)</f>
        <v>0.0313228438228438</v>
      </c>
    </row>
    <row r="247" customFormat="false" ht="15" hidden="false" customHeight="false" outlineLevel="3" collapsed="false">
      <c r="A247" s="35" t="n">
        <v>3</v>
      </c>
      <c r="B247" s="36" t="s">
        <v>569</v>
      </c>
      <c r="C247" s="45" t="s">
        <v>286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0.0223665060653795</v>
      </c>
      <c r="J247" s="40" t="n">
        <v>0.0223665060653795</v>
      </c>
      <c r="K247" s="40" t="n">
        <f aca="false">I247*(1-V247)</f>
        <v>0.0218969981848931</v>
      </c>
      <c r="L247" s="40" t="n">
        <f aca="false">I247*(1+V247)</f>
        <v>0.0228360139458658</v>
      </c>
      <c r="M247" s="40" t="n">
        <f aca="false">F247*N247</f>
        <v>0.188996976252456</v>
      </c>
      <c r="N247" s="40" t="n">
        <f aca="false">J247*H247</f>
        <v>0.188996976252456</v>
      </c>
      <c r="O247" s="40" t="n">
        <f aca="false">K247*Q247</f>
        <v>0.183934784753102</v>
      </c>
      <c r="P247" s="40" t="n">
        <f aca="false">L247*R247</f>
        <v>0.194106118539859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0.939015760972682</v>
      </c>
      <c r="T247" s="42" t="n">
        <f aca="false">200*J247/S247</f>
        <v>4.76381909547739</v>
      </c>
      <c r="U247" s="43" t="n">
        <f aca="false">IFERROR(INDEX(ISO_TOL,MATCH(T247,ISO_DESDE,1)),0)</f>
        <v>0.1</v>
      </c>
      <c r="V247" s="44" t="n">
        <f aca="false">IF(T247&gt;0,U247/T247,0)</f>
        <v>0.0209915611814346</v>
      </c>
    </row>
    <row r="248" customFormat="false" ht="15" hidden="false" customHeight="false" outlineLevel="3" collapsed="false">
      <c r="A248" s="35" t="n">
        <v>3</v>
      </c>
      <c r="B248" s="36" t="s">
        <v>570</v>
      </c>
      <c r="C248" s="45" t="s">
        <v>288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0.108715470063791</v>
      </c>
      <c r="J248" s="40" t="n">
        <v>0.108715470063791</v>
      </c>
      <c r="K248" s="40" t="n">
        <f aca="false">I248*(1-V248)</f>
        <v>0.106695843413249</v>
      </c>
      <c r="L248" s="40" t="n">
        <f aca="false">I248*(1+V248)</f>
        <v>0.110735096714333</v>
      </c>
      <c r="M248" s="40" t="n">
        <f aca="false">F248*N248</f>
        <v>0.918645722039034</v>
      </c>
      <c r="N248" s="40" t="n">
        <f aca="false">J248*H248</f>
        <v>0.918645722039034</v>
      </c>
      <c r="O248" s="40" t="n">
        <f aca="false">K248*Q248</f>
        <v>0.896245084671288</v>
      </c>
      <c r="P248" s="40" t="n">
        <f aca="false">L248*R248</f>
        <v>0.941248322071834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2.01962665054239</v>
      </c>
      <c r="T248" s="42" t="n">
        <f aca="false">200*J248/S248</f>
        <v>10.7658977499227</v>
      </c>
      <c r="U248" s="43" t="n">
        <f aca="false">IFERROR(INDEX(ISO_TOL,MATCH(T248,ISO_DESDE,1)),0)</f>
        <v>0.2</v>
      </c>
      <c r="V248" s="44" t="n">
        <f aca="false">IF(T248&gt;0,U248/T248,0)</f>
        <v>0.018577178108666</v>
      </c>
    </row>
    <row r="249" customFormat="false" ht="15" hidden="false" customHeight="false" outlineLevel="3" collapsed="false">
      <c r="A249" s="35" t="n">
        <v>3</v>
      </c>
      <c r="B249" s="36" t="s">
        <v>571</v>
      </c>
      <c r="C249" s="45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0.00370707933123595</v>
      </c>
      <c r="J249" s="40" t="n">
        <v>0.00370707933123595</v>
      </c>
      <c r="K249" s="40" t="n">
        <f aca="false">I249*(1-V249)</f>
        <v>0.00361031827750538</v>
      </c>
      <c r="L249" s="40" t="n">
        <f aca="false">I249*(1+V249)</f>
        <v>0.00380384038496652</v>
      </c>
      <c r="M249" s="40" t="n">
        <f aca="false">F249*N249</f>
        <v>0.0313248203489438</v>
      </c>
      <c r="N249" s="40" t="n">
        <f aca="false">J249*H249</f>
        <v>0.0313248203489438</v>
      </c>
      <c r="O249" s="40" t="n">
        <f aca="false">K249*Q249</f>
        <v>0.0303266735310452</v>
      </c>
      <c r="P249" s="40" t="n">
        <f aca="false">L249*R249</f>
        <v>0.0323326432722154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0.193522107461131</v>
      </c>
      <c r="T249" s="42" t="n">
        <f aca="false">200*J249/S249</f>
        <v>3.83116883116882</v>
      </c>
      <c r="U249" s="43" t="n">
        <f aca="false">IFERROR(INDEX(ISO_TOL,MATCH(T249,ISO_DESDE,1)),0)</f>
        <v>0.1</v>
      </c>
      <c r="V249" s="44" t="n">
        <f aca="false">IF(T249&gt;0,U249/T249,0)</f>
        <v>0.0261016949152543</v>
      </c>
    </row>
    <row r="250" customFormat="false" ht="15" hidden="false" customHeight="false" outlineLevel="3" collapsed="false">
      <c r="A250" s="35" t="n">
        <v>3</v>
      </c>
      <c r="B250" s="36" t="s">
        <v>572</v>
      </c>
      <c r="C250" s="45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0.00119148042980047</v>
      </c>
      <c r="J250" s="40" t="n">
        <v>0.00119148042980047</v>
      </c>
      <c r="K250" s="40" t="n">
        <f aca="false">I250*(1-V250)</f>
        <v>0.00119148042980047</v>
      </c>
      <c r="L250" s="40" t="n">
        <f aca="false">I250*(1+V250)</f>
        <v>0.00119148042980047</v>
      </c>
      <c r="M250" s="40" t="n">
        <f aca="false">F250*N250</f>
        <v>0.00944843980831769</v>
      </c>
      <c r="N250" s="40" t="n">
        <f aca="false">J250*H250</f>
        <v>0.00944843980831769</v>
      </c>
      <c r="O250" s="40" t="n">
        <f aca="false">K250*Q250</f>
        <v>0.00944843980831769</v>
      </c>
      <c r="P250" s="40" t="n">
        <f aca="false">L250*R250</f>
        <v>0.00944843980831769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1.17364874989869</v>
      </c>
      <c r="T250" s="42" t="n">
        <f aca="false">200*J250/S250</f>
        <v>0.203038674033149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3" collapsed="false">
      <c r="A251" s="35" t="n">
        <v>3</v>
      </c>
      <c r="B251" s="36" t="s">
        <v>573</v>
      </c>
      <c r="C251" s="45" t="s">
        <v>574</v>
      </c>
      <c r="D251" s="36" t="s">
        <v>10</v>
      </c>
      <c r="E251" s="36" t="str">
        <f aca="false">INDEX(REF_DATO,MATCH(D251,REF_ID,0))</f>
        <v>Acero (chapa LAC/LAF, SAE 1010/1045)</v>
      </c>
      <c r="F251" s="38" t="n">
        <v>1</v>
      </c>
      <c r="G251" s="35" t="s">
        <v>264</v>
      </c>
      <c r="H251" s="39" t="n">
        <f aca="false">INDEX(REF_VAL,MATCH(D251,REF_ID,0))</f>
        <v>7.85</v>
      </c>
      <c r="I251" s="40" t="n">
        <f aca="false">F251*J251</f>
        <v>0.035672011288146</v>
      </c>
      <c r="J251" s="40" t="n">
        <v>0.035672011288146</v>
      </c>
      <c r="K251" s="40" t="n">
        <f aca="false">I251*(1-V251)</f>
        <v>0.0346305861831503</v>
      </c>
      <c r="L251" s="40" t="n">
        <f aca="false">I251*(1+V251)</f>
        <v>0.0367134363931418</v>
      </c>
      <c r="M251" s="40" t="n">
        <f aca="false">F251*N251</f>
        <v>0.280025288611946</v>
      </c>
      <c r="N251" s="40" t="n">
        <f aca="false">J251*H251</f>
        <v>0.280025288611946</v>
      </c>
      <c r="O251" s="40" t="n">
        <f aca="false">K251*Q251</f>
        <v>0.27185010153773</v>
      </c>
      <c r="P251" s="40" t="n">
        <f aca="false">L251*R251</f>
        <v>0.288200475686163</v>
      </c>
      <c r="Q251" s="39" t="n">
        <f aca="false">INDEX(REF_MIN,MATCH(D251,REF_ID,0))</f>
        <v>7.85</v>
      </c>
      <c r="R251" s="39" t="n">
        <f aca="false">INDEX(REF_MAX,MATCH(D251,REF_ID,0))</f>
        <v>7.85</v>
      </c>
      <c r="S251" s="41" t="n">
        <v>1.04142510499571</v>
      </c>
      <c r="T251" s="42" t="n">
        <f aca="false">200*J251/S251</f>
        <v>6.85061481944839</v>
      </c>
      <c r="U251" s="43" t="n">
        <f aca="false">IFERROR(INDEX(ISO_TOL,MATCH(T251,ISO_DESDE,1)),0)</f>
        <v>0.2</v>
      </c>
      <c r="V251" s="44" t="n">
        <f aca="false">IF(T251&gt;0,U251/T251,0)</f>
        <v>0.0291944599530271</v>
      </c>
    </row>
    <row r="252" customFormat="false" ht="15" hidden="false" customHeight="false" outlineLevel="3" collapsed="false">
      <c r="A252" s="35" t="n">
        <v>3</v>
      </c>
      <c r="B252" s="36" t="s">
        <v>575</v>
      </c>
      <c r="C252" s="45" t="s">
        <v>294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0.00236247767549953</v>
      </c>
      <c r="J252" s="40" t="n">
        <v>0.00236247767549953</v>
      </c>
      <c r="K252" s="40" t="n">
        <f aca="false">I252*(1-V252)</f>
        <v>0.0022983891853663</v>
      </c>
      <c r="L252" s="40" t="n">
        <f aca="false">I252*(1+V252)</f>
        <v>0.00242656616563276</v>
      </c>
      <c r="M252" s="40" t="n">
        <f aca="false">F252*N252</f>
        <v>0.0187344479667113</v>
      </c>
      <c r="N252" s="40" t="n">
        <f aca="false">J252*H252</f>
        <v>0.0187344479667113</v>
      </c>
      <c r="O252" s="40" t="n">
        <f aca="false">K252*Q252</f>
        <v>0.0182262262399547</v>
      </c>
      <c r="P252" s="40" t="n">
        <f aca="false">L252*R252</f>
        <v>0.0192426696934678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0.128176980266464</v>
      </c>
      <c r="T252" s="42" t="n">
        <f aca="false">200*J252/S252</f>
        <v>3.68627450980393</v>
      </c>
      <c r="U252" s="43" t="n">
        <f aca="false">IFERROR(INDEX(ISO_TOL,MATCH(T252,ISO_DESDE,1)),0)</f>
        <v>0.1</v>
      </c>
      <c r="V252" s="44" t="n">
        <f aca="false">IF(T252&gt;0,U252/T252,0)</f>
        <v>0.0271276595744681</v>
      </c>
    </row>
    <row r="253" customFormat="false" ht="15" hidden="false" customHeight="false" outlineLevel="3" collapsed="false">
      <c r="A253" s="35" t="n">
        <v>3</v>
      </c>
      <c r="B253" s="36" t="s">
        <v>576</v>
      </c>
      <c r="C253" s="45" t="s">
        <v>296</v>
      </c>
      <c r="D253" s="36" t="s">
        <v>14</v>
      </c>
      <c r="E253" s="36" t="str">
        <f aca="false">INDEX(REF_DATO,MATCH(D253,REF_ID,0))</f>
        <v>Acero inoxidable AISI 302 / 304</v>
      </c>
      <c r="F253" s="38" t="n">
        <v>1</v>
      </c>
      <c r="G253" s="35" t="s">
        <v>264</v>
      </c>
      <c r="H253" s="39" t="n">
        <f aca="false">INDEX(REF_VAL,MATCH(D253,REF_ID,0))</f>
        <v>7.93</v>
      </c>
      <c r="I253" s="40" t="n">
        <f aca="false">F253*J253</f>
        <v>0.000765660375542344</v>
      </c>
      <c r="J253" s="40" t="n">
        <v>0.000765660375542344</v>
      </c>
      <c r="K253" s="40" t="n">
        <f aca="false">I253*(1-V253)</f>
        <v>0.000714616660880282</v>
      </c>
      <c r="L253" s="40" t="n">
        <f aca="false">I253*(1+V253)</f>
        <v>0.000816704090204405</v>
      </c>
      <c r="M253" s="40" t="n">
        <f aca="false">F253*N253</f>
        <v>0.00607168677805078</v>
      </c>
      <c r="N253" s="40" t="n">
        <f aca="false">J253*H253</f>
        <v>0.00607168677805078</v>
      </c>
      <c r="O253" s="40" t="n">
        <f aca="false">K253*Q253</f>
        <v>0.00566691012078064</v>
      </c>
      <c r="P253" s="40" t="n">
        <f aca="false">L253*R253</f>
        <v>0.00647646343532093</v>
      </c>
      <c r="Q253" s="39" t="n">
        <f aca="false">INDEX(REF_MIN,MATCH(D253,REF_ID,0))</f>
        <v>7.93</v>
      </c>
      <c r="R253" s="39" t="n">
        <f aca="false">INDEX(REF_MAX,MATCH(D253,REF_ID,0))</f>
        <v>7.93</v>
      </c>
      <c r="S253" s="41" t="n">
        <v>0.102087429324123</v>
      </c>
      <c r="T253" s="42" t="n">
        <f aca="false">200*J253/S253</f>
        <v>1.50000912083193</v>
      </c>
      <c r="U253" s="43" t="n">
        <f aca="false">IFERROR(INDEX(ISO_TOL,MATCH(T253,ISO_DESDE,1)),0)</f>
        <v>0.1</v>
      </c>
      <c r="V253" s="44" t="n">
        <f aca="false">IF(T253&gt;0,U253/T253,0)</f>
        <v>0.0666662612988236</v>
      </c>
    </row>
    <row r="254" customFormat="false" ht="15" hidden="false" customHeight="false" outlineLevel="3" collapsed="false">
      <c r="A254" s="35" t="n">
        <v>3</v>
      </c>
      <c r="B254" s="36" t="s">
        <v>577</v>
      </c>
      <c r="C254" s="45" t="s">
        <v>302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0.141753249995549</v>
      </c>
      <c r="J254" s="40" t="n">
        <v>0.141753249995549</v>
      </c>
      <c r="K254" s="40" t="n">
        <f aca="false">I254*(1-V254)</f>
        <v>0.136066233935214</v>
      </c>
      <c r="L254" s="40" t="n">
        <f aca="false">I254*(1+V254)</f>
        <v>0.147440266055884</v>
      </c>
      <c r="M254" s="40" t="n">
        <f aca="false">F254*N254</f>
        <v>1.11276301246506</v>
      </c>
      <c r="N254" s="40" t="n">
        <f aca="false">J254*H254</f>
        <v>1.11276301246506</v>
      </c>
      <c r="O254" s="40" t="n">
        <f aca="false">K254*Q254</f>
        <v>1.06811993639143</v>
      </c>
      <c r="P254" s="40" t="n">
        <f aca="false">L254*R254</f>
        <v>1.15740608853869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11.37403212067</v>
      </c>
      <c r="T254" s="42" t="n">
        <f aca="false">200*J254/S254</f>
        <v>2.4925769242016</v>
      </c>
      <c r="U254" s="43" t="n">
        <f aca="false">IFERROR(INDEX(ISO_TOL,MATCH(T254,ISO_DESDE,1)),0)</f>
        <v>0.1</v>
      </c>
      <c r="V254" s="44" t="n">
        <f aca="false">IF(T254&gt;0,U254/T254,0)</f>
        <v>0.0401191229161488</v>
      </c>
    </row>
    <row r="255" customFormat="false" ht="15" hidden="false" customHeight="false" outlineLevel="3" collapsed="false">
      <c r="A255" s="35" t="n">
        <v>3</v>
      </c>
      <c r="B255" s="36" t="s">
        <v>578</v>
      </c>
      <c r="C255" s="45" t="s">
        <v>304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3" collapsed="false">
      <c r="A256" s="35" t="n">
        <v>3</v>
      </c>
      <c r="B256" s="36" t="s">
        <v>579</v>
      </c>
      <c r="C256" s="45" t="s">
        <v>306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1" collapsed="false">
      <c r="A257" s="25" t="n">
        <v>1</v>
      </c>
      <c r="B257" s="26" t="s">
        <v>580</v>
      </c>
      <c r="C257" s="27" t="s">
        <v>308</v>
      </c>
      <c r="D257" s="26"/>
      <c r="E257" s="26"/>
      <c r="F257" s="28" t="n">
        <v>1</v>
      </c>
      <c r="G257" s="25" t="s">
        <v>264</v>
      </c>
      <c r="H257" s="29"/>
      <c r="I257" s="30"/>
      <c r="J257" s="30"/>
      <c r="K257" s="30"/>
      <c r="L257" s="30"/>
      <c r="M257" s="30" t="n">
        <f aca="false">IF(SUMIF(A258:A262,2,M258:M262)=0,"",SUMIF(A258:A262,2,M258:M262))</f>
        <v>2.52313130013216</v>
      </c>
      <c r="N257" s="30"/>
      <c r="O257" s="30" t="n">
        <f aca="false">IF(SUMIF(A258:A262,2,O258:O262)=0,"",SUMIF(A258:A262,2,O258:O262))</f>
        <v>2.28276315110955</v>
      </c>
      <c r="P257" s="30" t="n">
        <f aca="false">IF(SUMIF(A258:A262,2,P258:P262)=0,"",SUMIF(A258:A262,2,P258:P262))</f>
        <v>2.77366612966878</v>
      </c>
      <c r="Q257" s="29"/>
      <c r="R257" s="29"/>
      <c r="S257" s="31"/>
      <c r="T257" s="32"/>
      <c r="U257" s="33"/>
      <c r="V257" s="34"/>
    </row>
    <row r="258" customFormat="false" ht="15" hidden="false" customHeight="false" outlineLevel="2" collapsed="false">
      <c r="A258" s="35" t="n">
        <v>2</v>
      </c>
      <c r="B258" s="36" t="s">
        <v>581</v>
      </c>
      <c r="C258" s="37" t="s">
        <v>369</v>
      </c>
      <c r="D258" s="36" t="s">
        <v>17</v>
      </c>
      <c r="E258" s="36" t="str">
        <f aca="false">INDEX(REF_DATO,MATCH(D258,REF_ID,0))</f>
        <v>Latón de forja (CuZn39Pb2 / C37700)</v>
      </c>
      <c r="F258" s="38" t="n">
        <v>1</v>
      </c>
      <c r="G258" s="35" t="s">
        <v>264</v>
      </c>
      <c r="H258" s="39" t="n">
        <f aca="false">INDEX(REF_VAL,MATCH(D258,REF_ID,0))</f>
        <v>8.45</v>
      </c>
      <c r="I258" s="40" t="n">
        <f aca="false">F258*J258</f>
        <v>0.00723822947387088</v>
      </c>
      <c r="J258" s="40" t="n">
        <v>0.00723822947387088</v>
      </c>
      <c r="K258" s="40" t="n">
        <f aca="false">I258*(1-V258)</f>
        <v>0.00702711444754965</v>
      </c>
      <c r="L258" s="40" t="n">
        <f aca="false">I258*(1+V258)</f>
        <v>0.00744934450019212</v>
      </c>
      <c r="M258" s="40" t="n">
        <f aca="false">F258*N258</f>
        <v>0.061163039054209</v>
      </c>
      <c r="N258" s="40" t="n">
        <f aca="false">J258*H258</f>
        <v>0.061163039054209</v>
      </c>
      <c r="O258" s="40" t="n">
        <f aca="false">K258*Q258</f>
        <v>0.0590277613594171</v>
      </c>
      <c r="P258" s="40" t="n">
        <f aca="false">L258*R258</f>
        <v>0.063319428251633</v>
      </c>
      <c r="Q258" s="39" t="n">
        <f aca="false">INDEX(REF_MIN,MATCH(D258,REF_ID,0))</f>
        <v>8.4</v>
      </c>
      <c r="R258" s="39" t="n">
        <f aca="false">INDEX(REF_MAX,MATCH(D258,REF_ID,0))</f>
        <v>8.5</v>
      </c>
      <c r="S258" s="41" t="n">
        <v>0.211115026321234</v>
      </c>
      <c r="T258" s="42" t="n">
        <f aca="false">200*J258/S258</f>
        <v>6.85714285714286</v>
      </c>
      <c r="U258" s="43" t="n">
        <f aca="false">IFERROR(INDEX(ISO_TOL,MATCH(T258,ISO_DESDE,1)),0)</f>
        <v>0.2</v>
      </c>
      <c r="V258" s="44" t="n">
        <f aca="false">IF(T258&gt;0,U258/T258,0)</f>
        <v>0.0291666666666667</v>
      </c>
    </row>
    <row r="259" customFormat="false" ht="15" hidden="false" customHeight="false" outlineLevel="2" collapsed="false">
      <c r="A259" s="35" t="n">
        <v>2</v>
      </c>
      <c r="B259" s="36" t="s">
        <v>582</v>
      </c>
      <c r="C259" s="37" t="s">
        <v>513</v>
      </c>
      <c r="D259" s="36" t="s">
        <v>23</v>
      </c>
      <c r="E259" s="36" t="str">
        <f aca="false">INDEX(REF_DATO,MATCH(D259,REF_ID,0))</f>
        <v>Caucho sintético (NBR / SBR)</v>
      </c>
      <c r="F259" s="38" t="n">
        <v>1</v>
      </c>
      <c r="G259" s="35" t="s">
        <v>264</v>
      </c>
      <c r="H259" s="39" t="n">
        <f aca="false">INDEX(REF_VAL,MATCH(D259,REF_ID,0))</f>
        <v>1.2</v>
      </c>
      <c r="I259" s="40" t="n">
        <f aca="false">F259*J259</f>
        <v>1.50292007128298</v>
      </c>
      <c r="J259" s="40" t="n">
        <v>1.50292007128298</v>
      </c>
      <c r="K259" s="40" t="n">
        <f aca="false">I259*(1-V259)</f>
        <v>1.46286204556427</v>
      </c>
      <c r="L259" s="40" t="n">
        <f aca="false">I259*(1+V259)</f>
        <v>1.5429780970017</v>
      </c>
      <c r="M259" s="40" t="n">
        <f aca="false">F259*N259</f>
        <v>1.80350408553958</v>
      </c>
      <c r="N259" s="40" t="n">
        <f aca="false">J259*H259</f>
        <v>1.80350408553958</v>
      </c>
      <c r="O259" s="40" t="n">
        <f aca="false">K259*Q259</f>
        <v>1.60914825012069</v>
      </c>
      <c r="P259" s="40" t="n">
        <f aca="false">L259*R259</f>
        <v>2.00587152610221</v>
      </c>
      <c r="Q259" s="39" t="n">
        <f aca="false">INDEX(REF_MIN,MATCH(D259,REF_ID,0))</f>
        <v>1.1</v>
      </c>
      <c r="R259" s="39" t="n">
        <f aca="false">INDEX(REF_MAX,MATCH(D259,REF_ID,0))</f>
        <v>1.3</v>
      </c>
      <c r="S259" s="41" t="n">
        <v>80.1160514374318</v>
      </c>
      <c r="T259" s="42" t="n">
        <f aca="false">200*J259/S259</f>
        <v>3.75185757240349</v>
      </c>
      <c r="U259" s="43" t="n">
        <f aca="false">IFERROR(INDEX(ISO_TOL,MATCH(T259,ISO_DESDE,1)),0)</f>
        <v>0.1</v>
      </c>
      <c r="V259" s="44" t="n">
        <f aca="false">IF(T259&gt;0,U259/T259,0)</f>
        <v>0.0266534638029819</v>
      </c>
    </row>
    <row r="260" customFormat="false" ht="15" hidden="false" customHeight="false" outlineLevel="2" collapsed="false">
      <c r="A260" s="35" t="n">
        <v>2</v>
      </c>
      <c r="B260" s="36" t="s">
        <v>583</v>
      </c>
      <c r="C260" s="37" t="s">
        <v>371</v>
      </c>
      <c r="D260" s="36" t="s">
        <v>23</v>
      </c>
      <c r="E260" s="36" t="str">
        <f aca="false">INDEX(REF_DATO,MATCH(D260,REF_ID,0))</f>
        <v>Caucho sintético (NBR / SBR)</v>
      </c>
      <c r="F260" s="38" t="n">
        <v>1</v>
      </c>
      <c r="G260" s="35" t="s">
        <v>264</v>
      </c>
      <c r="H260" s="39" t="n">
        <f aca="false">INDEX(REF_VAL,MATCH(D260,REF_ID,0))</f>
        <v>1.2</v>
      </c>
      <c r="I260" s="40" t="n">
        <f aca="false">F260*J260</f>
        <v>0.190476819853843</v>
      </c>
      <c r="J260" s="40" t="n">
        <v>0.190476819853843</v>
      </c>
      <c r="K260" s="40" t="n">
        <f aca="false">I260*(1-V260)</f>
        <v>0.185237452531095</v>
      </c>
      <c r="L260" s="40" t="n">
        <f aca="false">I260*(1+V260)</f>
        <v>0.19571618717659</v>
      </c>
      <c r="M260" s="40" t="n">
        <f aca="false">F260*N260</f>
        <v>0.228572183824611</v>
      </c>
      <c r="N260" s="40" t="n">
        <f aca="false">J260*H260</f>
        <v>0.228572183824611</v>
      </c>
      <c r="O260" s="40" t="n">
        <f aca="false">K260*Q260</f>
        <v>0.203761197784204</v>
      </c>
      <c r="P260" s="40" t="n">
        <f aca="false">L260*R260</f>
        <v>0.254431043329568</v>
      </c>
      <c r="Q260" s="39" t="n">
        <f aca="false">INDEX(REF_MIN,MATCH(D260,REF_ID,0))</f>
        <v>1.1</v>
      </c>
      <c r="R260" s="39" t="n">
        <f aca="false">INDEX(REF_MAX,MATCH(D260,REF_ID,0))</f>
        <v>1.3</v>
      </c>
      <c r="S260" s="41" t="n">
        <v>10.4787346454955</v>
      </c>
      <c r="T260" s="42" t="n">
        <f aca="false">200*J260/S260</f>
        <v>3.63549276315958</v>
      </c>
      <c r="U260" s="43" t="n">
        <f aca="false">IFERROR(INDEX(ISO_TOL,MATCH(T260,ISO_DESDE,1)),0)</f>
        <v>0.1</v>
      </c>
      <c r="V260" s="44" t="n">
        <f aca="false">IF(T260&gt;0,U260/T260,0)</f>
        <v>0.0275065875562604</v>
      </c>
    </row>
    <row r="261" customFormat="false" ht="15" hidden="false" customHeight="false" outlineLevel="2" collapsed="false">
      <c r="A261" s="35" t="n">
        <v>2</v>
      </c>
      <c r="B261" s="36" t="s">
        <v>584</v>
      </c>
      <c r="C261" s="37" t="s">
        <v>516</v>
      </c>
      <c r="D261" s="36" t="s">
        <v>17</v>
      </c>
      <c r="E261" s="36" t="str">
        <f aca="false">INDEX(REF_DATO,MATCH(D261,REF_ID,0))</f>
        <v>Latón de forja (CuZn39Pb2 / C37700)</v>
      </c>
      <c r="F261" s="38" t="n">
        <v>1</v>
      </c>
      <c r="G261" s="35" t="s">
        <v>264</v>
      </c>
      <c r="H261" s="39" t="n">
        <f aca="false">INDEX(REF_VAL,MATCH(D261,REF_ID,0))</f>
        <v>8.45</v>
      </c>
      <c r="I261" s="40" t="n">
        <f aca="false">F261*J261</f>
        <v>0.0414388603746335</v>
      </c>
      <c r="J261" s="40" t="n">
        <v>0.0414388603746335</v>
      </c>
      <c r="K261" s="40" t="n">
        <f aca="false">I261*(1-V261)</f>
        <v>0.0397381805740958</v>
      </c>
      <c r="L261" s="40" t="n">
        <f aca="false">I261*(1+V261)</f>
        <v>0.0431395401751711</v>
      </c>
      <c r="M261" s="40" t="n">
        <f aca="false">F261*N261</f>
        <v>0.350158370165653</v>
      </c>
      <c r="N261" s="40" t="n">
        <f aca="false">J261*H261</f>
        <v>0.350158370165653</v>
      </c>
      <c r="O261" s="40" t="n">
        <f aca="false">K261*Q261</f>
        <v>0.333800716822404</v>
      </c>
      <c r="P261" s="40" t="n">
        <f aca="false">L261*R261</f>
        <v>0.366686091488955</v>
      </c>
      <c r="Q261" s="39" t="n">
        <f aca="false">INDEX(REF_MIN,MATCH(D261,REF_ID,0))</f>
        <v>8.4</v>
      </c>
      <c r="R261" s="39" t="n">
        <f aca="false">INDEX(REF_MAX,MATCH(D261,REF_ID,0))</f>
        <v>8.5</v>
      </c>
      <c r="S261" s="41" t="n">
        <v>3.40135960107539</v>
      </c>
      <c r="T261" s="42" t="n">
        <f aca="false">200*J261/S261</f>
        <v>2.43660566565981</v>
      </c>
      <c r="U261" s="43" t="n">
        <f aca="false">IFERROR(INDEX(ISO_TOL,MATCH(T261,ISO_DESDE,1)),0)</f>
        <v>0.1</v>
      </c>
      <c r="V261" s="44" t="n">
        <f aca="false">IF(T261&gt;0,U261/T261,0)</f>
        <v>0.0410406991206437</v>
      </c>
    </row>
    <row r="262" customFormat="false" ht="15" hidden="false" customHeight="false" outlineLevel="2" collapsed="false">
      <c r="A262" s="35" t="n">
        <v>2</v>
      </c>
      <c r="B262" s="36" t="s">
        <v>585</v>
      </c>
      <c r="C262" s="37" t="s">
        <v>518</v>
      </c>
      <c r="D262" s="36" t="s">
        <v>26</v>
      </c>
      <c r="E262" s="36" t="str">
        <f aca="false">INDEX(REF_DATO,MATCH(D262,REF_ID,0))</f>
        <v>Polipropileno</v>
      </c>
      <c r="F262" s="38" t="n">
        <v>1</v>
      </c>
      <c r="G262" s="35" t="s">
        <v>264</v>
      </c>
      <c r="H262" s="39" t="n">
        <f aca="false">INDEX(REF_VAL,MATCH(D262,REF_ID,0))</f>
        <v>0.9</v>
      </c>
      <c r="I262" s="40" t="n">
        <f aca="false">F262*J262</f>
        <v>0.0885929128312321</v>
      </c>
      <c r="J262" s="40" t="n">
        <v>0.0885929128312321</v>
      </c>
      <c r="K262" s="40" t="n">
        <f aca="false">I262*(1-V262)</f>
        <v>0.0855835833587038</v>
      </c>
      <c r="L262" s="40" t="n">
        <f aca="false">I262*(1+V262)</f>
        <v>0.0916022423037603</v>
      </c>
      <c r="M262" s="40" t="n">
        <f aca="false">F262*N262</f>
        <v>0.0797336215481089</v>
      </c>
      <c r="N262" s="40" t="n">
        <f aca="false">J262*H262</f>
        <v>0.0797336215481089</v>
      </c>
      <c r="O262" s="40" t="n">
        <f aca="false">K262*Q262</f>
        <v>0.0770252250228335</v>
      </c>
      <c r="P262" s="40" t="n">
        <f aca="false">L262*R262</f>
        <v>0.0833580404964219</v>
      </c>
      <c r="Q262" s="39" t="n">
        <f aca="false">INDEX(REF_MIN,MATCH(D262,REF_ID,0))</f>
        <v>0.9</v>
      </c>
      <c r="R262" s="39" t="n">
        <f aca="false">INDEX(REF_MAX,MATCH(D262,REF_ID,0))</f>
        <v>0.91</v>
      </c>
      <c r="S262" s="41" t="n">
        <v>6.01865894505646</v>
      </c>
      <c r="T262" s="42" t="n">
        <f aca="false">200*J262/S262</f>
        <v>2.9439419525175</v>
      </c>
      <c r="U262" s="43" t="n">
        <f aca="false">IFERROR(INDEX(ISO_TOL,MATCH(T262,ISO_DESDE,1)),0)</f>
        <v>0.1</v>
      </c>
      <c r="V262" s="44" t="n">
        <f aca="false">IF(T262&gt;0,U262/T262,0)</f>
        <v>0.0339680610599287</v>
      </c>
    </row>
    <row r="263" customFormat="false" ht="15" hidden="false" customHeight="false" outlineLevel="1" collapsed="false">
      <c r="A263" s="25" t="n">
        <v>1</v>
      </c>
      <c r="B263" s="26" t="s">
        <v>586</v>
      </c>
      <c r="C263" s="27" t="s">
        <v>520</v>
      </c>
      <c r="D263" s="26"/>
      <c r="E263" s="26"/>
      <c r="F263" s="28" t="n">
        <v>1</v>
      </c>
      <c r="G263" s="25" t="s">
        <v>264</v>
      </c>
      <c r="H263" s="29"/>
      <c r="I263" s="30"/>
      <c r="J263" s="30"/>
      <c r="K263" s="30"/>
      <c r="L263" s="30"/>
      <c r="M263" s="30" t="n">
        <f aca="false">IF(SUMIF(A264:A273,2,M264:M273)=0,"",SUMIF(A264:A273,2,M264:M273))</f>
        <v>17.3002293584787</v>
      </c>
      <c r="N263" s="30"/>
      <c r="O263" s="30" t="n">
        <f aca="false">IF(SUMIF(A264:A273,2,O264:O273)=0,"",SUMIF(A264:A273,2,O264:O273))</f>
        <v>16.3492676049999</v>
      </c>
      <c r="P263" s="30" t="n">
        <f aca="false">IF(SUMIF(A264:A273,2,P264:P273)=0,"",SUMIF(A264:A273,2,P264:P273))</f>
        <v>18.2594369130271</v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587</v>
      </c>
      <c r="C264" s="37" t="s">
        <v>522</v>
      </c>
      <c r="D264" s="36" t="s">
        <v>10</v>
      </c>
      <c r="E264" s="36" t="str">
        <f aca="false">INDEX(REF_DATO,MATCH(D264,REF_ID,0))</f>
        <v>Acero (chapa LAC/LAF, SAE 1010/1045)</v>
      </c>
      <c r="F264" s="38" t="n">
        <v>1</v>
      </c>
      <c r="G264" s="35" t="s">
        <v>264</v>
      </c>
      <c r="H264" s="39" t="n">
        <f aca="false">INDEX(REF_VAL,MATCH(D264,REF_ID,0))</f>
        <v>7.85</v>
      </c>
      <c r="I264" s="40" t="n">
        <f aca="false">F264*J264</f>
        <v>0.0151124248894341</v>
      </c>
      <c r="J264" s="40" t="n">
        <v>0.0151124248894341</v>
      </c>
      <c r="K264" s="40" t="n">
        <f aca="false">I264*(1-V264)</f>
        <v>0.0145942544671514</v>
      </c>
      <c r="L264" s="40" t="n">
        <f aca="false">I264*(1+V264)</f>
        <v>0.0156305953117168</v>
      </c>
      <c r="M264" s="40" t="n">
        <f aca="false">F264*N264</f>
        <v>0.118632535382058</v>
      </c>
      <c r="N264" s="40" t="n">
        <f aca="false">J264*H264</f>
        <v>0.118632535382058</v>
      </c>
      <c r="O264" s="40" t="n">
        <f aca="false">K264*Q264</f>
        <v>0.114564897567139</v>
      </c>
      <c r="P264" s="40" t="n">
        <f aca="false">L264*R264</f>
        <v>0.122700173196977</v>
      </c>
      <c r="Q264" s="39" t="n">
        <f aca="false">INDEX(REF_MIN,MATCH(D264,REF_ID,0))</f>
        <v>7.85</v>
      </c>
      <c r="R264" s="39" t="n">
        <f aca="false">INDEX(REF_MAX,MATCH(D264,REF_ID,0))</f>
        <v>7.85</v>
      </c>
      <c r="S264" s="41" t="n">
        <v>1.03634084456535</v>
      </c>
      <c r="T264" s="42" t="n">
        <f aca="false">200*J264/S264</f>
        <v>2.91649701325289</v>
      </c>
      <c r="U264" s="43" t="n">
        <f aca="false">IFERROR(INDEX(ISO_TOL,MATCH(T264,ISO_DESDE,1)),0)</f>
        <v>0.1</v>
      </c>
      <c r="V264" s="44" t="n">
        <f aca="false">IF(T264&gt;0,U264/T264,0)</f>
        <v>0.0342877086949134</v>
      </c>
    </row>
    <row r="265" customFormat="false" ht="15" hidden="false" customHeight="false" outlineLevel="2" collapsed="false">
      <c r="A265" s="35" t="n">
        <v>2</v>
      </c>
      <c r="B265" s="36" t="s">
        <v>588</v>
      </c>
      <c r="C265" s="37" t="s">
        <v>524</v>
      </c>
      <c r="D265" s="36" t="s">
        <v>10</v>
      </c>
      <c r="E265" s="36" t="str">
        <f aca="false">INDEX(REF_DATO,MATCH(D265,REF_ID,0))</f>
        <v>Acero (chapa LAC/LAF, SAE 1010/1045)</v>
      </c>
      <c r="F265" s="38" t="n">
        <v>1</v>
      </c>
      <c r="G265" s="35" t="s">
        <v>264</v>
      </c>
      <c r="H265" s="39" t="n">
        <f aca="false">INDEX(REF_VAL,MATCH(D265,REF_ID,0))</f>
        <v>7.85</v>
      </c>
      <c r="I265" s="40" t="n">
        <f aca="false">F265*J265</f>
        <v>0.0260703314008699</v>
      </c>
      <c r="J265" s="40" t="n">
        <v>0.0260703314008699</v>
      </c>
      <c r="K265" s="40" t="n">
        <f aca="false">I265*(1-V265)</f>
        <v>0.0253948337667927</v>
      </c>
      <c r="L265" s="40" t="n">
        <f aca="false">I265*(1+V265)</f>
        <v>0.0267458290349471</v>
      </c>
      <c r="M265" s="40" t="n">
        <f aca="false">F265*N265</f>
        <v>0.204652101496828</v>
      </c>
      <c r="N265" s="40" t="n">
        <f aca="false">J265*H265</f>
        <v>0.204652101496828</v>
      </c>
      <c r="O265" s="40" t="n">
        <f aca="false">K265*Q265</f>
        <v>0.199349445069323</v>
      </c>
      <c r="P265" s="40" t="n">
        <f aca="false">L265*R265</f>
        <v>0.209954757924334</v>
      </c>
      <c r="Q265" s="39" t="n">
        <f aca="false">INDEX(REF_MIN,MATCH(D265,REF_ID,0))</f>
        <v>7.85</v>
      </c>
      <c r="R265" s="39" t="n">
        <f aca="false">INDEX(REF_MAX,MATCH(D265,REF_ID,0))</f>
        <v>7.85</v>
      </c>
      <c r="S265" s="41" t="n">
        <v>1.35099526815438</v>
      </c>
      <c r="T265" s="42" t="n">
        <f aca="false">200*J265/S265</f>
        <v>3.85942601212588</v>
      </c>
      <c r="U265" s="43" t="n">
        <f aca="false">IFERROR(INDEX(ISO_TOL,MATCH(T265,ISO_DESDE,1)),0)</f>
        <v>0.1</v>
      </c>
      <c r="V265" s="44" t="n">
        <f aca="false">IF(T265&gt;0,U265/T265,0)</f>
        <v>0.0259105886952649</v>
      </c>
    </row>
    <row r="266" customFormat="false" ht="15" hidden="false" customHeight="false" outlineLevel="2" collapsed="false">
      <c r="A266" s="35" t="n">
        <v>2</v>
      </c>
      <c r="B266" s="36" t="s">
        <v>589</v>
      </c>
      <c r="C266" s="37" t="s">
        <v>526</v>
      </c>
      <c r="D266" s="36" t="s">
        <v>10</v>
      </c>
      <c r="E266" s="36" t="str">
        <f aca="false">INDEX(REF_DATO,MATCH(D266,REF_ID,0))</f>
        <v>Acero (chapa LAC/LAF, SAE 1010/1045)</v>
      </c>
      <c r="F266" s="38" t="n">
        <v>1</v>
      </c>
      <c r="G266" s="35" t="s">
        <v>264</v>
      </c>
      <c r="H266" s="39" t="n">
        <f aca="false">INDEX(REF_VAL,MATCH(D266,REF_ID,0))</f>
        <v>7.85</v>
      </c>
      <c r="I266" s="40" t="n">
        <f aca="false">F266*J266</f>
        <v>0.0680406136914478</v>
      </c>
      <c r="J266" s="40" t="n">
        <v>0.0680406136914478</v>
      </c>
      <c r="K266" s="40" t="n">
        <f aca="false">I266*(1-V266)</f>
        <v>0.0646198905305865</v>
      </c>
      <c r="L266" s="40" t="n">
        <f aca="false">I266*(1+V266)</f>
        <v>0.071461336852309</v>
      </c>
      <c r="M266" s="40" t="n">
        <f aca="false">F266*N266</f>
        <v>0.534118817477865</v>
      </c>
      <c r="N266" s="40" t="n">
        <f aca="false">J266*H266</f>
        <v>0.534118817477865</v>
      </c>
      <c r="O266" s="40" t="n">
        <f aca="false">K266*Q266</f>
        <v>0.507266140665104</v>
      </c>
      <c r="P266" s="40" t="n">
        <f aca="false">L266*R266</f>
        <v>0.560971494290626</v>
      </c>
      <c r="Q266" s="39" t="n">
        <f aca="false">INDEX(REF_MIN,MATCH(D266,REF_ID,0))</f>
        <v>7.85</v>
      </c>
      <c r="R266" s="39" t="n">
        <f aca="false">INDEX(REF_MAX,MATCH(D266,REF_ID,0))</f>
        <v>7.85</v>
      </c>
      <c r="S266" s="41" t="n">
        <v>6.84144632172249</v>
      </c>
      <c r="T266" s="42" t="n">
        <f aca="false">200*J266/S266</f>
        <v>1.98907103825137</v>
      </c>
      <c r="U266" s="43" t="n">
        <f aca="false">IFERROR(INDEX(ISO_TOL,MATCH(T266,ISO_DESDE,1)),0)</f>
        <v>0.1</v>
      </c>
      <c r="V266" s="44" t="n">
        <f aca="false">IF(T266&gt;0,U266/T266,0)</f>
        <v>0.0502747252747253</v>
      </c>
    </row>
    <row r="267" customFormat="false" ht="15" hidden="false" customHeight="false" outlineLevel="2" collapsed="false">
      <c r="A267" s="35" t="n">
        <v>2</v>
      </c>
      <c r="B267" s="36" t="s">
        <v>590</v>
      </c>
      <c r="C267" s="37" t="s">
        <v>528</v>
      </c>
      <c r="D267" s="36" t="s">
        <v>23</v>
      </c>
      <c r="E267" s="36" t="str">
        <f aca="false">INDEX(REF_DATO,MATCH(D267,REF_ID,0))</f>
        <v>Caucho sintético (NBR / SBR)</v>
      </c>
      <c r="F267" s="38" t="n">
        <v>2</v>
      </c>
      <c r="G267" s="35" t="s">
        <v>264</v>
      </c>
      <c r="H267" s="39" t="n">
        <f aca="false">INDEX(REF_VAL,MATCH(D267,REF_ID,0))</f>
        <v>1.2</v>
      </c>
      <c r="I267" s="40" t="n">
        <f aca="false">F267*J267</f>
        <v>5.5602420057355</v>
      </c>
      <c r="J267" s="40" t="n">
        <v>2.78012100286775</v>
      </c>
      <c r="K267" s="40" t="n">
        <f aca="false">I267*(1-V267)</f>
        <v>5.51901300038685</v>
      </c>
      <c r="L267" s="40" t="n">
        <f aca="false">I267*(1+V267)</f>
        <v>5.60147101108416</v>
      </c>
      <c r="M267" s="40" t="n">
        <f aca="false">F267*N267</f>
        <v>6.67229040688261</v>
      </c>
      <c r="N267" s="40" t="n">
        <f aca="false">J267*H267</f>
        <v>3.3361452034413</v>
      </c>
      <c r="O267" s="40" t="n">
        <f aca="false">K267*Q267</f>
        <v>6.07091430042554</v>
      </c>
      <c r="P267" s="40" t="n">
        <f aca="false">L267*R267</f>
        <v>7.2819123144094</v>
      </c>
      <c r="Q267" s="39" t="n">
        <f aca="false">INDEX(REF_MIN,MATCH(D267,REF_ID,0))</f>
        <v>1.1</v>
      </c>
      <c r="R267" s="39" t="n">
        <f aca="false">INDEX(REF_MAX,MATCH(D267,REF_ID,0))</f>
        <v>1.3</v>
      </c>
      <c r="S267" s="41" t="n">
        <v>20.6145026743255</v>
      </c>
      <c r="T267" s="42" t="n">
        <f aca="false">200*J267/S267</f>
        <v>26.9724770642202</v>
      </c>
      <c r="U267" s="43" t="n">
        <f aca="false">IFERROR(INDEX(ISO_TOL,MATCH(T267,ISO_DESDE,1)),0)</f>
        <v>0.2</v>
      </c>
      <c r="V267" s="44" t="n">
        <f aca="false">IF(T267&gt;0,U267/T267,0)</f>
        <v>0.00741496598639456</v>
      </c>
    </row>
    <row r="268" customFormat="false" ht="15" hidden="false" customHeight="false" outlineLevel="2" collapsed="false">
      <c r="A268" s="35" t="n">
        <v>2</v>
      </c>
      <c r="B268" s="36" t="s">
        <v>591</v>
      </c>
      <c r="C268" s="37" t="s">
        <v>530</v>
      </c>
      <c r="D268" s="36" t="s">
        <v>10</v>
      </c>
      <c r="E268" s="36" t="str">
        <f aca="false">INDEX(REF_DATO,MATCH(D268,REF_ID,0))</f>
        <v>Acero (chapa LAC/LAF, SAE 1010/1045)</v>
      </c>
      <c r="F268" s="38" t="n">
        <v>2</v>
      </c>
      <c r="G268" s="35" t="s">
        <v>264</v>
      </c>
      <c r="H268" s="39" t="n">
        <f aca="false">INDEX(REF_VAL,MATCH(D268,REF_ID,0))</f>
        <v>7.85</v>
      </c>
      <c r="I268" s="40" t="n">
        <f aca="false">F268*J268</f>
        <v>0.664168972364031</v>
      </c>
      <c r="J268" s="40" t="n">
        <v>0.332084486182016</v>
      </c>
      <c r="K268" s="40" t="n">
        <f aca="false">I268*(1-V268)</f>
        <v>0.644445104923813</v>
      </c>
      <c r="L268" s="40" t="n">
        <f aca="false">I268*(1+V268)</f>
        <v>0.683892839804249</v>
      </c>
      <c r="M268" s="40" t="n">
        <f aca="false">F268*N268</f>
        <v>5.21372643305764</v>
      </c>
      <c r="N268" s="40" t="n">
        <f aca="false">J268*H268</f>
        <v>2.60686321652882</v>
      </c>
      <c r="O268" s="40" t="n">
        <f aca="false">K268*Q268</f>
        <v>5.05889407365193</v>
      </c>
      <c r="P268" s="40" t="n">
        <f aca="false">L268*R268</f>
        <v>5.36855879246336</v>
      </c>
      <c r="Q268" s="39" t="n">
        <f aca="false">INDEX(REF_MIN,MATCH(D268,REF_ID,0))</f>
        <v>7.85</v>
      </c>
      <c r="R268" s="39" t="n">
        <f aca="false">INDEX(REF_MAX,MATCH(D268,REF_ID,0))</f>
        <v>7.85</v>
      </c>
      <c r="S268" s="41" t="n">
        <v>19.7238674402181</v>
      </c>
      <c r="T268" s="42" t="n">
        <f aca="false">200*J268/S268</f>
        <v>3.36733642312842</v>
      </c>
      <c r="U268" s="43" t="n">
        <f aca="false">IFERROR(INDEX(ISO_TOL,MATCH(T268,ISO_DESDE,1)),0)</f>
        <v>0.1</v>
      </c>
      <c r="V268" s="44" t="n">
        <f aca="false">IF(T268&gt;0,U268/T268,0)</f>
        <v>0.0296970624358036</v>
      </c>
    </row>
    <row r="269" customFormat="false" ht="15" hidden="false" customHeight="false" outlineLevel="2" collapsed="false">
      <c r="A269" s="35" t="n">
        <v>2</v>
      </c>
      <c r="B269" s="36" t="s">
        <v>592</v>
      </c>
      <c r="C269" s="37" t="s">
        <v>532</v>
      </c>
      <c r="D269" s="36" t="s">
        <v>10</v>
      </c>
      <c r="E269" s="36" t="str">
        <f aca="false">INDEX(REF_DATO,MATCH(D269,REF_ID,0))</f>
        <v>Acero (chapa LAC/LAF, SAE 1010/1045)</v>
      </c>
      <c r="F269" s="38" t="n">
        <v>1</v>
      </c>
      <c r="G269" s="35" t="s">
        <v>264</v>
      </c>
      <c r="H269" s="39" t="n">
        <f aca="false">INDEX(REF_VAL,MATCH(D269,REF_ID,0))</f>
        <v>7.85</v>
      </c>
      <c r="I269" s="40" t="n">
        <f aca="false">F269*J269</f>
        <v>0.262647019364045</v>
      </c>
      <c r="J269" s="40" t="n">
        <v>0.262647019364045</v>
      </c>
      <c r="K269" s="40" t="n">
        <f aca="false">I269*(1-V269)</f>
        <v>0.258330132658603</v>
      </c>
      <c r="L269" s="40" t="n">
        <f aca="false">I269*(1+V269)</f>
        <v>0.266963906069488</v>
      </c>
      <c r="M269" s="40" t="n">
        <f aca="false">F269*N269</f>
        <v>2.06177910200775</v>
      </c>
      <c r="N269" s="40" t="n">
        <f aca="false">J269*H269</f>
        <v>2.06177910200775</v>
      </c>
      <c r="O269" s="40" t="n">
        <f aca="false">K269*Q269</f>
        <v>2.02789154137003</v>
      </c>
      <c r="P269" s="40" t="n">
        <f aca="false">L269*R269</f>
        <v>2.09566666264548</v>
      </c>
      <c r="Q269" s="39" t="n">
        <f aca="false">INDEX(REF_MIN,MATCH(D269,REF_ID,0))</f>
        <v>7.85</v>
      </c>
      <c r="R269" s="39" t="n">
        <f aca="false">INDEX(REF_MAX,MATCH(D269,REF_ID,0))</f>
        <v>7.85</v>
      </c>
      <c r="S269" s="41" t="n">
        <v>4.31688670544254</v>
      </c>
      <c r="T269" s="42" t="n">
        <f aca="false">200*J269/S269</f>
        <v>12.1683535976476</v>
      </c>
      <c r="U269" s="43" t="n">
        <f aca="false">IFERROR(INDEX(ISO_TOL,MATCH(T269,ISO_DESDE,1)),0)</f>
        <v>0.2</v>
      </c>
      <c r="V269" s="44" t="n">
        <f aca="false">IF(T269&gt;0,U269/T269,0)</f>
        <v>0.0164360772716749</v>
      </c>
    </row>
    <row r="270" customFormat="false" ht="15" hidden="false" customHeight="false" outlineLevel="2" collapsed="false">
      <c r="A270" s="35" t="n">
        <v>2</v>
      </c>
      <c r="B270" s="36" t="s">
        <v>593</v>
      </c>
      <c r="C270" s="37" t="s">
        <v>534</v>
      </c>
      <c r="D270" s="36" t="s">
        <v>10</v>
      </c>
      <c r="E270" s="36" t="str">
        <f aca="false">INDEX(REF_DATO,MATCH(D270,REF_ID,0))</f>
        <v>Acero (chapa LAC/LAF, SAE 1010/1045)</v>
      </c>
      <c r="F270" s="38" t="n">
        <v>1</v>
      </c>
      <c r="G270" s="35" t="s">
        <v>264</v>
      </c>
      <c r="H270" s="39" t="n">
        <f aca="false">INDEX(REF_VAL,MATCH(D270,REF_ID,0))</f>
        <v>7.85</v>
      </c>
      <c r="I270" s="40" t="n">
        <f aca="false">F270*J270</f>
        <v>0.011347935319591</v>
      </c>
      <c r="J270" s="40" t="n">
        <v>0.011347935319591</v>
      </c>
      <c r="K270" s="40" t="n">
        <f aca="false">I270*(1-V270)</f>
        <v>0.0108973555348425</v>
      </c>
      <c r="L270" s="40" t="n">
        <f aca="false">I270*(1+V270)</f>
        <v>0.0117985151043394</v>
      </c>
      <c r="M270" s="40" t="n">
        <f aca="false">F270*N270</f>
        <v>0.0890812922587891</v>
      </c>
      <c r="N270" s="40" t="n">
        <f aca="false">J270*H270</f>
        <v>0.0890812922587891</v>
      </c>
      <c r="O270" s="40" t="n">
        <f aca="false">K270*Q270</f>
        <v>0.0855442409485137</v>
      </c>
      <c r="P270" s="40" t="n">
        <f aca="false">L270*R270</f>
        <v>0.0926183435690646</v>
      </c>
      <c r="Q270" s="39" t="n">
        <f aca="false">INDEX(REF_MIN,MATCH(D270,REF_ID,0))</f>
        <v>7.85</v>
      </c>
      <c r="R270" s="39" t="n">
        <f aca="false">INDEX(REF_MAX,MATCH(D270,REF_ID,0))</f>
        <v>7.85</v>
      </c>
      <c r="S270" s="41" t="n">
        <v>0.901159569496926</v>
      </c>
      <c r="T270" s="42" t="n">
        <f aca="false">200*J270/S270</f>
        <v>2.51851851851853</v>
      </c>
      <c r="U270" s="43" t="n">
        <f aca="false">IFERROR(INDEX(ISO_TOL,MATCH(T270,ISO_DESDE,1)),0)</f>
        <v>0.1</v>
      </c>
      <c r="V270" s="44" t="n">
        <f aca="false">IF(T270&gt;0,U270/T270,0)</f>
        <v>0.039705882352941</v>
      </c>
    </row>
    <row r="271" customFormat="false" ht="15" hidden="false" customHeight="false" outlineLevel="2" collapsed="false">
      <c r="A271" s="35" t="n">
        <v>2</v>
      </c>
      <c r="B271" s="36" t="s">
        <v>594</v>
      </c>
      <c r="C271" s="37" t="s">
        <v>536</v>
      </c>
      <c r="D271" s="36" t="s">
        <v>10</v>
      </c>
      <c r="E271" s="36" t="str">
        <f aca="false">INDEX(REF_DATO,MATCH(D271,REF_ID,0))</f>
        <v>Acero (chapa LAC/LAF, SAE 1010/1045)</v>
      </c>
      <c r="F271" s="38" t="n">
        <v>1</v>
      </c>
      <c r="G271" s="35" t="s">
        <v>264</v>
      </c>
      <c r="H271" s="39" t="n">
        <f aca="false">INDEX(REF_VAL,MATCH(D271,REF_ID,0))</f>
        <v>7.85</v>
      </c>
      <c r="I271" s="40" t="n">
        <f aca="false">F271*J271</f>
        <v>0.00167535674298741</v>
      </c>
      <c r="J271" s="40" t="n">
        <v>0.00167535674298741</v>
      </c>
      <c r="K271" s="40" t="n">
        <f aca="false">I271*(1-V271)</f>
        <v>0.0015914526583427</v>
      </c>
      <c r="L271" s="40" t="n">
        <f aca="false">I271*(1+V271)</f>
        <v>0.00175926082763212</v>
      </c>
      <c r="M271" s="40" t="n">
        <f aca="false">F271*N271</f>
        <v>0.0131515504324512</v>
      </c>
      <c r="N271" s="40" t="n">
        <f aca="false">J271*H271</f>
        <v>0.0131515504324512</v>
      </c>
      <c r="O271" s="40" t="n">
        <f aca="false">K271*Q271</f>
        <v>0.0124929033679902</v>
      </c>
      <c r="P271" s="40" t="n">
        <f aca="false">L271*R271</f>
        <v>0.0138101974969121</v>
      </c>
      <c r="Q271" s="39" t="n">
        <f aca="false">INDEX(REF_MIN,MATCH(D271,REF_ID,0))</f>
        <v>7.85</v>
      </c>
      <c r="R271" s="39" t="n">
        <f aca="false">INDEX(REF_MAX,MATCH(D271,REF_ID,0))</f>
        <v>7.85</v>
      </c>
      <c r="S271" s="41" t="n">
        <v>0.167808169289417</v>
      </c>
      <c r="T271" s="42" t="n">
        <f aca="false">200*J271/S271</f>
        <v>1.9967523036354</v>
      </c>
      <c r="U271" s="43" t="n">
        <f aca="false">IFERROR(INDEX(ISO_TOL,MATCH(T271,ISO_DESDE,1)),0)</f>
        <v>0.1</v>
      </c>
      <c r="V271" s="44" t="n">
        <f aca="false">IF(T271&gt;0,U271/T271,0)</f>
        <v>0.0500813244677041</v>
      </c>
    </row>
    <row r="272" customFormat="false" ht="15" hidden="false" customHeight="false" outlineLevel="2" collapsed="false">
      <c r="A272" s="35" t="n">
        <v>2</v>
      </c>
      <c r="B272" s="36" t="s">
        <v>595</v>
      </c>
      <c r="C272" s="37" t="s">
        <v>538</v>
      </c>
      <c r="D272" s="36" t="s">
        <v>10</v>
      </c>
      <c r="E272" s="36" t="str">
        <f aca="false">INDEX(REF_DATO,MATCH(D272,REF_ID,0))</f>
        <v>Acero (chapa LAC/LAF, SAE 1010/1045)</v>
      </c>
      <c r="F272" s="38" t="n">
        <v>1</v>
      </c>
      <c r="G272" s="35" t="s">
        <v>264</v>
      </c>
      <c r="H272" s="39" t="n">
        <f aca="false">INDEX(REF_VAL,MATCH(D272,REF_ID,0))</f>
        <v>7.85</v>
      </c>
      <c r="I272" s="40" t="n">
        <f aca="false">F272*J272</f>
        <v>0.199957319679322</v>
      </c>
      <c r="J272" s="40" t="n">
        <v>0.199957319679322</v>
      </c>
      <c r="K272" s="40" t="n">
        <f aca="false">I272*(1-V272)</f>
        <v>0.188178289469344</v>
      </c>
      <c r="L272" s="40" t="n">
        <f aca="false">I272*(1+V272)</f>
        <v>0.2117363498893</v>
      </c>
      <c r="M272" s="40" t="n">
        <f aca="false">F272*N272</f>
        <v>1.56966495948268</v>
      </c>
      <c r="N272" s="40" t="n">
        <f aca="false">J272*H272</f>
        <v>1.56966495948268</v>
      </c>
      <c r="O272" s="40" t="n">
        <f aca="false">K272*Q272</f>
        <v>1.47719957233435</v>
      </c>
      <c r="P272" s="40" t="n">
        <f aca="false">L272*R272</f>
        <v>1.66213034663101</v>
      </c>
      <c r="Q272" s="39" t="n">
        <f aca="false">INDEX(REF_MIN,MATCH(D272,REF_ID,0))</f>
        <v>7.85</v>
      </c>
      <c r="R272" s="39" t="n">
        <f aca="false">INDEX(REF_MAX,MATCH(D272,REF_ID,0))</f>
        <v>7.85</v>
      </c>
      <c r="S272" s="41" t="n">
        <v>23.5580604199556</v>
      </c>
      <c r="T272" s="42" t="n">
        <f aca="false">200*J272/S272</f>
        <v>1.69757031024457</v>
      </c>
      <c r="U272" s="43" t="n">
        <f aca="false">IFERROR(INDEX(ISO_TOL,MATCH(T272,ISO_DESDE,1)),0)</f>
        <v>0.1</v>
      </c>
      <c r="V272" s="44" t="n">
        <f aca="false">IF(T272&gt;0,U272/T272,0)</f>
        <v>0.0589077220522269</v>
      </c>
    </row>
    <row r="273" customFormat="false" ht="15" hidden="false" customHeight="false" outlineLevel="2" collapsed="false">
      <c r="A273" s="35" t="n">
        <v>2</v>
      </c>
      <c r="B273" s="36" t="s">
        <v>596</v>
      </c>
      <c r="C273" s="37" t="s">
        <v>540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0.104857599999999</v>
      </c>
      <c r="J273" s="40" t="n">
        <v>0.104857599999999</v>
      </c>
      <c r="K273" s="40" t="n">
        <f aca="false">I273*(1-V273)</f>
        <v>0.101293055999999</v>
      </c>
      <c r="L273" s="40" t="n">
        <f aca="false">I273*(1+V273)</f>
        <v>0.108422143999999</v>
      </c>
      <c r="M273" s="40" t="n">
        <f aca="false">F273*N273</f>
        <v>0.823132159999995</v>
      </c>
      <c r="N273" s="40" t="n">
        <f aca="false">J273*H273</f>
        <v>0.823132159999995</v>
      </c>
      <c r="O273" s="40" t="n">
        <f aca="false">K273*Q273</f>
        <v>0.795150489599995</v>
      </c>
      <c r="P273" s="40" t="n">
        <f aca="false">L273*R273</f>
        <v>0.851113830399995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7.129088</v>
      </c>
      <c r="T273" s="42" t="n">
        <f aca="false">200*J273/S273</f>
        <v>2.94168342430335</v>
      </c>
      <c r="U273" s="43" t="n">
        <f aca="false">IFERROR(INDEX(ISO_TOL,MATCH(T273,ISO_DESDE,1)),0)</f>
        <v>0.1</v>
      </c>
      <c r="V273" s="44" t="n">
        <f aca="false">IF(T273&gt;0,U273/T273,0)</f>
        <v>0.0339941406250002</v>
      </c>
    </row>
    <row r="274" customFormat="false" ht="15" hidden="false" customHeight="false" outlineLevel="1" collapsed="false">
      <c r="A274" s="25" t="n">
        <v>1</v>
      </c>
      <c r="B274" s="26" t="s">
        <v>597</v>
      </c>
      <c r="C274" s="27" t="s">
        <v>312</v>
      </c>
      <c r="D274" s="26"/>
      <c r="E274" s="26"/>
      <c r="F274" s="28" t="n">
        <v>1</v>
      </c>
      <c r="G274" s="25" t="s">
        <v>264</v>
      </c>
      <c r="H274" s="29"/>
      <c r="I274" s="30"/>
      <c r="J274" s="30"/>
      <c r="K274" s="30"/>
      <c r="L274" s="30"/>
      <c r="M274" s="30" t="n">
        <f aca="false">IF(SUMIF(A275:A276,2,M275:M276)=0,"",SUMIF(A275:A276,2,M275:M276))</f>
        <v>50.2819225606741</v>
      </c>
      <c r="N274" s="30"/>
      <c r="O274" s="30" t="n">
        <f aca="false">IF(SUMIF(A275:A276,2,O275:O276)=0,"",SUMIF(A275:A276,2,O275:O276))</f>
        <v>48.732718852064</v>
      </c>
      <c r="P274" s="30" t="n">
        <f aca="false">IF(SUMIF(A275:A276,2,P275:P276)=0,"",SUMIF(A275:A276,2,P275:P276))</f>
        <v>51.8362188579692</v>
      </c>
      <c r="Q274" s="29"/>
      <c r="R274" s="29"/>
      <c r="S274" s="31"/>
      <c r="T274" s="32"/>
      <c r="U274" s="33"/>
      <c r="V274" s="34"/>
    </row>
    <row r="275" customFormat="false" ht="15" hidden="false" customHeight="false" outlineLevel="2" collapsed="false">
      <c r="A275" s="35" t="n">
        <v>2</v>
      </c>
      <c r="B275" s="36" t="s">
        <v>598</v>
      </c>
      <c r="C275" s="37" t="s">
        <v>543</v>
      </c>
      <c r="D275" s="36" t="s">
        <v>37</v>
      </c>
      <c r="E275" s="36" t="str">
        <f aca="false">INDEX(REF_DATO,MATCH(D275,REF_ID,0))</f>
        <v>Polvo ABC asentado en el recipiente</v>
      </c>
      <c r="F275" s="38" t="n">
        <f aca="false">MODELOS!$L$17</f>
        <v>50</v>
      </c>
      <c r="G275" s="35" t="s">
        <v>123</v>
      </c>
      <c r="H275" s="39" t="n">
        <f aca="false">INDEX(REF_VAL,MATCH(D275,REF_ID,0))</f>
        <v>1.1</v>
      </c>
      <c r="I275" s="40" t="n">
        <f aca="false">F275*J275</f>
        <v>45.4545454545455</v>
      </c>
      <c r="J275" s="40" t="n">
        <f aca="false">1/H275</f>
        <v>0.909090909090909</v>
      </c>
      <c r="K275" s="40" t="n">
        <f aca="false">MODELOS!$M$17/R275</f>
        <v>44.0909090909091</v>
      </c>
      <c r="L275" s="40" t="n">
        <f aca="false">MODELOS!$N$17/Q275</f>
        <v>46.8181818181818</v>
      </c>
      <c r="M275" s="40" t="n">
        <f aca="false">F275</f>
        <v>50</v>
      </c>
      <c r="N275" s="40" t="n">
        <v>1</v>
      </c>
      <c r="O275" s="40" t="n">
        <f aca="false">MODELOS!$M$17</f>
        <v>48.5</v>
      </c>
      <c r="P275" s="40" t="n">
        <f aca="false">MODELOS!$N$17</f>
        <v>51.5</v>
      </c>
      <c r="Q275" s="39" t="n">
        <f aca="false">INDEX(REF_MIN,MATCH(D275,REF_ID,0))</f>
        <v>1.1</v>
      </c>
      <c r="R275" s="39" t="n">
        <f aca="false">INDEX(REF_MAX,MATCH(D275,REF_ID,0))</f>
        <v>1.1</v>
      </c>
      <c r="S275" s="41"/>
      <c r="T275" s="42"/>
      <c r="U275" s="43"/>
      <c r="V275" s="44"/>
    </row>
    <row r="276" customFormat="false" ht="15" hidden="false" customHeight="false" outlineLevel="2" collapsed="false">
      <c r="A276" s="35" t="n">
        <v>2</v>
      </c>
      <c r="B276" s="36" t="s">
        <v>599</v>
      </c>
      <c r="C276" s="37" t="s">
        <v>316</v>
      </c>
      <c r="D276" s="36" t="s">
        <v>78</v>
      </c>
      <c r="E276" s="36" t="str">
        <f aca="false">INDEX(REF_DATO,MATCH(D276,REF_ID,0))</f>
        <v>Nitrógeno seco (densidad normal)</v>
      </c>
      <c r="F276" s="38" t="n">
        <f aca="false">MODELOS!$AF$17</f>
        <v>0.281922560674133</v>
      </c>
      <c r="G276" s="35" t="s">
        <v>123</v>
      </c>
      <c r="H276" s="39" t="n">
        <f aca="false">INDEX(REF_VAL,MATCH(D276,REF_ID,0))</f>
        <v>0.00124921923797626</v>
      </c>
      <c r="I276" s="40" t="n">
        <f aca="false">F276*J276</f>
        <v>225.679009819644</v>
      </c>
      <c r="J276" s="40" t="n">
        <f aca="false">1/H276</f>
        <v>800.5</v>
      </c>
      <c r="K276" s="40" t="n">
        <f aca="false">MODELOS!$AG$17/H276</f>
        <v>186.291441077247</v>
      </c>
      <c r="L276" s="40" t="n">
        <f aca="false">MODELOS!$AH$17/H276</f>
        <v>269.143195804356</v>
      </c>
      <c r="M276" s="40" t="n">
        <f aca="false">F276</f>
        <v>0.281922560674133</v>
      </c>
      <c r="N276" s="40" t="n">
        <v>1</v>
      </c>
      <c r="O276" s="40" t="n">
        <f aca="false">MODELOS!$AG$17</f>
        <v>0.232718852064018</v>
      </c>
      <c r="P276" s="40" t="n">
        <f aca="false">MODELOS!$AH$17</f>
        <v>0.336218857969214</v>
      </c>
      <c r="Q276" s="39"/>
      <c r="R276" s="39"/>
      <c r="S276" s="41"/>
      <c r="T276" s="42"/>
      <c r="U276" s="43"/>
      <c r="V276" s="44"/>
    </row>
    <row r="277" customFormat="false" ht="15" hidden="false" customHeight="false" outlineLevel="1" collapsed="false">
      <c r="A277" s="25" t="n">
        <v>1</v>
      </c>
      <c r="B277" s="26" t="s">
        <v>600</v>
      </c>
      <c r="C277" s="27" t="s">
        <v>318</v>
      </c>
      <c r="D277" s="26"/>
      <c r="E277" s="26"/>
      <c r="F277" s="28" t="n">
        <v>1</v>
      </c>
      <c r="G277" s="25" t="s">
        <v>264</v>
      </c>
      <c r="H277" s="29"/>
      <c r="I277" s="30"/>
      <c r="J277" s="30"/>
      <c r="K277" s="30"/>
      <c r="L277" s="30"/>
      <c r="M277" s="30" t="n">
        <f aca="false">IF(SUMIF(A278:A284,2,M278:M284)=0,"",SUMIF(A278:A284,2,M278:M284))</f>
        <v>0.0586203175145301</v>
      </c>
      <c r="N277" s="30"/>
      <c r="O277" s="30" t="n">
        <f aca="false">IF(SUMIF(A278:A284,2,O278:O284)=0,"",SUMIF(A278:A284,2,O278:O284))</f>
        <v>0.0565242102520574</v>
      </c>
      <c r="P277" s="30" t="n">
        <f aca="false">IF(SUMIF(A278:A284,2,P278:P284)=0,"",SUMIF(A278:A284,2,P278:P284))</f>
        <v>0.0607184864471817</v>
      </c>
      <c r="Q277" s="29"/>
      <c r="R277" s="29"/>
      <c r="S277" s="31"/>
      <c r="T277" s="32"/>
      <c r="U277" s="33"/>
      <c r="V277" s="34"/>
    </row>
    <row r="278" customFormat="false" ht="15" hidden="false" customHeight="false" outlineLevel="2" collapsed="false">
      <c r="A278" s="35" t="n">
        <v>2</v>
      </c>
      <c r="B278" s="36" t="s">
        <v>601</v>
      </c>
      <c r="C278" s="37" t="s">
        <v>320</v>
      </c>
      <c r="D278" s="36" t="s">
        <v>32</v>
      </c>
      <c r="E278" s="36" t="str">
        <f aca="false">INDEX(REF_DATO,MATCH(D278,REF_ID,0))</f>
        <v>PVC rígido, vinilo y papeles de identificación</v>
      </c>
      <c r="F278" s="38" t="n">
        <v>1</v>
      </c>
      <c r="G278" s="35" t="s">
        <v>264</v>
      </c>
      <c r="H278" s="39" t="n">
        <f aca="false">INDEX(REF_VAL,MATCH(D278,REF_ID,0))</f>
        <v>1.4</v>
      </c>
      <c r="I278" s="40" t="n">
        <f aca="false">F278*J278</f>
        <v>0.0374581187806325</v>
      </c>
      <c r="J278" s="40" t="n">
        <v>0.0374581187806325</v>
      </c>
      <c r="K278" s="40" t="n">
        <f aca="false">I278*(1-V278)</f>
        <v>0.0374581187806325</v>
      </c>
      <c r="L278" s="40" t="n">
        <f aca="false">I278*(1+V278)</f>
        <v>0.0374581187806325</v>
      </c>
      <c r="M278" s="40" t="n">
        <f aca="false">F278*N278</f>
        <v>0.0524413662928855</v>
      </c>
      <c r="N278" s="40" t="n">
        <f aca="false">J278*H278</f>
        <v>0.0524413662928855</v>
      </c>
      <c r="O278" s="40" t="n">
        <f aca="false">K278*Q278</f>
        <v>0.0505684603538539</v>
      </c>
      <c r="P278" s="40" t="n">
        <f aca="false">L278*R278</f>
        <v>0.0543142722319171</v>
      </c>
      <c r="Q278" s="39" t="n">
        <f aca="false">INDEX(REF_MIN,MATCH(D278,REF_ID,0))</f>
        <v>1.35</v>
      </c>
      <c r="R278" s="39" t="n">
        <f aca="false">INDEX(REF_MAX,MATCH(D278,REF_ID,0))</f>
        <v>1.45</v>
      </c>
      <c r="S278" s="41" t="n">
        <v>25.0207127239791</v>
      </c>
      <c r="T278" s="42" t="n">
        <f aca="false">200*J278/S278</f>
        <v>0.299416880676894</v>
      </c>
      <c r="U278" s="43" t="n">
        <f aca="false">IFERROR(INDEX(ISO_TOL,MATCH(T278,ISO_DESDE,1)),0)</f>
        <v>0</v>
      </c>
      <c r="V278" s="44" t="n">
        <f aca="false">IF(T278&gt;0,U278/T278,0)</f>
        <v>0</v>
      </c>
    </row>
    <row r="279" customFormat="false" ht="15" hidden="false" customHeight="false" outlineLevel="2" collapsed="false">
      <c r="A279" s="35" t="n">
        <v>2</v>
      </c>
      <c r="B279" s="36" t="s">
        <v>602</v>
      </c>
      <c r="C279" s="37" t="s">
        <v>322</v>
      </c>
      <c r="D279" s="36" t="s">
        <v>32</v>
      </c>
      <c r="E279" s="36" t="str">
        <f aca="false">INDEX(REF_DATO,MATCH(D279,REF_ID,0))</f>
        <v>PVC rígido, vinilo y papeles de identificación</v>
      </c>
      <c r="F279" s="38" t="n">
        <v>1</v>
      </c>
      <c r="G279" s="35" t="s">
        <v>264</v>
      </c>
      <c r="H279" s="39" t="n">
        <f aca="false">INDEX(REF_VAL,MATCH(D279,REF_ID,0))</f>
        <v>1.4</v>
      </c>
      <c r="I279" s="40" t="n">
        <f aca="false">F279*J279</f>
        <v>0.000635395125000007</v>
      </c>
      <c r="J279" s="40" t="n">
        <v>0.000635395125000007</v>
      </c>
      <c r="K279" s="40" t="n">
        <f aca="false">I279*(1-V279)</f>
        <v>0.000635395125000007</v>
      </c>
      <c r="L279" s="40" t="n">
        <f aca="false">I279*(1+V279)</f>
        <v>0.000635395125000007</v>
      </c>
      <c r="M279" s="40" t="n">
        <f aca="false">F279*N279</f>
        <v>0.00088955317500001</v>
      </c>
      <c r="N279" s="40" t="n">
        <f aca="false">J279*H279</f>
        <v>0.00088955317500001</v>
      </c>
      <c r="O279" s="40" t="n">
        <f aca="false">K279*Q279</f>
        <v>0.00085778341875001</v>
      </c>
      <c r="P279" s="40" t="n">
        <f aca="false">L279*R279</f>
        <v>0.000921322931250011</v>
      </c>
      <c r="Q279" s="39" t="n">
        <f aca="false">INDEX(REF_MIN,MATCH(D279,REF_ID,0))</f>
        <v>1.35</v>
      </c>
      <c r="R279" s="39" t="n">
        <f aca="false">INDEX(REF_MAX,MATCH(D279,REF_ID,0))</f>
        <v>1.45</v>
      </c>
      <c r="S279" s="41" t="n">
        <v>0.4291193375</v>
      </c>
      <c r="T279" s="42" t="n">
        <f aca="false">200*J279/S279</f>
        <v>0.296139124702115</v>
      </c>
      <c r="U279" s="43" t="n">
        <f aca="false">IFERROR(INDEX(ISO_TOL,MATCH(T279,ISO_DESDE,1)),0)</f>
        <v>0</v>
      </c>
      <c r="V279" s="44" t="n">
        <f aca="false">IF(T279&gt;0,U279/T279,0)</f>
        <v>0</v>
      </c>
    </row>
    <row r="280" customFormat="false" ht="15" hidden="false" customHeight="false" outlineLevel="2" collapsed="false">
      <c r="A280" s="35" t="n">
        <v>2</v>
      </c>
      <c r="B280" s="36" t="s">
        <v>603</v>
      </c>
      <c r="C280" s="37" t="s">
        <v>324</v>
      </c>
      <c r="D280" s="36" t="s">
        <v>32</v>
      </c>
      <c r="E280" s="36" t="str">
        <f aca="false">INDEX(REF_DATO,MATCH(D280,REF_ID,0))</f>
        <v>PVC rígido, vinilo y papeles de identificación</v>
      </c>
      <c r="F280" s="38" t="n">
        <v>1</v>
      </c>
      <c r="G280" s="35" t="s">
        <v>264</v>
      </c>
      <c r="H280" s="39" t="n">
        <f aca="false">INDEX(REF_VAL,MATCH(D280,REF_ID,0))</f>
        <v>1.4</v>
      </c>
      <c r="I280" s="40" t="n">
        <f aca="false">F280*J280</f>
        <v>0.00072067500000004</v>
      </c>
      <c r="J280" s="40" t="n">
        <v>0.00072067500000004</v>
      </c>
      <c r="K280" s="40" t="n">
        <f aca="false">I280*(1-V280)</f>
        <v>0.00072067500000004</v>
      </c>
      <c r="L280" s="40" t="n">
        <f aca="false">I280*(1+V280)</f>
        <v>0.00072067500000004</v>
      </c>
      <c r="M280" s="40" t="n">
        <f aca="false">F280*N280</f>
        <v>0.00100894500000006</v>
      </c>
      <c r="N280" s="40" t="n">
        <f aca="false">J280*H280</f>
        <v>0.00100894500000006</v>
      </c>
      <c r="O280" s="40" t="n">
        <f aca="false">K280*Q280</f>
        <v>0.000972911250000054</v>
      </c>
      <c r="P280" s="40" t="n">
        <f aca="false">L280*R280</f>
        <v>0.00104497875000006</v>
      </c>
      <c r="Q280" s="39" t="n">
        <f aca="false">INDEX(REF_MIN,MATCH(D280,REF_ID,0))</f>
        <v>1.35</v>
      </c>
      <c r="R280" s="39" t="n">
        <f aca="false">INDEX(REF_MAX,MATCH(D280,REF_ID,0))</f>
        <v>1.45</v>
      </c>
      <c r="S280" s="41" t="n">
        <v>0.486453375000001</v>
      </c>
      <c r="T280" s="42" t="n">
        <f aca="false">200*J280/S280</f>
        <v>0.29629766675996</v>
      </c>
      <c r="U280" s="43" t="n">
        <f aca="false">IFERROR(INDEX(ISO_TOL,MATCH(T280,ISO_DESDE,1)),0)</f>
        <v>0</v>
      </c>
      <c r="V280" s="44" t="n">
        <f aca="false">IF(T280&gt;0,U280/T280,0)</f>
        <v>0</v>
      </c>
    </row>
    <row r="281" customFormat="false" ht="15" hidden="false" customHeight="false" outlineLevel="2" collapsed="false">
      <c r="A281" s="35" t="n">
        <v>2</v>
      </c>
      <c r="B281" s="36" t="s">
        <v>604</v>
      </c>
      <c r="C281" s="37" t="s">
        <v>384</v>
      </c>
      <c r="D281" s="36" t="s">
        <v>32</v>
      </c>
      <c r="E281" s="36" t="str">
        <f aca="false">INDEX(REF_DATO,MATCH(D281,REF_ID,0))</f>
        <v>PVC rígido, vinilo y papeles de identificación</v>
      </c>
      <c r="F281" s="38" t="n">
        <v>1</v>
      </c>
      <c r="G281" s="35" t="s">
        <v>264</v>
      </c>
      <c r="H281" s="39" t="n">
        <f aca="false">INDEX(REF_VAL,MATCH(D281,REF_ID,0))</f>
        <v>1.4</v>
      </c>
      <c r="I281" s="40" t="n">
        <f aca="false">F281*J281</f>
        <v>0.00231216562500015</v>
      </c>
      <c r="J281" s="40" t="n">
        <v>0.00231216562500015</v>
      </c>
      <c r="K281" s="40" t="n">
        <f aca="false">I281*(1-V281)</f>
        <v>0.00231216562500015</v>
      </c>
      <c r="L281" s="40" t="n">
        <f aca="false">I281*(1+V281)</f>
        <v>0.00231216562500015</v>
      </c>
      <c r="M281" s="40" t="n">
        <f aca="false">F281*N281</f>
        <v>0.00323703187500021</v>
      </c>
      <c r="N281" s="40" t="n">
        <f aca="false">J281*H281</f>
        <v>0.00323703187500021</v>
      </c>
      <c r="O281" s="40" t="n">
        <f aca="false">K281*Q281</f>
        <v>0.0031214235937502</v>
      </c>
      <c r="P281" s="40" t="n">
        <f aca="false">L281*R281</f>
        <v>0.00335264015625021</v>
      </c>
      <c r="Q281" s="39" t="n">
        <f aca="false">INDEX(REF_MIN,MATCH(D281,REF_ID,0))</f>
        <v>1.35</v>
      </c>
      <c r="R281" s="39" t="n">
        <f aca="false">INDEX(REF_MAX,MATCH(D281,REF_ID,0))</f>
        <v>1.45</v>
      </c>
      <c r="S281" s="41" t="n">
        <v>1.553151625</v>
      </c>
      <c r="T281" s="42" t="n">
        <f aca="false">200*J281/S281</f>
        <v>0.297738557882286</v>
      </c>
      <c r="U281" s="43" t="n">
        <f aca="false">IFERROR(INDEX(ISO_TOL,MATCH(T281,ISO_DESDE,1)),0)</f>
        <v>0</v>
      </c>
      <c r="V281" s="44" t="n">
        <f aca="false">IF(T281&gt;0,U281/T281,0)</f>
        <v>0</v>
      </c>
    </row>
    <row r="282" customFormat="false" ht="15" hidden="false" customHeight="false" outlineLevel="2" collapsed="false">
      <c r="A282" s="35" t="n">
        <v>2</v>
      </c>
      <c r="B282" s="36" t="s">
        <v>605</v>
      </c>
      <c r="C282" s="37" t="s">
        <v>326</v>
      </c>
      <c r="D282" s="36" t="s">
        <v>32</v>
      </c>
      <c r="E282" s="36" t="str">
        <f aca="false">INDEX(REF_DATO,MATCH(D282,REF_ID,0))</f>
        <v>PVC rígido, vinilo y papeles de identificación</v>
      </c>
      <c r="F282" s="38" t="n">
        <v>1</v>
      </c>
      <c r="G282" s="35" t="s">
        <v>264</v>
      </c>
      <c r="H282" s="39" t="n">
        <f aca="false">INDEX(REF_VAL,MATCH(D282,REF_ID,0))</f>
        <v>1.4</v>
      </c>
      <c r="I282" s="40" t="n">
        <f aca="false">F282*J282</f>
        <v>0.000337816406250003</v>
      </c>
      <c r="J282" s="40" t="n">
        <v>0.000337816406250003</v>
      </c>
      <c r="K282" s="40" t="n">
        <f aca="false">I282*(1-V282)</f>
        <v>0.000337816406250003</v>
      </c>
      <c r="L282" s="40" t="n">
        <f aca="false">I282*(1+V282)</f>
        <v>0.000337816406250003</v>
      </c>
      <c r="M282" s="40" t="n">
        <f aca="false">F282*N282</f>
        <v>0.000472942968750004</v>
      </c>
      <c r="N282" s="40" t="n">
        <f aca="false">J282*H282</f>
        <v>0.000472942968750004</v>
      </c>
      <c r="O282" s="40" t="n">
        <f aca="false">K282*Q282</f>
        <v>0.000456052148437504</v>
      </c>
      <c r="P282" s="40" t="n">
        <f aca="false">L282*R282</f>
        <v>0.000489833789062504</v>
      </c>
      <c r="Q282" s="39" t="n">
        <f aca="false">INDEX(REF_MIN,MATCH(D282,REF_ID,0))</f>
        <v>1.35</v>
      </c>
      <c r="R282" s="39" t="n">
        <f aca="false">INDEX(REF_MAX,MATCH(D282,REF_ID,0))</f>
        <v>1.45</v>
      </c>
      <c r="S282" s="41" t="n">
        <v>0.22941346875</v>
      </c>
      <c r="T282" s="42" t="n">
        <f aca="false">200*J282/S282</f>
        <v>0.294504423032052</v>
      </c>
      <c r="U282" s="43" t="n">
        <f aca="false">IFERROR(INDEX(ISO_TOL,MATCH(T282,ISO_DESDE,1)),0)</f>
        <v>0</v>
      </c>
      <c r="V282" s="44" t="n">
        <f aca="false">IF(T282&gt;0,U282/T282,0)</f>
        <v>0</v>
      </c>
    </row>
    <row r="283" customFormat="false" ht="15" hidden="false" customHeight="false" outlineLevel="2" collapsed="false">
      <c r="A283" s="35" t="n">
        <v>2</v>
      </c>
      <c r="B283" s="36" t="s">
        <v>606</v>
      </c>
      <c r="C283" s="37" t="s">
        <v>328</v>
      </c>
      <c r="D283" s="36" t="s">
        <v>32</v>
      </c>
      <c r="E283" s="36" t="str">
        <f aca="false">INDEX(REF_DATO,MATCH(D283,REF_ID,0))</f>
        <v>PVC rígido, vinilo y papeles de identificación</v>
      </c>
      <c r="F283" s="38" t="n">
        <v>1</v>
      </c>
      <c r="G283" s="35" t="s">
        <v>264</v>
      </c>
      <c r="H283" s="39" t="n">
        <f aca="false">INDEX(REF_VAL,MATCH(D283,REF_ID,0))</f>
        <v>1.4</v>
      </c>
      <c r="I283" s="40" t="n">
        <f aca="false">F283*J283</f>
        <v>0.000281259725807048</v>
      </c>
      <c r="J283" s="40" t="n">
        <v>0.000281259725807048</v>
      </c>
      <c r="K283" s="40" t="n">
        <f aca="false">I283*(1-V283)</f>
        <v>0.000281259725807048</v>
      </c>
      <c r="L283" s="40" t="n">
        <f aca="false">I283*(1+V283)</f>
        <v>0.000281259725807048</v>
      </c>
      <c r="M283" s="40" t="n">
        <f aca="false">F283*N283</f>
        <v>0.000393763616129867</v>
      </c>
      <c r="N283" s="40" t="n">
        <f aca="false">J283*H283</f>
        <v>0.000393763616129867</v>
      </c>
      <c r="O283" s="40" t="n">
        <f aca="false">K283*Q283</f>
        <v>0.000379700629839514</v>
      </c>
      <c r="P283" s="40" t="n">
        <f aca="false">L283*R283</f>
        <v>0.000407826602420219</v>
      </c>
      <c r="Q283" s="39" t="n">
        <f aca="false">INDEX(REF_MIN,MATCH(D283,REF_ID,0))</f>
        <v>1.35</v>
      </c>
      <c r="R283" s="39" t="n">
        <f aca="false">INDEX(REF_MAX,MATCH(D283,REF_ID,0))</f>
        <v>1.45</v>
      </c>
      <c r="S283" s="41" t="n">
        <v>0.284334790645751</v>
      </c>
      <c r="T283" s="42" t="n">
        <f aca="false">200*J283/S283</f>
        <v>0.197837011199566</v>
      </c>
      <c r="U283" s="43" t="n">
        <f aca="false">IFERROR(INDEX(ISO_TOL,MATCH(T283,ISO_DESDE,1)),0)</f>
        <v>0</v>
      </c>
      <c r="V283" s="44" t="n">
        <f aca="false">IF(T283&gt;0,U283/T283,0)</f>
        <v>0</v>
      </c>
    </row>
    <row r="284" customFormat="false" ht="15" hidden="false" customHeight="false" outlineLevel="2" collapsed="false">
      <c r="A284" s="35" t="n">
        <v>2</v>
      </c>
      <c r="B284" s="36" t="s">
        <v>607</v>
      </c>
      <c r="C284" s="37" t="s">
        <v>330</v>
      </c>
      <c r="D284" s="36" t="s">
        <v>26</v>
      </c>
      <c r="E284" s="36" t="str">
        <f aca="false">INDEX(REF_DATO,MATCH(D284,REF_ID,0))</f>
        <v>Polipropileno</v>
      </c>
      <c r="F284" s="38" t="n">
        <v>1</v>
      </c>
      <c r="G284" s="35" t="s">
        <v>264</v>
      </c>
      <c r="H284" s="39" t="n">
        <f aca="false">INDEX(REF_VAL,MATCH(D284,REF_ID,0))</f>
        <v>0.9</v>
      </c>
      <c r="I284" s="40" t="n">
        <f aca="false">F284*J284</f>
        <v>0.000196349540849362</v>
      </c>
      <c r="J284" s="40" t="n">
        <v>0.000196349540849362</v>
      </c>
      <c r="K284" s="40" t="n">
        <f aca="false">I284*(1-V284)</f>
        <v>0.000186532063806894</v>
      </c>
      <c r="L284" s="40" t="n">
        <f aca="false">I284*(1+V284)</f>
        <v>0.00020616701789183</v>
      </c>
      <c r="M284" s="40" t="n">
        <f aca="false">F284*N284</f>
        <v>0.000176714586764426</v>
      </c>
      <c r="N284" s="40" t="n">
        <f aca="false">J284*H284</f>
        <v>0.000176714586764426</v>
      </c>
      <c r="O284" s="40" t="n">
        <f aca="false">K284*Q284</f>
        <v>0.000167878857426205</v>
      </c>
      <c r="P284" s="40" t="n">
        <f aca="false">L284*R284</f>
        <v>0.000187611986281566</v>
      </c>
      <c r="Q284" s="39" t="n">
        <f aca="false">INDEX(REF_MIN,MATCH(D284,REF_ID,0))</f>
        <v>0.9</v>
      </c>
      <c r="R284" s="39" t="n">
        <f aca="false">INDEX(REF_MAX,MATCH(D284,REF_ID,0))</f>
        <v>0.91</v>
      </c>
      <c r="S284" s="41" t="n">
        <v>0.0196349540849362</v>
      </c>
      <c r="T284" s="42" t="n">
        <f aca="false">200*J284/S284</f>
        <v>2</v>
      </c>
      <c r="U284" s="43" t="n">
        <f aca="false">IFERROR(INDEX(ISO_TOL,MATCH(T284,ISO_DESDE,1)),0)</f>
        <v>0.1</v>
      </c>
      <c r="V284" s="44" t="n">
        <f aca="false">IF(T284&gt;0,U284/T284,0)</f>
        <v>0.05</v>
      </c>
    </row>
    <row r="285" customFormat="false" ht="15" hidden="false" customHeight="false" outlineLevel="1" collapsed="false">
      <c r="A285" s="25" t="n">
        <v>1</v>
      </c>
      <c r="B285" s="26" t="s">
        <v>608</v>
      </c>
      <c r="C285" s="27" t="s">
        <v>336</v>
      </c>
      <c r="D285" s="26"/>
      <c r="E285" s="26"/>
      <c r="F285" s="28" t="n">
        <v>1</v>
      </c>
      <c r="G285" s="25" t="s">
        <v>264</v>
      </c>
      <c r="H285" s="29"/>
      <c r="I285" s="30"/>
      <c r="J285" s="30"/>
      <c r="K285" s="30"/>
      <c r="L285" s="30"/>
      <c r="M285" s="30" t="str">
        <f aca="false">IF(SUMIF(A286:A289,2,M286:M289)=0,"",SUMIF(A286:A289,2,M286:M289))</f>
        <v/>
      </c>
      <c r="N285" s="30"/>
      <c r="O285" s="30" t="str">
        <f aca="false">IF(SUMIF(A286:A289,2,O286:O289)=0,"",SUMIF(A286:A289,2,O286:O289))</f>
        <v/>
      </c>
      <c r="P285" s="30" t="str">
        <f aca="false">IF(SUMIF(A286:A289,2,P286:P289)=0,"",SUMIF(A286:A289,2,P286:P289))</f>
        <v/>
      </c>
      <c r="Q285" s="29"/>
      <c r="R285" s="29"/>
      <c r="S285" s="31"/>
      <c r="T285" s="32"/>
      <c r="U285" s="33"/>
      <c r="V285" s="34"/>
    </row>
    <row r="286" customFormat="false" ht="15" hidden="false" customHeight="false" outlineLevel="2" collapsed="false">
      <c r="A286" s="35" t="n">
        <v>2</v>
      </c>
      <c r="B286" s="36" t="s">
        <v>609</v>
      </c>
      <c r="C286" s="37" t="s">
        <v>338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2" collapsed="false">
      <c r="A287" s="35" t="n">
        <v>2</v>
      </c>
      <c r="B287" s="36" t="s">
        <v>610</v>
      </c>
      <c r="C287" s="37" t="s">
        <v>340</v>
      </c>
      <c r="D287" s="36"/>
      <c r="E287" s="36"/>
      <c r="F287" s="38" t="n">
        <v>1</v>
      </c>
      <c r="G287" s="35" t="s">
        <v>264</v>
      </c>
      <c r="H287" s="39"/>
      <c r="I287" s="40"/>
      <c r="J287" s="40"/>
      <c r="K287" s="40"/>
      <c r="L287" s="40"/>
      <c r="M287" s="40"/>
      <c r="N287" s="40"/>
      <c r="O287" s="40"/>
      <c r="P287" s="40"/>
      <c r="Q287" s="39"/>
      <c r="R287" s="39"/>
      <c r="S287" s="41"/>
      <c r="T287" s="42"/>
      <c r="U287" s="43"/>
      <c r="V287" s="44"/>
    </row>
    <row r="288" customFormat="false" ht="15" hidden="false" customHeight="false" outlineLevel="2" collapsed="false">
      <c r="A288" s="35" t="n">
        <v>2</v>
      </c>
      <c r="B288" s="36" t="s">
        <v>611</v>
      </c>
      <c r="C288" s="37" t="s">
        <v>342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2" collapsed="false">
      <c r="A289" s="35" t="n">
        <v>2</v>
      </c>
      <c r="B289" s="36" t="s">
        <v>612</v>
      </c>
      <c r="C289" s="37" t="s">
        <v>344</v>
      </c>
      <c r="D289" s="36"/>
      <c r="E289" s="36"/>
      <c r="F289" s="38" t="n">
        <v>1</v>
      </c>
      <c r="G289" s="35" t="s">
        <v>264</v>
      </c>
      <c r="H289" s="39"/>
      <c r="I289" s="40"/>
      <c r="J289" s="40"/>
      <c r="K289" s="40"/>
      <c r="L289" s="40"/>
      <c r="M289" s="40"/>
      <c r="N289" s="40"/>
      <c r="O289" s="40"/>
      <c r="P289" s="40"/>
      <c r="Q289" s="39"/>
      <c r="R289" s="39"/>
      <c r="S289" s="41"/>
      <c r="T289" s="42"/>
      <c r="U289" s="43"/>
      <c r="V289" s="44"/>
    </row>
    <row r="290" customFormat="false" ht="15" hidden="false" customHeight="false" outlineLevel="0" collapsed="false">
      <c r="A290" s="16" t="n">
        <v>0</v>
      </c>
      <c r="B290" s="17" t="s">
        <v>240</v>
      </c>
      <c r="C290" s="17" t="s">
        <v>241</v>
      </c>
      <c r="D290" s="17"/>
      <c r="E290" s="17"/>
      <c r="F290" s="18" t="n">
        <v>1</v>
      </c>
      <c r="G290" s="16" t="s">
        <v>264</v>
      </c>
      <c r="H290" s="19"/>
      <c r="I290" s="20"/>
      <c r="J290" s="20"/>
      <c r="K290" s="20"/>
      <c r="L290" s="20"/>
      <c r="M290" s="20" t="n">
        <f aca="false">IF(SUMIF(A291:A344,1,M291:M344)=0,"",SUMIF(A291:A344,1,M291:M344))</f>
        <v>140.673246037941</v>
      </c>
      <c r="N290" s="20"/>
      <c r="O290" s="20" t="n">
        <f aca="false">IF(SUMIF(A291:A344,1,O291:O344)=0,"",SUMIF(A291:A344,1,O291:O344))</f>
        <v>136.207128239578</v>
      </c>
      <c r="P290" s="20" t="n">
        <f aca="false">IF(SUMIF(A291:A344,1,P291:P344)=0,"",SUMIF(A291:A344,1,P291:P344))</f>
        <v>145.16384628342</v>
      </c>
      <c r="Q290" s="19"/>
      <c r="R290" s="19"/>
      <c r="S290" s="21"/>
      <c r="T290" s="22"/>
      <c r="U290" s="23"/>
      <c r="V290" s="24"/>
    </row>
    <row r="291" customFormat="false" ht="15" hidden="false" customHeight="false" outlineLevel="1" collapsed="false">
      <c r="A291" s="25" t="n">
        <v>1</v>
      </c>
      <c r="B291" s="26" t="s">
        <v>613</v>
      </c>
      <c r="C291" s="27" t="s">
        <v>266</v>
      </c>
      <c r="D291" s="26"/>
      <c r="E291" s="26"/>
      <c r="F291" s="28" t="n">
        <v>1</v>
      </c>
      <c r="G291" s="25" t="s">
        <v>264</v>
      </c>
      <c r="H291" s="29"/>
      <c r="I291" s="30"/>
      <c r="J291" s="30"/>
      <c r="K291" s="30"/>
      <c r="L291" s="30"/>
      <c r="M291" s="30" t="n">
        <f aca="false">IF(SUMIF(A292:A296,2,M292:M296)=0,"",SUMIF(A292:A296,2,M292:M296))</f>
        <v>47.3304160418411</v>
      </c>
      <c r="N291" s="30"/>
      <c r="O291" s="30" t="n">
        <f aca="false">IF(SUMIF(A292:A296,2,O292:O296)=0,"",SUMIF(A292:A296,2,O292:O296))</f>
        <v>46.3088320563476</v>
      </c>
      <c r="P291" s="30" t="n">
        <f aca="false">IF(SUMIF(A292:A296,2,P292:P296)=0,"",SUMIF(A292:A296,2,P292:P296))</f>
        <v>48.3520000273347</v>
      </c>
      <c r="Q291" s="29"/>
      <c r="R291" s="29"/>
      <c r="S291" s="31"/>
      <c r="T291" s="32"/>
      <c r="U291" s="33"/>
      <c r="V291" s="34"/>
    </row>
    <row r="292" customFormat="false" ht="15" hidden="false" customHeight="false" outlineLevel="2" collapsed="false">
      <c r="A292" s="35" t="n">
        <v>2</v>
      </c>
      <c r="B292" s="36" t="s">
        <v>614</v>
      </c>
      <c r="C292" s="37" t="s">
        <v>268</v>
      </c>
      <c r="D292" s="36" t="s">
        <v>10</v>
      </c>
      <c r="E292" s="36" t="str">
        <f aca="false">INDEX(REF_DATO,MATCH(D292,REF_ID,0))</f>
        <v>Acero (chapa LAC/LAF, SAE 1010/1045)</v>
      </c>
      <c r="F292" s="38" t="n">
        <v>1</v>
      </c>
      <c r="G292" s="35" t="s">
        <v>264</v>
      </c>
      <c r="H292" s="39" t="n">
        <f aca="false">INDEX(REF_VAL,MATCH(D292,REF_ID,0))</f>
        <v>7.85</v>
      </c>
      <c r="I292" s="40" t="n">
        <f aca="false">F292*J292</f>
        <v>3.90926438043936</v>
      </c>
      <c r="J292" s="40" t="n">
        <v>3.90926438043936</v>
      </c>
      <c r="K292" s="40" t="n">
        <f aca="false">I292*(1-V292)</f>
        <v>3.82638918587261</v>
      </c>
      <c r="L292" s="40" t="n">
        <f aca="false">I292*(1+V292)</f>
        <v>3.9921395750061</v>
      </c>
      <c r="M292" s="40" t="n">
        <f aca="false">F292*N292</f>
        <v>30.6877253864489</v>
      </c>
      <c r="N292" s="40" t="n">
        <f aca="false">J292*H292</f>
        <v>30.6877253864489</v>
      </c>
      <c r="O292" s="40" t="n">
        <f aca="false">K292*Q292</f>
        <v>30.0371551091</v>
      </c>
      <c r="P292" s="40" t="n">
        <f aca="false">L292*R292</f>
        <v>31.3382956637979</v>
      </c>
      <c r="Q292" s="39" t="n">
        <f aca="false">INDEX(REF_MIN,MATCH(D292,REF_ID,0))</f>
        <v>7.85</v>
      </c>
      <c r="R292" s="39" t="n">
        <f aca="false">INDEX(REF_MAX,MATCH(D292,REF_ID,0))</f>
        <v>7.85</v>
      </c>
      <c r="S292" s="41" t="n">
        <v>165.750389133489</v>
      </c>
      <c r="T292" s="42" t="n">
        <f aca="false">200*J292/S292</f>
        <v>4.71705001825483</v>
      </c>
      <c r="U292" s="43" t="n">
        <f aca="false">IFERROR(INDEX(ISO_TOL,MATCH(T292,ISO_DESDE,1)),0)</f>
        <v>0.1</v>
      </c>
      <c r="V292" s="44" t="n">
        <f aca="false">IF(T292&gt;0,U292/T292,0)</f>
        <v>0.0211996904024768</v>
      </c>
    </row>
    <row r="293" customFormat="false" ht="15" hidden="false" customHeight="false" outlineLevel="2" collapsed="false">
      <c r="A293" s="35" t="n">
        <v>2</v>
      </c>
      <c r="B293" s="36" t="s">
        <v>615</v>
      </c>
      <c r="C293" s="37" t="s">
        <v>270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0.904937909629158</v>
      </c>
      <c r="J293" s="40" t="n">
        <v>0.904937909629158</v>
      </c>
      <c r="K293" s="40" t="n">
        <f aca="false">I293*(1-V293)</f>
        <v>0.884966273455248</v>
      </c>
      <c r="L293" s="40" t="n">
        <f aca="false">I293*(1+V293)</f>
        <v>0.924909545803069</v>
      </c>
      <c r="M293" s="40" t="n">
        <f aca="false">F293*N293</f>
        <v>7.10376259058889</v>
      </c>
      <c r="N293" s="40" t="n">
        <f aca="false">J293*H293</f>
        <v>7.10376259058889</v>
      </c>
      <c r="O293" s="40" t="n">
        <f aca="false">K293*Q293</f>
        <v>6.9469852466237</v>
      </c>
      <c r="P293" s="40" t="n">
        <f aca="false">L293*R293</f>
        <v>7.26053993455409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39.9432723478202</v>
      </c>
      <c r="T293" s="42" t="n">
        <f aca="false">200*J293/S293</f>
        <v>4.53111553679975</v>
      </c>
      <c r="U293" s="43" t="n">
        <f aca="false">IFERROR(INDEX(ISO_TOL,MATCH(T293,ISO_DESDE,1)),0)</f>
        <v>0.1</v>
      </c>
      <c r="V293" s="44" t="n">
        <f aca="false">IF(T293&gt;0,U293/T293,0)</f>
        <v>0.0220696204252228</v>
      </c>
    </row>
    <row r="294" customFormat="false" ht="15" hidden="false" customHeight="false" outlineLevel="2" collapsed="false">
      <c r="A294" s="35" t="n">
        <v>2</v>
      </c>
      <c r="B294" s="36" t="s">
        <v>616</v>
      </c>
      <c r="C294" s="37" t="s">
        <v>272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0.943765807647292</v>
      </c>
      <c r="J294" s="40" t="n">
        <v>0.943765807647292</v>
      </c>
      <c r="K294" s="40" t="n">
        <f aca="false">I294*(1-V294)</f>
        <v>0.923347773712906</v>
      </c>
      <c r="L294" s="40" t="n">
        <f aca="false">I294*(1+V294)</f>
        <v>0.964183841581677</v>
      </c>
      <c r="M294" s="40" t="n">
        <f aca="false">F294*N294</f>
        <v>7.40856159003124</v>
      </c>
      <c r="N294" s="40" t="n">
        <f aca="false">J294*H294</f>
        <v>7.40856159003124</v>
      </c>
      <c r="O294" s="40" t="n">
        <f aca="false">K294*Q294</f>
        <v>7.24828002364631</v>
      </c>
      <c r="P294" s="40" t="n">
        <f aca="false">L294*R294</f>
        <v>7.56884315641617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40.8360678687712</v>
      </c>
      <c r="T294" s="42" t="n">
        <f aca="false">200*J294/S294</f>
        <v>4.62221686319129</v>
      </c>
      <c r="U294" s="43" t="n">
        <f aca="false">IFERROR(INDEX(ISO_TOL,MATCH(T294,ISO_DESDE,1)),0)</f>
        <v>0.1</v>
      </c>
      <c r="V294" s="44" t="n">
        <f aca="false">IF(T294&gt;0,U294/T294,0)</f>
        <v>0.0216346404679415</v>
      </c>
    </row>
    <row r="295" customFormat="false" ht="15" hidden="false" customHeight="false" outlineLevel="2" collapsed="false">
      <c r="A295" s="35" t="n">
        <v>2</v>
      </c>
      <c r="B295" s="36" t="s">
        <v>617</v>
      </c>
      <c r="C295" s="37" t="s">
        <v>274</v>
      </c>
      <c r="D295" s="36" t="s">
        <v>10</v>
      </c>
      <c r="E295" s="36" t="str">
        <f aca="false">INDEX(REF_DATO,MATCH(D295,REF_ID,0))</f>
        <v>Acero (chapa LAC/LAF, SAE 1010/1045)</v>
      </c>
      <c r="F295" s="38" t="n">
        <v>1</v>
      </c>
      <c r="G295" s="35" t="s">
        <v>264</v>
      </c>
      <c r="H295" s="39" t="n">
        <f aca="false">INDEX(REF_VAL,MATCH(D295,REF_ID,0))</f>
        <v>7.85</v>
      </c>
      <c r="I295" s="40" t="n">
        <f aca="false">F295*J295</f>
        <v>0.0789516497469168</v>
      </c>
      <c r="J295" s="40" t="n">
        <v>0.0789516497469168</v>
      </c>
      <c r="K295" s="40" t="n">
        <f aca="false">I295*(1-V295)</f>
        <v>0.0764158563432185</v>
      </c>
      <c r="L295" s="40" t="n">
        <f aca="false">I295*(1+V295)</f>
        <v>0.0814874431506151</v>
      </c>
      <c r="M295" s="40" t="n">
        <f aca="false">F295*N295</f>
        <v>0.619770450513297</v>
      </c>
      <c r="N295" s="40" t="n">
        <f aca="false">J295*H295</f>
        <v>0.619770450513297</v>
      </c>
      <c r="O295" s="40" t="n">
        <f aca="false">K295*Q295</f>
        <v>0.599864472294265</v>
      </c>
      <c r="P295" s="40" t="n">
        <f aca="false">L295*R295</f>
        <v>0.639676428732328</v>
      </c>
      <c r="Q295" s="39" t="n">
        <f aca="false">INDEX(REF_MIN,MATCH(D295,REF_ID,0))</f>
        <v>7.85</v>
      </c>
      <c r="R295" s="39" t="n">
        <f aca="false">INDEX(REF_MAX,MATCH(D295,REF_ID,0))</f>
        <v>7.85</v>
      </c>
      <c r="S295" s="41" t="n">
        <v>2.53579340369829</v>
      </c>
      <c r="T295" s="42" t="n">
        <f aca="false">200*J295/S295</f>
        <v>6.22697808360658</v>
      </c>
      <c r="U295" s="43" t="n">
        <f aca="false">IFERROR(INDEX(ISO_TOL,MATCH(T295,ISO_DESDE,1)),0)</f>
        <v>0.2</v>
      </c>
      <c r="V295" s="44" t="n">
        <f aca="false">IF(T295&gt;0,U295/T295,0)</f>
        <v>0.0321183080002367</v>
      </c>
    </row>
    <row r="296" customFormat="false" ht="15" hidden="false" customHeight="false" outlineLevel="2" collapsed="false">
      <c r="A296" s="35" t="n">
        <v>2</v>
      </c>
      <c r="B296" s="36" t="s">
        <v>618</v>
      </c>
      <c r="C296" s="37" t="s">
        <v>619</v>
      </c>
      <c r="D296" s="36" t="s">
        <v>10</v>
      </c>
      <c r="E296" s="36" t="str">
        <f aca="false">INDEX(REF_DATO,MATCH(D296,REF_ID,0))</f>
        <v>Acero (chapa LAC/LAF, SAE 1010/1045)</v>
      </c>
      <c r="F296" s="38" t="n">
        <v>1</v>
      </c>
      <c r="G296" s="35" t="s">
        <v>264</v>
      </c>
      <c r="H296" s="39" t="n">
        <f aca="false">INDEX(REF_VAL,MATCH(D296,REF_ID,0))</f>
        <v>7.85</v>
      </c>
      <c r="I296" s="40" t="n">
        <f aca="false">F296*J296</f>
        <v>0.192432614555256</v>
      </c>
      <c r="J296" s="40" t="n">
        <v>0.192432614555256</v>
      </c>
      <c r="K296" s="40" t="n">
        <f aca="false">I296*(1-V296)</f>
        <v>0.188095185309973</v>
      </c>
      <c r="L296" s="40" t="n">
        <f aca="false">I296*(1+V296)</f>
        <v>0.196770043800539</v>
      </c>
      <c r="M296" s="40" t="n">
        <f aca="false">F296*N296</f>
        <v>1.51059602425876</v>
      </c>
      <c r="N296" s="40" t="n">
        <f aca="false">J296*H296</f>
        <v>1.51059602425876</v>
      </c>
      <c r="O296" s="40" t="n">
        <f aca="false">K296*Q296</f>
        <v>1.47654720468329</v>
      </c>
      <c r="P296" s="40" t="n">
        <f aca="false">L296*R296</f>
        <v>1.54464484383423</v>
      </c>
      <c r="Q296" s="39" t="n">
        <f aca="false">INDEX(REF_MIN,MATCH(D296,REF_ID,0))</f>
        <v>7.85</v>
      </c>
      <c r="R296" s="39" t="n">
        <f aca="false">INDEX(REF_MAX,MATCH(D296,REF_ID,0))</f>
        <v>7.85</v>
      </c>
      <c r="S296" s="41" t="n">
        <v>8.67485849056604</v>
      </c>
      <c r="T296" s="42" t="n">
        <f aca="false">200*J296/S296</f>
        <v>4.43655916150167</v>
      </c>
      <c r="U296" s="43" t="n">
        <f aca="false">IFERROR(INDEX(ISO_TOL,MATCH(T296,ISO_DESDE,1)),0)</f>
        <v>0.1</v>
      </c>
      <c r="V296" s="44" t="n">
        <f aca="false">IF(T296&gt;0,U296/T296,0)</f>
        <v>0.0225399901950485</v>
      </c>
    </row>
    <row r="297" customFormat="false" ht="15" hidden="false" customHeight="false" outlineLevel="1" collapsed="false">
      <c r="A297" s="25" t="n">
        <v>1</v>
      </c>
      <c r="B297" s="26" t="s">
        <v>620</v>
      </c>
      <c r="C297" s="27" t="s">
        <v>276</v>
      </c>
      <c r="D297" s="26"/>
      <c r="E297" s="26"/>
      <c r="F297" s="28" t="n">
        <v>1</v>
      </c>
      <c r="G297" s="25" t="s">
        <v>264</v>
      </c>
      <c r="H297" s="29"/>
      <c r="I297" s="30"/>
      <c r="J297" s="30"/>
      <c r="K297" s="30"/>
      <c r="L297" s="30"/>
      <c r="M297" s="30" t="n">
        <f aca="false">IF(SUMIF(A298:A311,2,M298:M311)=0,"",SUMIF(A298:A311,2,M298:M311))</f>
        <v>2.8435707689062</v>
      </c>
      <c r="N297" s="30"/>
      <c r="O297" s="30" t="n">
        <f aca="false">IF(SUMIF(A298:A311,2,O298:O311)=0,"",SUMIF(A298:A311,2,O298:O311))</f>
        <v>2.75063919568487</v>
      </c>
      <c r="P297" s="30" t="n">
        <f aca="false">IF(SUMIF(A298:A311,2,P298:P311)=0,"",SUMIF(A298:A311,2,P298:P311))</f>
        <v>2.93683722997599</v>
      </c>
      <c r="Q297" s="29"/>
      <c r="R297" s="29"/>
      <c r="S297" s="31"/>
      <c r="T297" s="32"/>
      <c r="U297" s="33"/>
      <c r="V297" s="34"/>
    </row>
    <row r="298" customFormat="false" ht="15" hidden="false" customHeight="false" outlineLevel="2" collapsed="false">
      <c r="A298" s="35" t="n">
        <v>2</v>
      </c>
      <c r="B298" s="36" t="s">
        <v>621</v>
      </c>
      <c r="C298" s="37" t="s">
        <v>278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622</v>
      </c>
      <c r="C299" s="37" t="s">
        <v>280</v>
      </c>
      <c r="D299" s="36" t="s">
        <v>23</v>
      </c>
      <c r="E299" s="36" t="str">
        <f aca="false">INDEX(REF_DATO,MATCH(D299,REF_ID,0))</f>
        <v>Caucho sintético (NBR / SBR)</v>
      </c>
      <c r="F299" s="38" t="n">
        <v>1</v>
      </c>
      <c r="G299" s="35" t="s">
        <v>264</v>
      </c>
      <c r="H299" s="39" t="n">
        <f aca="false">INDEX(REF_VAL,MATCH(D299,REF_ID,0))</f>
        <v>1.2</v>
      </c>
      <c r="I299" s="40" t="n">
        <f aca="false">F299*J299</f>
        <v>0.00212057504117311</v>
      </c>
      <c r="J299" s="40" t="n">
        <v>0.00212057504117311</v>
      </c>
      <c r="K299" s="40" t="n">
        <f aca="false">I299*(1-V299)</f>
        <v>0.00197920337176157</v>
      </c>
      <c r="L299" s="40" t="n">
        <f aca="false">I299*(1+V299)</f>
        <v>0.00226194671058465</v>
      </c>
      <c r="M299" s="40" t="n">
        <f aca="false">F299*N299</f>
        <v>0.00254469004940773</v>
      </c>
      <c r="N299" s="40" t="n">
        <f aca="false">J299*H299</f>
        <v>0.00254469004940773</v>
      </c>
      <c r="O299" s="40" t="n">
        <f aca="false">K299*Q299</f>
        <v>0.00217712370893773</v>
      </c>
      <c r="P299" s="40" t="n">
        <f aca="false">L299*R299</f>
        <v>0.00294053072376005</v>
      </c>
      <c r="Q299" s="39" t="n">
        <f aca="false">INDEX(REF_MIN,MATCH(D299,REF_ID,0))</f>
        <v>1.1</v>
      </c>
      <c r="R299" s="39" t="n">
        <f aca="false">INDEX(REF_MAX,MATCH(D299,REF_ID,0))</f>
        <v>1.3</v>
      </c>
      <c r="S299" s="41" t="n">
        <v>0.282743338823082</v>
      </c>
      <c r="T299" s="42" t="n">
        <f aca="false">200*J299/S299</f>
        <v>1.5</v>
      </c>
      <c r="U299" s="43" t="n">
        <f aca="false">IFERROR(INDEX(ISO_TOL,MATCH(T299,ISO_DESDE,1)),0)</f>
        <v>0.1</v>
      </c>
      <c r="V299" s="44" t="n">
        <f aca="false">IF(T299&gt;0,U299/T299,0)</f>
        <v>0.0666666666666668</v>
      </c>
    </row>
    <row r="300" customFormat="false" ht="15" hidden="false" customHeight="false" outlineLevel="2" collapsed="false">
      <c r="A300" s="35" t="n">
        <v>2</v>
      </c>
      <c r="B300" s="36" t="s">
        <v>623</v>
      </c>
      <c r="C300" s="37" t="s">
        <v>567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 t="n">
        <f aca="false">IF(SUMIF(A301:A311,3,M301:M311)=0,"",SUMIF(A301:A311,3,M301:M311))</f>
        <v>2.84102607885679</v>
      </c>
      <c r="N300" s="40" t="n">
        <f aca="false">IF(M300="","",M300/F300)</f>
        <v>2.84102607885679</v>
      </c>
      <c r="O300" s="40" t="n">
        <f aca="false">IF(SUMIF(A301:A311,3,O301:O311)=0,"",SUMIF(A301:A311,3,O301:O311))</f>
        <v>2.74846207197593</v>
      </c>
      <c r="P300" s="40" t="n">
        <f aca="false">IF(SUMIF(A301:A311,3,P301:P311)=0,"",SUMIF(A301:A311,3,P301:P311))</f>
        <v>2.93389669925223</v>
      </c>
      <c r="Q300" s="39"/>
      <c r="R300" s="39"/>
      <c r="S300" s="41"/>
      <c r="T300" s="42"/>
      <c r="U300" s="43"/>
      <c r="V300" s="44"/>
    </row>
    <row r="301" customFormat="false" ht="15" hidden="false" customHeight="false" outlineLevel="3" collapsed="false">
      <c r="A301" s="35" t="n">
        <v>3</v>
      </c>
      <c r="B301" s="36" t="s">
        <v>624</v>
      </c>
      <c r="C301" s="45" t="s">
        <v>284</v>
      </c>
      <c r="D301" s="36" t="s">
        <v>17</v>
      </c>
      <c r="E301" s="36" t="str">
        <f aca="false">INDEX(REF_DATO,MATCH(D301,REF_ID,0))</f>
        <v>Latón de forja (CuZn39Pb2 / C37700)</v>
      </c>
      <c r="F301" s="38" t="n">
        <v>1</v>
      </c>
      <c r="G301" s="35" t="s">
        <v>264</v>
      </c>
      <c r="H301" s="39" t="n">
        <f aca="false">INDEX(REF_VAL,MATCH(D301,REF_ID,0))</f>
        <v>8.45</v>
      </c>
      <c r="I301" s="40" t="n">
        <f aca="false">F301*J301</f>
        <v>0.0153319271936849</v>
      </c>
      <c r="J301" s="40" t="n">
        <v>0.0153319271936849</v>
      </c>
      <c r="K301" s="40" t="n">
        <f aca="false">I301*(1-V301)</f>
        <v>0.0148516876326939</v>
      </c>
      <c r="L301" s="40" t="n">
        <f aca="false">I301*(1+V301)</f>
        <v>0.0158121667546759</v>
      </c>
      <c r="M301" s="40" t="n">
        <f aca="false">F301*N301</f>
        <v>0.129554784786637</v>
      </c>
      <c r="N301" s="40" t="n">
        <f aca="false">J301*H301</f>
        <v>0.129554784786637</v>
      </c>
      <c r="O301" s="40" t="n">
        <f aca="false">K301*Q301</f>
        <v>0.124754176114629</v>
      </c>
      <c r="P301" s="40" t="n">
        <f aca="false">L301*R301</f>
        <v>0.134403417414745</v>
      </c>
      <c r="Q301" s="39" t="n">
        <f aca="false">INDEX(REF_MIN,MATCH(D301,REF_ID,0))</f>
        <v>8.4</v>
      </c>
      <c r="R301" s="39" t="n">
        <f aca="false">INDEX(REF_MAX,MATCH(D301,REF_ID,0))</f>
        <v>8.5</v>
      </c>
      <c r="S301" s="41" t="n">
        <v>0.960479121982008</v>
      </c>
      <c r="T301" s="42" t="n">
        <f aca="false">200*J301/S301</f>
        <v>3.19255813953489</v>
      </c>
      <c r="U301" s="43" t="n">
        <f aca="false">IFERROR(INDEX(ISO_TOL,MATCH(T301,ISO_DESDE,1)),0)</f>
        <v>0.1</v>
      </c>
      <c r="V301" s="44" t="n">
        <f aca="false">IF(T301&gt;0,U301/T301,0)</f>
        <v>0.0313228438228438</v>
      </c>
    </row>
    <row r="302" customFormat="false" ht="15" hidden="false" customHeight="false" outlineLevel="3" collapsed="false">
      <c r="A302" s="35" t="n">
        <v>3</v>
      </c>
      <c r="B302" s="36" t="s">
        <v>625</v>
      </c>
      <c r="C302" s="45" t="s">
        <v>286</v>
      </c>
      <c r="D302" s="36" t="s">
        <v>17</v>
      </c>
      <c r="E302" s="36" t="str">
        <f aca="false">INDEX(REF_DATO,MATCH(D302,REF_ID,0))</f>
        <v>Latón de forja (CuZn39Pb2 / C37700)</v>
      </c>
      <c r="F302" s="38" t="n">
        <v>1</v>
      </c>
      <c r="G302" s="35" t="s">
        <v>264</v>
      </c>
      <c r="H302" s="39" t="n">
        <f aca="false">INDEX(REF_VAL,MATCH(D302,REF_ID,0))</f>
        <v>8.45</v>
      </c>
      <c r="I302" s="40" t="n">
        <f aca="false">F302*J302</f>
        <v>0.0223665060653795</v>
      </c>
      <c r="J302" s="40" t="n">
        <v>0.0223665060653795</v>
      </c>
      <c r="K302" s="40" t="n">
        <f aca="false">I302*(1-V302)</f>
        <v>0.0218969981848931</v>
      </c>
      <c r="L302" s="40" t="n">
        <f aca="false">I302*(1+V302)</f>
        <v>0.0228360139458658</v>
      </c>
      <c r="M302" s="40" t="n">
        <f aca="false">F302*N302</f>
        <v>0.188996976252456</v>
      </c>
      <c r="N302" s="40" t="n">
        <f aca="false">J302*H302</f>
        <v>0.188996976252456</v>
      </c>
      <c r="O302" s="40" t="n">
        <f aca="false">K302*Q302</f>
        <v>0.183934784753102</v>
      </c>
      <c r="P302" s="40" t="n">
        <f aca="false">L302*R302</f>
        <v>0.194106118539859</v>
      </c>
      <c r="Q302" s="39" t="n">
        <f aca="false">INDEX(REF_MIN,MATCH(D302,REF_ID,0))</f>
        <v>8.4</v>
      </c>
      <c r="R302" s="39" t="n">
        <f aca="false">INDEX(REF_MAX,MATCH(D302,REF_ID,0))</f>
        <v>8.5</v>
      </c>
      <c r="S302" s="41" t="n">
        <v>0.939015760972682</v>
      </c>
      <c r="T302" s="42" t="n">
        <f aca="false">200*J302/S302</f>
        <v>4.76381909547739</v>
      </c>
      <c r="U302" s="43" t="n">
        <f aca="false">IFERROR(INDEX(ISO_TOL,MATCH(T302,ISO_DESDE,1)),0)</f>
        <v>0.1</v>
      </c>
      <c r="V302" s="44" t="n">
        <f aca="false">IF(T302&gt;0,U302/T302,0)</f>
        <v>0.0209915611814346</v>
      </c>
    </row>
    <row r="303" customFormat="false" ht="15" hidden="false" customHeight="false" outlineLevel="3" collapsed="false">
      <c r="A303" s="35" t="n">
        <v>3</v>
      </c>
      <c r="B303" s="36" t="s">
        <v>626</v>
      </c>
      <c r="C303" s="45" t="s">
        <v>288</v>
      </c>
      <c r="D303" s="36" t="s">
        <v>17</v>
      </c>
      <c r="E303" s="36" t="str">
        <f aca="false">INDEX(REF_DATO,MATCH(D303,REF_ID,0))</f>
        <v>Latón de forja (CuZn39Pb2 / C37700)</v>
      </c>
      <c r="F303" s="38" t="n">
        <v>1</v>
      </c>
      <c r="G303" s="35" t="s">
        <v>264</v>
      </c>
      <c r="H303" s="39" t="n">
        <f aca="false">INDEX(REF_VAL,MATCH(D303,REF_ID,0))</f>
        <v>8.45</v>
      </c>
      <c r="I303" s="40" t="n">
        <f aca="false">F303*J303</f>
        <v>0.108715470063791</v>
      </c>
      <c r="J303" s="40" t="n">
        <v>0.108715470063791</v>
      </c>
      <c r="K303" s="40" t="n">
        <f aca="false">I303*(1-V303)</f>
        <v>0.106695843413249</v>
      </c>
      <c r="L303" s="40" t="n">
        <f aca="false">I303*(1+V303)</f>
        <v>0.110735096714334</v>
      </c>
      <c r="M303" s="40" t="n">
        <f aca="false">F303*N303</f>
        <v>0.918645722039035</v>
      </c>
      <c r="N303" s="40" t="n">
        <f aca="false">J303*H303</f>
        <v>0.918645722039035</v>
      </c>
      <c r="O303" s="40" t="n">
        <f aca="false">K303*Q303</f>
        <v>0.896245084671289</v>
      </c>
      <c r="P303" s="40" t="n">
        <f aca="false">L303*R303</f>
        <v>0.941248322071835</v>
      </c>
      <c r="Q303" s="39" t="n">
        <f aca="false">INDEX(REF_MIN,MATCH(D303,REF_ID,0))</f>
        <v>8.4</v>
      </c>
      <c r="R303" s="39" t="n">
        <f aca="false">INDEX(REF_MAX,MATCH(D303,REF_ID,0))</f>
        <v>8.5</v>
      </c>
      <c r="S303" s="41" t="n">
        <v>2.01962665054239</v>
      </c>
      <c r="T303" s="42" t="n">
        <f aca="false">200*J303/S303</f>
        <v>10.7658977499227</v>
      </c>
      <c r="U303" s="43" t="n">
        <f aca="false">IFERROR(INDEX(ISO_TOL,MATCH(T303,ISO_DESDE,1)),0)</f>
        <v>0.2</v>
      </c>
      <c r="V303" s="44" t="n">
        <f aca="false">IF(T303&gt;0,U303/T303,0)</f>
        <v>0.018577178108666</v>
      </c>
    </row>
    <row r="304" customFormat="false" ht="15" hidden="false" customHeight="false" outlineLevel="3" collapsed="false">
      <c r="A304" s="35" t="n">
        <v>3</v>
      </c>
      <c r="B304" s="36" t="s">
        <v>627</v>
      </c>
      <c r="C304" s="45" t="s">
        <v>290</v>
      </c>
      <c r="D304" s="36" t="s">
        <v>17</v>
      </c>
      <c r="E304" s="36" t="str">
        <f aca="false">INDEX(REF_DATO,MATCH(D304,REF_ID,0))</f>
        <v>Latón de forja (CuZn39Pb2 / C37700)</v>
      </c>
      <c r="F304" s="38" t="n">
        <v>1</v>
      </c>
      <c r="G304" s="35" t="s">
        <v>264</v>
      </c>
      <c r="H304" s="39" t="n">
        <f aca="false">INDEX(REF_VAL,MATCH(D304,REF_ID,0))</f>
        <v>8.45</v>
      </c>
      <c r="I304" s="40" t="n">
        <f aca="false">F304*J304</f>
        <v>0.00370707933123595</v>
      </c>
      <c r="J304" s="40" t="n">
        <v>0.00370707933123595</v>
      </c>
      <c r="K304" s="40" t="n">
        <f aca="false">I304*(1-V304)</f>
        <v>0.00361031827750538</v>
      </c>
      <c r="L304" s="40" t="n">
        <f aca="false">I304*(1+V304)</f>
        <v>0.00380384038496652</v>
      </c>
      <c r="M304" s="40" t="n">
        <f aca="false">F304*N304</f>
        <v>0.0313248203489438</v>
      </c>
      <c r="N304" s="40" t="n">
        <f aca="false">J304*H304</f>
        <v>0.0313248203489438</v>
      </c>
      <c r="O304" s="40" t="n">
        <f aca="false">K304*Q304</f>
        <v>0.0303266735310452</v>
      </c>
      <c r="P304" s="40" t="n">
        <f aca="false">L304*R304</f>
        <v>0.0323326432722154</v>
      </c>
      <c r="Q304" s="39" t="n">
        <f aca="false">INDEX(REF_MIN,MATCH(D304,REF_ID,0))</f>
        <v>8.4</v>
      </c>
      <c r="R304" s="39" t="n">
        <f aca="false">INDEX(REF_MAX,MATCH(D304,REF_ID,0))</f>
        <v>8.5</v>
      </c>
      <c r="S304" s="41" t="n">
        <v>0.193522107461131</v>
      </c>
      <c r="T304" s="42" t="n">
        <f aca="false">200*J304/S304</f>
        <v>3.83116883116882</v>
      </c>
      <c r="U304" s="43" t="n">
        <f aca="false">IFERROR(INDEX(ISO_TOL,MATCH(T304,ISO_DESDE,1)),0)</f>
        <v>0.1</v>
      </c>
      <c r="V304" s="44" t="n">
        <f aca="false">IF(T304&gt;0,U304/T304,0)</f>
        <v>0.0261016949152543</v>
      </c>
    </row>
    <row r="305" customFormat="false" ht="15" hidden="false" customHeight="false" outlineLevel="3" collapsed="false">
      <c r="A305" s="35" t="n">
        <v>3</v>
      </c>
      <c r="B305" s="36" t="s">
        <v>628</v>
      </c>
      <c r="C305" s="45" t="s">
        <v>292</v>
      </c>
      <c r="D305" s="36" t="s">
        <v>14</v>
      </c>
      <c r="E305" s="36" t="str">
        <f aca="false">INDEX(REF_DATO,MATCH(D305,REF_ID,0))</f>
        <v>Acero inoxidable AISI 302 / 304</v>
      </c>
      <c r="F305" s="38" t="n">
        <v>1</v>
      </c>
      <c r="G305" s="35" t="s">
        <v>264</v>
      </c>
      <c r="H305" s="39" t="n">
        <f aca="false">INDEX(REF_VAL,MATCH(D305,REF_ID,0))</f>
        <v>7.93</v>
      </c>
      <c r="I305" s="40" t="n">
        <f aca="false">F305*J305</f>
        <v>0.00119148042980047</v>
      </c>
      <c r="J305" s="40" t="n">
        <v>0.00119148042980047</v>
      </c>
      <c r="K305" s="40" t="n">
        <f aca="false">I305*(1-V305)</f>
        <v>0.00119148042980047</v>
      </c>
      <c r="L305" s="40" t="n">
        <f aca="false">I305*(1+V305)</f>
        <v>0.00119148042980047</v>
      </c>
      <c r="M305" s="40" t="n">
        <f aca="false">F305*N305</f>
        <v>0.00944843980831769</v>
      </c>
      <c r="N305" s="40" t="n">
        <f aca="false">J305*H305</f>
        <v>0.00944843980831769</v>
      </c>
      <c r="O305" s="40" t="n">
        <f aca="false">K305*Q305</f>
        <v>0.00944843980831769</v>
      </c>
      <c r="P305" s="40" t="n">
        <f aca="false">L305*R305</f>
        <v>0.00944843980831769</v>
      </c>
      <c r="Q305" s="39" t="n">
        <f aca="false">INDEX(REF_MIN,MATCH(D305,REF_ID,0))</f>
        <v>7.93</v>
      </c>
      <c r="R305" s="39" t="n">
        <f aca="false">INDEX(REF_MAX,MATCH(D305,REF_ID,0))</f>
        <v>7.93</v>
      </c>
      <c r="S305" s="41" t="n">
        <v>1.17364874989869</v>
      </c>
      <c r="T305" s="42" t="n">
        <f aca="false">200*J305/S305</f>
        <v>0.203038674033149</v>
      </c>
      <c r="U305" s="43" t="n">
        <f aca="false">IFERROR(INDEX(ISO_TOL,MATCH(T305,ISO_DESDE,1)),0)</f>
        <v>0</v>
      </c>
      <c r="V305" s="44" t="n">
        <f aca="false">IF(T305&gt;0,U305/T305,0)</f>
        <v>0</v>
      </c>
    </row>
    <row r="306" customFormat="false" ht="15" hidden="false" customHeight="false" outlineLevel="3" collapsed="false">
      <c r="A306" s="35" t="n">
        <v>3</v>
      </c>
      <c r="B306" s="36" t="s">
        <v>629</v>
      </c>
      <c r="C306" s="45" t="s">
        <v>574</v>
      </c>
      <c r="D306" s="36" t="s">
        <v>10</v>
      </c>
      <c r="E306" s="36" t="str">
        <f aca="false">INDEX(REF_DATO,MATCH(D306,REF_ID,0))</f>
        <v>Acero (chapa LAC/LAF, SAE 1010/1045)</v>
      </c>
      <c r="F306" s="38" t="n">
        <v>1</v>
      </c>
      <c r="G306" s="35" t="s">
        <v>264</v>
      </c>
      <c r="H306" s="39" t="n">
        <f aca="false">INDEX(REF_VAL,MATCH(D306,REF_ID,0))</f>
        <v>7.85</v>
      </c>
      <c r="I306" s="40" t="n">
        <f aca="false">F306*J306</f>
        <v>0.0398720112881463</v>
      </c>
      <c r="J306" s="40" t="n">
        <v>0.0398720112881463</v>
      </c>
      <c r="K306" s="40" t="n">
        <f aca="false">I306*(1-V306)</f>
        <v>0.0386940861831506</v>
      </c>
      <c r="L306" s="40" t="n">
        <f aca="false">I306*(1+V306)</f>
        <v>0.041049936393142</v>
      </c>
      <c r="M306" s="40" t="n">
        <f aca="false">F306*N306</f>
        <v>0.312995288611949</v>
      </c>
      <c r="N306" s="40" t="n">
        <f aca="false">J306*H306</f>
        <v>0.312995288611949</v>
      </c>
      <c r="O306" s="40" t="n">
        <f aca="false">K306*Q306</f>
        <v>0.303748576537732</v>
      </c>
      <c r="P306" s="40" t="n">
        <f aca="false">L306*R306</f>
        <v>0.322242000686165</v>
      </c>
      <c r="Q306" s="39" t="n">
        <f aca="false">INDEX(REF_MIN,MATCH(D306,REF_ID,0))</f>
        <v>7.85</v>
      </c>
      <c r="R306" s="39" t="n">
        <f aca="false">INDEX(REF_MAX,MATCH(D306,REF_ID,0))</f>
        <v>7.85</v>
      </c>
      <c r="S306" s="41" t="n">
        <v>1.17792510499571</v>
      </c>
      <c r="T306" s="42" t="n">
        <f aca="false">200*J306/S306</f>
        <v>6.76987206046375</v>
      </c>
      <c r="U306" s="43" t="n">
        <f aca="false">IFERROR(INDEX(ISO_TOL,MATCH(T306,ISO_DESDE,1)),0)</f>
        <v>0.2</v>
      </c>
      <c r="V306" s="44" t="n">
        <f aca="false">IF(T306&gt;0,U306/T306,0)</f>
        <v>0.0295426557863635</v>
      </c>
    </row>
    <row r="307" customFormat="false" ht="15" hidden="false" customHeight="false" outlineLevel="3" collapsed="false">
      <c r="A307" s="35" t="n">
        <v>3</v>
      </c>
      <c r="B307" s="36" t="s">
        <v>630</v>
      </c>
      <c r="C307" s="45" t="s">
        <v>294</v>
      </c>
      <c r="D307" s="36" t="s">
        <v>14</v>
      </c>
      <c r="E307" s="36" t="str">
        <f aca="false">INDEX(REF_DATO,MATCH(D307,REF_ID,0))</f>
        <v>Acero inoxidable AISI 302 / 304</v>
      </c>
      <c r="F307" s="38" t="n">
        <v>1</v>
      </c>
      <c r="G307" s="35" t="s">
        <v>264</v>
      </c>
      <c r="H307" s="39" t="n">
        <f aca="false">INDEX(REF_VAL,MATCH(D307,REF_ID,0))</f>
        <v>7.93</v>
      </c>
      <c r="I307" s="40" t="n">
        <f aca="false">F307*J307</f>
        <v>0.00236247767549952</v>
      </c>
      <c r="J307" s="40" t="n">
        <v>0.00236247767549952</v>
      </c>
      <c r="K307" s="40" t="n">
        <f aca="false">I307*(1-V307)</f>
        <v>0.00229838918536629</v>
      </c>
      <c r="L307" s="40" t="n">
        <f aca="false">I307*(1+V307)</f>
        <v>0.00242656616563275</v>
      </c>
      <c r="M307" s="40" t="n">
        <f aca="false">F307*N307</f>
        <v>0.0187344479667112</v>
      </c>
      <c r="N307" s="40" t="n">
        <f aca="false">J307*H307</f>
        <v>0.0187344479667112</v>
      </c>
      <c r="O307" s="40" t="n">
        <f aca="false">K307*Q307</f>
        <v>0.0182262262399547</v>
      </c>
      <c r="P307" s="40" t="n">
        <f aca="false">L307*R307</f>
        <v>0.0192426696934677</v>
      </c>
      <c r="Q307" s="39" t="n">
        <f aca="false">INDEX(REF_MIN,MATCH(D307,REF_ID,0))</f>
        <v>7.93</v>
      </c>
      <c r="R307" s="39" t="n">
        <f aca="false">INDEX(REF_MAX,MATCH(D307,REF_ID,0))</f>
        <v>7.93</v>
      </c>
      <c r="S307" s="41" t="n">
        <v>0.128176980266464</v>
      </c>
      <c r="T307" s="42" t="n">
        <f aca="false">200*J307/S307</f>
        <v>3.68627450980391</v>
      </c>
      <c r="U307" s="43" t="n">
        <f aca="false">IFERROR(INDEX(ISO_TOL,MATCH(T307,ISO_DESDE,1)),0)</f>
        <v>0.1</v>
      </c>
      <c r="V307" s="44" t="n">
        <f aca="false">IF(T307&gt;0,U307/T307,0)</f>
        <v>0.0271276595744682</v>
      </c>
    </row>
    <row r="308" customFormat="false" ht="15" hidden="false" customHeight="false" outlineLevel="3" collapsed="false">
      <c r="A308" s="35" t="n">
        <v>3</v>
      </c>
      <c r="B308" s="36" t="s">
        <v>631</v>
      </c>
      <c r="C308" s="45" t="s">
        <v>296</v>
      </c>
      <c r="D308" s="36" t="s">
        <v>14</v>
      </c>
      <c r="E308" s="36" t="str">
        <f aca="false">INDEX(REF_DATO,MATCH(D308,REF_ID,0))</f>
        <v>Acero inoxidable AISI 302 / 304</v>
      </c>
      <c r="F308" s="38" t="n">
        <v>1</v>
      </c>
      <c r="G308" s="35" t="s">
        <v>264</v>
      </c>
      <c r="H308" s="39" t="n">
        <f aca="false">INDEX(REF_VAL,MATCH(D308,REF_ID,0))</f>
        <v>7.93</v>
      </c>
      <c r="I308" s="40" t="n">
        <f aca="false">F308*J308</f>
        <v>0.000765660375546016</v>
      </c>
      <c r="J308" s="40" t="n">
        <v>0.000765660375546016</v>
      </c>
      <c r="K308" s="40" t="n">
        <f aca="false">I308*(1-V308)</f>
        <v>0.000714616660883973</v>
      </c>
      <c r="L308" s="40" t="n">
        <f aca="false">I308*(1+V308)</f>
        <v>0.000816704090208058</v>
      </c>
      <c r="M308" s="40" t="n">
        <f aca="false">F308*N308</f>
        <v>0.00607168677807991</v>
      </c>
      <c r="N308" s="40" t="n">
        <f aca="false">J308*H308</f>
        <v>0.00607168677807991</v>
      </c>
      <c r="O308" s="40" t="n">
        <f aca="false">K308*Q308</f>
        <v>0.00566691012080991</v>
      </c>
      <c r="P308" s="40" t="n">
        <f aca="false">L308*R308</f>
        <v>0.0064764634353499</v>
      </c>
      <c r="Q308" s="39" t="n">
        <f aca="false">INDEX(REF_MIN,MATCH(D308,REF_ID,0))</f>
        <v>7.93</v>
      </c>
      <c r="R308" s="39" t="n">
        <f aca="false">INDEX(REF_MAX,MATCH(D308,REF_ID,0))</f>
        <v>7.93</v>
      </c>
      <c r="S308" s="41" t="n">
        <v>0.102087429324085</v>
      </c>
      <c r="T308" s="42" t="n">
        <f aca="false">200*J308/S308</f>
        <v>1.50000912083967</v>
      </c>
      <c r="U308" s="43" t="n">
        <f aca="false">IFERROR(INDEX(ISO_TOL,MATCH(T308,ISO_DESDE,1)),0)</f>
        <v>0.1</v>
      </c>
      <c r="V308" s="44" t="n">
        <f aca="false">IF(T308&gt;0,U308/T308,0)</f>
        <v>0.0666662612984795</v>
      </c>
    </row>
    <row r="309" customFormat="false" ht="15" hidden="false" customHeight="false" outlineLevel="3" collapsed="false">
      <c r="A309" s="35" t="n">
        <v>3</v>
      </c>
      <c r="B309" s="36" t="s">
        <v>632</v>
      </c>
      <c r="C309" s="45" t="s">
        <v>302</v>
      </c>
      <c r="D309" s="36" t="s">
        <v>10</v>
      </c>
      <c r="E309" s="36" t="str">
        <f aca="false">INDEX(REF_DATO,MATCH(D309,REF_ID,0))</f>
        <v>Acero (chapa LAC/LAF, SAE 1010/1045)</v>
      </c>
      <c r="F309" s="38" t="n">
        <v>1</v>
      </c>
      <c r="G309" s="35" t="s">
        <v>264</v>
      </c>
      <c r="H309" s="39" t="n">
        <f aca="false">INDEX(REF_VAL,MATCH(D309,REF_ID,0))</f>
        <v>7.85</v>
      </c>
      <c r="I309" s="40" t="n">
        <f aca="false">F309*J309</f>
        <v>0.156083300925435</v>
      </c>
      <c r="J309" s="40" t="n">
        <v>0.156083300925435</v>
      </c>
      <c r="K309" s="40" t="n">
        <f aca="false">I309*(1-V309)</f>
        <v>0.149823082827904</v>
      </c>
      <c r="L309" s="40" t="n">
        <f aca="false">I309*(1+V309)</f>
        <v>0.162343519022965</v>
      </c>
      <c r="M309" s="40" t="n">
        <f aca="false">F309*N309</f>
        <v>1.22525391226466</v>
      </c>
      <c r="N309" s="40" t="n">
        <f aca="false">J309*H309</f>
        <v>1.22525391226466</v>
      </c>
      <c r="O309" s="40" t="n">
        <f aca="false">K309*Q309</f>
        <v>1.17611120019905</v>
      </c>
      <c r="P309" s="40" t="n">
        <f aca="false">L309*R309</f>
        <v>1.27439662433028</v>
      </c>
      <c r="Q309" s="39" t="n">
        <f aca="false">INDEX(REF_MIN,MATCH(D309,REF_ID,0))</f>
        <v>7.85</v>
      </c>
      <c r="R309" s="39" t="n">
        <f aca="false">INDEX(REF_MAX,MATCH(D309,REF_ID,0))</f>
        <v>7.85</v>
      </c>
      <c r="S309" s="41" t="n">
        <v>12.5204361950609</v>
      </c>
      <c r="T309" s="42" t="n">
        <f aca="false">200*J309/S309</f>
        <v>2.49325660054891</v>
      </c>
      <c r="U309" s="43" t="n">
        <f aca="false">IFERROR(INDEX(ISO_TOL,MATCH(T309,ISO_DESDE,1)),0)</f>
        <v>0.1</v>
      </c>
      <c r="V309" s="44" t="n">
        <f aca="false">IF(T309&gt;0,U309/T309,0)</f>
        <v>0.0401081862083447</v>
      </c>
    </row>
    <row r="310" customFormat="false" ht="15" hidden="false" customHeight="false" outlineLevel="3" collapsed="false">
      <c r="A310" s="35" t="n">
        <v>3</v>
      </c>
      <c r="B310" s="36" t="s">
        <v>633</v>
      </c>
      <c r="C310" s="45" t="s">
        <v>304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3" collapsed="false">
      <c r="A311" s="35" t="n">
        <v>3</v>
      </c>
      <c r="B311" s="36" t="s">
        <v>634</v>
      </c>
      <c r="C311" s="45" t="s">
        <v>306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635</v>
      </c>
      <c r="C312" s="27" t="s">
        <v>308</v>
      </c>
      <c r="D312" s="26"/>
      <c r="E312" s="26"/>
      <c r="F312" s="28" t="n">
        <v>1</v>
      </c>
      <c r="G312" s="25" t="s">
        <v>264</v>
      </c>
      <c r="H312" s="29"/>
      <c r="I312" s="30"/>
      <c r="J312" s="30"/>
      <c r="K312" s="30"/>
      <c r="L312" s="30"/>
      <c r="M312" s="30" t="n">
        <f aca="false">IF(SUMIF(A313:A317,2,M313:M317)=0,"",SUMIF(A313:A317,2,M313:M317))</f>
        <v>2.1576844949399</v>
      </c>
      <c r="N312" s="30"/>
      <c r="O312" s="30" t="n">
        <f aca="false">IF(SUMIF(A313:A317,2,O313:O317)=0,"",SUMIF(A313:A317,2,O313:O317))</f>
        <v>1.95667963211486</v>
      </c>
      <c r="P312" s="30" t="n">
        <f aca="false">IF(SUMIF(A313:A317,2,P313:P317)=0,"",SUMIF(A313:A317,2,P313:P317))</f>
        <v>2.36723614995806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636</v>
      </c>
      <c r="C313" s="37" t="s">
        <v>369</v>
      </c>
      <c r="D313" s="36" t="s">
        <v>17</v>
      </c>
      <c r="E313" s="36" t="str">
        <f aca="false">INDEX(REF_DATO,MATCH(D313,REF_ID,0))</f>
        <v>Latón de forja (CuZn39Pb2 / C37700)</v>
      </c>
      <c r="F313" s="38" t="n">
        <v>1</v>
      </c>
      <c r="G313" s="35" t="s">
        <v>264</v>
      </c>
      <c r="H313" s="39" t="n">
        <f aca="false">INDEX(REF_VAL,MATCH(D313,REF_ID,0))</f>
        <v>8.45</v>
      </c>
      <c r="I313" s="40" t="n">
        <f aca="false">F313*J313</f>
        <v>0.00723822947387088</v>
      </c>
      <c r="J313" s="40" t="n">
        <v>0.00723822947387088</v>
      </c>
      <c r="K313" s="40" t="n">
        <f aca="false">I313*(1-V313)</f>
        <v>0.00702711444754965</v>
      </c>
      <c r="L313" s="40" t="n">
        <f aca="false">I313*(1+V313)</f>
        <v>0.00744934450019212</v>
      </c>
      <c r="M313" s="40" t="n">
        <f aca="false">F313*N313</f>
        <v>0.061163039054209</v>
      </c>
      <c r="N313" s="40" t="n">
        <f aca="false">J313*H313</f>
        <v>0.061163039054209</v>
      </c>
      <c r="O313" s="40" t="n">
        <f aca="false">K313*Q313</f>
        <v>0.0590277613594171</v>
      </c>
      <c r="P313" s="40" t="n">
        <f aca="false">L313*R313</f>
        <v>0.063319428251633</v>
      </c>
      <c r="Q313" s="39" t="n">
        <f aca="false">INDEX(REF_MIN,MATCH(D313,REF_ID,0))</f>
        <v>8.4</v>
      </c>
      <c r="R313" s="39" t="n">
        <f aca="false">INDEX(REF_MAX,MATCH(D313,REF_ID,0))</f>
        <v>8.5</v>
      </c>
      <c r="S313" s="41" t="n">
        <v>0.211115026321234</v>
      </c>
      <c r="T313" s="42" t="n">
        <f aca="false">200*J313/S313</f>
        <v>6.85714285714286</v>
      </c>
      <c r="U313" s="43" t="n">
        <f aca="false">IFERROR(INDEX(ISO_TOL,MATCH(T313,ISO_DESDE,1)),0)</f>
        <v>0.2</v>
      </c>
      <c r="V313" s="44" t="n">
        <f aca="false">IF(T313&gt;0,U313/T313,0)</f>
        <v>0.0291666666666667</v>
      </c>
    </row>
    <row r="314" customFormat="false" ht="15" hidden="false" customHeight="false" outlineLevel="2" collapsed="false">
      <c r="A314" s="35" t="n">
        <v>2</v>
      </c>
      <c r="B314" s="36" t="s">
        <v>637</v>
      </c>
      <c r="C314" s="37" t="s">
        <v>513</v>
      </c>
      <c r="D314" s="36" t="s">
        <v>23</v>
      </c>
      <c r="E314" s="36" t="str">
        <f aca="false">INDEX(REF_DATO,MATCH(D314,REF_ID,0))</f>
        <v>Caucho sintético (NBR / SBR)</v>
      </c>
      <c r="F314" s="38" t="n">
        <v>1</v>
      </c>
      <c r="G314" s="35" t="s">
        <v>264</v>
      </c>
      <c r="H314" s="39" t="n">
        <f aca="false">INDEX(REF_VAL,MATCH(D314,REF_ID,0))</f>
        <v>1.2</v>
      </c>
      <c r="I314" s="40" t="n">
        <f aca="false">F314*J314</f>
        <v>1.17729798478612</v>
      </c>
      <c r="J314" s="40" t="n">
        <v>1.17729798478612</v>
      </c>
      <c r="K314" s="40" t="n">
        <f aca="false">I314*(1-V314)</f>
        <v>1.14590012094232</v>
      </c>
      <c r="L314" s="40" t="n">
        <f aca="false">I314*(1+V314)</f>
        <v>1.20869584862992</v>
      </c>
      <c r="M314" s="40" t="n">
        <f aca="false">F314*N314</f>
        <v>1.41275758174334</v>
      </c>
      <c r="N314" s="40" t="n">
        <f aca="false">J314*H314</f>
        <v>1.41275758174334</v>
      </c>
      <c r="O314" s="40" t="n">
        <f aca="false">K314*Q314</f>
        <v>1.26049013303655</v>
      </c>
      <c r="P314" s="40" t="n">
        <f aca="false">L314*R314</f>
        <v>1.57130460321889</v>
      </c>
      <c r="Q314" s="39" t="n">
        <f aca="false">INDEX(REF_MIN,MATCH(D314,REF_ID,0))</f>
        <v>1.1</v>
      </c>
      <c r="R314" s="39" t="n">
        <f aca="false">INDEX(REF_MAX,MATCH(D314,REF_ID,0))</f>
        <v>1.3</v>
      </c>
      <c r="S314" s="41" t="n">
        <v>62.7957276875986</v>
      </c>
      <c r="T314" s="42" t="n">
        <f aca="false">200*J314/S314</f>
        <v>3.7496117272278</v>
      </c>
      <c r="U314" s="43" t="n">
        <f aca="false">IFERROR(INDEX(ISO_TOL,MATCH(T314,ISO_DESDE,1)),0)</f>
        <v>0.1</v>
      </c>
      <c r="V314" s="44" t="n">
        <f aca="false">IF(T314&gt;0,U314/T314,0)</f>
        <v>0.0266694280033984</v>
      </c>
    </row>
    <row r="315" customFormat="false" ht="15" hidden="false" customHeight="false" outlineLevel="2" collapsed="false">
      <c r="A315" s="35" t="n">
        <v>2</v>
      </c>
      <c r="B315" s="36" t="s">
        <v>638</v>
      </c>
      <c r="C315" s="37" t="s">
        <v>371</v>
      </c>
      <c r="D315" s="36" t="s">
        <v>23</v>
      </c>
      <c r="E315" s="36" t="str">
        <f aca="false">INDEX(REF_DATO,MATCH(D315,REF_ID,0))</f>
        <v>Caucho sintético (NBR / SBR)</v>
      </c>
      <c r="F315" s="38" t="n">
        <v>1</v>
      </c>
      <c r="G315" s="35" t="s">
        <v>264</v>
      </c>
      <c r="H315" s="39" t="n">
        <f aca="false">INDEX(REF_VAL,MATCH(D315,REF_ID,0))</f>
        <v>1.2</v>
      </c>
      <c r="I315" s="40" t="n">
        <f aca="false">F315*J315</f>
        <v>0.211559902023821</v>
      </c>
      <c r="J315" s="40" t="n">
        <v>0.211559902023821</v>
      </c>
      <c r="K315" s="40" t="n">
        <f aca="false">I315*(1-V315)</f>
        <v>0.205759814430595</v>
      </c>
      <c r="L315" s="40" t="n">
        <f aca="false">I315*(1+V315)</f>
        <v>0.217359989617047</v>
      </c>
      <c r="M315" s="40" t="n">
        <f aca="false">F315*N315</f>
        <v>0.253871882428585</v>
      </c>
      <c r="N315" s="40" t="n">
        <f aca="false">J315*H315</f>
        <v>0.253871882428585</v>
      </c>
      <c r="O315" s="40" t="n">
        <f aca="false">K315*Q315</f>
        <v>0.226335795873655</v>
      </c>
      <c r="P315" s="40" t="n">
        <f aca="false">L315*R315</f>
        <v>0.282567986502161</v>
      </c>
      <c r="Q315" s="39" t="n">
        <f aca="false">INDEX(REF_MIN,MATCH(D315,REF_ID,0))</f>
        <v>1.1</v>
      </c>
      <c r="R315" s="39" t="n">
        <f aca="false">INDEX(REF_MAX,MATCH(D315,REF_ID,0))</f>
        <v>1.3</v>
      </c>
      <c r="S315" s="41" t="n">
        <v>11.6001751864518</v>
      </c>
      <c r="T315" s="42" t="n">
        <f aca="false">200*J315/S315</f>
        <v>3.6475294316401</v>
      </c>
      <c r="U315" s="43" t="n">
        <f aca="false">IFERROR(INDEX(ISO_TOL,MATCH(T315,ISO_DESDE,1)),0)</f>
        <v>0.1</v>
      </c>
      <c r="V315" s="44" t="n">
        <f aca="false">IF(T315&gt;0,U315/T315,0)</f>
        <v>0.0274158171645061</v>
      </c>
    </row>
    <row r="316" customFormat="false" ht="15" hidden="false" customHeight="false" outlineLevel="2" collapsed="false">
      <c r="A316" s="35" t="n">
        <v>2</v>
      </c>
      <c r="B316" s="36" t="s">
        <v>639</v>
      </c>
      <c r="C316" s="37" t="s">
        <v>516</v>
      </c>
      <c r="D316" s="36" t="s">
        <v>17</v>
      </c>
      <c r="E316" s="36" t="str">
        <f aca="false">INDEX(REF_DATO,MATCH(D316,REF_ID,0))</f>
        <v>Latón de forja (CuZn39Pb2 / C37700)</v>
      </c>
      <c r="F316" s="38" t="n">
        <v>1</v>
      </c>
      <c r="G316" s="35" t="s">
        <v>264</v>
      </c>
      <c r="H316" s="39" t="n">
        <f aca="false">INDEX(REF_VAL,MATCH(D316,REF_ID,0))</f>
        <v>8.45</v>
      </c>
      <c r="I316" s="40" t="n">
        <f aca="false">F316*J316</f>
        <v>0.0414388603746335</v>
      </c>
      <c r="J316" s="40" t="n">
        <v>0.0414388603746335</v>
      </c>
      <c r="K316" s="40" t="n">
        <f aca="false">I316*(1-V316)</f>
        <v>0.0397381805740958</v>
      </c>
      <c r="L316" s="40" t="n">
        <f aca="false">I316*(1+V316)</f>
        <v>0.0431395401751712</v>
      </c>
      <c r="M316" s="40" t="n">
        <f aca="false">F316*N316</f>
        <v>0.350158370165653</v>
      </c>
      <c r="N316" s="40" t="n">
        <f aca="false">J316*H316</f>
        <v>0.350158370165653</v>
      </c>
      <c r="O316" s="40" t="n">
        <f aca="false">K316*Q316</f>
        <v>0.333800716822404</v>
      </c>
      <c r="P316" s="40" t="n">
        <f aca="false">L316*R316</f>
        <v>0.366686091488955</v>
      </c>
      <c r="Q316" s="39" t="n">
        <f aca="false">INDEX(REF_MIN,MATCH(D316,REF_ID,0))</f>
        <v>8.4</v>
      </c>
      <c r="R316" s="39" t="n">
        <f aca="false">INDEX(REF_MAX,MATCH(D316,REF_ID,0))</f>
        <v>8.5</v>
      </c>
      <c r="S316" s="41" t="n">
        <v>3.40135960107539</v>
      </c>
      <c r="T316" s="42" t="n">
        <f aca="false">200*J316/S316</f>
        <v>2.43660566565981</v>
      </c>
      <c r="U316" s="43" t="n">
        <f aca="false">IFERROR(INDEX(ISO_TOL,MATCH(T316,ISO_DESDE,1)),0)</f>
        <v>0.1</v>
      </c>
      <c r="V316" s="44" t="n">
        <f aca="false">IF(T316&gt;0,U316/T316,0)</f>
        <v>0.0410406991206437</v>
      </c>
    </row>
    <row r="317" customFormat="false" ht="15" hidden="false" customHeight="false" outlineLevel="2" collapsed="false">
      <c r="A317" s="35" t="n">
        <v>2</v>
      </c>
      <c r="B317" s="36" t="s">
        <v>640</v>
      </c>
      <c r="C317" s="37" t="s">
        <v>518</v>
      </c>
      <c r="D317" s="36" t="s">
        <v>26</v>
      </c>
      <c r="E317" s="36" t="str">
        <f aca="false">INDEX(REF_DATO,MATCH(D317,REF_ID,0))</f>
        <v>Polipropileno</v>
      </c>
      <c r="F317" s="38" t="n">
        <v>1</v>
      </c>
      <c r="G317" s="35" t="s">
        <v>264</v>
      </c>
      <c r="H317" s="39" t="n">
        <f aca="false">INDEX(REF_VAL,MATCH(D317,REF_ID,0))</f>
        <v>0.9</v>
      </c>
      <c r="I317" s="40" t="n">
        <f aca="false">F317*J317</f>
        <v>0.088592912831232</v>
      </c>
      <c r="J317" s="40" t="n">
        <v>0.088592912831232</v>
      </c>
      <c r="K317" s="40" t="n">
        <f aca="false">I317*(1-V317)</f>
        <v>0.0855835833587038</v>
      </c>
      <c r="L317" s="40" t="n">
        <f aca="false">I317*(1+V317)</f>
        <v>0.0916022423037603</v>
      </c>
      <c r="M317" s="40" t="n">
        <f aca="false">F317*N317</f>
        <v>0.0797336215481088</v>
      </c>
      <c r="N317" s="40" t="n">
        <f aca="false">J317*H317</f>
        <v>0.0797336215481088</v>
      </c>
      <c r="O317" s="40" t="n">
        <f aca="false">K317*Q317</f>
        <v>0.0770252250228334</v>
      </c>
      <c r="P317" s="40" t="n">
        <f aca="false">L317*R317</f>
        <v>0.0833580404964218</v>
      </c>
      <c r="Q317" s="39" t="n">
        <f aca="false">INDEX(REF_MIN,MATCH(D317,REF_ID,0))</f>
        <v>0.9</v>
      </c>
      <c r="R317" s="39" t="n">
        <f aca="false">INDEX(REF_MAX,MATCH(D317,REF_ID,0))</f>
        <v>0.91</v>
      </c>
      <c r="S317" s="41" t="n">
        <v>6.01865894505646</v>
      </c>
      <c r="T317" s="42" t="n">
        <f aca="false">200*J317/S317</f>
        <v>2.9439419525175</v>
      </c>
      <c r="U317" s="43" t="n">
        <f aca="false">IFERROR(INDEX(ISO_TOL,MATCH(T317,ISO_DESDE,1)),0)</f>
        <v>0.1</v>
      </c>
      <c r="V317" s="44" t="n">
        <f aca="false">IF(T317&gt;0,U317/T317,0)</f>
        <v>0.0339680610599287</v>
      </c>
    </row>
    <row r="318" customFormat="false" ht="15" hidden="false" customHeight="false" outlineLevel="1" collapsed="false">
      <c r="A318" s="25" t="n">
        <v>1</v>
      </c>
      <c r="B318" s="26" t="s">
        <v>641</v>
      </c>
      <c r="C318" s="27" t="s">
        <v>520</v>
      </c>
      <c r="D318" s="26"/>
      <c r="E318" s="26"/>
      <c r="F318" s="28" t="n">
        <v>1</v>
      </c>
      <c r="G318" s="25" t="s">
        <v>264</v>
      </c>
      <c r="H318" s="29"/>
      <c r="I318" s="30"/>
      <c r="J318" s="30"/>
      <c r="K318" s="30"/>
      <c r="L318" s="30"/>
      <c r="M318" s="30" t="n">
        <f aca="false">IF(SUMIF(A319:A328,2,M319:M328)=0,"",SUMIF(A319:A328,2,M319:M328))</f>
        <v>17.7110666230435</v>
      </c>
      <c r="N318" s="30"/>
      <c r="O318" s="30" t="n">
        <f aca="false">IF(SUMIF(A319:A328,2,O319:O328)=0,"",SUMIF(A319:A328,2,O319:O328))</f>
        <v>16.7481913866894</v>
      </c>
      <c r="P318" s="30" t="n">
        <f aca="false">IF(SUMIF(A319:A328,2,P319:P328)=0,"",SUMIF(A319:A328,2,P319:P328))</f>
        <v>18.6821876604674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642</v>
      </c>
      <c r="C319" s="37" t="s">
        <v>522</v>
      </c>
      <c r="D319" s="36" t="s">
        <v>10</v>
      </c>
      <c r="E319" s="36" t="str">
        <f aca="false">INDEX(REF_DATO,MATCH(D319,REF_ID,0))</f>
        <v>Acero (chapa LAC/LAF, SAE 1010/1045)</v>
      </c>
      <c r="F319" s="38" t="n">
        <v>1</v>
      </c>
      <c r="G319" s="35" t="s">
        <v>264</v>
      </c>
      <c r="H319" s="39" t="n">
        <f aca="false">INDEX(REF_VAL,MATCH(D319,REF_ID,0))</f>
        <v>7.85</v>
      </c>
      <c r="I319" s="40" t="n">
        <f aca="false">F319*J319</f>
        <v>0.0250266066091702</v>
      </c>
      <c r="J319" s="40" t="n">
        <v>0.0250266066091702</v>
      </c>
      <c r="K319" s="40" t="n">
        <f aca="false">I319*(1-V319)</f>
        <v>0.0241800921386335</v>
      </c>
      <c r="L319" s="40" t="n">
        <f aca="false">I319*(1+V319)</f>
        <v>0.025873121079707</v>
      </c>
      <c r="M319" s="40" t="n">
        <f aca="false">F319*N319</f>
        <v>0.196458861881986</v>
      </c>
      <c r="N319" s="40" t="n">
        <f aca="false">J319*H319</f>
        <v>0.196458861881986</v>
      </c>
      <c r="O319" s="40" t="n">
        <f aca="false">K319*Q319</f>
        <v>0.189813723288273</v>
      </c>
      <c r="P319" s="40" t="n">
        <f aca="false">L319*R319</f>
        <v>0.2031040004757</v>
      </c>
      <c r="Q319" s="39" t="n">
        <f aca="false">INDEX(REF_MIN,MATCH(D319,REF_ID,0))</f>
        <v>7.85</v>
      </c>
      <c r="R319" s="39" t="n">
        <f aca="false">INDEX(REF_MAX,MATCH(D319,REF_ID,0))</f>
        <v>7.85</v>
      </c>
      <c r="S319" s="41" t="n">
        <v>1.69302894107348</v>
      </c>
      <c r="T319" s="42" t="n">
        <f aca="false">200*J319/S319</f>
        <v>2.95642986389848</v>
      </c>
      <c r="U319" s="43" t="n">
        <f aca="false">IFERROR(INDEX(ISO_TOL,MATCH(T319,ISO_DESDE,1)),0)</f>
        <v>0.1</v>
      </c>
      <c r="V319" s="44" t="n">
        <f aca="false">IF(T319&gt;0,U319/T319,0)</f>
        <v>0.0338245805256938</v>
      </c>
    </row>
    <row r="320" customFormat="false" ht="15" hidden="false" customHeight="false" outlineLevel="2" collapsed="false">
      <c r="A320" s="35" t="n">
        <v>2</v>
      </c>
      <c r="B320" s="36" t="s">
        <v>643</v>
      </c>
      <c r="C320" s="37" t="s">
        <v>524</v>
      </c>
      <c r="D320" s="36" t="s">
        <v>10</v>
      </c>
      <c r="E320" s="36" t="str">
        <f aca="false">INDEX(REF_DATO,MATCH(D320,REF_ID,0))</f>
        <v>Acero (chapa LAC/LAF, SAE 1010/1045)</v>
      </c>
      <c r="F320" s="38" t="n">
        <v>1</v>
      </c>
      <c r="G320" s="35" t="s">
        <v>264</v>
      </c>
      <c r="H320" s="39" t="n">
        <f aca="false">INDEX(REF_VAL,MATCH(D320,REF_ID,0))</f>
        <v>7.85</v>
      </c>
      <c r="I320" s="40" t="n">
        <f aca="false">F320*J320</f>
        <v>0.0378322363127759</v>
      </c>
      <c r="J320" s="40" t="n">
        <v>0.0378322363127759</v>
      </c>
      <c r="K320" s="40" t="n">
        <f aca="false">I320*(1-V320)</f>
        <v>0.0368800910076227</v>
      </c>
      <c r="L320" s="40" t="n">
        <f aca="false">I320*(1+V320)</f>
        <v>0.0387843816179291</v>
      </c>
      <c r="M320" s="40" t="n">
        <f aca="false">F320*N320</f>
        <v>0.296983055055291</v>
      </c>
      <c r="N320" s="40" t="n">
        <f aca="false">J320*H320</f>
        <v>0.296983055055291</v>
      </c>
      <c r="O320" s="40" t="n">
        <f aca="false">K320*Q320</f>
        <v>0.289508714409838</v>
      </c>
      <c r="P320" s="40" t="n">
        <f aca="false">L320*R320</f>
        <v>0.304457395700743</v>
      </c>
      <c r="Q320" s="39" t="n">
        <f aca="false">INDEX(REF_MIN,MATCH(D320,REF_ID,0))</f>
        <v>7.85</v>
      </c>
      <c r="R320" s="39" t="n">
        <f aca="false">INDEX(REF_MAX,MATCH(D320,REF_ID,0))</f>
        <v>7.85</v>
      </c>
      <c r="S320" s="41" t="n">
        <v>1.90429061030637</v>
      </c>
      <c r="T320" s="42" t="n">
        <f aca="false">200*J320/S320</f>
        <v>3.97336794163884</v>
      </c>
      <c r="U320" s="43" t="n">
        <f aca="false">IFERROR(INDEX(ISO_TOL,MATCH(T320,ISO_DESDE,1)),0)</f>
        <v>0.1</v>
      </c>
      <c r="V320" s="44" t="n">
        <f aca="false">IF(T320&gt;0,U320/T320,0)</f>
        <v>0.0251675660217751</v>
      </c>
    </row>
    <row r="321" customFormat="false" ht="15" hidden="false" customHeight="false" outlineLevel="2" collapsed="false">
      <c r="A321" s="35" t="n">
        <v>2</v>
      </c>
      <c r="B321" s="36" t="s">
        <v>644</v>
      </c>
      <c r="C321" s="37" t="s">
        <v>526</v>
      </c>
      <c r="D321" s="36" t="s">
        <v>10</v>
      </c>
      <c r="E321" s="36" t="str">
        <f aca="false">INDEX(REF_DATO,MATCH(D321,REF_ID,0))</f>
        <v>Acero (chapa LAC/LAF, SAE 1010/1045)</v>
      </c>
      <c r="F321" s="38" t="n">
        <v>1</v>
      </c>
      <c r="G321" s="35" t="s">
        <v>264</v>
      </c>
      <c r="H321" s="39" t="n">
        <f aca="false">INDEX(REF_VAL,MATCH(D321,REF_ID,0))</f>
        <v>7.85</v>
      </c>
      <c r="I321" s="40" t="n">
        <f aca="false">F321*J321</f>
        <v>0.0736483565781056</v>
      </c>
      <c r="J321" s="40" t="n">
        <v>0.0736483565781056</v>
      </c>
      <c r="K321" s="40" t="n">
        <f aca="false">I321*(1-V321)</f>
        <v>0.0699472462729115</v>
      </c>
      <c r="L321" s="40" t="n">
        <f aca="false">I321*(1+V321)</f>
        <v>0.0773494668832997</v>
      </c>
      <c r="M321" s="40" t="n">
        <f aca="false">F321*N321</f>
        <v>0.578139599138129</v>
      </c>
      <c r="N321" s="40" t="n">
        <f aca="false">J321*H321</f>
        <v>0.578139599138129</v>
      </c>
      <c r="O321" s="40" t="n">
        <f aca="false">K321*Q321</f>
        <v>0.549085883242355</v>
      </c>
      <c r="P321" s="40" t="n">
        <f aca="false">L321*R321</f>
        <v>0.607193315033903</v>
      </c>
      <c r="Q321" s="39" t="n">
        <f aca="false">INDEX(REF_MIN,MATCH(D321,REF_ID,0))</f>
        <v>7.85</v>
      </c>
      <c r="R321" s="39" t="n">
        <f aca="false">INDEX(REF_MAX,MATCH(D321,REF_ID,0))</f>
        <v>7.85</v>
      </c>
      <c r="S321" s="41" t="n">
        <v>7.40222061038827</v>
      </c>
      <c r="T321" s="42" t="n">
        <f aca="false">200*J321/S321</f>
        <v>1.98989898989899</v>
      </c>
      <c r="U321" s="43" t="n">
        <f aca="false">IFERROR(INDEX(ISO_TOL,MATCH(T321,ISO_DESDE,1)),0)</f>
        <v>0.1</v>
      </c>
      <c r="V321" s="44" t="n">
        <f aca="false">IF(T321&gt;0,U321/T321,0)</f>
        <v>0.0502538071065989</v>
      </c>
    </row>
    <row r="322" customFormat="false" ht="15" hidden="false" customHeight="false" outlineLevel="2" collapsed="false">
      <c r="A322" s="35" t="n">
        <v>2</v>
      </c>
      <c r="B322" s="36" t="s">
        <v>645</v>
      </c>
      <c r="C322" s="37" t="s">
        <v>528</v>
      </c>
      <c r="D322" s="36" t="s">
        <v>23</v>
      </c>
      <c r="E322" s="36" t="str">
        <f aca="false">INDEX(REF_DATO,MATCH(D322,REF_ID,0))</f>
        <v>Caucho sintético (NBR / SBR)</v>
      </c>
      <c r="F322" s="38" t="n">
        <v>2</v>
      </c>
      <c r="G322" s="35" t="s">
        <v>264</v>
      </c>
      <c r="H322" s="39" t="n">
        <f aca="false">INDEX(REF_VAL,MATCH(D322,REF_ID,0))</f>
        <v>1.2</v>
      </c>
      <c r="I322" s="40" t="n">
        <f aca="false">F322*J322</f>
        <v>5.5602420057355</v>
      </c>
      <c r="J322" s="40" t="n">
        <v>2.78012100286775</v>
      </c>
      <c r="K322" s="40" t="n">
        <f aca="false">I322*(1-V322)</f>
        <v>5.51901300038685</v>
      </c>
      <c r="L322" s="40" t="n">
        <f aca="false">I322*(1+V322)</f>
        <v>5.60147101108416</v>
      </c>
      <c r="M322" s="40" t="n">
        <f aca="false">F322*N322</f>
        <v>6.67229040688261</v>
      </c>
      <c r="N322" s="40" t="n">
        <f aca="false">J322*H322</f>
        <v>3.3361452034413</v>
      </c>
      <c r="O322" s="40" t="n">
        <f aca="false">K322*Q322</f>
        <v>6.07091430042554</v>
      </c>
      <c r="P322" s="40" t="n">
        <f aca="false">L322*R322</f>
        <v>7.2819123144094</v>
      </c>
      <c r="Q322" s="39" t="n">
        <f aca="false">INDEX(REF_MIN,MATCH(D322,REF_ID,0))</f>
        <v>1.1</v>
      </c>
      <c r="R322" s="39" t="n">
        <f aca="false">INDEX(REF_MAX,MATCH(D322,REF_ID,0))</f>
        <v>1.3</v>
      </c>
      <c r="S322" s="41" t="n">
        <v>20.6145026743255</v>
      </c>
      <c r="T322" s="42" t="n">
        <f aca="false">200*J322/S322</f>
        <v>26.9724770642202</v>
      </c>
      <c r="U322" s="43" t="n">
        <f aca="false">IFERROR(INDEX(ISO_TOL,MATCH(T322,ISO_DESDE,1)),0)</f>
        <v>0.2</v>
      </c>
      <c r="V322" s="44" t="n">
        <f aca="false">IF(T322&gt;0,U322/T322,0)</f>
        <v>0.00741496598639456</v>
      </c>
    </row>
    <row r="323" customFormat="false" ht="15" hidden="false" customHeight="false" outlineLevel="2" collapsed="false">
      <c r="A323" s="35" t="n">
        <v>2</v>
      </c>
      <c r="B323" s="36" t="s">
        <v>646</v>
      </c>
      <c r="C323" s="37" t="s">
        <v>530</v>
      </c>
      <c r="D323" s="36" t="s">
        <v>10</v>
      </c>
      <c r="E323" s="36" t="str">
        <f aca="false">INDEX(REF_DATO,MATCH(D323,REF_ID,0))</f>
        <v>Acero (chapa LAC/LAF, SAE 1010/1045)</v>
      </c>
      <c r="F323" s="38" t="n">
        <v>2</v>
      </c>
      <c r="G323" s="35" t="s">
        <v>264</v>
      </c>
      <c r="H323" s="39" t="n">
        <f aca="false">INDEX(REF_VAL,MATCH(D323,REF_ID,0))</f>
        <v>7.85</v>
      </c>
      <c r="I323" s="40" t="n">
        <f aca="false">F323*J323</f>
        <v>0.664168972364031</v>
      </c>
      <c r="J323" s="40" t="n">
        <v>0.332084486182016</v>
      </c>
      <c r="K323" s="40" t="n">
        <f aca="false">I323*(1-V323)</f>
        <v>0.644445104923813</v>
      </c>
      <c r="L323" s="40" t="n">
        <f aca="false">I323*(1+V323)</f>
        <v>0.683892839804249</v>
      </c>
      <c r="M323" s="40" t="n">
        <f aca="false">F323*N323</f>
        <v>5.21372643305764</v>
      </c>
      <c r="N323" s="40" t="n">
        <f aca="false">J323*H323</f>
        <v>2.60686321652882</v>
      </c>
      <c r="O323" s="40" t="n">
        <f aca="false">K323*Q323</f>
        <v>5.05889407365193</v>
      </c>
      <c r="P323" s="40" t="n">
        <f aca="false">L323*R323</f>
        <v>5.36855879246336</v>
      </c>
      <c r="Q323" s="39" t="n">
        <f aca="false">INDEX(REF_MIN,MATCH(D323,REF_ID,0))</f>
        <v>7.85</v>
      </c>
      <c r="R323" s="39" t="n">
        <f aca="false">INDEX(REF_MAX,MATCH(D323,REF_ID,0))</f>
        <v>7.85</v>
      </c>
      <c r="S323" s="41" t="n">
        <v>19.7238674402181</v>
      </c>
      <c r="T323" s="42" t="n">
        <f aca="false">200*J323/S323</f>
        <v>3.36733642312842</v>
      </c>
      <c r="U323" s="43" t="n">
        <f aca="false">IFERROR(INDEX(ISO_TOL,MATCH(T323,ISO_DESDE,1)),0)</f>
        <v>0.1</v>
      </c>
      <c r="V323" s="44" t="n">
        <f aca="false">IF(T323&gt;0,U323/T323,0)</f>
        <v>0.0296970624358036</v>
      </c>
    </row>
    <row r="324" customFormat="false" ht="15" hidden="false" customHeight="false" outlineLevel="2" collapsed="false">
      <c r="A324" s="35" t="n">
        <v>2</v>
      </c>
      <c r="B324" s="36" t="s">
        <v>647</v>
      </c>
      <c r="C324" s="37" t="s">
        <v>532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0.27784824373697</v>
      </c>
      <c r="J324" s="40" t="n">
        <v>0.27784824373697</v>
      </c>
      <c r="K324" s="40" t="n">
        <f aca="false">I324*(1-V324)</f>
        <v>0.273291967671324</v>
      </c>
      <c r="L324" s="40" t="n">
        <f aca="false">I324*(1+V324)</f>
        <v>0.282404519802616</v>
      </c>
      <c r="M324" s="40" t="n">
        <f aca="false">F324*N324</f>
        <v>2.18110871333521</v>
      </c>
      <c r="N324" s="40" t="n">
        <f aca="false">J324*H324</f>
        <v>2.18110871333521</v>
      </c>
      <c r="O324" s="40" t="n">
        <f aca="false">K324*Q324</f>
        <v>2.14534194621989</v>
      </c>
      <c r="P324" s="40" t="n">
        <f aca="false">L324*R324</f>
        <v>2.21687548045054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4.55627606564608</v>
      </c>
      <c r="T324" s="42" t="n">
        <f aca="false">200*J324/S324</f>
        <v>12.1962866048404</v>
      </c>
      <c r="U324" s="43" t="n">
        <f aca="false">IFERROR(INDEX(ISO_TOL,MATCH(T324,ISO_DESDE,1)),0)</f>
        <v>0.2</v>
      </c>
      <c r="V324" s="44" t="n">
        <f aca="false">IF(T324&gt;0,U324/T324,0)</f>
        <v>0.0163984339233735</v>
      </c>
    </row>
    <row r="325" customFormat="false" ht="15" hidden="false" customHeight="false" outlineLevel="2" collapsed="false">
      <c r="A325" s="35" t="n">
        <v>2</v>
      </c>
      <c r="B325" s="36" t="s">
        <v>648</v>
      </c>
      <c r="C325" s="37" t="s">
        <v>534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0.0113479353195909</v>
      </c>
      <c r="J325" s="40" t="n">
        <v>0.0113479353195909</v>
      </c>
      <c r="K325" s="40" t="n">
        <f aca="false">I325*(1-V325)</f>
        <v>0.0108973555348424</v>
      </c>
      <c r="L325" s="40" t="n">
        <f aca="false">I325*(1+V325)</f>
        <v>0.0117985151043393</v>
      </c>
      <c r="M325" s="40" t="n">
        <f aca="false">F325*N325</f>
        <v>0.0890812922587883</v>
      </c>
      <c r="N325" s="40" t="n">
        <f aca="false">J325*H325</f>
        <v>0.0890812922587883</v>
      </c>
      <c r="O325" s="40" t="n">
        <f aca="false">K325*Q325</f>
        <v>0.0855442409485129</v>
      </c>
      <c r="P325" s="40" t="n">
        <f aca="false">L325*R325</f>
        <v>0.0926183435690638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0.901159569496926</v>
      </c>
      <c r="T325" s="42" t="n">
        <f aca="false">200*J325/S325</f>
        <v>2.51851851851851</v>
      </c>
      <c r="U325" s="43" t="n">
        <f aca="false">IFERROR(INDEX(ISO_TOL,MATCH(T325,ISO_DESDE,1)),0)</f>
        <v>0.1</v>
      </c>
      <c r="V325" s="44" t="n">
        <f aca="false">IF(T325&gt;0,U325/T325,0)</f>
        <v>0.0397058823529414</v>
      </c>
    </row>
    <row r="326" customFormat="false" ht="15" hidden="false" customHeight="false" outlineLevel="2" collapsed="false">
      <c r="A326" s="35" t="n">
        <v>2</v>
      </c>
      <c r="B326" s="36" t="s">
        <v>649</v>
      </c>
      <c r="C326" s="37" t="s">
        <v>536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0.00167535674250936</v>
      </c>
      <c r="J326" s="40" t="n">
        <v>0.00167535674250936</v>
      </c>
      <c r="K326" s="40" t="n">
        <f aca="false">I326*(1-V326)</f>
        <v>0.00159145265791311</v>
      </c>
      <c r="L326" s="40" t="n">
        <f aca="false">I326*(1+V326)</f>
        <v>0.0017592608271056</v>
      </c>
      <c r="M326" s="40" t="n">
        <f aca="false">F326*N326</f>
        <v>0.0131515504286984</v>
      </c>
      <c r="N326" s="40" t="n">
        <f aca="false">J326*H326</f>
        <v>0.0131515504286984</v>
      </c>
      <c r="O326" s="40" t="n">
        <f aca="false">K326*Q326</f>
        <v>0.0124929033646179</v>
      </c>
      <c r="P326" s="40" t="n">
        <f aca="false">L326*R326</f>
        <v>0.013810197492779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0.167808169192498</v>
      </c>
      <c r="T326" s="42" t="n">
        <f aca="false">200*J326/S326</f>
        <v>1.99675230421888</v>
      </c>
      <c r="U326" s="43" t="n">
        <f aca="false">IFERROR(INDEX(ISO_TOL,MATCH(T326,ISO_DESDE,1)),0)</f>
        <v>0.1</v>
      </c>
      <c r="V326" s="44" t="n">
        <f aca="false">IF(T326&gt;0,U326/T326,0)</f>
        <v>0.0500813244530696</v>
      </c>
    </row>
    <row r="327" customFormat="false" ht="15" hidden="false" customHeight="false" outlineLevel="2" collapsed="false">
      <c r="A327" s="35" t="n">
        <v>2</v>
      </c>
      <c r="B327" s="36" t="s">
        <v>650</v>
      </c>
      <c r="C327" s="37" t="s">
        <v>538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0.202896223057982</v>
      </c>
      <c r="J327" s="40" t="n">
        <v>0.202896223057982</v>
      </c>
      <c r="K327" s="40" t="n">
        <f aca="false">I327*(1-V327)</f>
        <v>0.190957599941202</v>
      </c>
      <c r="L327" s="40" t="n">
        <f aca="false">I327*(1+V327)</f>
        <v>0.214834846174762</v>
      </c>
      <c r="M327" s="40" t="n">
        <f aca="false">F327*N327</f>
        <v>1.59273535100516</v>
      </c>
      <c r="N327" s="40" t="n">
        <f aca="false">J327*H327</f>
        <v>1.59273535100516</v>
      </c>
      <c r="O327" s="40" t="n">
        <f aca="false">K327*Q327</f>
        <v>1.49901715953843</v>
      </c>
      <c r="P327" s="40" t="n">
        <f aca="false">L327*R327</f>
        <v>1.68645354247188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23.8772462335603</v>
      </c>
      <c r="T327" s="42" t="n">
        <f aca="false">200*J327/S327</f>
        <v>1.69949433090658</v>
      </c>
      <c r="U327" s="43" t="n">
        <f aca="false">IFERROR(INDEX(ISO_TOL,MATCH(T327,ISO_DESDE,1)),0)</f>
        <v>0.1</v>
      </c>
      <c r="V327" s="44" t="n">
        <f aca="false">IF(T327&gt;0,U327/T327,0)</f>
        <v>0.058841031818362</v>
      </c>
    </row>
    <row r="328" customFormat="false" ht="15" hidden="false" customHeight="false" outlineLevel="2" collapsed="false">
      <c r="A328" s="35" t="n">
        <v>2</v>
      </c>
      <c r="B328" s="36" t="s">
        <v>651</v>
      </c>
      <c r="C328" s="37" t="s">
        <v>540</v>
      </c>
      <c r="D328" s="36" t="s">
        <v>10</v>
      </c>
      <c r="E328" s="36" t="str">
        <f aca="false">INDEX(REF_DATO,MATCH(D328,REF_ID,0))</f>
        <v>Acero (chapa LAC/LAF, SAE 1010/1045)</v>
      </c>
      <c r="F328" s="38" t="n">
        <v>1</v>
      </c>
      <c r="G328" s="35" t="s">
        <v>264</v>
      </c>
      <c r="H328" s="39" t="n">
        <f aca="false">INDEX(REF_VAL,MATCH(D328,REF_ID,0))</f>
        <v>7.85</v>
      </c>
      <c r="I328" s="40" t="n">
        <f aca="false">F328*J328</f>
        <v>0.111769599999999</v>
      </c>
      <c r="J328" s="40" t="n">
        <v>0.111769599999999</v>
      </c>
      <c r="K328" s="40" t="n">
        <f aca="false">I328*(1-V328)</f>
        <v>0.107971775999999</v>
      </c>
      <c r="L328" s="40" t="n">
        <f aca="false">I328*(1+V328)</f>
        <v>0.115567423999999</v>
      </c>
      <c r="M328" s="40" t="n">
        <f aca="false">F328*N328</f>
        <v>0.877391359999991</v>
      </c>
      <c r="N328" s="40" t="n">
        <f aca="false">J328*H328</f>
        <v>0.877391359999991</v>
      </c>
      <c r="O328" s="40" t="n">
        <f aca="false">K328*Q328</f>
        <v>0.847578441599991</v>
      </c>
      <c r="P328" s="40" t="n">
        <f aca="false">L328*R328</f>
        <v>0.907204278399991</v>
      </c>
      <c r="Q328" s="39" t="n">
        <f aca="false">INDEX(REF_MIN,MATCH(D328,REF_ID,0))</f>
        <v>7.85</v>
      </c>
      <c r="R328" s="39" t="n">
        <f aca="false">INDEX(REF_MAX,MATCH(D328,REF_ID,0))</f>
        <v>7.85</v>
      </c>
      <c r="S328" s="41" t="n">
        <v>7.595648</v>
      </c>
      <c r="T328" s="42" t="n">
        <f aca="false">200*J328/S328</f>
        <v>2.94299051246184</v>
      </c>
      <c r="U328" s="43" t="n">
        <f aca="false">IFERROR(INDEX(ISO_TOL,MATCH(T328,ISO_DESDE,1)),0)</f>
        <v>0.1</v>
      </c>
      <c r="V328" s="44" t="n">
        <f aca="false">IF(T328&gt;0,U328/T328,0)</f>
        <v>0.0339790426019243</v>
      </c>
    </row>
    <row r="329" customFormat="false" ht="15" hidden="false" customHeight="false" outlineLevel="1" collapsed="false">
      <c r="A329" s="25" t="n">
        <v>1</v>
      </c>
      <c r="B329" s="26" t="s">
        <v>652</v>
      </c>
      <c r="C329" s="27" t="s">
        <v>312</v>
      </c>
      <c r="D329" s="26"/>
      <c r="E329" s="26"/>
      <c r="F329" s="28" t="n">
        <v>1</v>
      </c>
      <c r="G329" s="25" t="s">
        <v>264</v>
      </c>
      <c r="H329" s="29"/>
      <c r="I329" s="30"/>
      <c r="J329" s="30"/>
      <c r="K329" s="30"/>
      <c r="L329" s="30"/>
      <c r="M329" s="30" t="n">
        <f aca="false">IF(SUMIF(A330:A331,2,M330:M331)=0,"",SUMIF(A330:A331,2,M330:M331))</f>
        <v>70.5582003982202</v>
      </c>
      <c r="N329" s="30"/>
      <c r="O329" s="30" t="n">
        <f aca="false">IF(SUMIF(A330:A331,2,O330:O331)=0,"",SUMIF(A330:A331,2,O330:O331))</f>
        <v>68.3730632004942</v>
      </c>
      <c r="P329" s="30" t="n">
        <f aca="false">IF(SUMIF(A330:A331,2,P330:P331)=0,"",SUMIF(A330:A331,2,P330:P331))</f>
        <v>72.7506905002792</v>
      </c>
      <c r="Q329" s="29"/>
      <c r="R329" s="29"/>
      <c r="S329" s="31"/>
      <c r="T329" s="32"/>
      <c r="U329" s="33"/>
      <c r="V329" s="34"/>
    </row>
    <row r="330" customFormat="false" ht="15" hidden="false" customHeight="false" outlineLevel="2" collapsed="false">
      <c r="A330" s="35" t="n">
        <v>2</v>
      </c>
      <c r="B330" s="36" t="s">
        <v>653</v>
      </c>
      <c r="C330" s="37" t="s">
        <v>543</v>
      </c>
      <c r="D330" s="36" t="s">
        <v>37</v>
      </c>
      <c r="E330" s="36" t="str">
        <f aca="false">INDEX(REF_DATO,MATCH(D330,REF_ID,0))</f>
        <v>Polvo ABC asentado en el recipiente</v>
      </c>
      <c r="F330" s="38" t="n">
        <f aca="false">MODELOS!$L$18</f>
        <v>70</v>
      </c>
      <c r="G330" s="35" t="s">
        <v>123</v>
      </c>
      <c r="H330" s="39" t="n">
        <f aca="false">INDEX(REF_VAL,MATCH(D330,REF_ID,0))</f>
        <v>1.1</v>
      </c>
      <c r="I330" s="40" t="n">
        <f aca="false">F330*J330</f>
        <v>63.6363636363636</v>
      </c>
      <c r="J330" s="40" t="n">
        <f aca="false">1/H330</f>
        <v>0.909090909090909</v>
      </c>
      <c r="K330" s="40" t="n">
        <f aca="false">MODELOS!$M$18/R330</f>
        <v>61.7272727272727</v>
      </c>
      <c r="L330" s="40" t="n">
        <f aca="false">MODELOS!$N$18/Q330</f>
        <v>65.5454545454545</v>
      </c>
      <c r="M330" s="40" t="n">
        <f aca="false">F330</f>
        <v>70</v>
      </c>
      <c r="N330" s="40" t="n">
        <v>1</v>
      </c>
      <c r="O330" s="40" t="n">
        <f aca="false">MODELOS!$M$18</f>
        <v>67.9</v>
      </c>
      <c r="P330" s="40" t="n">
        <f aca="false">MODELOS!$N$18</f>
        <v>72.1</v>
      </c>
      <c r="Q330" s="39" t="n">
        <f aca="false">INDEX(REF_MIN,MATCH(D330,REF_ID,0))</f>
        <v>1.1</v>
      </c>
      <c r="R330" s="39" t="n">
        <f aca="false">INDEX(REF_MAX,MATCH(D330,REF_ID,0))</f>
        <v>1.1</v>
      </c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654</v>
      </c>
      <c r="C331" s="37" t="s">
        <v>316</v>
      </c>
      <c r="D331" s="36" t="s">
        <v>78</v>
      </c>
      <c r="E331" s="36" t="str">
        <f aca="false">INDEX(REF_DATO,MATCH(D331,REF_ID,0))</f>
        <v>Nitrógeno seco (densidad normal)</v>
      </c>
      <c r="F331" s="38" t="n">
        <f aca="false">MODELOS!$AF$18</f>
        <v>0.558200398220198</v>
      </c>
      <c r="G331" s="35" t="s">
        <v>123</v>
      </c>
      <c r="H331" s="39" t="n">
        <f aca="false">INDEX(REF_VAL,MATCH(D331,REF_ID,0))</f>
        <v>0.00124921923797626</v>
      </c>
      <c r="I331" s="40" t="n">
        <f aca="false">F331*J331</f>
        <v>446.839418775268</v>
      </c>
      <c r="J331" s="40" t="n">
        <f aca="false">1/H331</f>
        <v>800.5</v>
      </c>
      <c r="K331" s="40" t="n">
        <f aca="false">MODELOS!$AG$18/H331</f>
        <v>378.687091995617</v>
      </c>
      <c r="L331" s="40" t="n">
        <f aca="false">MODELOS!$AH$18/H331</f>
        <v>520.877745473522</v>
      </c>
      <c r="M331" s="40" t="n">
        <f aca="false">F331</f>
        <v>0.558200398220198</v>
      </c>
      <c r="N331" s="40" t="n">
        <v>1</v>
      </c>
      <c r="O331" s="40" t="n">
        <f aca="false">MODELOS!$AG$18</f>
        <v>0.473063200494212</v>
      </c>
      <c r="P331" s="40" t="n">
        <f aca="false">MODELOS!$AH$18</f>
        <v>0.650690500279228</v>
      </c>
      <c r="Q331" s="39"/>
      <c r="R331" s="39"/>
      <c r="S331" s="41"/>
      <c r="T331" s="42"/>
      <c r="U331" s="43"/>
      <c r="V331" s="44"/>
    </row>
    <row r="332" customFormat="false" ht="15" hidden="false" customHeight="false" outlineLevel="1" collapsed="false">
      <c r="A332" s="25" t="n">
        <v>1</v>
      </c>
      <c r="B332" s="26" t="s">
        <v>655</v>
      </c>
      <c r="C332" s="27" t="s">
        <v>318</v>
      </c>
      <c r="D332" s="26"/>
      <c r="E332" s="26"/>
      <c r="F332" s="28" t="n">
        <v>1</v>
      </c>
      <c r="G332" s="25" t="s">
        <v>264</v>
      </c>
      <c r="H332" s="29"/>
      <c r="I332" s="30"/>
      <c r="J332" s="30"/>
      <c r="K332" s="30"/>
      <c r="L332" s="30"/>
      <c r="M332" s="30" t="n">
        <f aca="false">IF(SUMIF(A333:A339,2,M333:M339)=0,"",SUMIF(A333:A339,2,M333:M339))</f>
        <v>0.0723077109905333</v>
      </c>
      <c r="N332" s="30"/>
      <c r="O332" s="30" t="n">
        <f aca="false">IF(SUMIF(A333:A339,2,O333:O339)=0,"",SUMIF(A333:A339,2,O333:O339))</f>
        <v>0.0697227682467747</v>
      </c>
      <c r="P332" s="30" t="n">
        <f aca="false">IF(SUMIF(A333:A339,2,P333:P339)=0,"",SUMIF(A333:A339,2,P333:P339))</f>
        <v>0.0748947154044707</v>
      </c>
      <c r="Q332" s="29"/>
      <c r="R332" s="29"/>
      <c r="S332" s="31"/>
      <c r="T332" s="32"/>
      <c r="U332" s="33"/>
      <c r="V332" s="34"/>
    </row>
    <row r="333" customFormat="false" ht="15" hidden="false" customHeight="false" outlineLevel="2" collapsed="false">
      <c r="A333" s="35" t="n">
        <v>2</v>
      </c>
      <c r="B333" s="36" t="s">
        <v>656</v>
      </c>
      <c r="C333" s="37" t="s">
        <v>320</v>
      </c>
      <c r="D333" s="36" t="s">
        <v>32</v>
      </c>
      <c r="E333" s="36" t="str">
        <f aca="false">INDEX(REF_DATO,MATCH(D333,REF_ID,0))</f>
        <v>PVC rígido, vinilo y papeles de identificación</v>
      </c>
      <c r="F333" s="38" t="n">
        <v>1</v>
      </c>
      <c r="G333" s="35" t="s">
        <v>264</v>
      </c>
      <c r="H333" s="39" t="n">
        <f aca="false">INDEX(REF_VAL,MATCH(D333,REF_ID,0))</f>
        <v>1.4</v>
      </c>
      <c r="I333" s="40" t="n">
        <f aca="false">F333*J333</f>
        <v>0.0472355018702913</v>
      </c>
      <c r="J333" s="40" t="n">
        <v>0.0472355018702913</v>
      </c>
      <c r="K333" s="40" t="n">
        <f aca="false">I333*(1-V333)</f>
        <v>0.0472355018702913</v>
      </c>
      <c r="L333" s="40" t="n">
        <f aca="false">I333*(1+V333)</f>
        <v>0.0472355018702913</v>
      </c>
      <c r="M333" s="40" t="n">
        <f aca="false">F333*N333</f>
        <v>0.0661297026184078</v>
      </c>
      <c r="N333" s="40" t="n">
        <f aca="false">J333*H333</f>
        <v>0.0661297026184078</v>
      </c>
      <c r="O333" s="40" t="n">
        <f aca="false">K333*Q333</f>
        <v>0.0637679275248933</v>
      </c>
      <c r="P333" s="40" t="n">
        <f aca="false">L333*R333</f>
        <v>0.0684914777119224</v>
      </c>
      <c r="Q333" s="39" t="n">
        <f aca="false">INDEX(REF_MIN,MATCH(D333,REF_ID,0))</f>
        <v>1.35</v>
      </c>
      <c r="R333" s="39" t="n">
        <f aca="false">INDEX(REF_MAX,MATCH(D333,REF_ID,0))</f>
        <v>1.45</v>
      </c>
      <c r="S333" s="41" t="n">
        <v>31.5473174705257</v>
      </c>
      <c r="T333" s="42" t="n">
        <f aca="false">200*J333/S333</f>
        <v>0.299458119787351</v>
      </c>
      <c r="U333" s="43" t="n">
        <f aca="false">IFERROR(INDEX(ISO_TOL,MATCH(T333,ISO_DESDE,1)),0)</f>
        <v>0</v>
      </c>
      <c r="V333" s="44" t="n">
        <f aca="false">IF(T333&gt;0,U333/T333,0)</f>
        <v>0</v>
      </c>
    </row>
    <row r="334" customFormat="false" ht="15" hidden="false" customHeight="false" outlineLevel="2" collapsed="false">
      <c r="A334" s="35" t="n">
        <v>2</v>
      </c>
      <c r="B334" s="36" t="s">
        <v>657</v>
      </c>
      <c r="C334" s="37" t="s">
        <v>322</v>
      </c>
      <c r="D334" s="36" t="s">
        <v>32</v>
      </c>
      <c r="E334" s="36" t="str">
        <f aca="false">INDEX(REF_DATO,MATCH(D334,REF_ID,0))</f>
        <v>PVC rígido, vinilo y papeles de identificación</v>
      </c>
      <c r="F334" s="38" t="n">
        <v>1</v>
      </c>
      <c r="G334" s="35" t="s">
        <v>264</v>
      </c>
      <c r="H334" s="39" t="n">
        <f aca="false">INDEX(REF_VAL,MATCH(D334,REF_ID,0))</f>
        <v>1.4</v>
      </c>
      <c r="I334" s="40" t="n">
        <f aca="false">F334*J334</f>
        <v>0.000635288307692301</v>
      </c>
      <c r="J334" s="40" t="n">
        <v>0.000635288307692301</v>
      </c>
      <c r="K334" s="40" t="n">
        <f aca="false">I334*(1-V334)</f>
        <v>0.000635288307692301</v>
      </c>
      <c r="L334" s="40" t="n">
        <f aca="false">I334*(1+V334)</f>
        <v>0.000635288307692301</v>
      </c>
      <c r="M334" s="40" t="n">
        <f aca="false">F334*N334</f>
        <v>0.000889403630769221</v>
      </c>
      <c r="N334" s="40" t="n">
        <f aca="false">J334*H334</f>
        <v>0.000889403630769221</v>
      </c>
      <c r="O334" s="40" t="n">
        <f aca="false">K334*Q334</f>
        <v>0.000857639215384606</v>
      </c>
      <c r="P334" s="40" t="n">
        <f aca="false">L334*R334</f>
        <v>0.000921168046153836</v>
      </c>
      <c r="Q334" s="39" t="n">
        <f aca="false">INDEX(REF_MIN,MATCH(D334,REF_ID,0))</f>
        <v>1.35</v>
      </c>
      <c r="R334" s="39" t="n">
        <f aca="false">INDEX(REF_MAX,MATCH(D334,REF_ID,0))</f>
        <v>1.45</v>
      </c>
      <c r="S334" s="41" t="n">
        <v>0.429047661538462</v>
      </c>
      <c r="T334" s="42" t="n">
        <f aca="false">200*J334/S334</f>
        <v>0.296138804446252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658</v>
      </c>
      <c r="C335" s="37" t="s">
        <v>324</v>
      </c>
      <c r="D335" s="36" t="s">
        <v>32</v>
      </c>
      <c r="E335" s="36" t="str">
        <f aca="false">INDEX(REF_DATO,MATCH(D335,REF_ID,0))</f>
        <v>PVC rígido, vinilo y papeles de identificación</v>
      </c>
      <c r="F335" s="38" t="n">
        <v>1</v>
      </c>
      <c r="G335" s="35" t="s">
        <v>264</v>
      </c>
      <c r="H335" s="39" t="n">
        <f aca="false">INDEX(REF_VAL,MATCH(D335,REF_ID,0))</f>
        <v>1.4</v>
      </c>
      <c r="I335" s="40" t="n">
        <f aca="false">F335*J335</f>
        <v>0.00072055384615387</v>
      </c>
      <c r="J335" s="40" t="n">
        <v>0.00072055384615387</v>
      </c>
      <c r="K335" s="40" t="n">
        <f aca="false">I335*(1-V335)</f>
        <v>0.00072055384615387</v>
      </c>
      <c r="L335" s="40" t="n">
        <f aca="false">I335*(1+V335)</f>
        <v>0.00072055384615387</v>
      </c>
      <c r="M335" s="40" t="n">
        <f aca="false">F335*N335</f>
        <v>0.00100877538461542</v>
      </c>
      <c r="N335" s="40" t="n">
        <f aca="false">J335*H335</f>
        <v>0.00100877538461542</v>
      </c>
      <c r="O335" s="40" t="n">
        <f aca="false">K335*Q335</f>
        <v>0.000972747692307724</v>
      </c>
      <c r="P335" s="40" t="n">
        <f aca="false">L335*R335</f>
        <v>0.00104480307692311</v>
      </c>
      <c r="Q335" s="39" t="n">
        <f aca="false">INDEX(REF_MIN,MATCH(D335,REF_ID,0))</f>
        <v>1.35</v>
      </c>
      <c r="R335" s="39" t="n">
        <f aca="false">INDEX(REF_MAX,MATCH(D335,REF_ID,0))</f>
        <v>1.45</v>
      </c>
      <c r="S335" s="41" t="n">
        <v>0.486372</v>
      </c>
      <c r="T335" s="42" t="n">
        <f aca="false">200*J335/S335</f>
        <v>0.296297420967436</v>
      </c>
      <c r="U335" s="43" t="n">
        <f aca="false">IFERROR(INDEX(ISO_TOL,MATCH(T335,ISO_DESDE,1)),0)</f>
        <v>0</v>
      </c>
      <c r="V335" s="44" t="n">
        <f aca="false">IF(T335&gt;0,U335/T335,0)</f>
        <v>0</v>
      </c>
    </row>
    <row r="336" customFormat="false" ht="15" hidden="false" customHeight="false" outlineLevel="2" collapsed="false">
      <c r="A336" s="35" t="n">
        <v>2</v>
      </c>
      <c r="B336" s="36" t="s">
        <v>659</v>
      </c>
      <c r="C336" s="37" t="s">
        <v>384</v>
      </c>
      <c r="D336" s="36" t="s">
        <v>32</v>
      </c>
      <c r="E336" s="36" t="str">
        <f aca="false">INDEX(REF_DATO,MATCH(D336,REF_ID,0))</f>
        <v>PVC rígido, vinilo y papeles de identificación</v>
      </c>
      <c r="F336" s="38" t="n">
        <v>1</v>
      </c>
      <c r="G336" s="35" t="s">
        <v>264</v>
      </c>
      <c r="H336" s="39" t="n">
        <f aca="false">INDEX(REF_VAL,MATCH(D336,REF_ID,0))</f>
        <v>1.4</v>
      </c>
      <c r="I336" s="40" t="n">
        <f aca="false">F336*J336</f>
        <v>0.00231177692307717</v>
      </c>
      <c r="J336" s="40" t="n">
        <v>0.00231177692307717</v>
      </c>
      <c r="K336" s="40" t="n">
        <f aca="false">I336*(1-V336)</f>
        <v>0.00231177692307717</v>
      </c>
      <c r="L336" s="40" t="n">
        <f aca="false">I336*(1+V336)</f>
        <v>0.00231177692307717</v>
      </c>
      <c r="M336" s="40" t="n">
        <f aca="false">F336*N336</f>
        <v>0.00323648769230803</v>
      </c>
      <c r="N336" s="40" t="n">
        <f aca="false">J336*H336</f>
        <v>0.00323648769230803</v>
      </c>
      <c r="O336" s="40" t="n">
        <f aca="false">K336*Q336</f>
        <v>0.00312089884615417</v>
      </c>
      <c r="P336" s="40" t="n">
        <f aca="false">L336*R336</f>
        <v>0.00335207653846189</v>
      </c>
      <c r="Q336" s="39" t="n">
        <f aca="false">INDEX(REF_MIN,MATCH(D336,REF_ID,0))</f>
        <v>1.35</v>
      </c>
      <c r="R336" s="39" t="n">
        <f aca="false">INDEX(REF_MAX,MATCH(D336,REF_ID,0))</f>
        <v>1.45</v>
      </c>
      <c r="S336" s="41" t="n">
        <v>1.55289107692308</v>
      </c>
      <c r="T336" s="42" t="n">
        <f aca="false">200*J336/S336</f>
        <v>0.297738451515576</v>
      </c>
      <c r="U336" s="43" t="n">
        <f aca="false">IFERROR(INDEX(ISO_TOL,MATCH(T336,ISO_DESDE,1)),0)</f>
        <v>0</v>
      </c>
      <c r="V336" s="44" t="n">
        <f aca="false">IF(T336&gt;0,U336/T336,0)</f>
        <v>0</v>
      </c>
    </row>
    <row r="337" customFormat="false" ht="15" hidden="false" customHeight="false" outlineLevel="2" collapsed="false">
      <c r="A337" s="35" t="n">
        <v>2</v>
      </c>
      <c r="B337" s="36" t="s">
        <v>660</v>
      </c>
      <c r="C337" s="37" t="s">
        <v>326</v>
      </c>
      <c r="D337" s="36" t="s">
        <v>32</v>
      </c>
      <c r="E337" s="36" t="str">
        <f aca="false">INDEX(REF_DATO,MATCH(D337,REF_ID,0))</f>
        <v>PVC rígido, vinilo y papeles de identificación</v>
      </c>
      <c r="F337" s="38" t="n">
        <v>1</v>
      </c>
      <c r="G337" s="35" t="s">
        <v>264</v>
      </c>
      <c r="H337" s="39" t="n">
        <f aca="false">INDEX(REF_VAL,MATCH(D337,REF_ID,0))</f>
        <v>1.4</v>
      </c>
      <c r="I337" s="40" t="n">
        <f aca="false">F337*J337</f>
        <v>0.000337759615384638</v>
      </c>
      <c r="J337" s="40" t="n">
        <v>0.000337759615384638</v>
      </c>
      <c r="K337" s="40" t="n">
        <f aca="false">I337*(1-V337)</f>
        <v>0.000337759615384638</v>
      </c>
      <c r="L337" s="40" t="n">
        <f aca="false">I337*(1+V337)</f>
        <v>0.000337759615384638</v>
      </c>
      <c r="M337" s="40" t="n">
        <f aca="false">F337*N337</f>
        <v>0.000472863461538494</v>
      </c>
      <c r="N337" s="40" t="n">
        <f aca="false">J337*H337</f>
        <v>0.000472863461538494</v>
      </c>
      <c r="O337" s="40" t="n">
        <f aca="false">K337*Q337</f>
        <v>0.000455975480769262</v>
      </c>
      <c r="P337" s="40" t="n">
        <f aca="false">L337*R337</f>
        <v>0.000489751442307726</v>
      </c>
      <c r="Q337" s="39" t="n">
        <f aca="false">INDEX(REF_MIN,MATCH(D337,REF_ID,0))</f>
        <v>1.35</v>
      </c>
      <c r="R337" s="39" t="n">
        <f aca="false">INDEX(REF_MAX,MATCH(D337,REF_ID,0))</f>
        <v>1.45</v>
      </c>
      <c r="S337" s="41" t="n">
        <v>0.229375153846154</v>
      </c>
      <c r="T337" s="42" t="n">
        <f aca="false">200*J337/S337</f>
        <v>0.294504099263671</v>
      </c>
      <c r="U337" s="43" t="n">
        <f aca="false">IFERROR(INDEX(ISO_TOL,MATCH(T337,ISO_DESDE,1)),0)</f>
        <v>0</v>
      </c>
      <c r="V337" s="44" t="n">
        <f aca="false">IF(T337&gt;0,U337/T337,0)</f>
        <v>0</v>
      </c>
    </row>
    <row r="338" customFormat="false" ht="15" hidden="false" customHeight="false" outlineLevel="2" collapsed="false">
      <c r="A338" s="35" t="n">
        <v>2</v>
      </c>
      <c r="B338" s="36" t="s">
        <v>661</v>
      </c>
      <c r="C338" s="37" t="s">
        <v>328</v>
      </c>
      <c r="D338" s="36" t="s">
        <v>32</v>
      </c>
      <c r="E338" s="36" t="str">
        <f aca="false">INDEX(REF_DATO,MATCH(D338,REF_ID,0))</f>
        <v>PVC rígido, vinilo y papeles de identificación</v>
      </c>
      <c r="F338" s="38" t="n">
        <v>1</v>
      </c>
      <c r="G338" s="35" t="s">
        <v>264</v>
      </c>
      <c r="H338" s="39" t="n">
        <f aca="false">INDEX(REF_VAL,MATCH(D338,REF_ID,0))</f>
        <v>1.4</v>
      </c>
      <c r="I338" s="40" t="n">
        <f aca="false">F338*J338</f>
        <v>0.000281259725807047</v>
      </c>
      <c r="J338" s="40" t="n">
        <v>0.000281259725807047</v>
      </c>
      <c r="K338" s="40" t="n">
        <f aca="false">I338*(1-V338)</f>
        <v>0.000281259725807047</v>
      </c>
      <c r="L338" s="40" t="n">
        <f aca="false">I338*(1+V338)</f>
        <v>0.000281259725807047</v>
      </c>
      <c r="M338" s="40" t="n">
        <f aca="false">F338*N338</f>
        <v>0.000393763616129866</v>
      </c>
      <c r="N338" s="40" t="n">
        <f aca="false">J338*H338</f>
        <v>0.000393763616129866</v>
      </c>
      <c r="O338" s="40" t="n">
        <f aca="false">K338*Q338</f>
        <v>0.000379700629839514</v>
      </c>
      <c r="P338" s="40" t="n">
        <f aca="false">L338*R338</f>
        <v>0.000407826602420219</v>
      </c>
      <c r="Q338" s="39" t="n">
        <f aca="false">INDEX(REF_MIN,MATCH(D338,REF_ID,0))</f>
        <v>1.35</v>
      </c>
      <c r="R338" s="39" t="n">
        <f aca="false">INDEX(REF_MAX,MATCH(D338,REF_ID,0))</f>
        <v>1.45</v>
      </c>
      <c r="S338" s="41" t="n">
        <v>0.284334790645751</v>
      </c>
      <c r="T338" s="42" t="n">
        <f aca="false">200*J338/S338</f>
        <v>0.197837011199565</v>
      </c>
      <c r="U338" s="43" t="n">
        <f aca="false">IFERROR(INDEX(ISO_TOL,MATCH(T338,ISO_DESDE,1)),0)</f>
        <v>0</v>
      </c>
      <c r="V338" s="44" t="n">
        <f aca="false">IF(T338&gt;0,U338/T338,0)</f>
        <v>0</v>
      </c>
    </row>
    <row r="339" customFormat="false" ht="15" hidden="false" customHeight="false" outlineLevel="2" collapsed="false">
      <c r="A339" s="35" t="n">
        <v>2</v>
      </c>
      <c r="B339" s="36" t="s">
        <v>662</v>
      </c>
      <c r="C339" s="37" t="s">
        <v>330</v>
      </c>
      <c r="D339" s="36" t="s">
        <v>26</v>
      </c>
      <c r="E339" s="36" t="str">
        <f aca="false">INDEX(REF_DATO,MATCH(D339,REF_ID,0))</f>
        <v>Polipropileno</v>
      </c>
      <c r="F339" s="38" t="n">
        <v>1</v>
      </c>
      <c r="G339" s="35" t="s">
        <v>264</v>
      </c>
      <c r="H339" s="39" t="n">
        <f aca="false">INDEX(REF_VAL,MATCH(D339,REF_ID,0))</f>
        <v>0.9</v>
      </c>
      <c r="I339" s="40" t="n">
        <f aca="false">F339*J339</f>
        <v>0.000196349540849361</v>
      </c>
      <c r="J339" s="40" t="n">
        <v>0.000196349540849361</v>
      </c>
      <c r="K339" s="40" t="n">
        <f aca="false">I339*(1-V339)</f>
        <v>0.000186532063806892</v>
      </c>
      <c r="L339" s="40" t="n">
        <f aca="false">I339*(1+V339)</f>
        <v>0.000206167017891829</v>
      </c>
      <c r="M339" s="40" t="n">
        <f aca="false">F339*N339</f>
        <v>0.000176714586764424</v>
      </c>
      <c r="N339" s="40" t="n">
        <f aca="false">J339*H339</f>
        <v>0.000176714586764424</v>
      </c>
      <c r="O339" s="40" t="n">
        <f aca="false">K339*Q339</f>
        <v>0.000167878857426203</v>
      </c>
      <c r="P339" s="40" t="n">
        <f aca="false">L339*R339</f>
        <v>0.000187611986281564</v>
      </c>
      <c r="Q339" s="39" t="n">
        <f aca="false">INDEX(REF_MIN,MATCH(D339,REF_ID,0))</f>
        <v>0.9</v>
      </c>
      <c r="R339" s="39" t="n">
        <f aca="false">INDEX(REF_MAX,MATCH(D339,REF_ID,0))</f>
        <v>0.91</v>
      </c>
      <c r="S339" s="41" t="n">
        <v>0.0196349540849362</v>
      </c>
      <c r="T339" s="42" t="n">
        <f aca="false">200*J339/S339</f>
        <v>1.99999999999998</v>
      </c>
      <c r="U339" s="43" t="n">
        <f aca="false">IFERROR(INDEX(ISO_TOL,MATCH(T339,ISO_DESDE,1)),0)</f>
        <v>0.1</v>
      </c>
      <c r="V339" s="44" t="n">
        <f aca="false">IF(T339&gt;0,U339/T339,0)</f>
        <v>0.0500000000000004</v>
      </c>
    </row>
    <row r="340" customFormat="false" ht="15" hidden="false" customHeight="false" outlineLevel="1" collapsed="false">
      <c r="A340" s="25" t="n">
        <v>1</v>
      </c>
      <c r="B340" s="26" t="s">
        <v>663</v>
      </c>
      <c r="C340" s="27" t="s">
        <v>336</v>
      </c>
      <c r="D340" s="26"/>
      <c r="E340" s="26"/>
      <c r="F340" s="28" t="n">
        <v>1</v>
      </c>
      <c r="G340" s="25" t="s">
        <v>264</v>
      </c>
      <c r="H340" s="29"/>
      <c r="I340" s="30"/>
      <c r="J340" s="30"/>
      <c r="K340" s="30"/>
      <c r="L340" s="30"/>
      <c r="M340" s="30" t="str">
        <f aca="false">IF(SUMIF(A341:A344,2,M341:M344)=0,"",SUMIF(A341:A344,2,M341:M344))</f>
        <v/>
      </c>
      <c r="N340" s="30"/>
      <c r="O340" s="30" t="str">
        <f aca="false">IF(SUMIF(A341:A344,2,O341:O344)=0,"",SUMIF(A341:A344,2,O341:O344))</f>
        <v/>
      </c>
      <c r="P340" s="30" t="str">
        <f aca="false">IF(SUMIF(A341:A344,2,P341:P344)=0,"",SUMIF(A341:A344,2,P341:P344))</f>
        <v/>
      </c>
      <c r="Q340" s="29"/>
      <c r="R340" s="29"/>
      <c r="S340" s="31"/>
      <c r="T340" s="32"/>
      <c r="U340" s="33"/>
      <c r="V340" s="34"/>
    </row>
    <row r="341" customFormat="false" ht="15" hidden="false" customHeight="false" outlineLevel="2" collapsed="false">
      <c r="A341" s="35" t="n">
        <v>2</v>
      </c>
      <c r="B341" s="36" t="s">
        <v>664</v>
      </c>
      <c r="C341" s="37" t="s">
        <v>338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665</v>
      </c>
      <c r="C342" s="37" t="s">
        <v>340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2" collapsed="false">
      <c r="A343" s="35" t="n">
        <v>2</v>
      </c>
      <c r="B343" s="36" t="s">
        <v>666</v>
      </c>
      <c r="C343" s="37" t="s">
        <v>342</v>
      </c>
      <c r="D343" s="36"/>
      <c r="E343" s="36"/>
      <c r="F343" s="38" t="n">
        <v>1</v>
      </c>
      <c r="G343" s="35" t="s">
        <v>264</v>
      </c>
      <c r="H343" s="39"/>
      <c r="I343" s="40"/>
      <c r="J343" s="40"/>
      <c r="K343" s="40"/>
      <c r="L343" s="40"/>
      <c r="M343" s="40"/>
      <c r="N343" s="40"/>
      <c r="O343" s="40"/>
      <c r="P343" s="40"/>
      <c r="Q343" s="39"/>
      <c r="R343" s="39"/>
      <c r="S343" s="41"/>
      <c r="T343" s="42"/>
      <c r="U343" s="43"/>
      <c r="V343" s="44"/>
    </row>
    <row r="344" customFormat="false" ht="15" hidden="false" customHeight="false" outlineLevel="2" collapsed="false">
      <c r="A344" s="35" t="n">
        <v>2</v>
      </c>
      <c r="B344" s="36" t="s">
        <v>667</v>
      </c>
      <c r="C344" s="37" t="s">
        <v>344</v>
      </c>
      <c r="D344" s="36"/>
      <c r="E344" s="36"/>
      <c r="F344" s="38" t="n">
        <v>1</v>
      </c>
      <c r="G344" s="35" t="s">
        <v>264</v>
      </c>
      <c r="H344" s="39"/>
      <c r="I344" s="40"/>
      <c r="J344" s="40"/>
      <c r="K344" s="40"/>
      <c r="L344" s="40"/>
      <c r="M344" s="40"/>
      <c r="N344" s="40"/>
      <c r="O344" s="40"/>
      <c r="P344" s="40"/>
      <c r="Q344" s="39"/>
      <c r="R344" s="39"/>
      <c r="S344" s="41"/>
      <c r="T344" s="42"/>
      <c r="U344" s="43"/>
      <c r="V344" s="44"/>
    </row>
    <row r="345" customFormat="false" ht="15" hidden="false" customHeight="false" outlineLevel="0" collapsed="false">
      <c r="A345" s="16" t="n">
        <v>0</v>
      </c>
      <c r="B345" s="17" t="s">
        <v>242</v>
      </c>
      <c r="C345" s="17" t="s">
        <v>243</v>
      </c>
      <c r="D345" s="17"/>
      <c r="E345" s="17"/>
      <c r="F345" s="18" t="n">
        <v>1</v>
      </c>
      <c r="G345" s="16" t="s">
        <v>264</v>
      </c>
      <c r="H345" s="19"/>
      <c r="I345" s="20"/>
      <c r="J345" s="20"/>
      <c r="K345" s="20"/>
      <c r="L345" s="20"/>
      <c r="M345" s="20" t="n">
        <f aca="false">IF(SUMIF(A346:A399,1,M346:M399)=0,"",SUMIF(A346:A399,1,M346:M399))</f>
        <v>187.41766126881</v>
      </c>
      <c r="N345" s="20"/>
      <c r="O345" s="20" t="n">
        <f aca="false">IF(SUMIF(A346:A399,1,O346:O399)=0,"",SUMIF(A346:A399,1,O346:O399))</f>
        <v>181.316471686306</v>
      </c>
      <c r="P345" s="20" t="n">
        <f aca="false">IF(SUMIF(A346:A399,1,P346:P399)=0,"",SUMIF(A346:A399,1,P346:P399))</f>
        <v>193.558276674203</v>
      </c>
      <c r="Q345" s="19"/>
      <c r="R345" s="19"/>
      <c r="S345" s="21"/>
      <c r="T345" s="22"/>
      <c r="U345" s="23"/>
      <c r="V345" s="24"/>
    </row>
    <row r="346" customFormat="false" ht="15" hidden="false" customHeight="false" outlineLevel="1" collapsed="false">
      <c r="A346" s="25" t="n">
        <v>1</v>
      </c>
      <c r="B346" s="26" t="s">
        <v>668</v>
      </c>
      <c r="C346" s="27" t="s">
        <v>266</v>
      </c>
      <c r="D346" s="26"/>
      <c r="E346" s="26"/>
      <c r="F346" s="28" t="n">
        <v>1</v>
      </c>
      <c r="G346" s="25" t="s">
        <v>264</v>
      </c>
      <c r="H346" s="29"/>
      <c r="I346" s="30"/>
      <c r="J346" s="30"/>
      <c r="K346" s="30"/>
      <c r="L346" s="30"/>
      <c r="M346" s="30" t="n">
        <f aca="false">IF(SUMIF(A347:A351,2,M347:M351)=0,"",SUMIF(A347:A351,2,M347:M351))</f>
        <v>57.2587977845157</v>
      </c>
      <c r="N346" s="30"/>
      <c r="O346" s="30" t="n">
        <f aca="false">IF(SUMIF(A347:A351,2,O347:O351)=0,"",SUMIF(A347:A351,2,O347:O351))</f>
        <v>56.0281952360184</v>
      </c>
      <c r="P346" s="30" t="n">
        <f aca="false">IF(SUMIF(A347:A351,2,P347:P351)=0,"",SUMIF(A347:A351,2,P347:P351))</f>
        <v>58.4894003330129</v>
      </c>
      <c r="Q346" s="29"/>
      <c r="R346" s="29"/>
      <c r="S346" s="31"/>
      <c r="T346" s="32"/>
      <c r="U346" s="33"/>
      <c r="V346" s="34"/>
    </row>
    <row r="347" customFormat="false" ht="15" hidden="false" customHeight="false" outlineLevel="2" collapsed="false">
      <c r="A347" s="35" t="n">
        <v>2</v>
      </c>
      <c r="B347" s="36" t="s">
        <v>669</v>
      </c>
      <c r="C347" s="37" t="s">
        <v>268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5.17402638587561</v>
      </c>
      <c r="J347" s="40" t="n">
        <v>5.17402638587561</v>
      </c>
      <c r="K347" s="40" t="n">
        <f aca="false">I347*(1-V347)</f>
        <v>5.06452462277337</v>
      </c>
      <c r="L347" s="40" t="n">
        <f aca="false">I347*(1+V347)</f>
        <v>5.28352814897786</v>
      </c>
      <c r="M347" s="40" t="n">
        <f aca="false">F347*N347</f>
        <v>40.6161071291236</v>
      </c>
      <c r="N347" s="40" t="n">
        <f aca="false">J347*H347</f>
        <v>40.6161071291236</v>
      </c>
      <c r="O347" s="40" t="n">
        <f aca="false">K347*Q347</f>
        <v>39.7565182887709</v>
      </c>
      <c r="P347" s="40" t="n">
        <f aca="false">L347*R347</f>
        <v>41.4756959694762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219.00352620449</v>
      </c>
      <c r="T347" s="42" t="n">
        <f aca="false">200*J347/S347</f>
        <v>4.72506217187067</v>
      </c>
      <c r="U347" s="43" t="n">
        <f aca="false">IFERROR(INDEX(ISO_TOL,MATCH(T347,ISO_DESDE,1)),0)</f>
        <v>0.1</v>
      </c>
      <c r="V347" s="44" t="n">
        <f aca="false">IF(T347&gt;0,U347/T347,0)</f>
        <v>0.0211637426900585</v>
      </c>
    </row>
    <row r="348" customFormat="false" ht="15" hidden="false" customHeight="false" outlineLevel="2" collapsed="false">
      <c r="A348" s="35" t="n">
        <v>2</v>
      </c>
      <c r="B348" s="36" t="s">
        <v>670</v>
      </c>
      <c r="C348" s="37" t="s">
        <v>270</v>
      </c>
      <c r="D348" s="36" t="s">
        <v>10</v>
      </c>
      <c r="E348" s="36" t="str">
        <f aca="false">INDEX(REF_DATO,MATCH(D348,REF_ID,0))</f>
        <v>Acero (chapa LAC/LAF, SAE 1010/1045)</v>
      </c>
      <c r="F348" s="38" t="n">
        <v>1</v>
      </c>
      <c r="G348" s="35" t="s">
        <v>264</v>
      </c>
      <c r="H348" s="39" t="n">
        <f aca="false">INDEX(REF_VAL,MATCH(D348,REF_ID,0))</f>
        <v>7.85</v>
      </c>
      <c r="I348" s="40" t="n">
        <f aca="false">F348*J348</f>
        <v>0.904937909629153</v>
      </c>
      <c r="J348" s="40" t="n">
        <v>0.904937909629153</v>
      </c>
      <c r="K348" s="40" t="n">
        <f aca="false">I348*(1-V348)</f>
        <v>0.884966273455243</v>
      </c>
      <c r="L348" s="40" t="n">
        <f aca="false">I348*(1+V348)</f>
        <v>0.924909545803064</v>
      </c>
      <c r="M348" s="40" t="n">
        <f aca="false">F348*N348</f>
        <v>7.10376259058885</v>
      </c>
      <c r="N348" s="40" t="n">
        <f aca="false">J348*H348</f>
        <v>7.10376259058885</v>
      </c>
      <c r="O348" s="40" t="n">
        <f aca="false">K348*Q348</f>
        <v>6.94698524662366</v>
      </c>
      <c r="P348" s="40" t="n">
        <f aca="false">L348*R348</f>
        <v>7.26053993455405</v>
      </c>
      <c r="Q348" s="39" t="n">
        <f aca="false">INDEX(REF_MIN,MATCH(D348,REF_ID,0))</f>
        <v>7.85</v>
      </c>
      <c r="R348" s="39" t="n">
        <f aca="false">INDEX(REF_MAX,MATCH(D348,REF_ID,0))</f>
        <v>7.85</v>
      </c>
      <c r="S348" s="41" t="n">
        <v>39.9432723478202</v>
      </c>
      <c r="T348" s="42" t="n">
        <f aca="false">200*J348/S348</f>
        <v>4.53111553679972</v>
      </c>
      <c r="U348" s="43" t="n">
        <f aca="false">IFERROR(INDEX(ISO_TOL,MATCH(T348,ISO_DESDE,1)),0)</f>
        <v>0.1</v>
      </c>
      <c r="V348" s="44" t="n">
        <f aca="false">IF(T348&gt;0,U348/T348,0)</f>
        <v>0.0220696204252229</v>
      </c>
    </row>
    <row r="349" customFormat="false" ht="15" hidden="false" customHeight="false" outlineLevel="2" collapsed="false">
      <c r="A349" s="35" t="n">
        <v>2</v>
      </c>
      <c r="B349" s="36" t="s">
        <v>671</v>
      </c>
      <c r="C349" s="37" t="s">
        <v>272</v>
      </c>
      <c r="D349" s="36" t="s">
        <v>10</v>
      </c>
      <c r="E349" s="36" t="str">
        <f aca="false">INDEX(REF_DATO,MATCH(D349,REF_ID,0))</f>
        <v>Acero (chapa LAC/LAF, SAE 1010/1045)</v>
      </c>
      <c r="F349" s="38" t="n">
        <v>1</v>
      </c>
      <c r="G349" s="35" t="s">
        <v>264</v>
      </c>
      <c r="H349" s="39" t="n">
        <f aca="false">INDEX(REF_VAL,MATCH(D349,REF_ID,0))</f>
        <v>7.85</v>
      </c>
      <c r="I349" s="40" t="n">
        <f aca="false">F349*J349</f>
        <v>0.943765807647288</v>
      </c>
      <c r="J349" s="40" t="n">
        <v>0.943765807647288</v>
      </c>
      <c r="K349" s="40" t="n">
        <f aca="false">I349*(1-V349)</f>
        <v>0.923347773712902</v>
      </c>
      <c r="L349" s="40" t="n">
        <f aca="false">I349*(1+V349)</f>
        <v>0.964183841581673</v>
      </c>
      <c r="M349" s="40" t="n">
        <f aca="false">F349*N349</f>
        <v>7.40856159003121</v>
      </c>
      <c r="N349" s="40" t="n">
        <f aca="false">J349*H349</f>
        <v>7.40856159003121</v>
      </c>
      <c r="O349" s="40" t="n">
        <f aca="false">K349*Q349</f>
        <v>7.24828002364628</v>
      </c>
      <c r="P349" s="40" t="n">
        <f aca="false">L349*R349</f>
        <v>7.56884315641613</v>
      </c>
      <c r="Q349" s="39" t="n">
        <f aca="false">INDEX(REF_MIN,MATCH(D349,REF_ID,0))</f>
        <v>7.85</v>
      </c>
      <c r="R349" s="39" t="n">
        <f aca="false">INDEX(REF_MAX,MATCH(D349,REF_ID,0))</f>
        <v>7.85</v>
      </c>
      <c r="S349" s="41" t="n">
        <v>40.8360678687712</v>
      </c>
      <c r="T349" s="42" t="n">
        <f aca="false">200*J349/S349</f>
        <v>4.62221686319127</v>
      </c>
      <c r="U349" s="43" t="n">
        <f aca="false">IFERROR(INDEX(ISO_TOL,MATCH(T349,ISO_DESDE,1)),0)</f>
        <v>0.1</v>
      </c>
      <c r="V349" s="44" t="n">
        <f aca="false">IF(T349&gt;0,U349/T349,0)</f>
        <v>0.0216346404679416</v>
      </c>
    </row>
    <row r="350" customFormat="false" ht="15" hidden="false" customHeight="false" outlineLevel="2" collapsed="false">
      <c r="A350" s="35" t="n">
        <v>2</v>
      </c>
      <c r="B350" s="36" t="s">
        <v>672</v>
      </c>
      <c r="C350" s="37" t="s">
        <v>274</v>
      </c>
      <c r="D350" s="36" t="s">
        <v>10</v>
      </c>
      <c r="E350" s="36" t="str">
        <f aca="false">INDEX(REF_DATO,MATCH(D350,REF_ID,0))</f>
        <v>Acero (chapa LAC/LAF, SAE 1010/1045)</v>
      </c>
      <c r="F350" s="38" t="n">
        <v>1</v>
      </c>
      <c r="G350" s="35" t="s">
        <v>264</v>
      </c>
      <c r="H350" s="39" t="n">
        <f aca="false">INDEX(REF_VAL,MATCH(D350,REF_ID,0))</f>
        <v>7.85</v>
      </c>
      <c r="I350" s="40" t="n">
        <f aca="false">F350*J350</f>
        <v>0.0789516497469169</v>
      </c>
      <c r="J350" s="40" t="n">
        <v>0.0789516497469169</v>
      </c>
      <c r="K350" s="40" t="n">
        <f aca="false">I350*(1-V350)</f>
        <v>0.0764158563432186</v>
      </c>
      <c r="L350" s="40" t="n">
        <f aca="false">I350*(1+V350)</f>
        <v>0.0814874431506152</v>
      </c>
      <c r="M350" s="40" t="n">
        <f aca="false">F350*N350</f>
        <v>0.619770450513298</v>
      </c>
      <c r="N350" s="40" t="n">
        <f aca="false">J350*H350</f>
        <v>0.619770450513298</v>
      </c>
      <c r="O350" s="40" t="n">
        <f aca="false">K350*Q350</f>
        <v>0.599864472294266</v>
      </c>
      <c r="P350" s="40" t="n">
        <f aca="false">L350*R350</f>
        <v>0.639676428732329</v>
      </c>
      <c r="Q350" s="39" t="n">
        <f aca="false">INDEX(REF_MIN,MATCH(D350,REF_ID,0))</f>
        <v>7.85</v>
      </c>
      <c r="R350" s="39" t="n">
        <f aca="false">INDEX(REF_MAX,MATCH(D350,REF_ID,0))</f>
        <v>7.85</v>
      </c>
      <c r="S350" s="41" t="n">
        <v>2.53579340369829</v>
      </c>
      <c r="T350" s="42" t="n">
        <f aca="false">200*J350/S350</f>
        <v>6.22697808360657</v>
      </c>
      <c r="U350" s="43" t="n">
        <f aca="false">IFERROR(INDEX(ISO_TOL,MATCH(T350,ISO_DESDE,1)),0)</f>
        <v>0.2</v>
      </c>
      <c r="V350" s="44" t="n">
        <f aca="false">IF(T350&gt;0,U350/T350,0)</f>
        <v>0.0321183080002368</v>
      </c>
    </row>
    <row r="351" customFormat="false" ht="15" hidden="false" customHeight="false" outlineLevel="2" collapsed="false">
      <c r="A351" s="35" t="n">
        <v>2</v>
      </c>
      <c r="B351" s="36" t="s">
        <v>673</v>
      </c>
      <c r="C351" s="37" t="s">
        <v>619</v>
      </c>
      <c r="D351" s="36" t="s">
        <v>10</v>
      </c>
      <c r="E351" s="36" t="str">
        <f aca="false">INDEX(REF_DATO,MATCH(D351,REF_ID,0))</f>
        <v>Acero (chapa LAC/LAF, SAE 1010/1045)</v>
      </c>
      <c r="F351" s="38" t="n">
        <v>1</v>
      </c>
      <c r="G351" s="35" t="s">
        <v>264</v>
      </c>
      <c r="H351" s="39" t="n">
        <f aca="false">INDEX(REF_VAL,MATCH(D351,REF_ID,0))</f>
        <v>7.85</v>
      </c>
      <c r="I351" s="40" t="n">
        <f aca="false">F351*J351</f>
        <v>0.192432614555256</v>
      </c>
      <c r="J351" s="40" t="n">
        <v>0.192432614555256</v>
      </c>
      <c r="K351" s="40" t="n">
        <f aca="false">I351*(1-V351)</f>
        <v>0.188095185309973</v>
      </c>
      <c r="L351" s="40" t="n">
        <f aca="false">I351*(1+V351)</f>
        <v>0.196770043800539</v>
      </c>
      <c r="M351" s="40" t="n">
        <f aca="false">F351*N351</f>
        <v>1.51059602425876</v>
      </c>
      <c r="N351" s="40" t="n">
        <f aca="false">J351*H351</f>
        <v>1.51059602425876</v>
      </c>
      <c r="O351" s="40" t="n">
        <f aca="false">K351*Q351</f>
        <v>1.47654720468329</v>
      </c>
      <c r="P351" s="40" t="n">
        <f aca="false">L351*R351</f>
        <v>1.54464484383423</v>
      </c>
      <c r="Q351" s="39" t="n">
        <f aca="false">INDEX(REF_MIN,MATCH(D351,REF_ID,0))</f>
        <v>7.85</v>
      </c>
      <c r="R351" s="39" t="n">
        <f aca="false">INDEX(REF_MAX,MATCH(D351,REF_ID,0))</f>
        <v>7.85</v>
      </c>
      <c r="S351" s="41" t="n">
        <v>8.67485849056604</v>
      </c>
      <c r="T351" s="42" t="n">
        <f aca="false">200*J351/S351</f>
        <v>4.43655916150167</v>
      </c>
      <c r="U351" s="43" t="n">
        <f aca="false">IFERROR(INDEX(ISO_TOL,MATCH(T351,ISO_DESDE,1)),0)</f>
        <v>0.1</v>
      </c>
      <c r="V351" s="44" t="n">
        <f aca="false">IF(T351&gt;0,U351/T351,0)</f>
        <v>0.0225399901950485</v>
      </c>
    </row>
    <row r="352" customFormat="false" ht="15" hidden="false" customHeight="false" outlineLevel="1" collapsed="false">
      <c r="A352" s="25" t="n">
        <v>1</v>
      </c>
      <c r="B352" s="26" t="s">
        <v>674</v>
      </c>
      <c r="C352" s="27" t="s">
        <v>276</v>
      </c>
      <c r="D352" s="26"/>
      <c r="E352" s="26"/>
      <c r="F352" s="28" t="n">
        <v>1</v>
      </c>
      <c r="G352" s="25" t="s">
        <v>264</v>
      </c>
      <c r="H352" s="29"/>
      <c r="I352" s="30"/>
      <c r="J352" s="30"/>
      <c r="K352" s="30"/>
      <c r="L352" s="30"/>
      <c r="M352" s="30" t="n">
        <f aca="false">IF(SUMIF(A353:A366,2,M353:M366)=0,"",SUMIF(A353:A366,2,M353:M366))</f>
        <v>3.13519303396653</v>
      </c>
      <c r="N352" s="30"/>
      <c r="O352" s="30" t="n">
        <f aca="false">IF(SUMIF(A353:A366,2,O353:O366)=0,"",SUMIF(A353:A366,2,O353:O366))</f>
        <v>3.03059657014279</v>
      </c>
      <c r="P352" s="30" t="n">
        <f aca="false">IF(SUMIF(A353:A366,2,P353:P366)=0,"",SUMIF(A353:A366,2,P353:P366))</f>
        <v>3.24012438563874</v>
      </c>
      <c r="Q352" s="29"/>
      <c r="R352" s="29"/>
      <c r="S352" s="31"/>
      <c r="T352" s="32"/>
      <c r="U352" s="33"/>
      <c r="V352" s="34"/>
    </row>
    <row r="353" customFormat="false" ht="15" hidden="false" customHeight="false" outlineLevel="2" collapsed="false">
      <c r="A353" s="35" t="n">
        <v>2</v>
      </c>
      <c r="B353" s="36" t="s">
        <v>675</v>
      </c>
      <c r="C353" s="37" t="s">
        <v>278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676</v>
      </c>
      <c r="C354" s="37" t="s">
        <v>280</v>
      </c>
      <c r="D354" s="36" t="s">
        <v>23</v>
      </c>
      <c r="E354" s="36" t="str">
        <f aca="false">INDEX(REF_DATO,MATCH(D354,REF_ID,0))</f>
        <v>Caucho sintético (NBR / SBR)</v>
      </c>
      <c r="F354" s="38" t="n">
        <v>1</v>
      </c>
      <c r="G354" s="35" t="s">
        <v>264</v>
      </c>
      <c r="H354" s="39" t="n">
        <f aca="false">INDEX(REF_VAL,MATCH(D354,REF_ID,0))</f>
        <v>1.2</v>
      </c>
      <c r="I354" s="40" t="n">
        <f aca="false">F354*J354</f>
        <v>0.00212057504117311</v>
      </c>
      <c r="J354" s="40" t="n">
        <v>0.00212057504117311</v>
      </c>
      <c r="K354" s="40" t="n">
        <f aca="false">I354*(1-V354)</f>
        <v>0.00197920337176157</v>
      </c>
      <c r="L354" s="40" t="n">
        <f aca="false">I354*(1+V354)</f>
        <v>0.00226194671058465</v>
      </c>
      <c r="M354" s="40" t="n">
        <f aca="false">F354*N354</f>
        <v>0.00254469004940773</v>
      </c>
      <c r="N354" s="40" t="n">
        <f aca="false">J354*H354</f>
        <v>0.00254469004940773</v>
      </c>
      <c r="O354" s="40" t="n">
        <f aca="false">K354*Q354</f>
        <v>0.00217712370893773</v>
      </c>
      <c r="P354" s="40" t="n">
        <f aca="false">L354*R354</f>
        <v>0.00294053072376005</v>
      </c>
      <c r="Q354" s="39" t="n">
        <f aca="false">INDEX(REF_MIN,MATCH(D354,REF_ID,0))</f>
        <v>1.1</v>
      </c>
      <c r="R354" s="39" t="n">
        <f aca="false">INDEX(REF_MAX,MATCH(D354,REF_ID,0))</f>
        <v>1.3</v>
      </c>
      <c r="S354" s="41" t="n">
        <v>0.282743338823082</v>
      </c>
      <c r="T354" s="42" t="n">
        <f aca="false">200*J354/S354</f>
        <v>1.5</v>
      </c>
      <c r="U354" s="43" t="n">
        <f aca="false">IFERROR(INDEX(ISO_TOL,MATCH(T354,ISO_DESDE,1)),0)</f>
        <v>0.1</v>
      </c>
      <c r="V354" s="44" t="n">
        <f aca="false">IF(T354&gt;0,U354/T354,0)</f>
        <v>0.0666666666666667</v>
      </c>
    </row>
    <row r="355" customFormat="false" ht="15" hidden="false" customHeight="false" outlineLevel="2" collapsed="false">
      <c r="A355" s="35" t="n">
        <v>2</v>
      </c>
      <c r="B355" s="36" t="s">
        <v>677</v>
      </c>
      <c r="C355" s="37" t="s">
        <v>567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 t="n">
        <f aca="false">IF(SUMIF(A356:A366,3,M356:M366)=0,"",SUMIF(A356:A366,3,M356:M366))</f>
        <v>3.13264834391712</v>
      </c>
      <c r="N355" s="40" t="n">
        <f aca="false">IF(M355="","",M355/F355)</f>
        <v>3.13264834391712</v>
      </c>
      <c r="O355" s="40" t="n">
        <f aca="false">IF(SUMIF(A356:A366,3,O356:O366)=0,"",SUMIF(A356:A366,3,O356:O366))</f>
        <v>3.02841944643385</v>
      </c>
      <c r="P355" s="40" t="n">
        <f aca="false">IF(SUMIF(A356:A366,3,P356:P366)=0,"",SUMIF(A356:A366,3,P356:P366))</f>
        <v>3.23718385491498</v>
      </c>
      <c r="Q355" s="39"/>
      <c r="R355" s="39"/>
      <c r="S355" s="41"/>
      <c r="T355" s="42"/>
      <c r="U355" s="43"/>
      <c r="V355" s="44"/>
    </row>
    <row r="356" customFormat="false" ht="15" hidden="false" customHeight="false" outlineLevel="3" collapsed="false">
      <c r="A356" s="35" t="n">
        <v>3</v>
      </c>
      <c r="B356" s="36" t="s">
        <v>678</v>
      </c>
      <c r="C356" s="45" t="s">
        <v>284</v>
      </c>
      <c r="D356" s="36" t="s">
        <v>17</v>
      </c>
      <c r="E356" s="36" t="str">
        <f aca="false">INDEX(REF_DATO,MATCH(D356,REF_ID,0))</f>
        <v>Latón de forja (CuZn39Pb2 / C37700)</v>
      </c>
      <c r="F356" s="38" t="n">
        <v>1</v>
      </c>
      <c r="G356" s="35" t="s">
        <v>264</v>
      </c>
      <c r="H356" s="39" t="n">
        <f aca="false">INDEX(REF_VAL,MATCH(D356,REF_ID,0))</f>
        <v>8.45</v>
      </c>
      <c r="I356" s="40" t="n">
        <f aca="false">F356*J356</f>
        <v>0.0153319271936849</v>
      </c>
      <c r="J356" s="40" t="n">
        <v>0.0153319271936849</v>
      </c>
      <c r="K356" s="40" t="n">
        <f aca="false">I356*(1-V356)</f>
        <v>0.0148516876326939</v>
      </c>
      <c r="L356" s="40" t="n">
        <f aca="false">I356*(1+V356)</f>
        <v>0.0158121667546759</v>
      </c>
      <c r="M356" s="40" t="n">
        <f aca="false">F356*N356</f>
        <v>0.129554784786637</v>
      </c>
      <c r="N356" s="40" t="n">
        <f aca="false">J356*H356</f>
        <v>0.129554784786637</v>
      </c>
      <c r="O356" s="40" t="n">
        <f aca="false">K356*Q356</f>
        <v>0.124754176114628</v>
      </c>
      <c r="P356" s="40" t="n">
        <f aca="false">L356*R356</f>
        <v>0.134403417414745</v>
      </c>
      <c r="Q356" s="39" t="n">
        <f aca="false">INDEX(REF_MIN,MATCH(D356,REF_ID,0))</f>
        <v>8.4</v>
      </c>
      <c r="R356" s="39" t="n">
        <f aca="false">INDEX(REF_MAX,MATCH(D356,REF_ID,0))</f>
        <v>8.5</v>
      </c>
      <c r="S356" s="41" t="n">
        <v>0.960479121982008</v>
      </c>
      <c r="T356" s="42" t="n">
        <f aca="false">200*J356/S356</f>
        <v>3.19255813953488</v>
      </c>
      <c r="U356" s="43" t="n">
        <f aca="false">IFERROR(INDEX(ISO_TOL,MATCH(T356,ISO_DESDE,1)),0)</f>
        <v>0.1</v>
      </c>
      <c r="V356" s="44" t="n">
        <f aca="false">IF(T356&gt;0,U356/T356,0)</f>
        <v>0.0313228438228439</v>
      </c>
    </row>
    <row r="357" customFormat="false" ht="15" hidden="false" customHeight="false" outlineLevel="3" collapsed="false">
      <c r="A357" s="35" t="n">
        <v>3</v>
      </c>
      <c r="B357" s="36" t="s">
        <v>679</v>
      </c>
      <c r="C357" s="45" t="s">
        <v>286</v>
      </c>
      <c r="D357" s="36" t="s">
        <v>17</v>
      </c>
      <c r="E357" s="36" t="str">
        <f aca="false">INDEX(REF_DATO,MATCH(D357,REF_ID,0))</f>
        <v>Latón de forja (CuZn39Pb2 / C37700)</v>
      </c>
      <c r="F357" s="38" t="n">
        <v>1</v>
      </c>
      <c r="G357" s="35" t="s">
        <v>264</v>
      </c>
      <c r="H357" s="39" t="n">
        <f aca="false">INDEX(REF_VAL,MATCH(D357,REF_ID,0))</f>
        <v>8.45</v>
      </c>
      <c r="I357" s="40" t="n">
        <f aca="false">F357*J357</f>
        <v>0.0223665060653795</v>
      </c>
      <c r="J357" s="40" t="n">
        <v>0.0223665060653795</v>
      </c>
      <c r="K357" s="40" t="n">
        <f aca="false">I357*(1-V357)</f>
        <v>0.0218969981848931</v>
      </c>
      <c r="L357" s="40" t="n">
        <f aca="false">I357*(1+V357)</f>
        <v>0.0228360139458658</v>
      </c>
      <c r="M357" s="40" t="n">
        <f aca="false">F357*N357</f>
        <v>0.188996976252456</v>
      </c>
      <c r="N357" s="40" t="n">
        <f aca="false">J357*H357</f>
        <v>0.188996976252456</v>
      </c>
      <c r="O357" s="40" t="n">
        <f aca="false">K357*Q357</f>
        <v>0.183934784753102</v>
      </c>
      <c r="P357" s="40" t="n">
        <f aca="false">L357*R357</f>
        <v>0.194106118539859</v>
      </c>
      <c r="Q357" s="39" t="n">
        <f aca="false">INDEX(REF_MIN,MATCH(D357,REF_ID,0))</f>
        <v>8.4</v>
      </c>
      <c r="R357" s="39" t="n">
        <f aca="false">INDEX(REF_MAX,MATCH(D357,REF_ID,0))</f>
        <v>8.5</v>
      </c>
      <c r="S357" s="41" t="n">
        <v>0.939015760972682</v>
      </c>
      <c r="T357" s="42" t="n">
        <f aca="false">200*J357/S357</f>
        <v>4.76381909547739</v>
      </c>
      <c r="U357" s="43" t="n">
        <f aca="false">IFERROR(INDEX(ISO_TOL,MATCH(T357,ISO_DESDE,1)),0)</f>
        <v>0.1</v>
      </c>
      <c r="V357" s="44" t="n">
        <f aca="false">IF(T357&gt;0,U357/T357,0)</f>
        <v>0.0209915611814346</v>
      </c>
    </row>
    <row r="358" customFormat="false" ht="15" hidden="false" customHeight="false" outlineLevel="3" collapsed="false">
      <c r="A358" s="35" t="n">
        <v>3</v>
      </c>
      <c r="B358" s="36" t="s">
        <v>680</v>
      </c>
      <c r="C358" s="45" t="s">
        <v>288</v>
      </c>
      <c r="D358" s="36" t="s">
        <v>17</v>
      </c>
      <c r="E358" s="36" t="str">
        <f aca="false">INDEX(REF_DATO,MATCH(D358,REF_ID,0))</f>
        <v>Latón de forja (CuZn39Pb2 / C37700)</v>
      </c>
      <c r="F358" s="38" t="n">
        <v>1</v>
      </c>
      <c r="G358" s="35" t="s">
        <v>264</v>
      </c>
      <c r="H358" s="39" t="n">
        <f aca="false">INDEX(REF_VAL,MATCH(D358,REF_ID,0))</f>
        <v>8.45</v>
      </c>
      <c r="I358" s="40" t="n">
        <f aca="false">F358*J358</f>
        <v>0.108715470063796</v>
      </c>
      <c r="J358" s="40" t="n">
        <v>0.108715470063796</v>
      </c>
      <c r="K358" s="40" t="n">
        <f aca="false">I358*(1-V358)</f>
        <v>0.106695843413254</v>
      </c>
      <c r="L358" s="40" t="n">
        <f aca="false">I358*(1+V358)</f>
        <v>0.110735096714339</v>
      </c>
      <c r="M358" s="40" t="n">
        <f aca="false">F358*N358</f>
        <v>0.918645722039078</v>
      </c>
      <c r="N358" s="40" t="n">
        <f aca="false">J358*H358</f>
        <v>0.918645722039078</v>
      </c>
      <c r="O358" s="40" t="n">
        <f aca="false">K358*Q358</f>
        <v>0.896245084671332</v>
      </c>
      <c r="P358" s="40" t="n">
        <f aca="false">L358*R358</f>
        <v>0.941248322071879</v>
      </c>
      <c r="Q358" s="39" t="n">
        <f aca="false">INDEX(REF_MIN,MATCH(D358,REF_ID,0))</f>
        <v>8.4</v>
      </c>
      <c r="R358" s="39" t="n">
        <f aca="false">INDEX(REF_MAX,MATCH(D358,REF_ID,0))</f>
        <v>8.5</v>
      </c>
      <c r="S358" s="41" t="n">
        <v>2.01962665054246</v>
      </c>
      <c r="T358" s="42" t="n">
        <f aca="false">200*J358/S358</f>
        <v>10.7658977499228</v>
      </c>
      <c r="U358" s="43" t="n">
        <f aca="false">IFERROR(INDEX(ISO_TOL,MATCH(T358,ISO_DESDE,1)),0)</f>
        <v>0.2</v>
      </c>
      <c r="V358" s="44" t="n">
        <f aca="false">IF(T358&gt;0,U358/T358,0)</f>
        <v>0.0185771781086658</v>
      </c>
    </row>
    <row r="359" customFormat="false" ht="15" hidden="false" customHeight="false" outlineLevel="3" collapsed="false">
      <c r="A359" s="35" t="n">
        <v>3</v>
      </c>
      <c r="B359" s="36" t="s">
        <v>681</v>
      </c>
      <c r="C359" s="45" t="s">
        <v>290</v>
      </c>
      <c r="D359" s="36" t="s">
        <v>17</v>
      </c>
      <c r="E359" s="36" t="str">
        <f aca="false">INDEX(REF_DATO,MATCH(D359,REF_ID,0))</f>
        <v>Latón de forja (CuZn39Pb2 / C37700)</v>
      </c>
      <c r="F359" s="38" t="n">
        <v>1</v>
      </c>
      <c r="G359" s="35" t="s">
        <v>264</v>
      </c>
      <c r="H359" s="39" t="n">
        <f aca="false">INDEX(REF_VAL,MATCH(D359,REF_ID,0))</f>
        <v>8.45</v>
      </c>
      <c r="I359" s="40" t="n">
        <f aca="false">F359*J359</f>
        <v>0.00370707933123595</v>
      </c>
      <c r="J359" s="40" t="n">
        <v>0.00370707933123595</v>
      </c>
      <c r="K359" s="40" t="n">
        <f aca="false">I359*(1-V359)</f>
        <v>0.00361031827750539</v>
      </c>
      <c r="L359" s="40" t="n">
        <f aca="false">I359*(1+V359)</f>
        <v>0.00380384038496652</v>
      </c>
      <c r="M359" s="40" t="n">
        <f aca="false">F359*N359</f>
        <v>0.0313248203489438</v>
      </c>
      <c r="N359" s="40" t="n">
        <f aca="false">J359*H359</f>
        <v>0.0313248203489438</v>
      </c>
      <c r="O359" s="40" t="n">
        <f aca="false">K359*Q359</f>
        <v>0.0303266735310452</v>
      </c>
      <c r="P359" s="40" t="n">
        <f aca="false">L359*R359</f>
        <v>0.0323326432722154</v>
      </c>
      <c r="Q359" s="39" t="n">
        <f aca="false">INDEX(REF_MIN,MATCH(D359,REF_ID,0))</f>
        <v>8.4</v>
      </c>
      <c r="R359" s="39" t="n">
        <f aca="false">INDEX(REF_MAX,MATCH(D359,REF_ID,0))</f>
        <v>8.5</v>
      </c>
      <c r="S359" s="41" t="n">
        <v>0.193522107461131</v>
      </c>
      <c r="T359" s="42" t="n">
        <f aca="false">200*J359/S359</f>
        <v>3.83116883116883</v>
      </c>
      <c r="U359" s="43" t="n">
        <f aca="false">IFERROR(INDEX(ISO_TOL,MATCH(T359,ISO_DESDE,1)),0)</f>
        <v>0.1</v>
      </c>
      <c r="V359" s="44" t="n">
        <f aca="false">IF(T359&gt;0,U359/T359,0)</f>
        <v>0.0261016949152543</v>
      </c>
    </row>
    <row r="360" customFormat="false" ht="15" hidden="false" customHeight="false" outlineLevel="3" collapsed="false">
      <c r="A360" s="35" t="n">
        <v>3</v>
      </c>
      <c r="B360" s="36" t="s">
        <v>682</v>
      </c>
      <c r="C360" s="45" t="s">
        <v>292</v>
      </c>
      <c r="D360" s="36" t="s">
        <v>14</v>
      </c>
      <c r="E360" s="36" t="str">
        <f aca="false">INDEX(REF_DATO,MATCH(D360,REF_ID,0))</f>
        <v>Acero inoxidable AISI 302 / 304</v>
      </c>
      <c r="F360" s="38" t="n">
        <v>1</v>
      </c>
      <c r="G360" s="35" t="s">
        <v>264</v>
      </c>
      <c r="H360" s="39" t="n">
        <f aca="false">INDEX(REF_VAL,MATCH(D360,REF_ID,0))</f>
        <v>7.93</v>
      </c>
      <c r="I360" s="40" t="n">
        <f aca="false">F360*J360</f>
        <v>0.00119148042980047</v>
      </c>
      <c r="J360" s="40" t="n">
        <v>0.00119148042980047</v>
      </c>
      <c r="K360" s="40" t="n">
        <f aca="false">I360*(1-V360)</f>
        <v>0.00119148042980047</v>
      </c>
      <c r="L360" s="40" t="n">
        <f aca="false">I360*(1+V360)</f>
        <v>0.00119148042980047</v>
      </c>
      <c r="M360" s="40" t="n">
        <f aca="false">F360*N360</f>
        <v>0.00944843980831769</v>
      </c>
      <c r="N360" s="40" t="n">
        <f aca="false">J360*H360</f>
        <v>0.00944843980831769</v>
      </c>
      <c r="O360" s="40" t="n">
        <f aca="false">K360*Q360</f>
        <v>0.00944843980831769</v>
      </c>
      <c r="P360" s="40" t="n">
        <f aca="false">L360*R360</f>
        <v>0.00944843980831769</v>
      </c>
      <c r="Q360" s="39" t="n">
        <f aca="false">INDEX(REF_MIN,MATCH(D360,REF_ID,0))</f>
        <v>7.93</v>
      </c>
      <c r="R360" s="39" t="n">
        <f aca="false">INDEX(REF_MAX,MATCH(D360,REF_ID,0))</f>
        <v>7.93</v>
      </c>
      <c r="S360" s="41" t="n">
        <v>1.17364874989869</v>
      </c>
      <c r="T360" s="42" t="n">
        <f aca="false">200*J360/S360</f>
        <v>0.203038674033149</v>
      </c>
      <c r="U360" s="43" t="n">
        <f aca="false">IFERROR(INDEX(ISO_TOL,MATCH(T360,ISO_DESDE,1)),0)</f>
        <v>0</v>
      </c>
      <c r="V360" s="44" t="n">
        <f aca="false">IF(T360&gt;0,U360/T360,0)</f>
        <v>0</v>
      </c>
    </row>
    <row r="361" customFormat="false" ht="15" hidden="false" customHeight="false" outlineLevel="3" collapsed="false">
      <c r="A361" s="35" t="n">
        <v>3</v>
      </c>
      <c r="B361" s="36" t="s">
        <v>683</v>
      </c>
      <c r="C361" s="45" t="s">
        <v>574</v>
      </c>
      <c r="D361" s="36" t="s">
        <v>10</v>
      </c>
      <c r="E361" s="36" t="str">
        <f aca="false">INDEX(REF_DATO,MATCH(D361,REF_ID,0))</f>
        <v>Acero (chapa LAC/LAF, SAE 1010/1045)</v>
      </c>
      <c r="F361" s="38" t="n">
        <v>1</v>
      </c>
      <c r="G361" s="35" t="s">
        <v>264</v>
      </c>
      <c r="H361" s="39" t="n">
        <f aca="false">INDEX(REF_VAL,MATCH(D361,REF_ID,0))</f>
        <v>7.85</v>
      </c>
      <c r="I361" s="40" t="n">
        <f aca="false">F361*J361</f>
        <v>0.0398720112881463</v>
      </c>
      <c r="J361" s="40" t="n">
        <v>0.0398720112881463</v>
      </c>
      <c r="K361" s="40" t="n">
        <f aca="false">I361*(1-V361)</f>
        <v>0.0386940861831506</v>
      </c>
      <c r="L361" s="40" t="n">
        <f aca="false">I361*(1+V361)</f>
        <v>0.041049936393142</v>
      </c>
      <c r="M361" s="40" t="n">
        <f aca="false">F361*N361</f>
        <v>0.312995288611949</v>
      </c>
      <c r="N361" s="40" t="n">
        <f aca="false">J361*H361</f>
        <v>0.312995288611949</v>
      </c>
      <c r="O361" s="40" t="n">
        <f aca="false">K361*Q361</f>
        <v>0.303748576537732</v>
      </c>
      <c r="P361" s="40" t="n">
        <f aca="false">L361*R361</f>
        <v>0.322242000686165</v>
      </c>
      <c r="Q361" s="39" t="n">
        <f aca="false">INDEX(REF_MIN,MATCH(D361,REF_ID,0))</f>
        <v>7.85</v>
      </c>
      <c r="R361" s="39" t="n">
        <f aca="false">INDEX(REF_MAX,MATCH(D361,REF_ID,0))</f>
        <v>7.85</v>
      </c>
      <c r="S361" s="41" t="n">
        <v>1.17792510499571</v>
      </c>
      <c r="T361" s="42" t="n">
        <f aca="false">200*J361/S361</f>
        <v>6.76987206046374</v>
      </c>
      <c r="U361" s="43" t="n">
        <f aca="false">IFERROR(INDEX(ISO_TOL,MATCH(T361,ISO_DESDE,1)),0)</f>
        <v>0.2</v>
      </c>
      <c r="V361" s="44" t="n">
        <f aca="false">IF(T361&gt;0,U361/T361,0)</f>
        <v>0.0295426557863635</v>
      </c>
    </row>
    <row r="362" customFormat="false" ht="15" hidden="false" customHeight="false" outlineLevel="3" collapsed="false">
      <c r="A362" s="35" t="n">
        <v>3</v>
      </c>
      <c r="B362" s="36" t="s">
        <v>684</v>
      </c>
      <c r="C362" s="45" t="s">
        <v>294</v>
      </c>
      <c r="D362" s="36" t="s">
        <v>14</v>
      </c>
      <c r="E362" s="36" t="str">
        <f aca="false">INDEX(REF_DATO,MATCH(D362,REF_ID,0))</f>
        <v>Acero inoxidable AISI 302 / 304</v>
      </c>
      <c r="F362" s="38" t="n">
        <v>1</v>
      </c>
      <c r="G362" s="35" t="s">
        <v>264</v>
      </c>
      <c r="H362" s="39" t="n">
        <f aca="false">INDEX(REF_VAL,MATCH(D362,REF_ID,0))</f>
        <v>7.93</v>
      </c>
      <c r="I362" s="40" t="n">
        <f aca="false">F362*J362</f>
        <v>0.00236247767549952</v>
      </c>
      <c r="J362" s="40" t="n">
        <v>0.00236247767549952</v>
      </c>
      <c r="K362" s="40" t="n">
        <f aca="false">I362*(1-V362)</f>
        <v>0.00229838918536629</v>
      </c>
      <c r="L362" s="40" t="n">
        <f aca="false">I362*(1+V362)</f>
        <v>0.00242656616563275</v>
      </c>
      <c r="M362" s="40" t="n">
        <f aca="false">F362*N362</f>
        <v>0.0187344479667112</v>
      </c>
      <c r="N362" s="40" t="n">
        <f aca="false">J362*H362</f>
        <v>0.0187344479667112</v>
      </c>
      <c r="O362" s="40" t="n">
        <f aca="false">K362*Q362</f>
        <v>0.0182262262399547</v>
      </c>
      <c r="P362" s="40" t="n">
        <f aca="false">L362*R362</f>
        <v>0.0192426696934677</v>
      </c>
      <c r="Q362" s="39" t="n">
        <f aca="false">INDEX(REF_MIN,MATCH(D362,REF_ID,0))</f>
        <v>7.93</v>
      </c>
      <c r="R362" s="39" t="n">
        <f aca="false">INDEX(REF_MAX,MATCH(D362,REF_ID,0))</f>
        <v>7.93</v>
      </c>
      <c r="S362" s="41" t="n">
        <v>0.128176980266464</v>
      </c>
      <c r="T362" s="42" t="n">
        <f aca="false">200*J362/S362</f>
        <v>3.68627450980391</v>
      </c>
      <c r="U362" s="43" t="n">
        <f aca="false">IFERROR(INDEX(ISO_TOL,MATCH(T362,ISO_DESDE,1)),0)</f>
        <v>0.1</v>
      </c>
      <c r="V362" s="44" t="n">
        <f aca="false">IF(T362&gt;0,U362/T362,0)</f>
        <v>0.0271276595744682</v>
      </c>
    </row>
    <row r="363" customFormat="false" ht="15" hidden="false" customHeight="false" outlineLevel="3" collapsed="false">
      <c r="A363" s="35" t="n">
        <v>3</v>
      </c>
      <c r="B363" s="36" t="s">
        <v>685</v>
      </c>
      <c r="C363" s="45" t="s">
        <v>296</v>
      </c>
      <c r="D363" s="36" t="s">
        <v>14</v>
      </c>
      <c r="E363" s="36" t="str">
        <f aca="false">INDEX(REF_DATO,MATCH(D363,REF_ID,0))</f>
        <v>Acero inoxidable AISI 302 / 304</v>
      </c>
      <c r="F363" s="38" t="n">
        <v>1</v>
      </c>
      <c r="G363" s="35" t="s">
        <v>264</v>
      </c>
      <c r="H363" s="39" t="n">
        <f aca="false">INDEX(REF_VAL,MATCH(D363,REF_ID,0))</f>
        <v>7.93</v>
      </c>
      <c r="I363" s="40" t="n">
        <f aca="false">F363*J363</f>
        <v>0.000765660375545966</v>
      </c>
      <c r="J363" s="40" t="n">
        <v>0.000765660375545966</v>
      </c>
      <c r="K363" s="40" t="n">
        <f aca="false">I363*(1-V363)</f>
        <v>0.000714616660883922</v>
      </c>
      <c r="L363" s="40" t="n">
        <f aca="false">I363*(1+V363)</f>
        <v>0.00081670409020801</v>
      </c>
      <c r="M363" s="40" t="n">
        <f aca="false">F363*N363</f>
        <v>0.00607168677807951</v>
      </c>
      <c r="N363" s="40" t="n">
        <f aca="false">J363*H363</f>
        <v>0.00607168677807951</v>
      </c>
      <c r="O363" s="40" t="n">
        <f aca="false">K363*Q363</f>
        <v>0.00566691012080951</v>
      </c>
      <c r="P363" s="40" t="n">
        <f aca="false">L363*R363</f>
        <v>0.00647646343534952</v>
      </c>
      <c r="Q363" s="39" t="n">
        <f aca="false">INDEX(REF_MIN,MATCH(D363,REF_ID,0))</f>
        <v>7.93</v>
      </c>
      <c r="R363" s="39" t="n">
        <f aca="false">INDEX(REF_MAX,MATCH(D363,REF_ID,0))</f>
        <v>7.93</v>
      </c>
      <c r="S363" s="41" t="n">
        <v>0.102087429324087</v>
      </c>
      <c r="T363" s="42" t="n">
        <f aca="false">200*J363/S363</f>
        <v>1.50000912083954</v>
      </c>
      <c r="U363" s="43" t="n">
        <f aca="false">IFERROR(INDEX(ISO_TOL,MATCH(T363,ISO_DESDE,1)),0)</f>
        <v>0.1</v>
      </c>
      <c r="V363" s="44" t="n">
        <f aca="false">IF(T363&gt;0,U363/T363,0)</f>
        <v>0.0666662612984851</v>
      </c>
    </row>
    <row r="364" customFormat="false" ht="15" hidden="false" customHeight="false" outlineLevel="3" collapsed="false">
      <c r="A364" s="35" t="n">
        <v>3</v>
      </c>
      <c r="B364" s="36" t="s">
        <v>686</v>
      </c>
      <c r="C364" s="45" t="s">
        <v>302</v>
      </c>
      <c r="D364" s="36" t="s">
        <v>10</v>
      </c>
      <c r="E364" s="36" t="str">
        <f aca="false">INDEX(REF_DATO,MATCH(D364,REF_ID,0))</f>
        <v>Acero (chapa LAC/LAF, SAE 1010/1045)</v>
      </c>
      <c r="F364" s="38" t="n">
        <v>1</v>
      </c>
      <c r="G364" s="35" t="s">
        <v>264</v>
      </c>
      <c r="H364" s="39" t="n">
        <f aca="false">INDEX(REF_VAL,MATCH(D364,REF_ID,0))</f>
        <v>7.85</v>
      </c>
      <c r="I364" s="40" t="n">
        <f aca="false">F364*J364</f>
        <v>0.193232634054134</v>
      </c>
      <c r="J364" s="40" t="n">
        <v>0.193232634054134</v>
      </c>
      <c r="K364" s="40" t="n">
        <f aca="false">I364*(1-V364)</f>
        <v>0.185486442631456</v>
      </c>
      <c r="L364" s="40" t="n">
        <f aca="false">I364*(1+V364)</f>
        <v>0.200978825476812</v>
      </c>
      <c r="M364" s="40" t="n">
        <f aca="false">F364*N364</f>
        <v>1.51687617732495</v>
      </c>
      <c r="N364" s="40" t="n">
        <f aca="false">J364*H364</f>
        <v>1.51687617732495</v>
      </c>
      <c r="O364" s="40" t="n">
        <f aca="false">K364*Q364</f>
        <v>1.45606857465693</v>
      </c>
      <c r="P364" s="40" t="n">
        <f aca="false">L364*R364</f>
        <v>1.57768377999298</v>
      </c>
      <c r="Q364" s="39" t="n">
        <f aca="false">INDEX(REF_MIN,MATCH(D364,REF_ID,0))</f>
        <v>7.85</v>
      </c>
      <c r="R364" s="39" t="n">
        <f aca="false">INDEX(REF_MAX,MATCH(D364,REF_ID,0))</f>
        <v>7.85</v>
      </c>
      <c r="S364" s="41" t="n">
        <v>15.4923828453568</v>
      </c>
      <c r="T364" s="42" t="n">
        <f aca="false">200*J364/S364</f>
        <v>2.49455020551661</v>
      </c>
      <c r="U364" s="43" t="n">
        <f aca="false">IFERROR(INDEX(ISO_TOL,MATCH(T364,ISO_DESDE,1)),0)</f>
        <v>0.1</v>
      </c>
      <c r="V364" s="44" t="n">
        <f aca="false">IF(T364&gt;0,U364/T364,0)</f>
        <v>0.0400873872086654</v>
      </c>
    </row>
    <row r="365" customFormat="false" ht="15" hidden="false" customHeight="false" outlineLevel="3" collapsed="false">
      <c r="A365" s="35" t="n">
        <v>3</v>
      </c>
      <c r="B365" s="36" t="s">
        <v>687</v>
      </c>
      <c r="C365" s="45" t="s">
        <v>304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3" collapsed="false">
      <c r="A366" s="35" t="n">
        <v>3</v>
      </c>
      <c r="B366" s="36" t="s">
        <v>688</v>
      </c>
      <c r="C366" s="45" t="s">
        <v>306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1" collapsed="false">
      <c r="A367" s="25" t="n">
        <v>1</v>
      </c>
      <c r="B367" s="26" t="s">
        <v>689</v>
      </c>
      <c r="C367" s="27" t="s">
        <v>308</v>
      </c>
      <c r="D367" s="26"/>
      <c r="E367" s="26"/>
      <c r="F367" s="28" t="n">
        <v>1</v>
      </c>
      <c r="G367" s="25" t="s">
        <v>264</v>
      </c>
      <c r="H367" s="29"/>
      <c r="I367" s="30"/>
      <c r="J367" s="30"/>
      <c r="K367" s="30"/>
      <c r="L367" s="30"/>
      <c r="M367" s="30" t="n">
        <f aca="false">IF(SUMIF(A368:A372,2,M368:M372)=0,"",SUMIF(A368:A372,2,M368:M372))</f>
        <v>4.50148168163484</v>
      </c>
      <c r="N367" s="30"/>
      <c r="O367" s="30" t="n">
        <f aca="false">IF(SUMIF(A368:A372,2,O368:O372)=0,"",SUMIF(A368:A372,2,O368:O372))</f>
        <v>4.04801994098761</v>
      </c>
      <c r="P367" s="30" t="n">
        <f aca="false">IF(SUMIF(A368:A372,2,P368:P372)=0,"",SUMIF(A368:A372,2,P368:P372))</f>
        <v>4.97387938640204</v>
      </c>
      <c r="Q367" s="29"/>
      <c r="R367" s="29"/>
      <c r="S367" s="31"/>
      <c r="T367" s="32"/>
      <c r="U367" s="33"/>
      <c r="V367" s="34"/>
    </row>
    <row r="368" customFormat="false" ht="15" hidden="false" customHeight="false" outlineLevel="2" collapsed="false">
      <c r="A368" s="35" t="n">
        <v>2</v>
      </c>
      <c r="B368" s="36" t="s">
        <v>690</v>
      </c>
      <c r="C368" s="37" t="s">
        <v>369</v>
      </c>
      <c r="D368" s="36" t="s">
        <v>17</v>
      </c>
      <c r="E368" s="36" t="str">
        <f aca="false">INDEX(REF_DATO,MATCH(D368,REF_ID,0))</f>
        <v>Latón de forja (CuZn39Pb2 / C37700)</v>
      </c>
      <c r="F368" s="38" t="n">
        <v>1</v>
      </c>
      <c r="G368" s="35" t="s">
        <v>264</v>
      </c>
      <c r="H368" s="39" t="n">
        <f aca="false">INDEX(REF_VAL,MATCH(D368,REF_ID,0))</f>
        <v>8.45</v>
      </c>
      <c r="I368" s="40" t="n">
        <f aca="false">F368*J368</f>
        <v>0.00723822947387088</v>
      </c>
      <c r="J368" s="40" t="n">
        <v>0.00723822947387088</v>
      </c>
      <c r="K368" s="40" t="n">
        <f aca="false">I368*(1-V368)</f>
        <v>0.00702711444754964</v>
      </c>
      <c r="L368" s="40" t="n">
        <f aca="false">I368*(1+V368)</f>
        <v>0.00744934450019211</v>
      </c>
      <c r="M368" s="40" t="n">
        <f aca="false">F368*N368</f>
        <v>0.0611630390542089</v>
      </c>
      <c r="N368" s="40" t="n">
        <f aca="false">J368*H368</f>
        <v>0.0611630390542089</v>
      </c>
      <c r="O368" s="40" t="n">
        <f aca="false">K368*Q368</f>
        <v>0.059027761359417</v>
      </c>
      <c r="P368" s="40" t="n">
        <f aca="false">L368*R368</f>
        <v>0.0633194282516329</v>
      </c>
      <c r="Q368" s="39" t="n">
        <f aca="false">INDEX(REF_MIN,MATCH(D368,REF_ID,0))</f>
        <v>8.4</v>
      </c>
      <c r="R368" s="39" t="n">
        <f aca="false">INDEX(REF_MAX,MATCH(D368,REF_ID,0))</f>
        <v>8.5</v>
      </c>
      <c r="S368" s="41" t="n">
        <v>0.211115026321234</v>
      </c>
      <c r="T368" s="42" t="n">
        <f aca="false">200*J368/S368</f>
        <v>6.85714285714285</v>
      </c>
      <c r="U368" s="43" t="n">
        <f aca="false">IFERROR(INDEX(ISO_TOL,MATCH(T368,ISO_DESDE,1)),0)</f>
        <v>0.2</v>
      </c>
      <c r="V368" s="44" t="n">
        <f aca="false">IF(T368&gt;0,U368/T368,0)</f>
        <v>0.0291666666666667</v>
      </c>
    </row>
    <row r="369" customFormat="false" ht="15" hidden="false" customHeight="false" outlineLevel="2" collapsed="false">
      <c r="A369" s="35" t="n">
        <v>2</v>
      </c>
      <c r="B369" s="36" t="s">
        <v>691</v>
      </c>
      <c r="C369" s="37" t="s">
        <v>513</v>
      </c>
      <c r="D369" s="36" t="s">
        <v>23</v>
      </c>
      <c r="E369" s="36" t="str">
        <f aca="false">INDEX(REF_DATO,MATCH(D369,REF_ID,0))</f>
        <v>Caucho sintético (NBR / SBR)</v>
      </c>
      <c r="F369" s="38" t="n">
        <v>1</v>
      </c>
      <c r="G369" s="35" t="s">
        <v>264</v>
      </c>
      <c r="H369" s="39" t="n">
        <f aca="false">INDEX(REF_VAL,MATCH(D369,REF_ID,0))</f>
        <v>1.2</v>
      </c>
      <c r="I369" s="40" t="n">
        <f aca="false">F369*J369</f>
        <v>3.05552323319615</v>
      </c>
      <c r="J369" s="40" t="n">
        <v>3.05552323319615</v>
      </c>
      <c r="K369" s="40" t="n">
        <f aca="false">I369*(1-V369)</f>
        <v>2.9741725701925</v>
      </c>
      <c r="L369" s="40" t="n">
        <f aca="false">I369*(1+V369)</f>
        <v>3.13687389619979</v>
      </c>
      <c r="M369" s="40" t="n">
        <f aca="false">F369*N369</f>
        <v>3.66662787983537</v>
      </c>
      <c r="N369" s="40" t="n">
        <f aca="false">J369*H369</f>
        <v>3.66662787983537</v>
      </c>
      <c r="O369" s="40" t="n">
        <f aca="false">K369*Q369</f>
        <v>3.27158982721176</v>
      </c>
      <c r="P369" s="40" t="n">
        <f aca="false">L369*R369</f>
        <v>4.07793606505972</v>
      </c>
      <c r="Q369" s="39" t="n">
        <f aca="false">INDEX(REF_MIN,MATCH(D369,REF_ID,0))</f>
        <v>1.1</v>
      </c>
      <c r="R369" s="39" t="n">
        <f aca="false">INDEX(REF_MAX,MATCH(D369,REF_ID,0))</f>
        <v>1.3</v>
      </c>
      <c r="S369" s="41" t="n">
        <v>162.701326007281</v>
      </c>
      <c r="T369" s="42" t="n">
        <f aca="false">200*J369/S369</f>
        <v>3.75599057263911</v>
      </c>
      <c r="U369" s="43" t="n">
        <f aca="false">IFERROR(INDEX(ISO_TOL,MATCH(T369,ISO_DESDE,1)),0)</f>
        <v>0.1</v>
      </c>
      <c r="V369" s="44" t="n">
        <f aca="false">IF(T369&gt;0,U369/T369,0)</f>
        <v>0.0266241349827819</v>
      </c>
    </row>
    <row r="370" customFormat="false" ht="15" hidden="false" customHeight="false" outlineLevel="2" collapsed="false">
      <c r="A370" s="35" t="n">
        <v>2</v>
      </c>
      <c r="B370" s="36" t="s">
        <v>692</v>
      </c>
      <c r="C370" s="37" t="s">
        <v>371</v>
      </c>
      <c r="D370" s="36" t="s">
        <v>23</v>
      </c>
      <c r="E370" s="36" t="str">
        <f aca="false">INDEX(REF_DATO,MATCH(D370,REF_ID,0))</f>
        <v>Caucho sintético (NBR / SBR)</v>
      </c>
      <c r="F370" s="38" t="n">
        <v>1</v>
      </c>
      <c r="G370" s="35" t="s">
        <v>264</v>
      </c>
      <c r="H370" s="39" t="n">
        <f aca="false">INDEX(REF_VAL,MATCH(D370,REF_ID,0))</f>
        <v>1.2</v>
      </c>
      <c r="I370" s="40" t="n">
        <f aca="false">F370*J370</f>
        <v>0.286498975859577</v>
      </c>
      <c r="J370" s="40" t="n">
        <v>0.286498975859577</v>
      </c>
      <c r="K370" s="40" t="n">
        <f aca="false">I370*(1-V370)</f>
        <v>0.278705827791996</v>
      </c>
      <c r="L370" s="40" t="n">
        <f aca="false">I370*(1+V370)</f>
        <v>0.294292123927158</v>
      </c>
      <c r="M370" s="40" t="n">
        <f aca="false">F370*N370</f>
        <v>0.343798771031493</v>
      </c>
      <c r="N370" s="40" t="n">
        <f aca="false">J370*H370</f>
        <v>0.343798771031493</v>
      </c>
      <c r="O370" s="40" t="n">
        <f aca="false">K370*Q370</f>
        <v>0.306576410571196</v>
      </c>
      <c r="P370" s="40" t="n">
        <f aca="false">L370*R370</f>
        <v>0.382579761105306</v>
      </c>
      <c r="Q370" s="39" t="n">
        <f aca="false">INDEX(REF_MIN,MATCH(D370,REF_ID,0))</f>
        <v>1.1</v>
      </c>
      <c r="R370" s="39" t="n">
        <f aca="false">INDEX(REF_MAX,MATCH(D370,REF_ID,0))</f>
        <v>1.3</v>
      </c>
      <c r="S370" s="41" t="n">
        <v>15.5862961351623</v>
      </c>
      <c r="T370" s="42" t="n">
        <f aca="false">200*J370/S370</f>
        <v>3.67629324343766</v>
      </c>
      <c r="U370" s="43" t="n">
        <f aca="false">IFERROR(INDEX(ISO_TOL,MATCH(T370,ISO_DESDE,1)),0)</f>
        <v>0.1</v>
      </c>
      <c r="V370" s="44" t="n">
        <f aca="false">IF(T370&gt;0,U370/T370,0)</f>
        <v>0.0272013121310451</v>
      </c>
    </row>
    <row r="371" customFormat="false" ht="15" hidden="false" customHeight="false" outlineLevel="2" collapsed="false">
      <c r="A371" s="35" t="n">
        <v>2</v>
      </c>
      <c r="B371" s="36" t="s">
        <v>693</v>
      </c>
      <c r="C371" s="37" t="s">
        <v>516</v>
      </c>
      <c r="D371" s="36" t="s">
        <v>17</v>
      </c>
      <c r="E371" s="36" t="str">
        <f aca="false">INDEX(REF_DATO,MATCH(D371,REF_ID,0))</f>
        <v>Latón de forja (CuZn39Pb2 / C37700)</v>
      </c>
      <c r="F371" s="38" t="n">
        <v>1</v>
      </c>
      <c r="G371" s="35" t="s">
        <v>264</v>
      </c>
      <c r="H371" s="39" t="n">
        <f aca="false">INDEX(REF_VAL,MATCH(D371,REF_ID,0))</f>
        <v>8.45</v>
      </c>
      <c r="I371" s="40" t="n">
        <f aca="false">F371*J371</f>
        <v>0.0414388603746334</v>
      </c>
      <c r="J371" s="40" t="n">
        <v>0.0414388603746334</v>
      </c>
      <c r="K371" s="40" t="n">
        <f aca="false">I371*(1-V371)</f>
        <v>0.0397381805740958</v>
      </c>
      <c r="L371" s="40" t="n">
        <f aca="false">I371*(1+V371)</f>
        <v>0.0431395401751711</v>
      </c>
      <c r="M371" s="40" t="n">
        <f aca="false">F371*N371</f>
        <v>0.350158370165653</v>
      </c>
      <c r="N371" s="40" t="n">
        <f aca="false">J371*H371</f>
        <v>0.350158370165653</v>
      </c>
      <c r="O371" s="40" t="n">
        <f aca="false">K371*Q371</f>
        <v>0.333800716822404</v>
      </c>
      <c r="P371" s="40" t="n">
        <f aca="false">L371*R371</f>
        <v>0.366686091488955</v>
      </c>
      <c r="Q371" s="39" t="n">
        <f aca="false">INDEX(REF_MIN,MATCH(D371,REF_ID,0))</f>
        <v>8.4</v>
      </c>
      <c r="R371" s="39" t="n">
        <f aca="false">INDEX(REF_MAX,MATCH(D371,REF_ID,0))</f>
        <v>8.5</v>
      </c>
      <c r="S371" s="41" t="n">
        <v>3.40135960107539</v>
      </c>
      <c r="T371" s="42" t="n">
        <f aca="false">200*J371/S371</f>
        <v>2.43660566565981</v>
      </c>
      <c r="U371" s="43" t="n">
        <f aca="false">IFERROR(INDEX(ISO_TOL,MATCH(T371,ISO_DESDE,1)),0)</f>
        <v>0.1</v>
      </c>
      <c r="V371" s="44" t="n">
        <f aca="false">IF(T371&gt;0,U371/T371,0)</f>
        <v>0.0410406991206437</v>
      </c>
    </row>
    <row r="372" customFormat="false" ht="15" hidden="false" customHeight="false" outlineLevel="2" collapsed="false">
      <c r="A372" s="35" t="n">
        <v>2</v>
      </c>
      <c r="B372" s="36" t="s">
        <v>694</v>
      </c>
      <c r="C372" s="37" t="s">
        <v>518</v>
      </c>
      <c r="D372" s="36" t="s">
        <v>26</v>
      </c>
      <c r="E372" s="36" t="str">
        <f aca="false">INDEX(REF_DATO,MATCH(D372,REF_ID,0))</f>
        <v>Polipropileno</v>
      </c>
      <c r="F372" s="38" t="n">
        <v>1</v>
      </c>
      <c r="G372" s="35" t="s">
        <v>264</v>
      </c>
      <c r="H372" s="39" t="n">
        <f aca="false">INDEX(REF_VAL,MATCH(D372,REF_ID,0))</f>
        <v>0.9</v>
      </c>
      <c r="I372" s="40" t="n">
        <f aca="false">F372*J372</f>
        <v>0.088592912831232</v>
      </c>
      <c r="J372" s="40" t="n">
        <v>0.088592912831232</v>
      </c>
      <c r="K372" s="40" t="n">
        <f aca="false">I372*(1-V372)</f>
        <v>0.0855835833587037</v>
      </c>
      <c r="L372" s="40" t="n">
        <f aca="false">I372*(1+V372)</f>
        <v>0.0916022423037602</v>
      </c>
      <c r="M372" s="40" t="n">
        <f aca="false">F372*N372</f>
        <v>0.0797336215481088</v>
      </c>
      <c r="N372" s="40" t="n">
        <f aca="false">J372*H372</f>
        <v>0.0797336215481088</v>
      </c>
      <c r="O372" s="40" t="n">
        <f aca="false">K372*Q372</f>
        <v>0.0770252250228334</v>
      </c>
      <c r="P372" s="40" t="n">
        <f aca="false">L372*R372</f>
        <v>0.0833580404964218</v>
      </c>
      <c r="Q372" s="39" t="n">
        <f aca="false">INDEX(REF_MIN,MATCH(D372,REF_ID,0))</f>
        <v>0.9</v>
      </c>
      <c r="R372" s="39" t="n">
        <f aca="false">INDEX(REF_MAX,MATCH(D372,REF_ID,0))</f>
        <v>0.91</v>
      </c>
      <c r="S372" s="41" t="n">
        <v>6.01865894505646</v>
      </c>
      <c r="T372" s="42" t="n">
        <f aca="false">200*J372/S372</f>
        <v>2.94394195251749</v>
      </c>
      <c r="U372" s="43" t="n">
        <f aca="false">IFERROR(INDEX(ISO_TOL,MATCH(T372,ISO_DESDE,1)),0)</f>
        <v>0.1</v>
      </c>
      <c r="V372" s="44" t="n">
        <f aca="false">IF(T372&gt;0,U372/T372,0)</f>
        <v>0.0339680610599287</v>
      </c>
    </row>
    <row r="373" customFormat="false" ht="15" hidden="false" customHeight="false" outlineLevel="1" collapsed="false">
      <c r="A373" s="25" t="n">
        <v>1</v>
      </c>
      <c r="B373" s="26" t="s">
        <v>695</v>
      </c>
      <c r="C373" s="27" t="s">
        <v>520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IF(SUMIF(A374:A383,2,M374:M383)=0,"",SUMIF(A374:A383,2,M374:M383))</f>
        <v>21.930880125649</v>
      </c>
      <c r="N373" s="30"/>
      <c r="O373" s="30" t="n">
        <f aca="false">IF(SUMIF(A374:A383,2,O374:O383)=0,"",SUMIF(A374:A383,2,O374:O383))</f>
        <v>20.7148863549441</v>
      </c>
      <c r="P373" s="30" t="n">
        <f aca="false">IF(SUMIF(A374:A383,2,P374:P383)=0,"",SUMIF(A374:A383,2,P374:P383))</f>
        <v>23.1569028654137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696</v>
      </c>
      <c r="C374" s="37" t="s">
        <v>522</v>
      </c>
      <c r="D374" s="36" t="s">
        <v>10</v>
      </c>
      <c r="E374" s="36" t="str">
        <f aca="false">INDEX(REF_DATO,MATCH(D374,REF_ID,0))</f>
        <v>Acero (chapa LAC/LAF, SAE 1010/1045)</v>
      </c>
      <c r="F374" s="38" t="n">
        <v>1</v>
      </c>
      <c r="G374" s="35" t="s">
        <v>264</v>
      </c>
      <c r="H374" s="39" t="n">
        <f aca="false">INDEX(REF_VAL,MATCH(D374,REF_ID,0))</f>
        <v>7.85</v>
      </c>
      <c r="I374" s="40" t="n">
        <f aca="false">F374*J374</f>
        <v>0.0252605503605966</v>
      </c>
      <c r="J374" s="40" t="n">
        <v>0.0252605503605966</v>
      </c>
      <c r="K374" s="40" t="n">
        <f aca="false">I374*(1-V374)</f>
        <v>0.0244111346418505</v>
      </c>
      <c r="L374" s="40" t="n">
        <f aca="false">I374*(1+V374)</f>
        <v>0.0261099660793426</v>
      </c>
      <c r="M374" s="40" t="n">
        <f aca="false">F374*N374</f>
        <v>0.198295320330683</v>
      </c>
      <c r="N374" s="40" t="n">
        <f aca="false">J374*H374</f>
        <v>0.198295320330683</v>
      </c>
      <c r="O374" s="40" t="n">
        <f aca="false">K374*Q374</f>
        <v>0.191627406938526</v>
      </c>
      <c r="P374" s="40" t="n">
        <f aca="false">L374*R374</f>
        <v>0.20496323372284</v>
      </c>
      <c r="Q374" s="39" t="n">
        <f aca="false">INDEX(REF_MIN,MATCH(D374,REF_ID,0))</f>
        <v>7.85</v>
      </c>
      <c r="R374" s="39" t="n">
        <f aca="false">INDEX(REF_MAX,MATCH(D374,REF_ID,0))</f>
        <v>7.85</v>
      </c>
      <c r="S374" s="41" t="n">
        <v>1.69883143749217</v>
      </c>
      <c r="T374" s="42" t="n">
        <f aca="false">200*J374/S374</f>
        <v>2.973873664345</v>
      </c>
      <c r="U374" s="43" t="n">
        <f aca="false">IFERROR(INDEX(ISO_TOL,MATCH(T374,ISO_DESDE,1)),0)</f>
        <v>0.1</v>
      </c>
      <c r="V374" s="44" t="n">
        <f aca="false">IF(T374&gt;0,U374/T374,0)</f>
        <v>0.0336261762558852</v>
      </c>
    </row>
    <row r="375" customFormat="false" ht="15" hidden="false" customHeight="false" outlineLevel="2" collapsed="false">
      <c r="A375" s="35" t="n">
        <v>2</v>
      </c>
      <c r="B375" s="36" t="s">
        <v>697</v>
      </c>
      <c r="C375" s="37" t="s">
        <v>524</v>
      </c>
      <c r="D375" s="36" t="s">
        <v>10</v>
      </c>
      <c r="E375" s="36" t="str">
        <f aca="false">INDEX(REF_DATO,MATCH(D375,REF_ID,0))</f>
        <v>Acero (chapa LAC/LAF, SAE 1010/1045)</v>
      </c>
      <c r="F375" s="38" t="n">
        <v>1</v>
      </c>
      <c r="G375" s="35" t="s">
        <v>264</v>
      </c>
      <c r="H375" s="39" t="n">
        <f aca="false">INDEX(REF_VAL,MATCH(D375,REF_ID,0))</f>
        <v>7.85</v>
      </c>
      <c r="I375" s="40" t="n">
        <f aca="false">F375*J375</f>
        <v>0.0378322363127759</v>
      </c>
      <c r="J375" s="40" t="n">
        <v>0.0378322363127759</v>
      </c>
      <c r="K375" s="40" t="n">
        <f aca="false">I375*(1-V375)</f>
        <v>0.0368800910076227</v>
      </c>
      <c r="L375" s="40" t="n">
        <f aca="false">I375*(1+V375)</f>
        <v>0.0387843816179291</v>
      </c>
      <c r="M375" s="40" t="n">
        <f aca="false">F375*N375</f>
        <v>0.296983055055291</v>
      </c>
      <c r="N375" s="40" t="n">
        <f aca="false">J375*H375</f>
        <v>0.296983055055291</v>
      </c>
      <c r="O375" s="40" t="n">
        <f aca="false">K375*Q375</f>
        <v>0.289508714409838</v>
      </c>
      <c r="P375" s="40" t="n">
        <f aca="false">L375*R375</f>
        <v>0.304457395700743</v>
      </c>
      <c r="Q375" s="39" t="n">
        <f aca="false">INDEX(REF_MIN,MATCH(D375,REF_ID,0))</f>
        <v>7.85</v>
      </c>
      <c r="R375" s="39" t="n">
        <f aca="false">INDEX(REF_MAX,MATCH(D375,REF_ID,0))</f>
        <v>7.85</v>
      </c>
      <c r="S375" s="41" t="n">
        <v>1.90429061030637</v>
      </c>
      <c r="T375" s="42" t="n">
        <f aca="false">200*J375/S375</f>
        <v>3.97336794163884</v>
      </c>
      <c r="U375" s="43" t="n">
        <f aca="false">IFERROR(INDEX(ISO_TOL,MATCH(T375,ISO_DESDE,1)),0)</f>
        <v>0.1</v>
      </c>
      <c r="V375" s="44" t="n">
        <f aca="false">IF(T375&gt;0,U375/T375,0)</f>
        <v>0.0251675660217751</v>
      </c>
    </row>
    <row r="376" customFormat="false" ht="15" hidden="false" customHeight="false" outlineLevel="2" collapsed="false">
      <c r="A376" s="35" t="n">
        <v>2</v>
      </c>
      <c r="B376" s="36" t="s">
        <v>698</v>
      </c>
      <c r="C376" s="37" t="s">
        <v>526</v>
      </c>
      <c r="D376" s="36" t="s">
        <v>10</v>
      </c>
      <c r="E376" s="36" t="str">
        <f aca="false">INDEX(REF_DATO,MATCH(D376,REF_ID,0))</f>
        <v>Acero (chapa LAC/LAF, SAE 1010/1045)</v>
      </c>
      <c r="F376" s="38" t="n">
        <v>1</v>
      </c>
      <c r="G376" s="35" t="s">
        <v>264</v>
      </c>
      <c r="H376" s="39" t="n">
        <f aca="false">INDEX(REF_VAL,MATCH(D376,REF_ID,0))</f>
        <v>7.85</v>
      </c>
      <c r="I376" s="40" t="n">
        <f aca="false">F376*J376</f>
        <v>0.0923408328669649</v>
      </c>
      <c r="J376" s="40" t="n">
        <v>0.0923408328669649</v>
      </c>
      <c r="K376" s="40" t="n">
        <f aca="false">I376*(1-V376)</f>
        <v>0.0877050987473279</v>
      </c>
      <c r="L376" s="40" t="n">
        <f aca="false">I376*(1+V376)</f>
        <v>0.0969765669866021</v>
      </c>
      <c r="M376" s="40" t="n">
        <f aca="false">F376*N376</f>
        <v>0.724875538005675</v>
      </c>
      <c r="N376" s="40" t="n">
        <f aca="false">J376*H376</f>
        <v>0.724875538005675</v>
      </c>
      <c r="O376" s="40" t="n">
        <f aca="false">K376*Q376</f>
        <v>0.688485025166524</v>
      </c>
      <c r="P376" s="40" t="n">
        <f aca="false">L376*R376</f>
        <v>0.761266050844826</v>
      </c>
      <c r="Q376" s="39" t="n">
        <f aca="false">INDEX(REF_MIN,MATCH(D376,REF_ID,0))</f>
        <v>7.85</v>
      </c>
      <c r="R376" s="39" t="n">
        <f aca="false">INDEX(REF_MAX,MATCH(D376,REF_ID,0))</f>
        <v>7.85</v>
      </c>
      <c r="S376" s="41" t="n">
        <v>9.2714682392742</v>
      </c>
      <c r="T376" s="42" t="n">
        <f aca="false">200*J376/S376</f>
        <v>1.99193548387097</v>
      </c>
      <c r="U376" s="43" t="n">
        <f aca="false">IFERROR(INDEX(ISO_TOL,MATCH(T376,ISO_DESDE,1)),0)</f>
        <v>0.1</v>
      </c>
      <c r="V376" s="44" t="n">
        <f aca="false">IF(T376&gt;0,U376/T376,0)</f>
        <v>0.0502024291497975</v>
      </c>
    </row>
    <row r="377" customFormat="false" ht="15" hidden="false" customHeight="false" outlineLevel="2" collapsed="false">
      <c r="A377" s="35" t="n">
        <v>2</v>
      </c>
      <c r="B377" s="36" t="s">
        <v>699</v>
      </c>
      <c r="C377" s="37" t="s">
        <v>528</v>
      </c>
      <c r="D377" s="36" t="s">
        <v>23</v>
      </c>
      <c r="E377" s="36" t="str">
        <f aca="false">INDEX(REF_DATO,MATCH(D377,REF_ID,0))</f>
        <v>Caucho sintético (NBR / SBR)</v>
      </c>
      <c r="F377" s="38" t="n">
        <v>2</v>
      </c>
      <c r="G377" s="35" t="s">
        <v>264</v>
      </c>
      <c r="H377" s="39" t="n">
        <f aca="false">INDEX(REF_VAL,MATCH(D377,REF_ID,0))</f>
        <v>1.2</v>
      </c>
      <c r="I377" s="40" t="n">
        <f aca="false">F377*J377</f>
        <v>7.26235690545045</v>
      </c>
      <c r="J377" s="40" t="n">
        <v>3.63117845272523</v>
      </c>
      <c r="K377" s="40" t="n">
        <f aca="false">I377*(1-V377)</f>
        <v>7.21221206015092</v>
      </c>
      <c r="L377" s="40" t="n">
        <f aca="false">I377*(1+V377)</f>
        <v>7.31250175074999</v>
      </c>
      <c r="M377" s="40" t="n">
        <f aca="false">F377*N377</f>
        <v>8.71482828654055</v>
      </c>
      <c r="N377" s="40" t="n">
        <f aca="false">J377*H377</f>
        <v>4.35741414327027</v>
      </c>
      <c r="O377" s="40" t="n">
        <f aca="false">K377*Q377</f>
        <v>7.93343326616601</v>
      </c>
      <c r="P377" s="40" t="n">
        <f aca="false">L377*R377</f>
        <v>9.50625227597499</v>
      </c>
      <c r="Q377" s="39" t="n">
        <f aca="false">INDEX(REF_MIN,MATCH(D377,REF_ID,0))</f>
        <v>1.1</v>
      </c>
      <c r="R377" s="39" t="n">
        <f aca="false">INDEX(REF_MAX,MATCH(D377,REF_ID,0))</f>
        <v>1.3</v>
      </c>
      <c r="S377" s="41" t="n">
        <v>25.0724226497694</v>
      </c>
      <c r="T377" s="42" t="n">
        <f aca="false">200*J377/S377</f>
        <v>28.9655172413793</v>
      </c>
      <c r="U377" s="43" t="n">
        <f aca="false">IFERROR(INDEX(ISO_TOL,MATCH(T377,ISO_DESDE,1)),0)</f>
        <v>0.2</v>
      </c>
      <c r="V377" s="44" t="n">
        <f aca="false">IF(T377&gt;0,U377/T377,0)</f>
        <v>0.0069047619047619</v>
      </c>
    </row>
    <row r="378" customFormat="false" ht="15" hidden="false" customHeight="false" outlineLevel="2" collapsed="false">
      <c r="A378" s="35" t="n">
        <v>2</v>
      </c>
      <c r="B378" s="36" t="s">
        <v>700</v>
      </c>
      <c r="C378" s="37" t="s">
        <v>530</v>
      </c>
      <c r="D378" s="36" t="s">
        <v>10</v>
      </c>
      <c r="E378" s="36" t="str">
        <f aca="false">INDEX(REF_DATO,MATCH(D378,REF_ID,0))</f>
        <v>Acero (chapa LAC/LAF, SAE 1010/1045)</v>
      </c>
      <c r="F378" s="38" t="n">
        <v>2</v>
      </c>
      <c r="G378" s="35" t="s">
        <v>264</v>
      </c>
      <c r="H378" s="39" t="n">
        <f aca="false">INDEX(REF_VAL,MATCH(D378,REF_ID,0))</f>
        <v>7.85</v>
      </c>
      <c r="I378" s="40" t="n">
        <f aca="false">F378*J378</f>
        <v>0.763807724965284</v>
      </c>
      <c r="J378" s="40" t="n">
        <v>0.381903862482642</v>
      </c>
      <c r="K378" s="40" t="n">
        <f aca="false">I378*(1-V378)</f>
        <v>0.739837052575943</v>
      </c>
      <c r="L378" s="40" t="n">
        <f aca="false">I378*(1+V378)</f>
        <v>0.787778397354624</v>
      </c>
      <c r="M378" s="40" t="n">
        <f aca="false">F378*N378</f>
        <v>5.99589064097748</v>
      </c>
      <c r="N378" s="40" t="n">
        <f aca="false">J378*H378</f>
        <v>2.99794532048874</v>
      </c>
      <c r="O378" s="40" t="n">
        <f aca="false">K378*Q378</f>
        <v>5.80772086272115</v>
      </c>
      <c r="P378" s="40" t="n">
        <f aca="false">L378*R378</f>
        <v>6.1840604192338</v>
      </c>
      <c r="Q378" s="39" t="n">
        <f aca="false">INDEX(REF_MIN,MATCH(D378,REF_ID,0))</f>
        <v>7.85</v>
      </c>
      <c r="R378" s="39" t="n">
        <f aca="false">INDEX(REF_MAX,MATCH(D378,REF_ID,0))</f>
        <v>7.85</v>
      </c>
      <c r="S378" s="41" t="n">
        <v>23.9706723893408</v>
      </c>
      <c r="T378" s="42" t="n">
        <f aca="false">200*J378/S378</f>
        <v>3.18642594817212</v>
      </c>
      <c r="U378" s="43" t="n">
        <f aca="false">IFERROR(INDEX(ISO_TOL,MATCH(T378,ISO_DESDE,1)),0)</f>
        <v>0.1</v>
      </c>
      <c r="V378" s="44" t="n">
        <f aca="false">IF(T378&gt;0,U378/T378,0)</f>
        <v>0.0313831237965423</v>
      </c>
    </row>
    <row r="379" customFormat="false" ht="15" hidden="false" customHeight="false" outlineLevel="2" collapsed="false">
      <c r="A379" s="35" t="n">
        <v>2</v>
      </c>
      <c r="B379" s="36" t="s">
        <v>701</v>
      </c>
      <c r="C379" s="37" t="s">
        <v>532</v>
      </c>
      <c r="D379" s="36" t="s">
        <v>10</v>
      </c>
      <c r="E379" s="36" t="str">
        <f aca="false">INDEX(REF_DATO,MATCH(D379,REF_ID,0))</f>
        <v>Acero (chapa LAC/LAF, SAE 1010/1045)</v>
      </c>
      <c r="F379" s="38" t="n">
        <v>1</v>
      </c>
      <c r="G379" s="35" t="s">
        <v>264</v>
      </c>
      <c r="H379" s="39" t="n">
        <f aca="false">INDEX(REF_VAL,MATCH(D379,REF_ID,0))</f>
        <v>7.85</v>
      </c>
      <c r="I379" s="40" t="n">
        <f aca="false">F379*J379</f>
        <v>0.328518991646712</v>
      </c>
      <c r="J379" s="40" t="n">
        <v>0.328518991646712</v>
      </c>
      <c r="K379" s="40" t="n">
        <f aca="false">I379*(1-V379)</f>
        <v>0.323164751047055</v>
      </c>
      <c r="L379" s="40" t="n">
        <f aca="false">I379*(1+V379)</f>
        <v>0.33387323224637</v>
      </c>
      <c r="M379" s="40" t="n">
        <f aca="false">F379*N379</f>
        <v>2.57887408442669</v>
      </c>
      <c r="N379" s="40" t="n">
        <f aca="false">J379*H379</f>
        <v>2.57887408442669</v>
      </c>
      <c r="O379" s="40" t="n">
        <f aca="false">K379*Q379</f>
        <v>2.53684329571938</v>
      </c>
      <c r="P379" s="40" t="n">
        <f aca="false">L379*R379</f>
        <v>2.62090487313401</v>
      </c>
      <c r="Q379" s="39" t="n">
        <f aca="false">INDEX(REF_MIN,MATCH(D379,REF_ID,0))</f>
        <v>7.85</v>
      </c>
      <c r="R379" s="39" t="n">
        <f aca="false">INDEX(REF_MAX,MATCH(D379,REF_ID,0))</f>
        <v>7.85</v>
      </c>
      <c r="S379" s="41" t="n">
        <v>5.3542405996577</v>
      </c>
      <c r="T379" s="42" t="n">
        <f aca="false">200*J379/S379</f>
        <v>12.2713570872297</v>
      </c>
      <c r="U379" s="43" t="n">
        <f aca="false">IFERROR(INDEX(ISO_TOL,MATCH(T379,ISO_DESDE,1)),0)</f>
        <v>0.2</v>
      </c>
      <c r="V379" s="44" t="n">
        <f aca="false">IF(T379&gt;0,U379/T379,0)</f>
        <v>0.0162981158952771</v>
      </c>
    </row>
    <row r="380" customFormat="false" ht="15" hidden="false" customHeight="false" outlineLevel="2" collapsed="false">
      <c r="A380" s="35" t="n">
        <v>2</v>
      </c>
      <c r="B380" s="36" t="s">
        <v>702</v>
      </c>
      <c r="C380" s="37" t="s">
        <v>534</v>
      </c>
      <c r="D380" s="36" t="s">
        <v>10</v>
      </c>
      <c r="E380" s="36" t="str">
        <f aca="false">INDEX(REF_DATO,MATCH(D380,REF_ID,0))</f>
        <v>Acero (chapa LAC/LAF, SAE 1010/1045)</v>
      </c>
      <c r="F380" s="38" t="n">
        <v>1</v>
      </c>
      <c r="G380" s="35" t="s">
        <v>264</v>
      </c>
      <c r="H380" s="39" t="n">
        <f aca="false">INDEX(REF_VAL,MATCH(D380,REF_ID,0))</f>
        <v>7.85</v>
      </c>
      <c r="I380" s="40" t="n">
        <f aca="false">F380*J380</f>
        <v>0.0113479353195908</v>
      </c>
      <c r="J380" s="40" t="n">
        <v>0.0113479353195908</v>
      </c>
      <c r="K380" s="40" t="n">
        <f aca="false">I380*(1-V380)</f>
        <v>0.0108973555348423</v>
      </c>
      <c r="L380" s="40" t="n">
        <f aca="false">I380*(1+V380)</f>
        <v>0.0117985151043392</v>
      </c>
      <c r="M380" s="40" t="n">
        <f aca="false">F380*N380</f>
        <v>0.0890812922587875</v>
      </c>
      <c r="N380" s="40" t="n">
        <f aca="false">J380*H380</f>
        <v>0.0890812922587875</v>
      </c>
      <c r="O380" s="40" t="n">
        <f aca="false">K380*Q380</f>
        <v>0.085544240948512</v>
      </c>
      <c r="P380" s="40" t="n">
        <f aca="false">L380*R380</f>
        <v>0.0926183435690629</v>
      </c>
      <c r="Q380" s="39" t="n">
        <f aca="false">INDEX(REF_MIN,MATCH(D380,REF_ID,0))</f>
        <v>7.85</v>
      </c>
      <c r="R380" s="39" t="n">
        <f aca="false">INDEX(REF_MAX,MATCH(D380,REF_ID,0))</f>
        <v>7.85</v>
      </c>
      <c r="S380" s="41" t="n">
        <v>0.901159569496926</v>
      </c>
      <c r="T380" s="42" t="n">
        <f aca="false">200*J380/S380</f>
        <v>2.51851851851848</v>
      </c>
      <c r="U380" s="43" t="n">
        <f aca="false">IFERROR(INDEX(ISO_TOL,MATCH(T380,ISO_DESDE,1)),0)</f>
        <v>0.1</v>
      </c>
      <c r="V380" s="44" t="n">
        <f aca="false">IF(T380&gt;0,U380/T380,0)</f>
        <v>0.0397058823529417</v>
      </c>
    </row>
    <row r="381" customFormat="false" ht="15" hidden="false" customHeight="false" outlineLevel="2" collapsed="false">
      <c r="A381" s="35" t="n">
        <v>2</v>
      </c>
      <c r="B381" s="36" t="s">
        <v>703</v>
      </c>
      <c r="C381" s="37" t="s">
        <v>536</v>
      </c>
      <c r="D381" s="36" t="s">
        <v>10</v>
      </c>
      <c r="E381" s="36" t="str">
        <f aca="false">INDEX(REF_DATO,MATCH(D381,REF_ID,0))</f>
        <v>Acero (chapa LAC/LAF, SAE 1010/1045)</v>
      </c>
      <c r="F381" s="38" t="n">
        <v>1</v>
      </c>
      <c r="G381" s="35" t="s">
        <v>264</v>
      </c>
      <c r="H381" s="39" t="n">
        <f aca="false">INDEX(REF_VAL,MATCH(D381,REF_ID,0))</f>
        <v>7.85</v>
      </c>
      <c r="I381" s="40" t="n">
        <f aca="false">F381*J381</f>
        <v>0.00167535674250937</v>
      </c>
      <c r="J381" s="40" t="n">
        <v>0.00167535674250937</v>
      </c>
      <c r="K381" s="40" t="n">
        <f aca="false">I381*(1-V381)</f>
        <v>0.00159145265791312</v>
      </c>
      <c r="L381" s="40" t="n">
        <f aca="false">I381*(1+V381)</f>
        <v>0.00175926082710562</v>
      </c>
      <c r="M381" s="40" t="n">
        <f aca="false">F381*N381</f>
        <v>0.0131515504286985</v>
      </c>
      <c r="N381" s="40" t="n">
        <f aca="false">J381*H381</f>
        <v>0.0131515504286985</v>
      </c>
      <c r="O381" s="40" t="n">
        <f aca="false">K381*Q381</f>
        <v>0.012492903364618</v>
      </c>
      <c r="P381" s="40" t="n">
        <f aca="false">L381*R381</f>
        <v>0.0138101974927791</v>
      </c>
      <c r="Q381" s="39" t="n">
        <f aca="false">INDEX(REF_MIN,MATCH(D381,REF_ID,0))</f>
        <v>7.85</v>
      </c>
      <c r="R381" s="39" t="n">
        <f aca="false">INDEX(REF_MAX,MATCH(D381,REF_ID,0))</f>
        <v>7.85</v>
      </c>
      <c r="S381" s="41" t="n">
        <v>0.167808169192498</v>
      </c>
      <c r="T381" s="42" t="n">
        <f aca="false">200*J381/S381</f>
        <v>1.99675230421889</v>
      </c>
      <c r="U381" s="43" t="n">
        <f aca="false">IFERROR(INDEX(ISO_TOL,MATCH(T381,ISO_DESDE,1)),0)</f>
        <v>0.1</v>
      </c>
      <c r="V381" s="44" t="n">
        <f aca="false">IF(T381&gt;0,U381/T381,0)</f>
        <v>0.0500813244530692</v>
      </c>
    </row>
    <row r="382" customFormat="false" ht="15" hidden="false" customHeight="false" outlineLevel="2" collapsed="false">
      <c r="A382" s="35" t="n">
        <v>2</v>
      </c>
      <c r="B382" s="36" t="s">
        <v>704</v>
      </c>
      <c r="C382" s="37" t="s">
        <v>538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0.186732254474539</v>
      </c>
      <c r="J382" s="40" t="n">
        <v>0.186732254474539</v>
      </c>
      <c r="K382" s="40" t="n">
        <f aca="false">I382*(1-V382)</f>
        <v>0.175671392345171</v>
      </c>
      <c r="L382" s="40" t="n">
        <f aca="false">I382*(1+V382)</f>
        <v>0.197793116603906</v>
      </c>
      <c r="M382" s="40" t="n">
        <f aca="false">F382*N382</f>
        <v>1.46584819762513</v>
      </c>
      <c r="N382" s="40" t="n">
        <f aca="false">J382*H382</f>
        <v>1.46584819762513</v>
      </c>
      <c r="O382" s="40" t="n">
        <f aca="false">K382*Q382</f>
        <v>1.3790204299096</v>
      </c>
      <c r="P382" s="40" t="n">
        <f aca="false">L382*R382</f>
        <v>1.55267596534066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22.1217242587344</v>
      </c>
      <c r="T382" s="42" t="n">
        <f aca="false">200*J382/S382</f>
        <v>1.68822513372402</v>
      </c>
      <c r="U382" s="43" t="n">
        <f aca="false">IFERROR(INDEX(ISO_TOL,MATCH(T382,ISO_DESDE,1)),0)</f>
        <v>0.1</v>
      </c>
      <c r="V382" s="44" t="n">
        <f aca="false">IF(T382&gt;0,U382/T382,0)</f>
        <v>0.0592338059672244</v>
      </c>
    </row>
    <row r="383" customFormat="false" ht="15" hidden="false" customHeight="false" outlineLevel="2" collapsed="false">
      <c r="A383" s="35" t="n">
        <v>2</v>
      </c>
      <c r="B383" s="36" t="s">
        <v>705</v>
      </c>
      <c r="C383" s="37" t="s">
        <v>706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0.236057599999999</v>
      </c>
      <c r="J383" s="40" t="n">
        <v>0.236057599999999</v>
      </c>
      <c r="K383" s="40" t="n">
        <f aca="false">I383*(1-V383)</f>
        <v>0.228052255999999</v>
      </c>
      <c r="L383" s="40" t="n">
        <f aca="false">I383*(1+V383)</f>
        <v>0.244062943999999</v>
      </c>
      <c r="M383" s="40" t="n">
        <f aca="false">F383*N383</f>
        <v>1.85305216</v>
      </c>
      <c r="N383" s="40" t="n">
        <f aca="false">J383*H383</f>
        <v>1.85305216</v>
      </c>
      <c r="O383" s="40" t="n">
        <f aca="false">K383*Q383</f>
        <v>1.7902102096</v>
      </c>
      <c r="P383" s="40" t="n">
        <f aca="false">L383*R383</f>
        <v>1.9158941104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16.010688</v>
      </c>
      <c r="T383" s="42" t="n">
        <f aca="false">200*J383/S383</f>
        <v>2.94875023484312</v>
      </c>
      <c r="U383" s="43" t="n">
        <f aca="false">IFERROR(INDEX(ISO_TOL,MATCH(T383,ISO_DESDE,1)),0)</f>
        <v>0.1</v>
      </c>
      <c r="V383" s="44" t="n">
        <f aca="false">IF(T383&gt;0,U383/T383,0)</f>
        <v>0.0339126721613709</v>
      </c>
    </row>
    <row r="384" customFormat="false" ht="15" hidden="false" customHeight="false" outlineLevel="1" collapsed="false">
      <c r="A384" s="25" t="n">
        <v>1</v>
      </c>
      <c r="B384" s="26" t="s">
        <v>707</v>
      </c>
      <c r="C384" s="27" t="s">
        <v>312</v>
      </c>
      <c r="D384" s="26"/>
      <c r="E384" s="26"/>
      <c r="F384" s="28" t="n">
        <v>1</v>
      </c>
      <c r="G384" s="25" t="s">
        <v>264</v>
      </c>
      <c r="H384" s="29"/>
      <c r="I384" s="30"/>
      <c r="J384" s="30"/>
      <c r="K384" s="30"/>
      <c r="L384" s="30"/>
      <c r="M384" s="30" t="n">
        <f aca="false">IF(SUMIF(A385:A386,2,M385:M386)=0,"",SUMIF(A385:A386,2,M385:M386))</f>
        <v>100.519000932053</v>
      </c>
      <c r="N384" s="30"/>
      <c r="O384" s="30" t="n">
        <f aca="false">IF(SUMIF(A385:A386,2,O385:O386)=0,"",SUMIF(A385:A386,2,O385:O386))</f>
        <v>97.4250508159664</v>
      </c>
      <c r="P384" s="30" t="n">
        <f aca="false">IF(SUMIF(A385:A386,2,P385:P386)=0,"",SUMIF(A385:A386,2,P385:P386))</f>
        <v>103.623074988331</v>
      </c>
      <c r="Q384" s="29"/>
      <c r="R384" s="29"/>
      <c r="S384" s="31"/>
      <c r="T384" s="32"/>
      <c r="U384" s="33"/>
      <c r="V384" s="34"/>
    </row>
    <row r="385" customFormat="false" ht="15" hidden="false" customHeight="false" outlineLevel="2" collapsed="false">
      <c r="A385" s="35" t="n">
        <v>2</v>
      </c>
      <c r="B385" s="36" t="s">
        <v>708</v>
      </c>
      <c r="C385" s="37" t="s">
        <v>543</v>
      </c>
      <c r="D385" s="36" t="s">
        <v>37</v>
      </c>
      <c r="E385" s="36" t="str">
        <f aca="false">INDEX(REF_DATO,MATCH(D385,REF_ID,0))</f>
        <v>Polvo ABC asentado en el recipiente</v>
      </c>
      <c r="F385" s="38" t="n">
        <f aca="false">MODELOS!$L$19</f>
        <v>100</v>
      </c>
      <c r="G385" s="35" t="s">
        <v>123</v>
      </c>
      <c r="H385" s="39" t="n">
        <f aca="false">INDEX(REF_VAL,MATCH(D385,REF_ID,0))</f>
        <v>1.1</v>
      </c>
      <c r="I385" s="40" t="n">
        <f aca="false">F385*J385</f>
        <v>90.9090909090909</v>
      </c>
      <c r="J385" s="40" t="n">
        <f aca="false">1/H385</f>
        <v>0.909090909090909</v>
      </c>
      <c r="K385" s="40" t="n">
        <f aca="false">MODELOS!$M$19/R385</f>
        <v>88.1818181818182</v>
      </c>
      <c r="L385" s="40" t="n">
        <f aca="false">MODELOS!$N$19/Q385</f>
        <v>93.6363636363636</v>
      </c>
      <c r="M385" s="40" t="n">
        <f aca="false">F385</f>
        <v>100</v>
      </c>
      <c r="N385" s="40" t="n">
        <v>1</v>
      </c>
      <c r="O385" s="40" t="n">
        <f aca="false">MODELOS!$M$19</f>
        <v>97</v>
      </c>
      <c r="P385" s="40" t="n">
        <f aca="false">MODELOS!$N$19</f>
        <v>103</v>
      </c>
      <c r="Q385" s="39" t="n">
        <f aca="false">INDEX(REF_MIN,MATCH(D385,REF_ID,0))</f>
        <v>1.1</v>
      </c>
      <c r="R385" s="39" t="n">
        <f aca="false">INDEX(REF_MAX,MATCH(D385,REF_ID,0))</f>
        <v>1.1</v>
      </c>
      <c r="S385" s="41"/>
      <c r="T385" s="42"/>
      <c r="U385" s="43"/>
      <c r="V385" s="44"/>
    </row>
    <row r="386" customFormat="false" ht="15" hidden="false" customHeight="false" outlineLevel="2" collapsed="false">
      <c r="A386" s="35" t="n">
        <v>2</v>
      </c>
      <c r="B386" s="36" t="s">
        <v>709</v>
      </c>
      <c r="C386" s="37" t="s">
        <v>316</v>
      </c>
      <c r="D386" s="36" t="s">
        <v>78</v>
      </c>
      <c r="E386" s="36" t="str">
        <f aca="false">INDEX(REF_DATO,MATCH(D386,REF_ID,0))</f>
        <v>Nitrógeno seco (densidad normal)</v>
      </c>
      <c r="F386" s="38" t="n">
        <f aca="false">MODELOS!$AF$19</f>
        <v>0.519000932053049</v>
      </c>
      <c r="G386" s="35" t="s">
        <v>123</v>
      </c>
      <c r="H386" s="39" t="n">
        <f aca="false">INDEX(REF_VAL,MATCH(D386,REF_ID,0))</f>
        <v>0.00124921923797626</v>
      </c>
      <c r="I386" s="40" t="n">
        <f aca="false">F386*J386</f>
        <v>415.460246108466</v>
      </c>
      <c r="J386" s="40" t="n">
        <f aca="false">1/H386</f>
        <v>800.5</v>
      </c>
      <c r="K386" s="40" t="n">
        <f aca="false">MODELOS!$AG$19/H386</f>
        <v>340.253178181136</v>
      </c>
      <c r="L386" s="40" t="n">
        <f aca="false">MODELOS!$AH$19/H386</f>
        <v>498.771528158996</v>
      </c>
      <c r="M386" s="40" t="n">
        <f aca="false">F386</f>
        <v>0.519000932053049</v>
      </c>
      <c r="N386" s="40" t="n">
        <v>1</v>
      </c>
      <c r="O386" s="40" t="n">
        <f aca="false">MODELOS!$AG$19</f>
        <v>0.425050815966441</v>
      </c>
      <c r="P386" s="40" t="n">
        <f aca="false">MODELOS!$AH$19</f>
        <v>0.623074988331038</v>
      </c>
      <c r="Q386" s="39"/>
      <c r="R386" s="39"/>
      <c r="S386" s="41"/>
      <c r="T386" s="42"/>
      <c r="U386" s="43"/>
      <c r="V386" s="44"/>
    </row>
    <row r="387" customFormat="false" ht="15" hidden="false" customHeight="false" outlineLevel="1" collapsed="false">
      <c r="A387" s="25" t="n">
        <v>1</v>
      </c>
      <c r="B387" s="26" t="s">
        <v>710</v>
      </c>
      <c r="C387" s="27" t="s">
        <v>318</v>
      </c>
      <c r="D387" s="26"/>
      <c r="E387" s="26"/>
      <c r="F387" s="28" t="n">
        <v>1</v>
      </c>
      <c r="G387" s="25" t="s">
        <v>264</v>
      </c>
      <c r="H387" s="29"/>
      <c r="I387" s="30"/>
      <c r="J387" s="30"/>
      <c r="K387" s="30"/>
      <c r="L387" s="30"/>
      <c r="M387" s="30" t="n">
        <f aca="false">IF(SUMIF(A388:A394,2,M388:M394)=0,"",SUMIF(A388:A394,2,M388:M394))</f>
        <v>0.0723077109905333</v>
      </c>
      <c r="N387" s="30"/>
      <c r="O387" s="30" t="n">
        <f aca="false">IF(SUMIF(A388:A394,2,O388:O394)=0,"",SUMIF(A388:A394,2,O388:O394))</f>
        <v>0.0697227682467747</v>
      </c>
      <c r="P387" s="30" t="n">
        <f aca="false">IF(SUMIF(A388:A394,2,P388:P394)=0,"",SUMIF(A388:A394,2,P388:P394))</f>
        <v>0.0748947154044707</v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711</v>
      </c>
      <c r="C388" s="37" t="s">
        <v>320</v>
      </c>
      <c r="D388" s="36" t="s">
        <v>32</v>
      </c>
      <c r="E388" s="36" t="str">
        <f aca="false">INDEX(REF_DATO,MATCH(D388,REF_ID,0))</f>
        <v>PVC rígido, vinilo y papeles de identificación</v>
      </c>
      <c r="F388" s="38" t="n">
        <v>1</v>
      </c>
      <c r="G388" s="35" t="s">
        <v>264</v>
      </c>
      <c r="H388" s="39" t="n">
        <f aca="false">INDEX(REF_VAL,MATCH(D388,REF_ID,0))</f>
        <v>1.4</v>
      </c>
      <c r="I388" s="40" t="n">
        <f aca="false">F388*J388</f>
        <v>0.0472355018702913</v>
      </c>
      <c r="J388" s="40" t="n">
        <v>0.0472355018702913</v>
      </c>
      <c r="K388" s="40" t="n">
        <f aca="false">I388*(1-V388)</f>
        <v>0.0472355018702913</v>
      </c>
      <c r="L388" s="40" t="n">
        <f aca="false">I388*(1+V388)</f>
        <v>0.0472355018702913</v>
      </c>
      <c r="M388" s="40" t="n">
        <f aca="false">F388*N388</f>
        <v>0.0661297026184078</v>
      </c>
      <c r="N388" s="40" t="n">
        <f aca="false">J388*H388</f>
        <v>0.0661297026184078</v>
      </c>
      <c r="O388" s="40" t="n">
        <f aca="false">K388*Q388</f>
        <v>0.0637679275248933</v>
      </c>
      <c r="P388" s="40" t="n">
        <f aca="false">L388*R388</f>
        <v>0.0684914777119224</v>
      </c>
      <c r="Q388" s="39" t="n">
        <f aca="false">INDEX(REF_MIN,MATCH(D388,REF_ID,0))</f>
        <v>1.35</v>
      </c>
      <c r="R388" s="39" t="n">
        <f aca="false">INDEX(REF_MAX,MATCH(D388,REF_ID,0))</f>
        <v>1.45</v>
      </c>
      <c r="S388" s="41" t="n">
        <v>31.5473174705257</v>
      </c>
      <c r="T388" s="42" t="n">
        <f aca="false">200*J388/S388</f>
        <v>0.299458119787351</v>
      </c>
      <c r="U388" s="43" t="n">
        <f aca="false">IFERROR(INDEX(ISO_TOL,MATCH(T388,ISO_DESDE,1)),0)</f>
        <v>0</v>
      </c>
      <c r="V388" s="44" t="n">
        <f aca="false">IF(T388&gt;0,U388/T388,0)</f>
        <v>0</v>
      </c>
    </row>
    <row r="389" customFormat="false" ht="15" hidden="false" customHeight="false" outlineLevel="2" collapsed="false">
      <c r="A389" s="35" t="n">
        <v>2</v>
      </c>
      <c r="B389" s="36" t="s">
        <v>712</v>
      </c>
      <c r="C389" s="37" t="s">
        <v>322</v>
      </c>
      <c r="D389" s="36" t="s">
        <v>32</v>
      </c>
      <c r="E389" s="36" t="str">
        <f aca="false">INDEX(REF_DATO,MATCH(D389,REF_ID,0))</f>
        <v>PVC rígido, vinilo y papeles de identificación</v>
      </c>
      <c r="F389" s="38" t="n">
        <v>1</v>
      </c>
      <c r="G389" s="35" t="s">
        <v>264</v>
      </c>
      <c r="H389" s="39" t="n">
        <f aca="false">INDEX(REF_VAL,MATCH(D389,REF_ID,0))</f>
        <v>1.4</v>
      </c>
      <c r="I389" s="40" t="n">
        <f aca="false">F389*J389</f>
        <v>0.000635288307692301</v>
      </c>
      <c r="J389" s="40" t="n">
        <v>0.000635288307692301</v>
      </c>
      <c r="K389" s="40" t="n">
        <f aca="false">I389*(1-V389)</f>
        <v>0.000635288307692301</v>
      </c>
      <c r="L389" s="40" t="n">
        <f aca="false">I389*(1+V389)</f>
        <v>0.000635288307692301</v>
      </c>
      <c r="M389" s="40" t="n">
        <f aca="false">F389*N389</f>
        <v>0.000889403630769221</v>
      </c>
      <c r="N389" s="40" t="n">
        <f aca="false">J389*H389</f>
        <v>0.000889403630769221</v>
      </c>
      <c r="O389" s="40" t="n">
        <f aca="false">K389*Q389</f>
        <v>0.000857639215384606</v>
      </c>
      <c r="P389" s="40" t="n">
        <f aca="false">L389*R389</f>
        <v>0.000921168046153836</v>
      </c>
      <c r="Q389" s="39" t="n">
        <f aca="false">INDEX(REF_MIN,MATCH(D389,REF_ID,0))</f>
        <v>1.35</v>
      </c>
      <c r="R389" s="39" t="n">
        <f aca="false">INDEX(REF_MAX,MATCH(D389,REF_ID,0))</f>
        <v>1.45</v>
      </c>
      <c r="S389" s="41" t="n">
        <v>0.429047661538462</v>
      </c>
      <c r="T389" s="42" t="n">
        <f aca="false">200*J389/S389</f>
        <v>0.296138804446252</v>
      </c>
      <c r="U389" s="43" t="n">
        <f aca="false">IFERROR(INDEX(ISO_TOL,MATCH(T389,ISO_DESDE,1)),0)</f>
        <v>0</v>
      </c>
      <c r="V389" s="44" t="n">
        <f aca="false">IF(T389&gt;0,U389/T389,0)</f>
        <v>0</v>
      </c>
    </row>
    <row r="390" customFormat="false" ht="15" hidden="false" customHeight="false" outlineLevel="2" collapsed="false">
      <c r="A390" s="35" t="n">
        <v>2</v>
      </c>
      <c r="B390" s="36" t="s">
        <v>713</v>
      </c>
      <c r="C390" s="37" t="s">
        <v>324</v>
      </c>
      <c r="D390" s="36" t="s">
        <v>32</v>
      </c>
      <c r="E390" s="36" t="str">
        <f aca="false">INDEX(REF_DATO,MATCH(D390,REF_ID,0))</f>
        <v>PVC rígido, vinilo y papeles de identificación</v>
      </c>
      <c r="F390" s="38" t="n">
        <v>1</v>
      </c>
      <c r="G390" s="35" t="s">
        <v>264</v>
      </c>
      <c r="H390" s="39" t="n">
        <f aca="false">INDEX(REF_VAL,MATCH(D390,REF_ID,0))</f>
        <v>1.4</v>
      </c>
      <c r="I390" s="40" t="n">
        <f aca="false">F390*J390</f>
        <v>0.000720553846153871</v>
      </c>
      <c r="J390" s="40" t="n">
        <v>0.000720553846153871</v>
      </c>
      <c r="K390" s="40" t="n">
        <f aca="false">I390*(1-V390)</f>
        <v>0.000720553846153871</v>
      </c>
      <c r="L390" s="40" t="n">
        <f aca="false">I390*(1+V390)</f>
        <v>0.000720553846153871</v>
      </c>
      <c r="M390" s="40" t="n">
        <f aca="false">F390*N390</f>
        <v>0.00100877538461542</v>
      </c>
      <c r="N390" s="40" t="n">
        <f aca="false">J390*H390</f>
        <v>0.00100877538461542</v>
      </c>
      <c r="O390" s="40" t="n">
        <f aca="false">K390*Q390</f>
        <v>0.000972747692307726</v>
      </c>
      <c r="P390" s="40" t="n">
        <f aca="false">L390*R390</f>
        <v>0.00104480307692311</v>
      </c>
      <c r="Q390" s="39" t="n">
        <f aca="false">INDEX(REF_MIN,MATCH(D390,REF_ID,0))</f>
        <v>1.35</v>
      </c>
      <c r="R390" s="39" t="n">
        <f aca="false">INDEX(REF_MAX,MATCH(D390,REF_ID,0))</f>
        <v>1.45</v>
      </c>
      <c r="S390" s="41" t="n">
        <v>0.486372</v>
      </c>
      <c r="T390" s="42" t="n">
        <f aca="false">200*J390/S390</f>
        <v>0.296297420967437</v>
      </c>
      <c r="U390" s="43" t="n">
        <f aca="false">IFERROR(INDEX(ISO_TOL,MATCH(T390,ISO_DESDE,1)),0)</f>
        <v>0</v>
      </c>
      <c r="V390" s="44" t="n">
        <f aca="false">IF(T390&gt;0,U390/T390,0)</f>
        <v>0</v>
      </c>
    </row>
    <row r="391" customFormat="false" ht="15" hidden="false" customHeight="false" outlineLevel="2" collapsed="false">
      <c r="A391" s="35" t="n">
        <v>2</v>
      </c>
      <c r="B391" s="36" t="s">
        <v>714</v>
      </c>
      <c r="C391" s="37" t="s">
        <v>384</v>
      </c>
      <c r="D391" s="36" t="s">
        <v>32</v>
      </c>
      <c r="E391" s="36" t="str">
        <f aca="false">INDEX(REF_DATO,MATCH(D391,REF_ID,0))</f>
        <v>PVC rígido, vinilo y papeles de identificación</v>
      </c>
      <c r="F391" s="38" t="n">
        <v>1</v>
      </c>
      <c r="G391" s="35" t="s">
        <v>264</v>
      </c>
      <c r="H391" s="39" t="n">
        <f aca="false">INDEX(REF_VAL,MATCH(D391,REF_ID,0))</f>
        <v>1.4</v>
      </c>
      <c r="I391" s="40" t="n">
        <f aca="false">F391*J391</f>
        <v>0.00231177692307717</v>
      </c>
      <c r="J391" s="40" t="n">
        <v>0.00231177692307717</v>
      </c>
      <c r="K391" s="40" t="n">
        <f aca="false">I391*(1-V391)</f>
        <v>0.00231177692307717</v>
      </c>
      <c r="L391" s="40" t="n">
        <f aca="false">I391*(1+V391)</f>
        <v>0.00231177692307717</v>
      </c>
      <c r="M391" s="40" t="n">
        <f aca="false">F391*N391</f>
        <v>0.00323648769230803</v>
      </c>
      <c r="N391" s="40" t="n">
        <f aca="false">J391*H391</f>
        <v>0.00323648769230803</v>
      </c>
      <c r="O391" s="40" t="n">
        <f aca="false">K391*Q391</f>
        <v>0.00312089884615417</v>
      </c>
      <c r="P391" s="40" t="n">
        <f aca="false">L391*R391</f>
        <v>0.00335207653846189</v>
      </c>
      <c r="Q391" s="39" t="n">
        <f aca="false">INDEX(REF_MIN,MATCH(D391,REF_ID,0))</f>
        <v>1.35</v>
      </c>
      <c r="R391" s="39" t="n">
        <f aca="false">INDEX(REF_MAX,MATCH(D391,REF_ID,0))</f>
        <v>1.45</v>
      </c>
      <c r="S391" s="41" t="n">
        <v>1.55289107692308</v>
      </c>
      <c r="T391" s="42" t="n">
        <f aca="false">200*J391/S391</f>
        <v>0.297738451515576</v>
      </c>
      <c r="U391" s="43" t="n">
        <f aca="false">IFERROR(INDEX(ISO_TOL,MATCH(T391,ISO_DESDE,1)),0)</f>
        <v>0</v>
      </c>
      <c r="V391" s="44" t="n">
        <f aca="false">IF(T391&gt;0,U391/T391,0)</f>
        <v>0</v>
      </c>
    </row>
    <row r="392" customFormat="false" ht="15" hidden="false" customHeight="false" outlineLevel="2" collapsed="false">
      <c r="A392" s="35" t="n">
        <v>2</v>
      </c>
      <c r="B392" s="36" t="s">
        <v>715</v>
      </c>
      <c r="C392" s="37" t="s">
        <v>326</v>
      </c>
      <c r="D392" s="36" t="s">
        <v>32</v>
      </c>
      <c r="E392" s="36" t="str">
        <f aca="false">INDEX(REF_DATO,MATCH(D392,REF_ID,0))</f>
        <v>PVC rígido, vinilo y papeles de identificación</v>
      </c>
      <c r="F392" s="38" t="n">
        <v>1</v>
      </c>
      <c r="G392" s="35" t="s">
        <v>264</v>
      </c>
      <c r="H392" s="39" t="n">
        <f aca="false">INDEX(REF_VAL,MATCH(D392,REF_ID,0))</f>
        <v>1.4</v>
      </c>
      <c r="I392" s="40" t="n">
        <f aca="false">F392*J392</f>
        <v>0.000337759615384638</v>
      </c>
      <c r="J392" s="40" t="n">
        <v>0.000337759615384638</v>
      </c>
      <c r="K392" s="40" t="n">
        <f aca="false">I392*(1-V392)</f>
        <v>0.000337759615384638</v>
      </c>
      <c r="L392" s="40" t="n">
        <f aca="false">I392*(1+V392)</f>
        <v>0.000337759615384638</v>
      </c>
      <c r="M392" s="40" t="n">
        <f aca="false">F392*N392</f>
        <v>0.000472863461538494</v>
      </c>
      <c r="N392" s="40" t="n">
        <f aca="false">J392*H392</f>
        <v>0.000472863461538494</v>
      </c>
      <c r="O392" s="40" t="n">
        <f aca="false">K392*Q392</f>
        <v>0.000455975480769262</v>
      </c>
      <c r="P392" s="40" t="n">
        <f aca="false">L392*R392</f>
        <v>0.000489751442307726</v>
      </c>
      <c r="Q392" s="39" t="n">
        <f aca="false">INDEX(REF_MIN,MATCH(D392,REF_ID,0))</f>
        <v>1.35</v>
      </c>
      <c r="R392" s="39" t="n">
        <f aca="false">INDEX(REF_MAX,MATCH(D392,REF_ID,0))</f>
        <v>1.45</v>
      </c>
      <c r="S392" s="41" t="n">
        <v>0.229375153846154</v>
      </c>
      <c r="T392" s="42" t="n">
        <f aca="false">200*J392/S392</f>
        <v>0.294504099263671</v>
      </c>
      <c r="U392" s="43" t="n">
        <f aca="false">IFERROR(INDEX(ISO_TOL,MATCH(T392,ISO_DESDE,1)),0)</f>
        <v>0</v>
      </c>
      <c r="V392" s="44" t="n">
        <f aca="false">IF(T392&gt;0,U392/T392,0)</f>
        <v>0</v>
      </c>
    </row>
    <row r="393" customFormat="false" ht="15" hidden="false" customHeight="false" outlineLevel="2" collapsed="false">
      <c r="A393" s="35" t="n">
        <v>2</v>
      </c>
      <c r="B393" s="36" t="s">
        <v>716</v>
      </c>
      <c r="C393" s="37" t="s">
        <v>328</v>
      </c>
      <c r="D393" s="36" t="s">
        <v>32</v>
      </c>
      <c r="E393" s="36" t="str">
        <f aca="false">INDEX(REF_DATO,MATCH(D393,REF_ID,0))</f>
        <v>PVC rígido, vinilo y papeles de identificación</v>
      </c>
      <c r="F393" s="38" t="n">
        <v>1</v>
      </c>
      <c r="G393" s="35" t="s">
        <v>264</v>
      </c>
      <c r="H393" s="39" t="n">
        <f aca="false">INDEX(REF_VAL,MATCH(D393,REF_ID,0))</f>
        <v>1.4</v>
      </c>
      <c r="I393" s="40" t="n">
        <f aca="false">F393*J393</f>
        <v>0.000281259725807039</v>
      </c>
      <c r="J393" s="40" t="n">
        <v>0.000281259725807039</v>
      </c>
      <c r="K393" s="40" t="n">
        <f aca="false">I393*(1-V393)</f>
        <v>0.000281259725807039</v>
      </c>
      <c r="L393" s="40" t="n">
        <f aca="false">I393*(1+V393)</f>
        <v>0.000281259725807039</v>
      </c>
      <c r="M393" s="40" t="n">
        <f aca="false">F393*N393</f>
        <v>0.000393763616129854</v>
      </c>
      <c r="N393" s="40" t="n">
        <f aca="false">J393*H393</f>
        <v>0.000393763616129854</v>
      </c>
      <c r="O393" s="40" t="n">
        <f aca="false">K393*Q393</f>
        <v>0.000379700629839502</v>
      </c>
      <c r="P393" s="40" t="n">
        <f aca="false">L393*R393</f>
        <v>0.000407826602420206</v>
      </c>
      <c r="Q393" s="39" t="n">
        <f aca="false">INDEX(REF_MIN,MATCH(D393,REF_ID,0))</f>
        <v>1.35</v>
      </c>
      <c r="R393" s="39" t="n">
        <f aca="false">INDEX(REF_MAX,MATCH(D393,REF_ID,0))</f>
        <v>1.45</v>
      </c>
      <c r="S393" s="41" t="n">
        <v>0.284334790645751</v>
      </c>
      <c r="T393" s="42" t="n">
        <f aca="false">200*J393/S393</f>
        <v>0.197837011199559</v>
      </c>
      <c r="U393" s="43" t="n">
        <f aca="false">IFERROR(INDEX(ISO_TOL,MATCH(T393,ISO_DESDE,1)),0)</f>
        <v>0</v>
      </c>
      <c r="V393" s="44" t="n">
        <f aca="false">IF(T393&gt;0,U393/T393,0)</f>
        <v>0</v>
      </c>
    </row>
    <row r="394" customFormat="false" ht="15" hidden="false" customHeight="false" outlineLevel="2" collapsed="false">
      <c r="A394" s="35" t="n">
        <v>2</v>
      </c>
      <c r="B394" s="36" t="s">
        <v>717</v>
      </c>
      <c r="C394" s="37" t="s">
        <v>330</v>
      </c>
      <c r="D394" s="36" t="s">
        <v>26</v>
      </c>
      <c r="E394" s="36" t="str">
        <f aca="false">INDEX(REF_DATO,MATCH(D394,REF_ID,0))</f>
        <v>Polipropileno</v>
      </c>
      <c r="F394" s="38" t="n">
        <v>1</v>
      </c>
      <c r="G394" s="35" t="s">
        <v>264</v>
      </c>
      <c r="H394" s="39" t="n">
        <f aca="false">INDEX(REF_VAL,MATCH(D394,REF_ID,0))</f>
        <v>0.9</v>
      </c>
      <c r="I394" s="40" t="n">
        <f aca="false">F394*J394</f>
        <v>0.000196349540849361</v>
      </c>
      <c r="J394" s="40" t="n">
        <v>0.000196349540849361</v>
      </c>
      <c r="K394" s="40" t="n">
        <f aca="false">I394*(1-V394)</f>
        <v>0.000186532063806892</v>
      </c>
      <c r="L394" s="40" t="n">
        <f aca="false">I394*(1+V394)</f>
        <v>0.000206167017891829</v>
      </c>
      <c r="M394" s="40" t="n">
        <f aca="false">F394*N394</f>
        <v>0.000176714586764424</v>
      </c>
      <c r="N394" s="40" t="n">
        <f aca="false">J394*H394</f>
        <v>0.000176714586764424</v>
      </c>
      <c r="O394" s="40" t="n">
        <f aca="false">K394*Q394</f>
        <v>0.000167878857426203</v>
      </c>
      <c r="P394" s="40" t="n">
        <f aca="false">L394*R394</f>
        <v>0.000187611986281564</v>
      </c>
      <c r="Q394" s="39" t="n">
        <f aca="false">INDEX(REF_MIN,MATCH(D394,REF_ID,0))</f>
        <v>0.9</v>
      </c>
      <c r="R394" s="39" t="n">
        <f aca="false">INDEX(REF_MAX,MATCH(D394,REF_ID,0))</f>
        <v>0.91</v>
      </c>
      <c r="S394" s="41" t="n">
        <v>0.0196349540849362</v>
      </c>
      <c r="T394" s="42" t="n">
        <f aca="false">200*J394/S394</f>
        <v>1.99999999999998</v>
      </c>
      <c r="U394" s="43" t="n">
        <f aca="false">IFERROR(INDEX(ISO_TOL,MATCH(T394,ISO_DESDE,1)),0)</f>
        <v>0.1</v>
      </c>
      <c r="V394" s="44" t="n">
        <f aca="false">IF(T394&gt;0,U394/T394,0)</f>
        <v>0.0500000000000004</v>
      </c>
    </row>
    <row r="395" customFormat="false" ht="15" hidden="false" customHeight="false" outlineLevel="1" collapsed="false">
      <c r="A395" s="25" t="n">
        <v>1</v>
      </c>
      <c r="B395" s="26" t="s">
        <v>718</v>
      </c>
      <c r="C395" s="27" t="s">
        <v>336</v>
      </c>
      <c r="D395" s="26"/>
      <c r="E395" s="26"/>
      <c r="F395" s="28" t="n">
        <v>1</v>
      </c>
      <c r="G395" s="25" t="s">
        <v>264</v>
      </c>
      <c r="H395" s="29"/>
      <c r="I395" s="30"/>
      <c r="J395" s="30"/>
      <c r="K395" s="30"/>
      <c r="L395" s="30"/>
      <c r="M395" s="30" t="str">
        <f aca="false">IF(SUMIF(A396:A399,2,M396:M399)=0,"",SUMIF(A396:A399,2,M396:M399))</f>
        <v/>
      </c>
      <c r="N395" s="30"/>
      <c r="O395" s="30" t="str">
        <f aca="false">IF(SUMIF(A396:A399,2,O396:O399)=0,"",SUMIF(A396:A399,2,O396:O399))</f>
        <v/>
      </c>
      <c r="P395" s="30" t="str">
        <f aca="false">IF(SUMIF(A396:A399,2,P396:P399)=0,"",SUMIF(A396:A399,2,P396:P399))</f>
        <v/>
      </c>
      <c r="Q395" s="29"/>
      <c r="R395" s="29"/>
      <c r="S395" s="31"/>
      <c r="T395" s="32"/>
      <c r="U395" s="33"/>
      <c r="V395" s="34"/>
    </row>
    <row r="396" customFormat="false" ht="15" hidden="false" customHeight="false" outlineLevel="2" collapsed="false">
      <c r="A396" s="35" t="n">
        <v>2</v>
      </c>
      <c r="B396" s="36" t="s">
        <v>719</v>
      </c>
      <c r="C396" s="37" t="s">
        <v>338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720</v>
      </c>
      <c r="C397" s="37" t="s">
        <v>340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721</v>
      </c>
      <c r="C398" s="37" t="s">
        <v>342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2" collapsed="false">
      <c r="A399" s="35" t="n">
        <v>2</v>
      </c>
      <c r="B399" s="36" t="s">
        <v>722</v>
      </c>
      <c r="C399" s="37" t="s">
        <v>344</v>
      </c>
      <c r="D399" s="36"/>
      <c r="E399" s="36"/>
      <c r="F399" s="38" t="n">
        <v>1</v>
      </c>
      <c r="G399" s="35" t="s">
        <v>264</v>
      </c>
      <c r="H399" s="39"/>
      <c r="I399" s="40"/>
      <c r="J399" s="40"/>
      <c r="K399" s="40"/>
      <c r="L399" s="40"/>
      <c r="M399" s="40"/>
      <c r="N399" s="40"/>
      <c r="O399" s="40"/>
      <c r="P399" s="40"/>
      <c r="Q399" s="39"/>
      <c r="R399" s="39"/>
      <c r="S399" s="41"/>
      <c r="T399" s="42"/>
      <c r="U399" s="43"/>
      <c r="V399" s="44"/>
    </row>
  </sheetData>
  <autoFilter ref="A1:V3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210</v>
      </c>
      <c r="C2" s="17" t="s">
        <v>211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IF(SUMIF(A3:A47,1,M3:M47)=0,"",SUMIF(A3:A47,1,M3:M47))</f>
        <v>13.4367162790783</v>
      </c>
      <c r="N2" s="20"/>
      <c r="O2" s="20" t="n">
        <f aca="false">IF(SUMIF(A3:A47,1,O3:O47)=0,"",SUMIF(A3:A47,1,O3:O47))</f>
        <v>12.7744434119914</v>
      </c>
      <c r="P2" s="20" t="n">
        <f aca="false">IF(SUMIF(A3:A47,1,P3:P47)=0,"",SUMIF(A3:A47,1,P3:P47))</f>
        <v>14.1009759626776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723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2.36793367259349</v>
      </c>
      <c r="N3" s="30"/>
      <c r="O3" s="30" t="n">
        <f aca="false">IF(SUMIF(A4:A7,2,O4:O7)=0,"",SUMIF(A4:A7,2,O4:O7))</f>
        <v>2.0771336365894</v>
      </c>
      <c r="P3" s="30" t="n">
        <f aca="false">IF(SUMIF(A4:A7,2,P4:P7)=0,"",SUMIF(A4:A7,2,P4:P7))</f>
        <v>2.65873370859758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724</v>
      </c>
      <c r="C4" s="37" t="s">
        <v>268</v>
      </c>
      <c r="D4" s="36" t="s">
        <v>14</v>
      </c>
      <c r="E4" s="36" t="str">
        <f aca="false">INDEX(REF_DATO,MATCH(D4,REF_ID,0))</f>
        <v>Acero inoxidable AISI 302 / 304</v>
      </c>
      <c r="F4" s="38" t="n">
        <v>1</v>
      </c>
      <c r="G4" s="35" t="s">
        <v>264</v>
      </c>
      <c r="H4" s="39" t="n">
        <f aca="false">INDEX(REF_VAL,MATCH(D4,REF_ID,0))</f>
        <v>7.93</v>
      </c>
      <c r="I4" s="40" t="n">
        <f aca="false">F4*J4</f>
        <v>0.229162345142752</v>
      </c>
      <c r="J4" s="40" t="n">
        <v>0.229162345142752</v>
      </c>
      <c r="K4" s="40" t="n">
        <f aca="false">I4*(1-V4)</f>
        <v>0.200465937846483</v>
      </c>
      <c r="L4" s="40" t="n">
        <f aca="false">I4*(1+V4)</f>
        <v>0.257858752439022</v>
      </c>
      <c r="M4" s="40" t="n">
        <f aca="false">F4*N4</f>
        <v>1.81725739698203</v>
      </c>
      <c r="N4" s="40" t="n">
        <f aca="false">J4*H4</f>
        <v>1.81725739698203</v>
      </c>
      <c r="O4" s="40" t="n">
        <f aca="false">K4*Q4</f>
        <v>1.58969488712261</v>
      </c>
      <c r="P4" s="40" t="n">
        <f aca="false">L4*R4</f>
        <v>2.04481990684144</v>
      </c>
      <c r="Q4" s="39" t="n">
        <f aca="false">INDEX(REF_MIN,MATCH(D4,REF_ID,0))</f>
        <v>7.93</v>
      </c>
      <c r="R4" s="39" t="n">
        <f aca="false">INDEX(REF_MAX,MATCH(D4,REF_ID,0))</f>
        <v>7.93</v>
      </c>
      <c r="S4" s="41" t="n">
        <v>57.3928145925389</v>
      </c>
      <c r="T4" s="42" t="n">
        <f aca="false">200*J4/S4</f>
        <v>0.798575036856768</v>
      </c>
      <c r="U4" s="43" t="n">
        <f aca="false">IFERROR(INDEX(ISO_TOL,MATCH(T4,ISO_DESDE,1)),0)</f>
        <v>0.1</v>
      </c>
      <c r="V4" s="44" t="n">
        <f aca="false">IF(T4&gt;0,U4/T4,0)</f>
        <v>0.12522304778472</v>
      </c>
    </row>
    <row r="5" customFormat="false" ht="15" hidden="false" customHeight="false" outlineLevel="2" collapsed="false">
      <c r="A5" s="35" t="n">
        <v>2</v>
      </c>
      <c r="B5" s="36" t="s">
        <v>725</v>
      </c>
      <c r="C5" s="37" t="s">
        <v>270</v>
      </c>
      <c r="D5" s="36" t="s">
        <v>14</v>
      </c>
      <c r="E5" s="36" t="str">
        <f aca="false">INDEX(REF_DATO,MATCH(D5,REF_ID,0))</f>
        <v>Acero inoxidable AISI 302 / 304</v>
      </c>
      <c r="F5" s="38" t="n">
        <v>1</v>
      </c>
      <c r="G5" s="35" t="s">
        <v>264</v>
      </c>
      <c r="H5" s="39" t="n">
        <f aca="false">INDEX(REF_VAL,MATCH(D5,REF_ID,0))</f>
        <v>7.93</v>
      </c>
      <c r="I5" s="40" t="n">
        <f aca="false">F5*J5</f>
        <v>0.0336536169764221</v>
      </c>
      <c r="J5" s="40" t="n">
        <v>0.0336536169764221</v>
      </c>
      <c r="K5" s="40" t="n">
        <f aca="false">I5*(1-V5)</f>
        <v>0.0292703439560348</v>
      </c>
      <c r="L5" s="40" t="n">
        <f aca="false">I5*(1+V5)</f>
        <v>0.0380368899968095</v>
      </c>
      <c r="M5" s="40" t="n">
        <f aca="false">F5*N5</f>
        <v>0.266873182623028</v>
      </c>
      <c r="N5" s="40" t="n">
        <f aca="false">J5*H5</f>
        <v>0.266873182623028</v>
      </c>
      <c r="O5" s="40" t="n">
        <f aca="false">K5*Q5</f>
        <v>0.232113827571356</v>
      </c>
      <c r="P5" s="40" t="n">
        <f aca="false">L5*R5</f>
        <v>0.301632537674699</v>
      </c>
      <c r="Q5" s="39" t="n">
        <f aca="false">INDEX(REF_MIN,MATCH(D5,REF_ID,0))</f>
        <v>7.93</v>
      </c>
      <c r="R5" s="39" t="n">
        <f aca="false">INDEX(REF_MAX,MATCH(D5,REF_ID,0))</f>
        <v>7.93</v>
      </c>
      <c r="S5" s="41" t="n">
        <v>8.76654604077466</v>
      </c>
      <c r="T5" s="42" t="n">
        <f aca="false">200*J5/S5</f>
        <v>0.767773689201964</v>
      </c>
      <c r="U5" s="43" t="n">
        <f aca="false">IFERROR(INDEX(ISO_TOL,MATCH(T5,ISO_DESDE,1)),0)</f>
        <v>0.1</v>
      </c>
      <c r="V5" s="44" t="n">
        <f aca="false">IF(T5&gt;0,U5/T5,0)</f>
        <v>0.130246713851241</v>
      </c>
    </row>
    <row r="6" customFormat="false" ht="15" hidden="false" customHeight="false" outlineLevel="2" collapsed="false">
      <c r="A6" s="35" t="n">
        <v>2</v>
      </c>
      <c r="B6" s="36" t="s">
        <v>726</v>
      </c>
      <c r="C6" s="37" t="s">
        <v>272</v>
      </c>
      <c r="D6" s="36" t="s">
        <v>14</v>
      </c>
      <c r="E6" s="36" t="str">
        <f aca="false">INDEX(REF_DATO,MATCH(D6,REF_ID,0))</f>
        <v>Acero inoxidable AISI 302 / 304</v>
      </c>
      <c r="F6" s="38" t="n">
        <v>1</v>
      </c>
      <c r="G6" s="35" t="s">
        <v>264</v>
      </c>
      <c r="H6" s="39" t="n">
        <f aca="false">INDEX(REF_VAL,MATCH(D6,REF_ID,0))</f>
        <v>7.93</v>
      </c>
      <c r="I6" s="40" t="n">
        <f aca="false">F6*J6</f>
        <v>0.0289970511022257</v>
      </c>
      <c r="J6" s="40" t="n">
        <v>0.0289970511022257</v>
      </c>
      <c r="K6" s="40" t="n">
        <f aca="false">I6*(1-V6)</f>
        <v>0.02561224422016</v>
      </c>
      <c r="L6" s="40" t="n">
        <f aca="false">I6*(1+V6)</f>
        <v>0.0323818579842914</v>
      </c>
      <c r="M6" s="40" t="n">
        <f aca="false">F6*N6</f>
        <v>0.22994661524065</v>
      </c>
      <c r="N6" s="40" t="n">
        <f aca="false">J6*H6</f>
        <v>0.22994661524065</v>
      </c>
      <c r="O6" s="40" t="n">
        <f aca="false">K6*Q6</f>
        <v>0.203105096665868</v>
      </c>
      <c r="P6" s="40" t="n">
        <f aca="false">L6*R6</f>
        <v>0.256788133815431</v>
      </c>
      <c r="Q6" s="39" t="n">
        <f aca="false">INDEX(REF_MIN,MATCH(D6,REF_ID,0))</f>
        <v>7.93</v>
      </c>
      <c r="R6" s="39" t="n">
        <f aca="false">INDEX(REF_MAX,MATCH(D6,REF_ID,0))</f>
        <v>7.93</v>
      </c>
      <c r="S6" s="41" t="n">
        <v>6.76961376413148</v>
      </c>
      <c r="T6" s="42" t="n">
        <f aca="false">200*J6/S6</f>
        <v>0.856682585227104</v>
      </c>
      <c r="U6" s="43" t="n">
        <f aca="false">IFERROR(INDEX(ISO_TOL,MATCH(T6,ISO_DESDE,1)),0)</f>
        <v>0.1</v>
      </c>
      <c r="V6" s="44" t="n">
        <f aca="false">IF(T6&gt;0,U6/T6,0)</f>
        <v>0.11672934844764</v>
      </c>
    </row>
    <row r="7" customFormat="false" ht="15" hidden="false" customHeight="false" outlineLevel="2" collapsed="false">
      <c r="A7" s="35" t="n">
        <v>2</v>
      </c>
      <c r="B7" s="36" t="s">
        <v>727</v>
      </c>
      <c r="C7" s="37" t="s">
        <v>274</v>
      </c>
      <c r="D7" s="36" t="s">
        <v>14</v>
      </c>
      <c r="E7" s="36" t="str">
        <f aca="false">INDEX(REF_DATO,MATCH(D7,REF_ID,0))</f>
        <v>Acero inoxidable AISI 302 / 304</v>
      </c>
      <c r="F7" s="38" t="n">
        <v>1</v>
      </c>
      <c r="G7" s="35" t="s">
        <v>264</v>
      </c>
      <c r="H7" s="39" t="n">
        <f aca="false">INDEX(REF_VAL,MATCH(D7,REF_ID,0))</f>
        <v>7.93</v>
      </c>
      <c r="I7" s="40" t="n">
        <f aca="false">F7*J7</f>
        <v>0.00679148521409653</v>
      </c>
      <c r="J7" s="40" t="n">
        <v>0.00679148521409653</v>
      </c>
      <c r="K7" s="40" t="n">
        <f aca="false">I7*(1-V7)</f>
        <v>0.00658509775908795</v>
      </c>
      <c r="L7" s="40" t="n">
        <f aca="false">I7*(1+V7)</f>
        <v>0.00699787266910512</v>
      </c>
      <c r="M7" s="40" t="n">
        <f aca="false">F7*N7</f>
        <v>0.0538564777477855</v>
      </c>
      <c r="N7" s="40" t="n">
        <f aca="false">J7*H7</f>
        <v>0.0538564777477855</v>
      </c>
      <c r="O7" s="40" t="n">
        <f aca="false">K7*Q7</f>
        <v>0.0522198252295675</v>
      </c>
      <c r="P7" s="40" t="n">
        <f aca="false">L7*R7</f>
        <v>0.0554931302660036</v>
      </c>
      <c r="Q7" s="39" t="n">
        <f aca="false">INDEX(REF_MIN,MATCH(D7,REF_ID,0))</f>
        <v>7.93</v>
      </c>
      <c r="R7" s="39" t="n">
        <f aca="false">INDEX(REF_MAX,MATCH(D7,REF_ID,0))</f>
        <v>7.93</v>
      </c>
      <c r="S7" s="41" t="n">
        <v>0.412774910017163</v>
      </c>
      <c r="T7" s="42" t="n">
        <f aca="false">200*J7/S7</f>
        <v>3.29064826823614</v>
      </c>
      <c r="U7" s="43" t="n">
        <f aca="false">IFERROR(INDEX(ISO_TOL,MATCH(T7,ISO_DESDE,1)),0)</f>
        <v>0.1</v>
      </c>
      <c r="V7" s="44" t="n">
        <f aca="false">IF(T7&gt;0,U7/T7,0)</f>
        <v>0.0303891488389314</v>
      </c>
    </row>
    <row r="8" customFormat="false" ht="15" hidden="false" customHeight="false" outlineLevel="1" collapsed="false">
      <c r="A8" s="25" t="n">
        <v>1</v>
      </c>
      <c r="B8" s="26" t="s">
        <v>728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0.407328261355137</v>
      </c>
      <c r="N8" s="30"/>
      <c r="O8" s="30" t="n">
        <f aca="false">IF(SUMIF(A9:A23,2,O9:O23)=0,"",SUMIF(A9:A23,2,O9:O23))</f>
        <v>0.380670753881881</v>
      </c>
      <c r="P8" s="30" t="n">
        <f aca="false">IF(SUMIF(A9:A23,2,P9:P23)=0,"",SUMIF(A9:A23,2,P9:P23))</f>
        <v>0.434574440673038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729</v>
      </c>
      <c r="C9" s="37" t="s">
        <v>284</v>
      </c>
      <c r="D9" s="36" t="s">
        <v>17</v>
      </c>
      <c r="E9" s="36" t="str">
        <f aca="false">INDEX(REF_DATO,MATCH(D9,REF_ID,0))</f>
        <v>Latón de forja (CuZn39Pb2 / C37700)</v>
      </c>
      <c r="F9" s="38" t="n">
        <v>1</v>
      </c>
      <c r="G9" s="35" t="s">
        <v>264</v>
      </c>
      <c r="H9" s="39" t="n">
        <f aca="false">INDEX(REF_VAL,MATCH(D9,REF_ID,0))</f>
        <v>8.45</v>
      </c>
      <c r="I9" s="40" t="n">
        <f aca="false">F9*J9</f>
        <v>0.00289757599381456</v>
      </c>
      <c r="J9" s="40" t="n">
        <v>0.00289757599381456</v>
      </c>
      <c r="K9" s="40" t="n">
        <f aca="false">I9*(1-V9)</f>
        <v>0.00278053562775289</v>
      </c>
      <c r="L9" s="40" t="n">
        <f aca="false">I9*(1+V9)</f>
        <v>0.00301461635987624</v>
      </c>
      <c r="M9" s="40" t="n">
        <f aca="false">F9*N9</f>
        <v>0.0244845171477331</v>
      </c>
      <c r="N9" s="40" t="n">
        <f aca="false">J9*H9</f>
        <v>0.0244845171477331</v>
      </c>
      <c r="O9" s="40" t="n">
        <f aca="false">K9*Q9</f>
        <v>0.0233564992731243</v>
      </c>
      <c r="P9" s="40" t="n">
        <f aca="false">L9*R9</f>
        <v>0.025624239058948</v>
      </c>
      <c r="Q9" s="39" t="n">
        <f aca="false">INDEX(REF_MIN,MATCH(D9,REF_ID,0))</f>
        <v>8.4</v>
      </c>
      <c r="R9" s="39" t="n">
        <f aca="false">INDEX(REF_MAX,MATCH(D9,REF_ID,0))</f>
        <v>8.5</v>
      </c>
      <c r="S9" s="41" t="n">
        <v>0.234080732123344</v>
      </c>
      <c r="T9" s="42" t="n">
        <f aca="false">200*J9/S9</f>
        <v>2.47570653725378</v>
      </c>
      <c r="U9" s="43" t="n">
        <f aca="false">IFERROR(INDEX(ISO_TOL,MATCH(T9,ISO_DESDE,1)),0)</f>
        <v>0.1</v>
      </c>
      <c r="V9" s="44" t="n">
        <f aca="false">IF(T9&gt;0,U9/T9,0)</f>
        <v>0.0403925095705919</v>
      </c>
    </row>
    <row r="10" customFormat="false" ht="15" hidden="false" customHeight="false" outlineLevel="2" collapsed="false">
      <c r="A10" s="35" t="n">
        <v>2</v>
      </c>
      <c r="B10" s="36" t="s">
        <v>730</v>
      </c>
      <c r="C10" s="37" t="s">
        <v>286</v>
      </c>
      <c r="D10" s="36" t="s">
        <v>17</v>
      </c>
      <c r="E10" s="36" t="str">
        <f aca="false">INDEX(REF_DATO,MATCH(D10,REF_ID,0))</f>
        <v>Latón de forja (CuZn39Pb2 / C37700)</v>
      </c>
      <c r="F10" s="38" t="n">
        <v>1</v>
      </c>
      <c r="G10" s="35" t="s">
        <v>264</v>
      </c>
      <c r="H10" s="39" t="n">
        <f aca="false">INDEX(REF_VAL,MATCH(D10,REF_ID,0))</f>
        <v>8.45</v>
      </c>
      <c r="I10" s="40" t="n">
        <f aca="false">F10*J10</f>
        <v>0.000622782069311974</v>
      </c>
      <c r="J10" s="40" t="n">
        <v>0.000622782069311974</v>
      </c>
      <c r="K10" s="40" t="n">
        <f aca="false">I10*(1-V10)</f>
        <v>0.000575019978783558</v>
      </c>
      <c r="L10" s="40" t="n">
        <f aca="false">I10*(1+V10)</f>
        <v>0.00067054415984039</v>
      </c>
      <c r="M10" s="40" t="n">
        <f aca="false">F10*N10</f>
        <v>0.00526250848568618</v>
      </c>
      <c r="N10" s="40" t="n">
        <f aca="false">J10*H10</f>
        <v>0.00526250848568618</v>
      </c>
      <c r="O10" s="40" t="n">
        <f aca="false">K10*Q10</f>
        <v>0.00483016782178189</v>
      </c>
      <c r="P10" s="40" t="n">
        <f aca="false">L10*R10</f>
        <v>0.00569962535864331</v>
      </c>
      <c r="Q10" s="39" t="n">
        <f aca="false">INDEX(REF_MIN,MATCH(D10,REF_ID,0))</f>
        <v>8.4</v>
      </c>
      <c r="R10" s="39" t="n">
        <f aca="false">INDEX(REF_MAX,MATCH(D10,REF_ID,0))</f>
        <v>8.5</v>
      </c>
      <c r="S10" s="41" t="n">
        <v>0.095524181056832</v>
      </c>
      <c r="T10" s="42" t="n">
        <f aca="false">200*J10/S10</f>
        <v>1.3039254823686</v>
      </c>
      <c r="U10" s="43" t="n">
        <f aca="false">IFERROR(INDEX(ISO_TOL,MATCH(T10,ISO_DESDE,1)),0)</f>
        <v>0.1</v>
      </c>
      <c r="V10" s="44" t="n">
        <f aca="false">IF(T10&gt;0,U10/T10,0)</f>
        <v>0.0766914991325645</v>
      </c>
    </row>
    <row r="11" customFormat="false" ht="15" hidden="false" customHeight="false" outlineLevel="2" collapsed="false">
      <c r="A11" s="35" t="n">
        <v>2</v>
      </c>
      <c r="B11" s="36" t="s">
        <v>731</v>
      </c>
      <c r="C11" s="37" t="s">
        <v>288</v>
      </c>
      <c r="D11" s="36" t="s">
        <v>17</v>
      </c>
      <c r="E11" s="36" t="str">
        <f aca="false">INDEX(REF_DATO,MATCH(D11,REF_ID,0))</f>
        <v>Latón de forja (CuZn39Pb2 / C37700)</v>
      </c>
      <c r="F11" s="38" t="n">
        <v>1</v>
      </c>
      <c r="G11" s="35" t="s">
        <v>264</v>
      </c>
      <c r="H11" s="39" t="n">
        <f aca="false">INDEX(REF_VAL,MATCH(D11,REF_ID,0))</f>
        <v>8.45</v>
      </c>
      <c r="I11" s="40" t="n">
        <f aca="false">F11*J11</f>
        <v>0.0157211778450524</v>
      </c>
      <c r="J11" s="40" t="n">
        <v>0.0157211778450524</v>
      </c>
      <c r="K11" s="40" t="n">
        <f aca="false">I11*(1-V11)</f>
        <v>0.0154591130500677</v>
      </c>
      <c r="L11" s="40" t="n">
        <f aca="false">I11*(1+V11)</f>
        <v>0.0159832426400371</v>
      </c>
      <c r="M11" s="40" t="n">
        <f aca="false">F11*N11</f>
        <v>0.132843952790693</v>
      </c>
      <c r="N11" s="40" t="n">
        <f aca="false">J11*H11</f>
        <v>0.132843952790693</v>
      </c>
      <c r="O11" s="40" t="n">
        <f aca="false">K11*Q11</f>
        <v>0.129856549620569</v>
      </c>
      <c r="P11" s="40" t="n">
        <f aca="false">L11*R11</f>
        <v>0.135857562440316</v>
      </c>
      <c r="Q11" s="39" t="n">
        <f aca="false">INDEX(REF_MIN,MATCH(D11,REF_ID,0))</f>
        <v>8.4</v>
      </c>
      <c r="R11" s="39" t="n">
        <f aca="false">INDEX(REF_MAX,MATCH(D11,REF_ID,0))</f>
        <v>8.5</v>
      </c>
      <c r="S11" s="41" t="n">
        <v>0.524129589969411</v>
      </c>
      <c r="T11" s="42" t="n">
        <f aca="false">200*J11/S11</f>
        <v>5.99896596029617</v>
      </c>
      <c r="U11" s="43" t="n">
        <f aca="false">IFERROR(INDEX(ISO_TOL,MATCH(T11,ISO_DESDE,1)),0)</f>
        <v>0.1</v>
      </c>
      <c r="V11" s="44" t="n">
        <f aca="false">IF(T11&gt;0,U11/T11,0)</f>
        <v>0.0166695394942803</v>
      </c>
    </row>
    <row r="12" customFormat="false" ht="15" hidden="false" customHeight="false" outlineLevel="2" collapsed="false">
      <c r="A12" s="35" t="n">
        <v>2</v>
      </c>
      <c r="B12" s="36" t="s">
        <v>732</v>
      </c>
      <c r="C12" s="37" t="s">
        <v>278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733</v>
      </c>
      <c r="C13" s="37" t="s">
        <v>290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0.00162231844631377</v>
      </c>
      <c r="J13" s="40" t="n">
        <v>0.00162231844631377</v>
      </c>
      <c r="K13" s="40" t="n">
        <f aca="false">I13*(1-V13)</f>
        <v>0.0015672149111698</v>
      </c>
      <c r="L13" s="40" t="n">
        <f aca="false">I13*(1+V13)</f>
        <v>0.00167742198145773</v>
      </c>
      <c r="M13" s="40" t="n">
        <f aca="false">F13*N13</f>
        <v>0.0137085908713513</v>
      </c>
      <c r="N13" s="40" t="n">
        <f aca="false">J13*H13</f>
        <v>0.0137085908713513</v>
      </c>
      <c r="O13" s="40" t="n">
        <f aca="false">K13*Q13</f>
        <v>0.0131646052538263</v>
      </c>
      <c r="P13" s="40" t="n">
        <f aca="false">L13*R13</f>
        <v>0.0142580868423907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0.11020707028793</v>
      </c>
      <c r="T13" s="42" t="n">
        <f aca="false">200*J13/S13</f>
        <v>2.94412770809578</v>
      </c>
      <c r="U13" s="43" t="n">
        <f aca="false">IFERROR(INDEX(ISO_TOL,MATCH(T13,ISO_DESDE,1)),0)</f>
        <v>0.1</v>
      </c>
      <c r="V13" s="44" t="n">
        <f aca="false">IF(T13&gt;0,U13/T13,0)</f>
        <v>0.0339659178931061</v>
      </c>
    </row>
    <row r="14" customFormat="false" ht="15" hidden="false" customHeight="false" outlineLevel="2" collapsed="false">
      <c r="A14" s="35" t="n">
        <v>2</v>
      </c>
      <c r="B14" s="36" t="s">
        <v>734</v>
      </c>
      <c r="C14" s="37" t="s">
        <v>292</v>
      </c>
      <c r="D14" s="36" t="s">
        <v>14</v>
      </c>
      <c r="E14" s="36" t="str">
        <f aca="false">INDEX(REF_DATO,MATCH(D14,REF_ID,0))</f>
        <v>Acero inoxidable AISI 302 / 304</v>
      </c>
      <c r="F14" s="38" t="n">
        <v>1</v>
      </c>
      <c r="G14" s="35" t="s">
        <v>264</v>
      </c>
      <c r="H14" s="39" t="n">
        <f aca="false">INDEX(REF_VAL,MATCH(D14,REF_ID,0))</f>
        <v>7.93</v>
      </c>
      <c r="I14" s="40" t="n">
        <f aca="false">F14*J14</f>
        <v>0.000611811346278937</v>
      </c>
      <c r="J14" s="40" t="n">
        <v>0.000611811346278937</v>
      </c>
      <c r="K14" s="40" t="n">
        <f aca="false">I14*(1-V14)</f>
        <v>0.000611811346278937</v>
      </c>
      <c r="L14" s="40" t="n">
        <f aca="false">I14*(1+V14)</f>
        <v>0.000611811346278937</v>
      </c>
      <c r="M14" s="40" t="n">
        <f aca="false">F14*N14</f>
        <v>0.00485166397599197</v>
      </c>
      <c r="N14" s="40" t="n">
        <f aca="false">J14*H14</f>
        <v>0.00485166397599197</v>
      </c>
      <c r="O14" s="40" t="n">
        <f aca="false">K14*Q14</f>
        <v>0.00485166397599197</v>
      </c>
      <c r="P14" s="40" t="n">
        <f aca="false">L14*R14</f>
        <v>0.00485166397599197</v>
      </c>
      <c r="Q14" s="39" t="n">
        <f aca="false">INDEX(REF_MIN,MATCH(D14,REF_ID,0))</f>
        <v>7.93</v>
      </c>
      <c r="R14" s="39" t="n">
        <f aca="false">INDEX(REF_MAX,MATCH(D14,REF_ID,0))</f>
        <v>7.93</v>
      </c>
      <c r="S14" s="41" t="n">
        <v>0.606955700673548</v>
      </c>
      <c r="T14" s="42" t="n">
        <f aca="false">200*J14/S14</f>
        <v>0.2016</v>
      </c>
      <c r="U14" s="43" t="n">
        <f aca="false">IFERROR(INDEX(ISO_TOL,MATCH(T14,ISO_DESDE,1)),0)</f>
        <v>0</v>
      </c>
      <c r="V14" s="44" t="n">
        <f aca="false">IF(T14&gt;0,U14/T14,0)</f>
        <v>0</v>
      </c>
    </row>
    <row r="15" customFormat="false" ht="15" hidden="false" customHeight="false" outlineLevel="2" collapsed="false">
      <c r="A15" s="35" t="n">
        <v>2</v>
      </c>
      <c r="B15" s="36" t="s">
        <v>735</v>
      </c>
      <c r="C15" s="37" t="s">
        <v>294</v>
      </c>
      <c r="D15" s="36" t="s">
        <v>14</v>
      </c>
      <c r="E15" s="36" t="str">
        <f aca="false">INDEX(REF_DATO,MATCH(D15,REF_ID,0))</f>
        <v>Acero inoxidable AISI 302 / 304</v>
      </c>
      <c r="F15" s="38" t="n">
        <v>1</v>
      </c>
      <c r="G15" s="35" t="s">
        <v>264</v>
      </c>
      <c r="H15" s="39" t="n">
        <f aca="false">INDEX(REF_VAL,MATCH(D15,REF_ID,0))</f>
        <v>7.93</v>
      </c>
      <c r="I15" s="40" t="n">
        <f aca="false">F15*J15</f>
        <v>0.000414690230273852</v>
      </c>
      <c r="J15" s="40" t="n">
        <v>0.000414690230273852</v>
      </c>
      <c r="K15" s="40" t="n">
        <f aca="false">I15*(1-V15)</f>
        <v>0.000392699081698723</v>
      </c>
      <c r="L15" s="40" t="n">
        <f aca="false">I15*(1+V15)</f>
        <v>0.00043668137884898</v>
      </c>
      <c r="M15" s="40" t="n">
        <f aca="false">F15*N15</f>
        <v>0.00328849352607164</v>
      </c>
      <c r="N15" s="40" t="n">
        <f aca="false">J15*H15</f>
        <v>0.00328849352607164</v>
      </c>
      <c r="O15" s="40" t="n">
        <f aca="false">K15*Q15</f>
        <v>0.00311410371787087</v>
      </c>
      <c r="P15" s="40" t="n">
        <f aca="false">L15*R15</f>
        <v>0.00346288333427241</v>
      </c>
      <c r="Q15" s="39" t="n">
        <f aca="false">INDEX(REF_MIN,MATCH(D15,REF_ID,0))</f>
        <v>7.93</v>
      </c>
      <c r="R15" s="39" t="n">
        <f aca="false">INDEX(REF_MAX,MATCH(D15,REF_ID,0))</f>
        <v>7.93</v>
      </c>
      <c r="S15" s="41" t="n">
        <v>0.0439822971502571</v>
      </c>
      <c r="T15" s="42" t="n">
        <f aca="false">200*J15/S15</f>
        <v>1.88571428571428</v>
      </c>
      <c r="U15" s="43" t="n">
        <f aca="false">IFERROR(INDEX(ISO_TOL,MATCH(T15,ISO_DESDE,1)),0)</f>
        <v>0.1</v>
      </c>
      <c r="V15" s="44" t="n">
        <f aca="false">IF(T15&gt;0,U15/T15,0)</f>
        <v>0.0530303030303032</v>
      </c>
    </row>
    <row r="16" customFormat="false" ht="15" hidden="false" customHeight="false" outlineLevel="2" collapsed="false">
      <c r="A16" s="35" t="n">
        <v>2</v>
      </c>
      <c r="B16" s="36" t="s">
        <v>736</v>
      </c>
      <c r="C16" s="37" t="s">
        <v>296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0.000697299378579932</v>
      </c>
      <c r="J16" s="40" t="n">
        <v>0.000697299378579932</v>
      </c>
      <c r="K16" s="40" t="n">
        <f aca="false">I16*(1-V16)</f>
        <v>0.000650528229896073</v>
      </c>
      <c r="L16" s="40" t="n">
        <f aca="false">I16*(1+V16)</f>
        <v>0.000744070527263791</v>
      </c>
      <c r="M16" s="40" t="n">
        <f aca="false">F16*N16</f>
        <v>0.00552958407213886</v>
      </c>
      <c r="N16" s="40" t="n">
        <f aca="false">J16*H16</f>
        <v>0.00552958407213886</v>
      </c>
      <c r="O16" s="40" t="n">
        <f aca="false">K16*Q16</f>
        <v>0.00515868886307586</v>
      </c>
      <c r="P16" s="40" t="n">
        <f aca="false">L16*R16</f>
        <v>0.00590047928120186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0.0935422973677176</v>
      </c>
      <c r="T16" s="42" t="n">
        <f aca="false">200*J16/S16</f>
        <v>1.49087503343825</v>
      </c>
      <c r="U16" s="43" t="n">
        <f aca="false">IFERROR(INDEX(ISO_TOL,MATCH(T16,ISO_DESDE,1)),0)</f>
        <v>0.1</v>
      </c>
      <c r="V16" s="44" t="n">
        <f aca="false">IF(T16&gt;0,U16/T16,0)</f>
        <v>0.0670747029476915</v>
      </c>
    </row>
    <row r="17" customFormat="false" ht="15" hidden="false" customHeight="false" outlineLevel="2" collapsed="false">
      <c r="A17" s="35" t="n">
        <v>2</v>
      </c>
      <c r="B17" s="36" t="s">
        <v>737</v>
      </c>
      <c r="C17" s="37" t="s">
        <v>298</v>
      </c>
      <c r="D17" s="36" t="s">
        <v>10</v>
      </c>
      <c r="E17" s="36" t="str">
        <f aca="false">INDEX(REF_DATO,MATCH(D17,REF_ID,0))</f>
        <v>Acero (chapa LAC/LAF, SAE 1010/1045)</v>
      </c>
      <c r="F17" s="38" t="n">
        <v>1</v>
      </c>
      <c r="G17" s="35" t="s">
        <v>264</v>
      </c>
      <c r="H17" s="39" t="n">
        <f aca="false">INDEX(REF_VAL,MATCH(D17,REF_ID,0))</f>
        <v>7.85</v>
      </c>
      <c r="I17" s="40" t="n">
        <f aca="false">F17*J17</f>
        <v>0.012220819477271</v>
      </c>
      <c r="J17" s="40" t="n">
        <v>0.012220819477271</v>
      </c>
      <c r="K17" s="40" t="n">
        <f aca="false">I17*(1-V17)</f>
        <v>0.010915142066049</v>
      </c>
      <c r="L17" s="40" t="n">
        <f aca="false">I17*(1+V17)</f>
        <v>0.0135264968884931</v>
      </c>
      <c r="M17" s="40" t="n">
        <f aca="false">F17*N17</f>
        <v>0.0959334328965777</v>
      </c>
      <c r="N17" s="40" t="n">
        <f aca="false">J17*H17</f>
        <v>0.0959334328965777</v>
      </c>
      <c r="O17" s="40" t="n">
        <f aca="false">K17*Q17</f>
        <v>0.0856838652184844</v>
      </c>
      <c r="P17" s="40" t="n">
        <f aca="false">L17*R17</f>
        <v>0.106183000574671</v>
      </c>
      <c r="Q17" s="39" t="n">
        <f aca="false">INDEX(REF_MIN,MATCH(D17,REF_ID,0))</f>
        <v>7.85</v>
      </c>
      <c r="R17" s="39" t="n">
        <f aca="false">INDEX(REF_MAX,MATCH(D17,REF_ID,0))</f>
        <v>7.85</v>
      </c>
      <c r="S17" s="41" t="n">
        <v>2.61135482244415</v>
      </c>
      <c r="T17" s="42" t="n">
        <f aca="false">200*J17/S17</f>
        <v>0.935975408032274</v>
      </c>
      <c r="U17" s="43" t="n">
        <f aca="false">IFERROR(INDEX(ISO_TOL,MATCH(T17,ISO_DESDE,1)),0)</f>
        <v>0.1</v>
      </c>
      <c r="V17" s="44" t="n">
        <f aca="false">IF(T17&gt;0,U17/T17,0)</f>
        <v>0.106840413905994</v>
      </c>
    </row>
    <row r="18" customFormat="false" ht="15" hidden="false" customHeight="false" outlineLevel="2" collapsed="false">
      <c r="A18" s="35" t="n">
        <v>2</v>
      </c>
      <c r="B18" s="36" t="s">
        <v>738</v>
      </c>
      <c r="C18" s="37" t="s">
        <v>300</v>
      </c>
      <c r="D18" s="36" t="s">
        <v>10</v>
      </c>
      <c r="E18" s="36" t="str">
        <f aca="false">INDEX(REF_DATO,MATCH(D18,REF_ID,0))</f>
        <v>Acero (chapa LAC/LAF, SAE 1010/1045)</v>
      </c>
      <c r="F18" s="38" t="n">
        <v>1</v>
      </c>
      <c r="G18" s="35" t="s">
        <v>264</v>
      </c>
      <c r="H18" s="39" t="n">
        <f aca="false">INDEX(REF_VAL,MATCH(D18,REF_ID,0))</f>
        <v>7.85</v>
      </c>
      <c r="I18" s="40" t="n">
        <f aca="false">F18*J18</f>
        <v>0.00964038014337068</v>
      </c>
      <c r="J18" s="40" t="n">
        <v>0.00964038014337068</v>
      </c>
      <c r="K18" s="40" t="n">
        <f aca="false">I18*(1-V18)</f>
        <v>0.00865558197544061</v>
      </c>
      <c r="L18" s="40" t="n">
        <f aca="false">I18*(1+V18)</f>
        <v>0.0106251783113008</v>
      </c>
      <c r="M18" s="40" t="n">
        <f aca="false">F18*N18</f>
        <v>0.0756769841254598</v>
      </c>
      <c r="N18" s="40" t="n">
        <f aca="false">J18*H18</f>
        <v>0.0756769841254598</v>
      </c>
      <c r="O18" s="40" t="n">
        <f aca="false">K18*Q18</f>
        <v>0.0679463185072088</v>
      </c>
      <c r="P18" s="40" t="n">
        <f aca="false">L18*R18</f>
        <v>0.0834076497437109</v>
      </c>
      <c r="Q18" s="39" t="n">
        <f aca="false">INDEX(REF_MIN,MATCH(D18,REF_ID,0))</f>
        <v>7.85</v>
      </c>
      <c r="R18" s="39" t="n">
        <f aca="false">INDEX(REF_MAX,MATCH(D18,REF_ID,0))</f>
        <v>7.85</v>
      </c>
      <c r="S18" s="41" t="n">
        <v>1.96959633586015</v>
      </c>
      <c r="T18" s="42" t="n">
        <f aca="false">200*J18/S18</f>
        <v>0.978919382398284</v>
      </c>
      <c r="U18" s="43" t="n">
        <f aca="false">IFERROR(INDEX(ISO_TOL,MATCH(T18,ISO_DESDE,1)),0)</f>
        <v>0.1</v>
      </c>
      <c r="V18" s="44" t="n">
        <f aca="false">IF(T18&gt;0,U18/T18,0)</f>
        <v>0.102153457984463</v>
      </c>
    </row>
    <row r="19" customFormat="false" ht="15" hidden="false" customHeight="false" outlineLevel="2" collapsed="false">
      <c r="A19" s="35" t="n">
        <v>2</v>
      </c>
      <c r="B19" s="36" t="s">
        <v>739</v>
      </c>
      <c r="C19" s="37" t="s">
        <v>302</v>
      </c>
      <c r="D19" s="36" t="s">
        <v>26</v>
      </c>
      <c r="E19" s="36" t="str">
        <f aca="false">INDEX(REF_DATO,MATCH(D19,REF_ID,0))</f>
        <v>Polipropileno</v>
      </c>
      <c r="F19" s="38" t="n">
        <v>1</v>
      </c>
      <c r="G19" s="35" t="s">
        <v>264</v>
      </c>
      <c r="H19" s="39" t="n">
        <f aca="false">INDEX(REF_VAL,MATCH(D19,REF_ID,0))</f>
        <v>0.9</v>
      </c>
      <c r="I19" s="40" t="n">
        <f aca="false">F19*J19</f>
        <v>0.0480966332840437</v>
      </c>
      <c r="J19" s="40" t="n">
        <v>0.0480966332840437</v>
      </c>
      <c r="K19" s="40" t="n">
        <f aca="false">I19*(1-V19)</f>
        <v>0.0448808605349263</v>
      </c>
      <c r="L19" s="40" t="n">
        <f aca="false">I19*(1+V19)</f>
        <v>0.0513124060331611</v>
      </c>
      <c r="M19" s="40" t="n">
        <f aca="false">F19*N19</f>
        <v>0.0432869699556393</v>
      </c>
      <c r="N19" s="40" t="n">
        <f aca="false">J19*H19</f>
        <v>0.0432869699556393</v>
      </c>
      <c r="O19" s="40" t="n">
        <f aca="false">K19*Q19</f>
        <v>0.0403927744814337</v>
      </c>
      <c r="P19" s="40" t="n">
        <f aca="false">L19*R19</f>
        <v>0.0466942894901766</v>
      </c>
      <c r="Q19" s="39" t="n">
        <f aca="false">INDEX(REF_MIN,MATCH(D19,REF_ID,0))</f>
        <v>0.9</v>
      </c>
      <c r="R19" s="39" t="n">
        <f aca="false">INDEX(REF_MAX,MATCH(D19,REF_ID,0))</f>
        <v>0.91</v>
      </c>
      <c r="S19" s="41" t="n">
        <v>6.43154549823481</v>
      </c>
      <c r="T19" s="42" t="n">
        <f aca="false">200*J19/S19</f>
        <v>1.49564776606942</v>
      </c>
      <c r="U19" s="43" t="n">
        <f aca="false">IFERROR(INDEX(ISO_TOL,MATCH(T19,ISO_DESDE,1)),0)</f>
        <v>0.1</v>
      </c>
      <c r="V19" s="44" t="n">
        <f aca="false">IF(T19&gt;0,U19/T19,0)</f>
        <v>0.0668606621616539</v>
      </c>
    </row>
    <row r="20" customFormat="false" ht="15" hidden="false" customHeight="false" outlineLevel="2" collapsed="false">
      <c r="A20" s="35" t="n">
        <v>2</v>
      </c>
      <c r="B20" s="36" t="s">
        <v>740</v>
      </c>
      <c r="C20" s="37" t="s">
        <v>741</v>
      </c>
      <c r="D20" s="36" t="s">
        <v>26</v>
      </c>
      <c r="E20" s="36" t="str">
        <f aca="false">INDEX(REF_DATO,MATCH(D20,REF_ID,0))</f>
        <v>Polipropileno</v>
      </c>
      <c r="F20" s="38" t="n">
        <v>1</v>
      </c>
      <c r="G20" s="35" t="s">
        <v>264</v>
      </c>
      <c r="H20" s="39" t="n">
        <f aca="false">INDEX(REF_VAL,MATCH(D20,REF_ID,0))</f>
        <v>0.9</v>
      </c>
      <c r="I20" s="40" t="n">
        <f aca="false">F20*J20</f>
        <v>0.00161163703129156</v>
      </c>
      <c r="J20" s="40" t="n">
        <v>0.00161163703129156</v>
      </c>
      <c r="K20" s="40" t="n">
        <f aca="false">I20*(1-V20)</f>
        <v>0.00161163703129156</v>
      </c>
      <c r="L20" s="40" t="n">
        <f aca="false">I20*(1+V20)</f>
        <v>0.00161163703129156</v>
      </c>
      <c r="M20" s="40" t="n">
        <f aca="false">F20*N20</f>
        <v>0.00145047332816241</v>
      </c>
      <c r="N20" s="40" t="n">
        <f aca="false">J20*H20</f>
        <v>0.00145047332816241</v>
      </c>
      <c r="O20" s="40" t="n">
        <f aca="false">K20*Q20</f>
        <v>0.00145047332816241</v>
      </c>
      <c r="P20" s="40" t="n">
        <f aca="false">L20*R20</f>
        <v>0.00146658969847532</v>
      </c>
      <c r="Q20" s="39" t="n">
        <f aca="false">INDEX(REF_MIN,MATCH(D20,REF_ID,0))</f>
        <v>0.9</v>
      </c>
      <c r="R20" s="39" t="n">
        <f aca="false">INDEX(REF_MAX,MATCH(D20,REF_ID,0))</f>
        <v>0.91</v>
      </c>
      <c r="S20" s="41" t="n">
        <v>0.759260112519581</v>
      </c>
      <c r="T20" s="42" t="n">
        <f aca="false">200*J20/S20</f>
        <v>0.424528301886793</v>
      </c>
      <c r="U20" s="43" t="n">
        <f aca="false">IFERROR(INDEX(ISO_TOL,MATCH(T20,ISO_DESDE,1)),0)</f>
        <v>0</v>
      </c>
      <c r="V20" s="44" t="n">
        <f aca="false">IF(T20&gt;0,U20/T20,0)</f>
        <v>0</v>
      </c>
    </row>
    <row r="21" customFormat="false" ht="15" hidden="false" customHeight="false" outlineLevel="2" collapsed="false">
      <c r="A21" s="35" t="n">
        <v>2</v>
      </c>
      <c r="B21" s="36" t="s">
        <v>742</v>
      </c>
      <c r="C21" s="37" t="s">
        <v>280</v>
      </c>
      <c r="D21" s="36" t="s">
        <v>23</v>
      </c>
      <c r="E21" s="36" t="str">
        <f aca="false">INDEX(REF_DATO,MATCH(D21,REF_ID,0))</f>
        <v>Caucho sintético (NBR / SBR)</v>
      </c>
      <c r="F21" s="38" t="n">
        <v>1</v>
      </c>
      <c r="G21" s="35" t="s">
        <v>264</v>
      </c>
      <c r="H21" s="39" t="n">
        <f aca="false">INDEX(REF_VAL,MATCH(D21,REF_ID,0))</f>
        <v>1.2</v>
      </c>
      <c r="I21" s="40" t="n">
        <f aca="false">F21*J21</f>
        <v>0.000842575149692783</v>
      </c>
      <c r="J21" s="40" t="n">
        <v>0.000842575149692783</v>
      </c>
      <c r="K21" s="40" t="n">
        <f aca="false">I21*(1-V21)</f>
        <v>0.000786403473046598</v>
      </c>
      <c r="L21" s="40" t="n">
        <f aca="false">I21*(1+V21)</f>
        <v>0.000898746826338969</v>
      </c>
      <c r="M21" s="40" t="n">
        <f aca="false">F21*N21</f>
        <v>0.00101109017963134</v>
      </c>
      <c r="N21" s="40" t="n">
        <f aca="false">J21*H21</f>
        <v>0.00101109017963134</v>
      </c>
      <c r="O21" s="40" t="n">
        <f aca="false">K21*Q21</f>
        <v>0.000865043820351257</v>
      </c>
      <c r="P21" s="40" t="n">
        <f aca="false">L21*R21</f>
        <v>0.00116837087424066</v>
      </c>
      <c r="Q21" s="39" t="n">
        <f aca="false">INDEX(REF_MIN,MATCH(D21,REF_ID,0))</f>
        <v>1.1</v>
      </c>
      <c r="R21" s="39" t="n">
        <f aca="false">INDEX(REF_MAX,MATCH(D21,REF_ID,0))</f>
        <v>1.3</v>
      </c>
      <c r="S21" s="41" t="n">
        <v>0.112343353292371</v>
      </c>
      <c r="T21" s="42" t="n">
        <f aca="false">200*J21/S21</f>
        <v>1.5</v>
      </c>
      <c r="U21" s="43" t="n">
        <f aca="false">IFERROR(INDEX(ISO_TOL,MATCH(T21,ISO_DESDE,1)),0)</f>
        <v>0.1</v>
      </c>
      <c r="V21" s="44" t="n">
        <f aca="false">IF(T21&gt;0,U21/T21,0)</f>
        <v>0.0666666666666666</v>
      </c>
    </row>
    <row r="22" customFormat="false" ht="15" hidden="false" customHeight="false" outlineLevel="2" collapsed="false">
      <c r="A22" s="35" t="n">
        <v>2</v>
      </c>
      <c r="B22" s="36" t="s">
        <v>743</v>
      </c>
      <c r="C22" s="37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744</v>
      </c>
      <c r="C23" s="37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745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IF(SUMIF(A25:A28,2,M25:M28)=0,"",SUMIF(A25:A28,2,M25:M28))</f>
        <v>0.256799621985332</v>
      </c>
      <c r="N24" s="30"/>
      <c r="O24" s="30" t="n">
        <f aca="false">IF(SUMIF(A25:A28,2,O25:O28)=0,"",SUMIF(A25:A28,2,O25:O28))</f>
        <v>0.237188430540374</v>
      </c>
      <c r="P24" s="30" t="n">
        <f aca="false">IF(SUMIF(A25:A28,2,P25:P28)=0,"",SUMIF(A25:A28,2,P25:P28))</f>
        <v>0.277136161230827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746</v>
      </c>
      <c r="C25" s="37" t="s">
        <v>369</v>
      </c>
      <c r="D25" s="36" t="s">
        <v>17</v>
      </c>
      <c r="E25" s="36" t="str">
        <f aca="false">INDEX(REF_DATO,MATCH(D25,REF_ID,0))</f>
        <v>Latón de forja (CuZn39Pb2 / C37700)</v>
      </c>
      <c r="F25" s="38" t="n">
        <v>1</v>
      </c>
      <c r="G25" s="35" t="s">
        <v>264</v>
      </c>
      <c r="H25" s="39" t="n">
        <f aca="false">INDEX(REF_VAL,MATCH(D25,REF_ID,0))</f>
        <v>8.45</v>
      </c>
      <c r="I25" s="40" t="n">
        <f aca="false">F25*J25</f>
        <v>0.00305362805928928</v>
      </c>
      <c r="J25" s="40" t="n">
        <v>0.00305362805928928</v>
      </c>
      <c r="K25" s="40" t="n">
        <f aca="false">I25*(1-V25)</f>
        <v>0.00299425195813643</v>
      </c>
      <c r="L25" s="40" t="n">
        <f aca="false">I25*(1+V25)</f>
        <v>0.00311300416044213</v>
      </c>
      <c r="M25" s="40" t="n">
        <f aca="false">F25*N25</f>
        <v>0.0258031571009944</v>
      </c>
      <c r="N25" s="40" t="n">
        <f aca="false">J25*H25</f>
        <v>0.0258031571009944</v>
      </c>
      <c r="O25" s="40" t="n">
        <f aca="false">K25*Q25</f>
        <v>0.025151716448346</v>
      </c>
      <c r="P25" s="40" t="n">
        <f aca="false">L25*R25</f>
        <v>0.0264605353637581</v>
      </c>
      <c r="Q25" s="39" t="n">
        <f aca="false">INDEX(REF_MIN,MATCH(D25,REF_ID,0))</f>
        <v>8.4</v>
      </c>
      <c r="R25" s="39" t="n">
        <f aca="false">INDEX(REF_MAX,MATCH(D25,REF_ID,0))</f>
        <v>8.5</v>
      </c>
      <c r="S25" s="41" t="n">
        <v>0.118752202305694</v>
      </c>
      <c r="T25" s="42" t="n">
        <f aca="false">200*J25/S25</f>
        <v>5.14285714285715</v>
      </c>
      <c r="U25" s="43" t="n">
        <f aca="false">IFERROR(INDEX(ISO_TOL,MATCH(T25,ISO_DESDE,1)),0)</f>
        <v>0.1</v>
      </c>
      <c r="V25" s="44" t="n">
        <f aca="false">IF(T25&gt;0,U25/T25,0)</f>
        <v>0.0194444444444444</v>
      </c>
    </row>
    <row r="26" customFormat="false" ht="15" hidden="false" customHeight="false" outlineLevel="2" collapsed="false">
      <c r="A26" s="35" t="n">
        <v>2</v>
      </c>
      <c r="B26" s="36" t="s">
        <v>747</v>
      </c>
      <c r="C26" s="37" t="s">
        <v>371</v>
      </c>
      <c r="D26" s="36" t="s">
        <v>23</v>
      </c>
      <c r="E26" s="36" t="str">
        <f aca="false">INDEX(REF_DATO,MATCH(D26,REF_ID,0))</f>
        <v>Caucho sintético (NBR / SBR)</v>
      </c>
      <c r="F26" s="38" t="n">
        <v>1</v>
      </c>
      <c r="G26" s="35" t="s">
        <v>264</v>
      </c>
      <c r="H26" s="39" t="n">
        <f aca="false">INDEX(REF_VAL,MATCH(D26,REF_ID,0))</f>
        <v>1.2</v>
      </c>
      <c r="I26" s="40" t="n">
        <f aca="false">F26*J26</f>
        <v>0.0639716277191363</v>
      </c>
      <c r="J26" s="40" t="n">
        <v>0.0639716277191363</v>
      </c>
      <c r="K26" s="40" t="n">
        <f aca="false">I26*(1-V26)</f>
        <v>0.0616262388341175</v>
      </c>
      <c r="L26" s="40" t="n">
        <f aca="false">I26*(1+V26)</f>
        <v>0.0663170166041551</v>
      </c>
      <c r="M26" s="40" t="n">
        <f aca="false">F26*N26</f>
        <v>0.0767659532629636</v>
      </c>
      <c r="N26" s="40" t="n">
        <f aca="false">J26*H26</f>
        <v>0.0767659532629636</v>
      </c>
      <c r="O26" s="40" t="n">
        <f aca="false">K26*Q26</f>
        <v>0.0677888627175293</v>
      </c>
      <c r="P26" s="40" t="n">
        <f aca="false">L26*R26</f>
        <v>0.0862121215854016</v>
      </c>
      <c r="Q26" s="39" t="n">
        <f aca="false">INDEX(REF_MIN,MATCH(D26,REF_ID,0))</f>
        <v>1.1</v>
      </c>
      <c r="R26" s="39" t="n">
        <f aca="false">INDEX(REF_MAX,MATCH(D26,REF_ID,0))</f>
        <v>1.3</v>
      </c>
      <c r="S26" s="41" t="n">
        <v>4.69077777003758</v>
      </c>
      <c r="T26" s="42" t="n">
        <f aca="false">200*J26/S26</f>
        <v>2.72754885672718</v>
      </c>
      <c r="U26" s="43" t="n">
        <f aca="false">IFERROR(INDEX(ISO_TOL,MATCH(T26,ISO_DESDE,1)),0)</f>
        <v>0.1</v>
      </c>
      <c r="V26" s="44" t="n">
        <f aca="false">IF(T26&gt;0,U26/T26,0)</f>
        <v>0.0366629546353906</v>
      </c>
    </row>
    <row r="27" customFormat="false" ht="15" hidden="false" customHeight="false" outlineLevel="2" collapsed="false">
      <c r="A27" s="35" t="n">
        <v>2</v>
      </c>
      <c r="B27" s="36" t="s">
        <v>748</v>
      </c>
      <c r="C27" s="37" t="s">
        <v>749</v>
      </c>
      <c r="D27" s="36" t="s">
        <v>26</v>
      </c>
      <c r="E27" s="36" t="str">
        <f aca="false">INDEX(REF_DATO,MATCH(D27,REF_ID,0))</f>
        <v>Polipropileno</v>
      </c>
      <c r="F27" s="38" t="n">
        <v>1</v>
      </c>
      <c r="G27" s="35" t="s">
        <v>264</v>
      </c>
      <c r="H27" s="39" t="n">
        <f aca="false">INDEX(REF_VAL,MATCH(D27,REF_ID,0))</f>
        <v>0.9</v>
      </c>
      <c r="I27" s="40" t="n">
        <f aca="false">F27*J27</f>
        <v>0.0243002191755171</v>
      </c>
      <c r="J27" s="40" t="n">
        <v>0.0243002191755171</v>
      </c>
      <c r="K27" s="40" t="n">
        <f aca="false">I27*(1-V27)</f>
        <v>0.023567197009102</v>
      </c>
      <c r="L27" s="40" t="n">
        <f aca="false">I27*(1+V27)</f>
        <v>0.0250332413419321</v>
      </c>
      <c r="M27" s="40" t="n">
        <f aca="false">F27*N27</f>
        <v>0.0218701972579653</v>
      </c>
      <c r="N27" s="40" t="n">
        <f aca="false">J27*H27</f>
        <v>0.0218701972579653</v>
      </c>
      <c r="O27" s="40" t="n">
        <f aca="false">K27*Q27</f>
        <v>0.0212104773081918</v>
      </c>
      <c r="P27" s="40" t="n">
        <f aca="false">L27*R27</f>
        <v>0.0227802496211582</v>
      </c>
      <c r="Q27" s="39" t="n">
        <f aca="false">INDEX(REF_MIN,MATCH(D27,REF_ID,0))</f>
        <v>0.9</v>
      </c>
      <c r="R27" s="39" t="n">
        <f aca="false">INDEX(REF_MAX,MATCH(D27,REF_ID,0))</f>
        <v>0.91</v>
      </c>
      <c r="S27" s="41" t="n">
        <v>0.733022166415019</v>
      </c>
      <c r="T27" s="42" t="n">
        <f aca="false">200*J27/S27</f>
        <v>6.6301457960983</v>
      </c>
      <c r="U27" s="43" t="n">
        <f aca="false">IFERROR(INDEX(ISO_TOL,MATCH(T27,ISO_DESDE,1)),0)</f>
        <v>0.2</v>
      </c>
      <c r="V27" s="44" t="n">
        <f aca="false">IF(T27&gt;0,U27/T27,0)</f>
        <v>0.0301652491741125</v>
      </c>
    </row>
    <row r="28" customFormat="false" ht="15" hidden="false" customHeight="false" outlineLevel="2" collapsed="false">
      <c r="A28" s="35" t="n">
        <v>2</v>
      </c>
      <c r="B28" s="36" t="s">
        <v>750</v>
      </c>
      <c r="C28" s="37" t="s">
        <v>375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0.0168611865431093</v>
      </c>
      <c r="J28" s="40" t="n">
        <v>0.0168611865431093</v>
      </c>
      <c r="K28" s="40" t="n">
        <f aca="false">I28*(1-V28)</f>
        <v>0.0156735508364722</v>
      </c>
      <c r="L28" s="40" t="n">
        <f aca="false">I28*(1+V28)</f>
        <v>0.0180488222497464</v>
      </c>
      <c r="M28" s="40" t="n">
        <f aca="false">F28*N28</f>
        <v>0.132360314363408</v>
      </c>
      <c r="N28" s="40" t="n">
        <f aca="false">J28*H28</f>
        <v>0.132360314363408</v>
      </c>
      <c r="O28" s="40" t="n">
        <f aca="false">K28*Q28</f>
        <v>0.123037374066307</v>
      </c>
      <c r="P28" s="40" t="n">
        <f aca="false">L28*R28</f>
        <v>0.14168325466051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2.37527141327423</v>
      </c>
      <c r="T28" s="42" t="n">
        <f aca="false">200*J28/S28</f>
        <v>1.41972714771713</v>
      </c>
      <c r="U28" s="43" t="n">
        <f aca="false">IFERROR(INDEX(ISO_TOL,MATCH(T28,ISO_DESDE,1)),0)</f>
        <v>0.1</v>
      </c>
      <c r="V28" s="44" t="n">
        <f aca="false">IF(T28&gt;0,U28/T28,0)</f>
        <v>0.0704360694664439</v>
      </c>
    </row>
    <row r="29" customFormat="false" ht="15" hidden="false" customHeight="false" outlineLevel="1" collapsed="false">
      <c r="A29" s="25" t="n">
        <v>1</v>
      </c>
      <c r="B29" s="26" t="s">
        <v>751</v>
      </c>
      <c r="C29" s="27" t="s">
        <v>312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IF(SUMIF(A30:A31,2,M30:M31)=0,"",SUMIF(A30:A31,2,M30:M31))</f>
        <v>10.0426837500935</v>
      </c>
      <c r="N29" s="30"/>
      <c r="O29" s="30" t="n">
        <f aca="false">IF(SUMIF(A30:A31,2,O30:O31)=0,"",SUMIF(A30:A31,2,O30:O31))</f>
        <v>9.73571972043751</v>
      </c>
      <c r="P29" s="30" t="n">
        <f aca="false">IF(SUMIF(A30:A31,2,P30:P31)=0,"",SUMIF(A30:A31,2,P30:P31))</f>
        <v>10.3503185149464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752</v>
      </c>
      <c r="C30" s="37" t="s">
        <v>753</v>
      </c>
      <c r="D30" s="36" t="s">
        <v>55</v>
      </c>
      <c r="E30" s="36" t="str">
        <f aca="false">INDEX(REF_DATO,MATCH(D30,REF_ID,0))</f>
        <v>Agua potable</v>
      </c>
      <c r="F30" s="38" t="n">
        <f aca="false">MODELOS!$L$7</f>
        <v>10</v>
      </c>
      <c r="G30" s="35" t="s">
        <v>213</v>
      </c>
      <c r="H30" s="39" t="n">
        <f aca="false">INDEX(REF_VAL,MATCH(D30,REF_ID,0))</f>
        <v>1</v>
      </c>
      <c r="I30" s="40" t="n">
        <f aca="false">F30</f>
        <v>10</v>
      </c>
      <c r="J30" s="40" t="n">
        <v>1</v>
      </c>
      <c r="K30" s="40" t="n">
        <f aca="false">MODELOS!$M$7</f>
        <v>9.7</v>
      </c>
      <c r="L30" s="40" t="n">
        <f aca="false">MODELOS!$N$7</f>
        <v>10.3</v>
      </c>
      <c r="M30" s="40" t="n">
        <f aca="false">F30*N30</f>
        <v>10</v>
      </c>
      <c r="N30" s="40" t="n">
        <f aca="false">H30</f>
        <v>1</v>
      </c>
      <c r="O30" s="40" t="n">
        <f aca="false">MODELOS!$M$7*Q30</f>
        <v>9.7</v>
      </c>
      <c r="P30" s="40" t="n">
        <f aca="false">MODELOS!$N$7*R30</f>
        <v>10.3</v>
      </c>
      <c r="Q30" s="39" t="n">
        <f aca="false">INDEX(REF_MIN,MATCH(D30,REF_ID,0))</f>
        <v>1</v>
      </c>
      <c r="R30" s="39" t="n">
        <f aca="false">INDEX(REF_MAX,MATCH(D30,REF_ID,0))</f>
        <v>1</v>
      </c>
      <c r="S30" s="41"/>
      <c r="T30" s="42"/>
      <c r="U30" s="43"/>
      <c r="V30" s="44"/>
    </row>
    <row r="31" customFormat="false" ht="15" hidden="false" customHeight="false" outlineLevel="2" collapsed="false">
      <c r="A31" s="35" t="n">
        <v>2</v>
      </c>
      <c r="B31" s="36" t="s">
        <v>754</v>
      </c>
      <c r="C31" s="37" t="s">
        <v>755</v>
      </c>
      <c r="D31" s="36" t="s">
        <v>82</v>
      </c>
      <c r="E31" s="36" t="str">
        <f aca="false">INDEX(REF_DATO,MATCH(D31,REF_ID,0))</f>
        <v>Aire comprimido (densidad normal)</v>
      </c>
      <c r="F31" s="38" t="n">
        <f aca="false">MODELOS!$AF$7</f>
        <v>0.0426837500934968</v>
      </c>
      <c r="G31" s="35" t="s">
        <v>123</v>
      </c>
      <c r="H31" s="39" t="n">
        <f aca="false">INDEX(REF_VAL,MATCH(D31,REF_ID,0))</f>
        <v>0.00129383421076113</v>
      </c>
      <c r="I31" s="40" t="n">
        <f aca="false">F31*J31</f>
        <v>32.9901232619185</v>
      </c>
      <c r="J31" s="40" t="n">
        <f aca="false">1/H31</f>
        <v>772.896551724138</v>
      </c>
      <c r="K31" s="40" t="n">
        <f aca="false">MODELOS!$AG$7/H31</f>
        <v>27.6076487546993</v>
      </c>
      <c r="L31" s="40" t="n">
        <f aca="false">MODELOS!$AH$7/H31</f>
        <v>38.8910066899772</v>
      </c>
      <c r="M31" s="40" t="n">
        <f aca="false">F31</f>
        <v>0.0426837500934968</v>
      </c>
      <c r="N31" s="40" t="n">
        <v>1</v>
      </c>
      <c r="O31" s="40" t="n">
        <f aca="false">MODELOS!$AG$7</f>
        <v>0.0357197204375068</v>
      </c>
      <c r="P31" s="40" t="n">
        <f aca="false">MODELOS!$AH$7</f>
        <v>0.0503185149464326</v>
      </c>
      <c r="Q31" s="39"/>
      <c r="R31" s="39"/>
      <c r="S31" s="41"/>
      <c r="T31" s="42"/>
      <c r="U31" s="43"/>
      <c r="V31" s="44"/>
    </row>
    <row r="32" customFormat="false" ht="15" hidden="false" customHeight="false" outlineLevel="1" collapsed="false">
      <c r="A32" s="25" t="n">
        <v>1</v>
      </c>
      <c r="B32" s="26" t="s">
        <v>756</v>
      </c>
      <c r="C32" s="27" t="s">
        <v>318</v>
      </c>
      <c r="D32" s="26"/>
      <c r="E32" s="26"/>
      <c r="F32" s="28" t="n">
        <v>1</v>
      </c>
      <c r="G32" s="25" t="s">
        <v>264</v>
      </c>
      <c r="H32" s="29"/>
      <c r="I32" s="30"/>
      <c r="J32" s="30"/>
      <c r="K32" s="30"/>
      <c r="L32" s="30"/>
      <c r="M32" s="30" t="n">
        <f aca="false">IF(SUMIF(A33:A39,2,M33:M39)=0,"",SUMIF(A33:A39,2,M33:M39))</f>
        <v>0.0347532382765316</v>
      </c>
      <c r="N32" s="30"/>
      <c r="O32" s="30" t="n">
        <f aca="false">IF(SUMIF(A33:A39,2,O33:O39)=0,"",SUMIF(A33:A39,2,O33:O39))</f>
        <v>0.0335095267011302</v>
      </c>
      <c r="P32" s="30" t="n">
        <f aca="false">IF(SUMIF(A33:A39,2,P33:P39)=0,"",SUMIF(A33:A39,2,P33:P39))</f>
        <v>0.0359990115221118</v>
      </c>
      <c r="Q32" s="29"/>
      <c r="R32" s="29"/>
      <c r="S32" s="31"/>
      <c r="T32" s="32"/>
      <c r="U32" s="33"/>
      <c r="V32" s="34"/>
    </row>
    <row r="33" customFormat="false" ht="15" hidden="false" customHeight="false" outlineLevel="2" collapsed="false">
      <c r="A33" s="35" t="n">
        <v>2</v>
      </c>
      <c r="B33" s="36" t="s">
        <v>757</v>
      </c>
      <c r="C33" s="37" t="s">
        <v>320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0.0205898196827262</v>
      </c>
      <c r="J33" s="40" t="n">
        <v>0.0205898196827262</v>
      </c>
      <c r="K33" s="40" t="n">
        <f aca="false">I33*(1-V33)</f>
        <v>0.0205898196827262</v>
      </c>
      <c r="L33" s="40" t="n">
        <f aca="false">I33*(1+V33)</f>
        <v>0.0205898196827262</v>
      </c>
      <c r="M33" s="40" t="n">
        <f aca="false">F33*N33</f>
        <v>0.0288257475558166</v>
      </c>
      <c r="N33" s="40" t="n">
        <f aca="false">J33*H33</f>
        <v>0.0288257475558166</v>
      </c>
      <c r="O33" s="40" t="n">
        <f aca="false">K33*Q33</f>
        <v>0.0277962565716803</v>
      </c>
      <c r="P33" s="40" t="n">
        <f aca="false">L33*R33</f>
        <v>0.0298552385399529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13.7595488976489</v>
      </c>
      <c r="T33" s="42" t="n">
        <f aca="false">200*J33/S33</f>
        <v>0.299280446414118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758</v>
      </c>
      <c r="C34" s="37" t="s">
        <v>322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0.000635802315789457</v>
      </c>
      <c r="J34" s="40" t="n">
        <v>0.000635802315789457</v>
      </c>
      <c r="K34" s="40" t="n">
        <f aca="false">I34*(1-V34)</f>
        <v>0.000635802315789457</v>
      </c>
      <c r="L34" s="40" t="n">
        <f aca="false">I34*(1+V34)</f>
        <v>0.000635802315789457</v>
      </c>
      <c r="M34" s="40" t="n">
        <f aca="false">F34*N34</f>
        <v>0.000890123242105239</v>
      </c>
      <c r="N34" s="40" t="n">
        <f aca="false">J34*H34</f>
        <v>0.000890123242105239</v>
      </c>
      <c r="O34" s="40" t="n">
        <f aca="false">K34*Q34</f>
        <v>0.000858333126315767</v>
      </c>
      <c r="P34" s="40" t="n">
        <f aca="false">L34*R34</f>
        <v>0.000921913357894712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0.429392568421053</v>
      </c>
      <c r="T34" s="42" t="n">
        <f aca="false">200*J34/S34</f>
        <v>0.29614034454644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759</v>
      </c>
      <c r="C35" s="37" t="s">
        <v>324</v>
      </c>
      <c r="D35" s="36" t="s">
        <v>32</v>
      </c>
      <c r="E35" s="36" t="str">
        <f aca="false">INDEX(REF_DATO,MATCH(D35,REF_ID,0))</f>
        <v>PVC rígido, vinilo y papeles de identificación</v>
      </c>
      <c r="F35" s="38" t="n">
        <v>1</v>
      </c>
      <c r="G35" s="35" t="s">
        <v>264</v>
      </c>
      <c r="H35" s="39" t="n">
        <f aca="false">INDEX(REF_VAL,MATCH(D35,REF_ID,0))</f>
        <v>1.4</v>
      </c>
      <c r="I35" s="40" t="n">
        <f aca="false">F35*J35</f>
        <v>0.00072113684210526</v>
      </c>
      <c r="J35" s="40" t="n">
        <v>0.00072113684210526</v>
      </c>
      <c r="K35" s="40" t="n">
        <f aca="false">I35*(1-V35)</f>
        <v>0.00072113684210526</v>
      </c>
      <c r="L35" s="40" t="n">
        <f aca="false">I35*(1+V35)</f>
        <v>0.00072113684210526</v>
      </c>
      <c r="M35" s="40" t="n">
        <f aca="false">F35*N35</f>
        <v>0.00100959157894736</v>
      </c>
      <c r="N35" s="40" t="n">
        <f aca="false">J35*H35</f>
        <v>0.00100959157894736</v>
      </c>
      <c r="O35" s="40" t="n">
        <f aca="false">K35*Q35</f>
        <v>0.000973534736842101</v>
      </c>
      <c r="P35" s="40" t="n">
        <f aca="false">L35*R35</f>
        <v>0.00104564842105263</v>
      </c>
      <c r="Q35" s="39" t="n">
        <f aca="false">INDEX(REF_MIN,MATCH(D35,REF_ID,0))</f>
        <v>1.35</v>
      </c>
      <c r="R35" s="39" t="n">
        <f aca="false">INDEX(REF_MAX,MATCH(D35,REF_ID,0))</f>
        <v>1.45</v>
      </c>
      <c r="S35" s="41" t="n">
        <v>0.486763578947369</v>
      </c>
      <c r="T35" s="42" t="n">
        <f aca="false">200*J35/S35</f>
        <v>0.296298602974662</v>
      </c>
      <c r="U35" s="43" t="n">
        <f aca="false">IFERROR(INDEX(ISO_TOL,MATCH(T35,ISO_DESDE,1)),0)</f>
        <v>0</v>
      </c>
      <c r="V35" s="44" t="n">
        <f aca="false">IF(T35&gt;0,U35/T35,0)</f>
        <v>0</v>
      </c>
    </row>
    <row r="36" customFormat="false" ht="15" hidden="false" customHeight="false" outlineLevel="2" collapsed="false">
      <c r="A36" s="35" t="n">
        <v>2</v>
      </c>
      <c r="B36" s="36" t="s">
        <v>760</v>
      </c>
      <c r="C36" s="37" t="s">
        <v>384</v>
      </c>
      <c r="D36" s="36" t="s">
        <v>32</v>
      </c>
      <c r="E36" s="36" t="str">
        <f aca="false">INDEX(REF_DATO,MATCH(D36,REF_ID,0))</f>
        <v>PVC rígido, vinilo y papeles de identificación</v>
      </c>
      <c r="F36" s="38" t="n">
        <v>1</v>
      </c>
      <c r="G36" s="35" t="s">
        <v>264</v>
      </c>
      <c r="H36" s="39" t="n">
        <f aca="false">INDEX(REF_VAL,MATCH(D36,REF_ID,0))</f>
        <v>1.4</v>
      </c>
      <c r="I36" s="40" t="n">
        <f aca="false">F36*J36</f>
        <v>0.00231364736842104</v>
      </c>
      <c r="J36" s="40" t="n">
        <v>0.00231364736842104</v>
      </c>
      <c r="K36" s="40" t="n">
        <f aca="false">I36*(1-V36)</f>
        <v>0.00231364736842104</v>
      </c>
      <c r="L36" s="40" t="n">
        <f aca="false">I36*(1+V36)</f>
        <v>0.00231364736842104</v>
      </c>
      <c r="M36" s="40" t="n">
        <f aca="false">F36*N36</f>
        <v>0.00323910631578945</v>
      </c>
      <c r="N36" s="40" t="n">
        <f aca="false">J36*H36</f>
        <v>0.00323910631578945</v>
      </c>
      <c r="O36" s="40" t="n">
        <f aca="false">K36*Q36</f>
        <v>0.0031234239473684</v>
      </c>
      <c r="P36" s="40" t="n">
        <f aca="false">L36*R36</f>
        <v>0.0033547886842105</v>
      </c>
      <c r="Q36" s="39" t="n">
        <f aca="false">INDEX(REF_MIN,MATCH(D36,REF_ID,0))</f>
        <v>1.35</v>
      </c>
      <c r="R36" s="39" t="n">
        <f aca="false">INDEX(REF_MAX,MATCH(D36,REF_ID,0))</f>
        <v>1.45</v>
      </c>
      <c r="S36" s="41" t="n">
        <v>1.55414484210526</v>
      </c>
      <c r="T36" s="42" t="n">
        <f aca="false">200*J36/S36</f>
        <v>0.297738963028303</v>
      </c>
      <c r="U36" s="43" t="n">
        <f aca="false">IFERROR(INDEX(ISO_TOL,MATCH(T36,ISO_DESDE,1)),0)</f>
        <v>0</v>
      </c>
      <c r="V36" s="44" t="n">
        <f aca="false">IF(T36&gt;0,U36/T36,0)</f>
        <v>0</v>
      </c>
    </row>
    <row r="37" customFormat="false" ht="15" hidden="false" customHeight="false" outlineLevel="2" collapsed="false">
      <c r="A37" s="35" t="n">
        <v>2</v>
      </c>
      <c r="B37" s="36" t="s">
        <v>761</v>
      </c>
      <c r="C37" s="37" t="s">
        <v>326</v>
      </c>
      <c r="D37" s="36" t="s">
        <v>32</v>
      </c>
      <c r="E37" s="36" t="str">
        <f aca="false">INDEX(REF_DATO,MATCH(D37,REF_ID,0))</f>
        <v>PVC rígido, vinilo y papeles de identificación</v>
      </c>
      <c r="F37" s="38" t="n">
        <v>1</v>
      </c>
      <c r="G37" s="35" t="s">
        <v>264</v>
      </c>
      <c r="H37" s="39" t="n">
        <f aca="false">INDEX(REF_VAL,MATCH(D37,REF_ID,0))</f>
        <v>1.4</v>
      </c>
      <c r="I37" s="40" t="n">
        <f aca="false">F37*J37</f>
        <v>0.000338032894736833</v>
      </c>
      <c r="J37" s="40" t="n">
        <v>0.000338032894736833</v>
      </c>
      <c r="K37" s="40" t="n">
        <f aca="false">I37*(1-V37)</f>
        <v>0.000338032894736833</v>
      </c>
      <c r="L37" s="40" t="n">
        <f aca="false">I37*(1+V37)</f>
        <v>0.000338032894736833</v>
      </c>
      <c r="M37" s="40" t="n">
        <f aca="false">F37*N37</f>
        <v>0.000473246052631566</v>
      </c>
      <c r="N37" s="40" t="n">
        <f aca="false">J37*H37</f>
        <v>0.000473246052631566</v>
      </c>
      <c r="O37" s="40" t="n">
        <f aca="false">K37*Q37</f>
        <v>0.000456344407894724</v>
      </c>
      <c r="P37" s="40" t="n">
        <f aca="false">L37*R37</f>
        <v>0.000490147697368407</v>
      </c>
      <c r="Q37" s="39" t="n">
        <f aca="false">INDEX(REF_MIN,MATCH(D37,REF_ID,0))</f>
        <v>1.35</v>
      </c>
      <c r="R37" s="39" t="n">
        <f aca="false">INDEX(REF_MAX,MATCH(D37,REF_ID,0))</f>
        <v>1.45</v>
      </c>
      <c r="S37" s="41" t="n">
        <v>0.229559526315789</v>
      </c>
      <c r="T37" s="42" t="n">
        <f aca="false">200*J37/S37</f>
        <v>0.294505656255645</v>
      </c>
      <c r="U37" s="43" t="n">
        <f aca="false">IFERROR(INDEX(ISO_TOL,MATCH(T37,ISO_DESDE,1)),0)</f>
        <v>0</v>
      </c>
      <c r="V37" s="44" t="n">
        <f aca="false">IF(T37&gt;0,U37/T37,0)</f>
        <v>0</v>
      </c>
    </row>
    <row r="38" customFormat="false" ht="15" hidden="false" customHeight="false" outlineLevel="2" collapsed="false">
      <c r="A38" s="35" t="n">
        <v>2</v>
      </c>
      <c r="B38" s="36" t="s">
        <v>762</v>
      </c>
      <c r="C38" s="37" t="s">
        <v>328</v>
      </c>
      <c r="D38" s="36" t="s">
        <v>32</v>
      </c>
      <c r="E38" s="36" t="str">
        <f aca="false">INDEX(REF_DATO,MATCH(D38,REF_ID,0))</f>
        <v>PVC rígido, vinilo y papeles de identificación</v>
      </c>
      <c r="F38" s="38" t="n">
        <v>1</v>
      </c>
      <c r="G38" s="35" t="s">
        <v>264</v>
      </c>
      <c r="H38" s="39" t="n">
        <f aca="false">INDEX(REF_VAL,MATCH(D38,REF_ID,0))</f>
        <v>1.4</v>
      </c>
      <c r="I38" s="40" t="n">
        <f aca="false">F38*J38</f>
        <v>9.90778174834948E-005</v>
      </c>
      <c r="J38" s="40" t="n">
        <v>9.90778174834948E-005</v>
      </c>
      <c r="K38" s="40" t="n">
        <f aca="false">I38*(1-V38)</f>
        <v>9.90778174834948E-005</v>
      </c>
      <c r="L38" s="40" t="n">
        <f aca="false">I38*(1+V38)</f>
        <v>9.90778174834948E-005</v>
      </c>
      <c r="M38" s="40" t="n">
        <f aca="false">F38*N38</f>
        <v>0.000138708944476893</v>
      </c>
      <c r="N38" s="40" t="n">
        <f aca="false">J38*H38</f>
        <v>0.000138708944476893</v>
      </c>
      <c r="O38" s="40" t="n">
        <f aca="false">K38*Q38</f>
        <v>0.000133755053602718</v>
      </c>
      <c r="P38" s="40" t="n">
        <f aca="false">L38*R38</f>
        <v>0.000143662835351067</v>
      </c>
      <c r="Q38" s="39" t="n">
        <f aca="false">INDEX(REF_MIN,MATCH(D38,REF_ID,0))</f>
        <v>1.35</v>
      </c>
      <c r="R38" s="39" t="n">
        <f aca="false">INDEX(REF_MAX,MATCH(D38,REF_ID,0))</f>
        <v>1.45</v>
      </c>
      <c r="S38" s="41" t="n">
        <v>0.100858410433797</v>
      </c>
      <c r="T38" s="42" t="n">
        <f aca="false">200*J38/S38</f>
        <v>0.196469123511577</v>
      </c>
      <c r="U38" s="43" t="n">
        <f aca="false">IFERROR(INDEX(ISO_TOL,MATCH(T38,ISO_DESDE,1)),0)</f>
        <v>0</v>
      </c>
      <c r="V38" s="44" t="n">
        <f aca="false">IF(T38&gt;0,U38/T38,0)</f>
        <v>0</v>
      </c>
    </row>
    <row r="39" customFormat="false" ht="15" hidden="false" customHeight="false" outlineLevel="2" collapsed="false">
      <c r="A39" s="35" t="n">
        <v>2</v>
      </c>
      <c r="B39" s="36" t="s">
        <v>763</v>
      </c>
      <c r="C39" s="37" t="s">
        <v>330</v>
      </c>
      <c r="D39" s="36" t="s">
        <v>26</v>
      </c>
      <c r="E39" s="36" t="str">
        <f aca="false">INDEX(REF_DATO,MATCH(D39,REF_ID,0))</f>
        <v>Polipropileno</v>
      </c>
      <c r="F39" s="38" t="n">
        <v>1</v>
      </c>
      <c r="G39" s="35" t="s">
        <v>264</v>
      </c>
      <c r="H39" s="39" t="n">
        <f aca="false">INDEX(REF_VAL,MATCH(D39,REF_ID,0))</f>
        <v>0.9</v>
      </c>
      <c r="I39" s="40" t="n">
        <f aca="false">F39*J39</f>
        <v>0.000196349540849362</v>
      </c>
      <c r="J39" s="40" t="n">
        <v>0.000196349540849362</v>
      </c>
      <c r="K39" s="40" t="n">
        <f aca="false">I39*(1-V39)</f>
        <v>0.000186532063806894</v>
      </c>
      <c r="L39" s="40" t="n">
        <f aca="false">I39*(1+V39)</f>
        <v>0.00020616701789183</v>
      </c>
      <c r="M39" s="40" t="n">
        <f aca="false">F39*N39</f>
        <v>0.000176714586764426</v>
      </c>
      <c r="N39" s="40" t="n">
        <f aca="false">J39*H39</f>
        <v>0.000176714586764426</v>
      </c>
      <c r="O39" s="40" t="n">
        <f aca="false">K39*Q39</f>
        <v>0.000167878857426205</v>
      </c>
      <c r="P39" s="40" t="n">
        <f aca="false">L39*R39</f>
        <v>0.000187611986281566</v>
      </c>
      <c r="Q39" s="39" t="n">
        <f aca="false">INDEX(REF_MIN,MATCH(D39,REF_ID,0))</f>
        <v>0.9</v>
      </c>
      <c r="R39" s="39" t="n">
        <f aca="false">INDEX(REF_MAX,MATCH(D39,REF_ID,0))</f>
        <v>0.91</v>
      </c>
      <c r="S39" s="41" t="n">
        <v>0.0196349540849362</v>
      </c>
      <c r="T39" s="42" t="n">
        <f aca="false">200*J39/S39</f>
        <v>2</v>
      </c>
      <c r="U39" s="43" t="n">
        <f aca="false">IFERROR(INDEX(ISO_TOL,MATCH(T39,ISO_DESDE,1)),0)</f>
        <v>0.1</v>
      </c>
      <c r="V39" s="44" t="n">
        <f aca="false">IF(T39&gt;0,U39/T39,0)</f>
        <v>0.05</v>
      </c>
    </row>
    <row r="40" customFormat="false" ht="15" hidden="false" customHeight="false" outlineLevel="1" collapsed="false">
      <c r="A40" s="25" t="n">
        <v>1</v>
      </c>
      <c r="B40" s="26" t="s">
        <v>764</v>
      </c>
      <c r="C40" s="27" t="s">
        <v>332</v>
      </c>
      <c r="D40" s="26"/>
      <c r="E40" s="26"/>
      <c r="F40" s="28" t="n">
        <v>1</v>
      </c>
      <c r="G40" s="25" t="s">
        <v>264</v>
      </c>
      <c r="H40" s="29"/>
      <c r="I40" s="30"/>
      <c r="J40" s="30"/>
      <c r="K40" s="30"/>
      <c r="L40" s="30"/>
      <c r="M40" s="30" t="n">
        <f aca="false">IF(SUMIF(A41:A42,2,M41:M42)=0,"",SUMIF(A41:A42,2,M41:M42))</f>
        <v>0.327217734774336</v>
      </c>
      <c r="N40" s="30"/>
      <c r="O40" s="30" t="n">
        <f aca="false">IF(SUMIF(A41:A42,2,O41:O42)=0,"",SUMIF(A41:A42,2,O41:O42))</f>
        <v>0.310221343841074</v>
      </c>
      <c r="P40" s="30" t="n">
        <f aca="false">IF(SUMIF(A41:A42,2,P41:P42)=0,"",SUMIF(A41:A42,2,P41:P42))</f>
        <v>0.344214125707599</v>
      </c>
      <c r="Q40" s="29"/>
      <c r="R40" s="29"/>
      <c r="S40" s="31"/>
      <c r="T40" s="32"/>
      <c r="U40" s="33"/>
      <c r="V40" s="34"/>
    </row>
    <row r="41" customFormat="false" ht="15" hidden="false" customHeight="false" outlineLevel="2" collapsed="false">
      <c r="A41" s="35" t="n">
        <v>2</v>
      </c>
      <c r="B41" s="36" t="s">
        <v>765</v>
      </c>
      <c r="C41" s="37" t="s">
        <v>390</v>
      </c>
      <c r="D41" s="36" t="s">
        <v>10</v>
      </c>
      <c r="E41" s="36" t="str">
        <f aca="false">INDEX(REF_DATO,MATCH(D41,REF_ID,0))</f>
        <v>Acero (chapa LAC/LAF, SAE 1010/1045)</v>
      </c>
      <c r="F41" s="38" t="n">
        <v>1</v>
      </c>
      <c r="G41" s="35" t="s">
        <v>264</v>
      </c>
      <c r="H41" s="39" t="n">
        <f aca="false">INDEX(REF_VAL,MATCH(D41,REF_ID,0))</f>
        <v>7.85</v>
      </c>
      <c r="I41" s="40" t="n">
        <f aca="false">F41*J41</f>
        <v>0.0416837878693422</v>
      </c>
      <c r="J41" s="40" t="n">
        <v>0.0416837878693422</v>
      </c>
      <c r="K41" s="40" t="n">
        <f aca="false">I41*(1-V41)</f>
        <v>0.0395186425275253</v>
      </c>
      <c r="L41" s="40" t="n">
        <f aca="false">I41*(1+V41)</f>
        <v>0.0438489332111591</v>
      </c>
      <c r="M41" s="40" t="n">
        <f aca="false">F41*N41</f>
        <v>0.327217734774336</v>
      </c>
      <c r="N41" s="40" t="n">
        <f aca="false">J41*H41</f>
        <v>0.327217734774336</v>
      </c>
      <c r="O41" s="40" t="n">
        <f aca="false">K41*Q41</f>
        <v>0.310221343841074</v>
      </c>
      <c r="P41" s="40" t="n">
        <f aca="false">L41*R41</f>
        <v>0.344214125707599</v>
      </c>
      <c r="Q41" s="39" t="n">
        <f aca="false">INDEX(REF_MIN,MATCH(D41,REF_ID,0))</f>
        <v>7.85</v>
      </c>
      <c r="R41" s="39" t="n">
        <f aca="false">INDEX(REF_MAX,MATCH(D41,REF_ID,0))</f>
        <v>7.85</v>
      </c>
      <c r="S41" s="41" t="n">
        <v>4.33029068363372</v>
      </c>
      <c r="T41" s="42" t="n">
        <f aca="false">200*J41/S41</f>
        <v>1.92521892476575</v>
      </c>
      <c r="U41" s="43" t="n">
        <f aca="false">IFERROR(INDEX(ISO_TOL,MATCH(T41,ISO_DESDE,1)),0)</f>
        <v>0.1</v>
      </c>
      <c r="V41" s="44" t="n">
        <f aca="false">IF(T41&gt;0,U41/T41,0)</f>
        <v>0.0519421447159146</v>
      </c>
    </row>
    <row r="42" customFormat="false" ht="15" hidden="false" customHeight="false" outlineLevel="2" collapsed="false">
      <c r="A42" s="35" t="n">
        <v>2</v>
      </c>
      <c r="B42" s="36" t="s">
        <v>766</v>
      </c>
      <c r="C42" s="37" t="s">
        <v>392</v>
      </c>
      <c r="D42" s="36"/>
      <c r="E42" s="36"/>
      <c r="F42" s="38" t="n">
        <v>2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1" collapsed="false">
      <c r="A43" s="25" t="n">
        <v>1</v>
      </c>
      <c r="B43" s="26" t="s">
        <v>767</v>
      </c>
      <c r="C43" s="27" t="s">
        <v>336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str">
        <f aca="false">IF(SUMIF(A44:A47,2,M44:M47)=0,"",SUMIF(A44:A47,2,M44:M47))</f>
        <v/>
      </c>
      <c r="N43" s="30"/>
      <c r="O43" s="30" t="str">
        <f aca="false">IF(SUMIF(A44:A47,2,O44:O47)=0,"",SUMIF(A44:A47,2,O44:O47))</f>
        <v/>
      </c>
      <c r="P43" s="30" t="str">
        <f aca="false">IF(SUMIF(A44:A47,2,P44:P47)=0,"",SUMIF(A44:A47,2,P44:P47))</f>
        <v/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768</v>
      </c>
      <c r="C44" s="37" t="s">
        <v>338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769</v>
      </c>
      <c r="C45" s="37" t="s">
        <v>340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770</v>
      </c>
      <c r="C46" s="37" t="s">
        <v>342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771</v>
      </c>
      <c r="C47" s="37" t="s">
        <v>344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0" collapsed="false">
      <c r="A48" s="16" t="n">
        <v>0</v>
      </c>
      <c r="B48" s="17" t="s">
        <v>214</v>
      </c>
      <c r="C48" s="17" t="s">
        <v>215</v>
      </c>
      <c r="D48" s="17"/>
      <c r="E48" s="17"/>
      <c r="F48" s="18" t="n">
        <v>1</v>
      </c>
      <c r="G48" s="16" t="s">
        <v>264</v>
      </c>
      <c r="H48" s="19"/>
      <c r="I48" s="20"/>
      <c r="J48" s="20"/>
      <c r="K48" s="20"/>
      <c r="L48" s="20"/>
      <c r="M48" s="20" t="n">
        <f aca="false">IF(SUMIF(A49:A94,1,M49:M94)=0,"",SUMIF(A49:A94,1,M49:M94))</f>
        <v>13.4549591245318</v>
      </c>
      <c r="N48" s="20"/>
      <c r="O48" s="20" t="n">
        <f aca="false">IF(SUMIF(A49:A94,1,O49:O94)=0,"",SUMIF(A49:A94,1,O49:O94))</f>
        <v>12.7936720349725</v>
      </c>
      <c r="P48" s="20" t="n">
        <f aca="false">IF(SUMIF(A49:A94,1,P49:P94)=0,"",SUMIF(A49:A94,1,P49:P94))</f>
        <v>14.1184386008167</v>
      </c>
      <c r="Q48" s="19"/>
      <c r="R48" s="19"/>
      <c r="S48" s="21"/>
      <c r="T48" s="22"/>
      <c r="U48" s="23"/>
      <c r="V48" s="24"/>
    </row>
    <row r="49" customFormat="false" ht="15" hidden="false" customHeight="false" outlineLevel="1" collapsed="false">
      <c r="A49" s="25" t="n">
        <v>1</v>
      </c>
      <c r="B49" s="26" t="s">
        <v>772</v>
      </c>
      <c r="C49" s="27" t="s">
        <v>266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IF(SUMIF(A50:A53,2,M50:M53)=0,"",SUMIF(A50:A53,2,M50:M53))</f>
        <v>2.36793367259349</v>
      </c>
      <c r="N49" s="30"/>
      <c r="O49" s="30" t="n">
        <f aca="false">IF(SUMIF(A50:A53,2,O50:O53)=0,"",SUMIF(A50:A53,2,O50:O53))</f>
        <v>2.0771336365894</v>
      </c>
      <c r="P49" s="30" t="n">
        <f aca="false">IF(SUMIF(A50:A53,2,P50:P53)=0,"",SUMIF(A50:A53,2,P50:P53))</f>
        <v>2.65873370859758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773</v>
      </c>
      <c r="C50" s="37" t="s">
        <v>268</v>
      </c>
      <c r="D50" s="36" t="s">
        <v>14</v>
      </c>
      <c r="E50" s="36" t="str">
        <f aca="false">INDEX(REF_DATO,MATCH(D50,REF_ID,0))</f>
        <v>Acero inoxidable AISI 302 / 304</v>
      </c>
      <c r="F50" s="38" t="n">
        <v>1</v>
      </c>
      <c r="G50" s="35" t="s">
        <v>264</v>
      </c>
      <c r="H50" s="39" t="n">
        <f aca="false">INDEX(REF_VAL,MATCH(D50,REF_ID,0))</f>
        <v>7.93</v>
      </c>
      <c r="I50" s="40" t="n">
        <f aca="false">F50*J50</f>
        <v>0.229162345142752</v>
      </c>
      <c r="J50" s="40" t="n">
        <v>0.229162345142752</v>
      </c>
      <c r="K50" s="40" t="n">
        <f aca="false">I50*(1-V50)</f>
        <v>0.200465937846483</v>
      </c>
      <c r="L50" s="40" t="n">
        <f aca="false">I50*(1+V50)</f>
        <v>0.257858752439022</v>
      </c>
      <c r="M50" s="40" t="n">
        <f aca="false">F50*N50</f>
        <v>1.81725739698203</v>
      </c>
      <c r="N50" s="40" t="n">
        <f aca="false">J50*H50</f>
        <v>1.81725739698203</v>
      </c>
      <c r="O50" s="40" t="n">
        <f aca="false">K50*Q50</f>
        <v>1.58969488712261</v>
      </c>
      <c r="P50" s="40" t="n">
        <f aca="false">L50*R50</f>
        <v>2.04481990684144</v>
      </c>
      <c r="Q50" s="39" t="n">
        <f aca="false">INDEX(REF_MIN,MATCH(D50,REF_ID,0))</f>
        <v>7.93</v>
      </c>
      <c r="R50" s="39" t="n">
        <f aca="false">INDEX(REF_MAX,MATCH(D50,REF_ID,0))</f>
        <v>7.93</v>
      </c>
      <c r="S50" s="41" t="n">
        <v>57.3928145925389</v>
      </c>
      <c r="T50" s="42" t="n">
        <f aca="false">200*J50/S50</f>
        <v>0.798575036856768</v>
      </c>
      <c r="U50" s="43" t="n">
        <f aca="false">IFERROR(INDEX(ISO_TOL,MATCH(T50,ISO_DESDE,1)),0)</f>
        <v>0.1</v>
      </c>
      <c r="V50" s="44" t="n">
        <f aca="false">IF(T50&gt;0,U50/T50,0)</f>
        <v>0.12522304778472</v>
      </c>
    </row>
    <row r="51" customFormat="false" ht="15" hidden="false" customHeight="false" outlineLevel="2" collapsed="false">
      <c r="A51" s="35" t="n">
        <v>2</v>
      </c>
      <c r="B51" s="36" t="s">
        <v>774</v>
      </c>
      <c r="C51" s="37" t="s">
        <v>270</v>
      </c>
      <c r="D51" s="36" t="s">
        <v>14</v>
      </c>
      <c r="E51" s="36" t="str">
        <f aca="false">INDEX(REF_DATO,MATCH(D51,REF_ID,0))</f>
        <v>Acero inoxidable AISI 302 / 304</v>
      </c>
      <c r="F51" s="38" t="n">
        <v>1</v>
      </c>
      <c r="G51" s="35" t="s">
        <v>264</v>
      </c>
      <c r="H51" s="39" t="n">
        <f aca="false">INDEX(REF_VAL,MATCH(D51,REF_ID,0))</f>
        <v>7.93</v>
      </c>
      <c r="I51" s="40" t="n">
        <f aca="false">F51*J51</f>
        <v>0.0336536169764221</v>
      </c>
      <c r="J51" s="40" t="n">
        <v>0.0336536169764221</v>
      </c>
      <c r="K51" s="40" t="n">
        <f aca="false">I51*(1-V51)</f>
        <v>0.0292703439560348</v>
      </c>
      <c r="L51" s="40" t="n">
        <f aca="false">I51*(1+V51)</f>
        <v>0.0380368899968095</v>
      </c>
      <c r="M51" s="40" t="n">
        <f aca="false">F51*N51</f>
        <v>0.266873182623028</v>
      </c>
      <c r="N51" s="40" t="n">
        <f aca="false">J51*H51</f>
        <v>0.266873182623028</v>
      </c>
      <c r="O51" s="40" t="n">
        <f aca="false">K51*Q51</f>
        <v>0.232113827571356</v>
      </c>
      <c r="P51" s="40" t="n">
        <f aca="false">L51*R51</f>
        <v>0.301632537674699</v>
      </c>
      <c r="Q51" s="39" t="n">
        <f aca="false">INDEX(REF_MIN,MATCH(D51,REF_ID,0))</f>
        <v>7.93</v>
      </c>
      <c r="R51" s="39" t="n">
        <f aca="false">INDEX(REF_MAX,MATCH(D51,REF_ID,0))</f>
        <v>7.93</v>
      </c>
      <c r="S51" s="41" t="n">
        <v>8.76654604077466</v>
      </c>
      <c r="T51" s="42" t="n">
        <f aca="false">200*J51/S51</f>
        <v>0.767773689201964</v>
      </c>
      <c r="U51" s="43" t="n">
        <f aca="false">IFERROR(INDEX(ISO_TOL,MATCH(T51,ISO_DESDE,1)),0)</f>
        <v>0.1</v>
      </c>
      <c r="V51" s="44" t="n">
        <f aca="false">IF(T51&gt;0,U51/T51,0)</f>
        <v>0.130246713851241</v>
      </c>
    </row>
    <row r="52" customFormat="false" ht="15" hidden="false" customHeight="false" outlineLevel="2" collapsed="false">
      <c r="A52" s="35" t="n">
        <v>2</v>
      </c>
      <c r="B52" s="36" t="s">
        <v>775</v>
      </c>
      <c r="C52" s="37" t="s">
        <v>272</v>
      </c>
      <c r="D52" s="36" t="s">
        <v>14</v>
      </c>
      <c r="E52" s="36" t="str">
        <f aca="false">INDEX(REF_DATO,MATCH(D52,REF_ID,0))</f>
        <v>Acero inoxidable AISI 302 / 304</v>
      </c>
      <c r="F52" s="38" t="n">
        <v>1</v>
      </c>
      <c r="G52" s="35" t="s">
        <v>264</v>
      </c>
      <c r="H52" s="39" t="n">
        <f aca="false">INDEX(REF_VAL,MATCH(D52,REF_ID,0))</f>
        <v>7.93</v>
      </c>
      <c r="I52" s="40" t="n">
        <f aca="false">F52*J52</f>
        <v>0.0289970511022257</v>
      </c>
      <c r="J52" s="40" t="n">
        <v>0.0289970511022257</v>
      </c>
      <c r="K52" s="40" t="n">
        <f aca="false">I52*(1-V52)</f>
        <v>0.02561224422016</v>
      </c>
      <c r="L52" s="40" t="n">
        <f aca="false">I52*(1+V52)</f>
        <v>0.0323818579842914</v>
      </c>
      <c r="M52" s="40" t="n">
        <f aca="false">F52*N52</f>
        <v>0.22994661524065</v>
      </c>
      <c r="N52" s="40" t="n">
        <f aca="false">J52*H52</f>
        <v>0.22994661524065</v>
      </c>
      <c r="O52" s="40" t="n">
        <f aca="false">K52*Q52</f>
        <v>0.203105096665868</v>
      </c>
      <c r="P52" s="40" t="n">
        <f aca="false">L52*R52</f>
        <v>0.256788133815431</v>
      </c>
      <c r="Q52" s="39" t="n">
        <f aca="false">INDEX(REF_MIN,MATCH(D52,REF_ID,0))</f>
        <v>7.93</v>
      </c>
      <c r="R52" s="39" t="n">
        <f aca="false">INDEX(REF_MAX,MATCH(D52,REF_ID,0))</f>
        <v>7.93</v>
      </c>
      <c r="S52" s="41" t="n">
        <v>6.76961376413148</v>
      </c>
      <c r="T52" s="42" t="n">
        <f aca="false">200*J52/S52</f>
        <v>0.856682585227104</v>
      </c>
      <c r="U52" s="43" t="n">
        <f aca="false">IFERROR(INDEX(ISO_TOL,MATCH(T52,ISO_DESDE,1)),0)</f>
        <v>0.1</v>
      </c>
      <c r="V52" s="44" t="n">
        <f aca="false">IF(T52&gt;0,U52/T52,0)</f>
        <v>0.11672934844764</v>
      </c>
    </row>
    <row r="53" customFormat="false" ht="15" hidden="false" customHeight="false" outlineLevel="2" collapsed="false">
      <c r="A53" s="35" t="n">
        <v>2</v>
      </c>
      <c r="B53" s="36" t="s">
        <v>776</v>
      </c>
      <c r="C53" s="37" t="s">
        <v>274</v>
      </c>
      <c r="D53" s="36" t="s">
        <v>14</v>
      </c>
      <c r="E53" s="36" t="str">
        <f aca="false">INDEX(REF_DATO,MATCH(D53,REF_ID,0))</f>
        <v>Acero inoxidable AISI 302 / 304</v>
      </c>
      <c r="F53" s="38" t="n">
        <v>1</v>
      </c>
      <c r="G53" s="35" t="s">
        <v>264</v>
      </c>
      <c r="H53" s="39" t="n">
        <f aca="false">INDEX(REF_VAL,MATCH(D53,REF_ID,0))</f>
        <v>7.93</v>
      </c>
      <c r="I53" s="40" t="n">
        <f aca="false">F53*J53</f>
        <v>0.00679148521409653</v>
      </c>
      <c r="J53" s="40" t="n">
        <v>0.00679148521409653</v>
      </c>
      <c r="K53" s="40" t="n">
        <f aca="false">I53*(1-V53)</f>
        <v>0.00658509775908795</v>
      </c>
      <c r="L53" s="40" t="n">
        <f aca="false">I53*(1+V53)</f>
        <v>0.00699787266910512</v>
      </c>
      <c r="M53" s="40" t="n">
        <f aca="false">F53*N53</f>
        <v>0.0538564777477855</v>
      </c>
      <c r="N53" s="40" t="n">
        <f aca="false">J53*H53</f>
        <v>0.0538564777477855</v>
      </c>
      <c r="O53" s="40" t="n">
        <f aca="false">K53*Q53</f>
        <v>0.0522198252295675</v>
      </c>
      <c r="P53" s="40" t="n">
        <f aca="false">L53*R53</f>
        <v>0.0554931302660036</v>
      </c>
      <c r="Q53" s="39" t="n">
        <f aca="false">INDEX(REF_MIN,MATCH(D53,REF_ID,0))</f>
        <v>7.93</v>
      </c>
      <c r="R53" s="39" t="n">
        <f aca="false">INDEX(REF_MAX,MATCH(D53,REF_ID,0))</f>
        <v>7.93</v>
      </c>
      <c r="S53" s="41" t="n">
        <v>0.412774910017163</v>
      </c>
      <c r="T53" s="42" t="n">
        <f aca="false">200*J53/S53</f>
        <v>3.29064826823614</v>
      </c>
      <c r="U53" s="43" t="n">
        <f aca="false">IFERROR(INDEX(ISO_TOL,MATCH(T53,ISO_DESDE,1)),0)</f>
        <v>0.1</v>
      </c>
      <c r="V53" s="44" t="n">
        <f aca="false">IF(T53&gt;0,U53/T53,0)</f>
        <v>0.0303891488389314</v>
      </c>
    </row>
    <row r="54" customFormat="false" ht="15" hidden="false" customHeight="false" outlineLevel="1" collapsed="false">
      <c r="A54" s="25" t="n">
        <v>1</v>
      </c>
      <c r="B54" s="26" t="s">
        <v>777</v>
      </c>
      <c r="C54" s="27" t="s">
        <v>276</v>
      </c>
      <c r="D54" s="26"/>
      <c r="E54" s="26"/>
      <c r="F54" s="28" t="n">
        <v>1</v>
      </c>
      <c r="G54" s="25" t="s">
        <v>264</v>
      </c>
      <c r="H54" s="29"/>
      <c r="I54" s="30"/>
      <c r="J54" s="30"/>
      <c r="K54" s="30"/>
      <c r="L54" s="30"/>
      <c r="M54" s="30" t="n">
        <f aca="false">IF(SUMIF(A55:A69,2,M55:M69)=0,"",SUMIF(A55:A69,2,M55:M69))</f>
        <v>0.407328261355137</v>
      </c>
      <c r="N54" s="30"/>
      <c r="O54" s="30" t="n">
        <f aca="false">IF(SUMIF(A55:A69,2,O55:O69)=0,"",SUMIF(A55:A69,2,O55:O69))</f>
        <v>0.380670753881881</v>
      </c>
      <c r="P54" s="30" t="n">
        <f aca="false">IF(SUMIF(A55:A69,2,P55:P69)=0,"",SUMIF(A55:A69,2,P55:P69))</f>
        <v>0.434574440673038</v>
      </c>
      <c r="Q54" s="29"/>
      <c r="R54" s="29"/>
      <c r="S54" s="31"/>
      <c r="T54" s="32"/>
      <c r="U54" s="33"/>
      <c r="V54" s="34"/>
    </row>
    <row r="55" customFormat="false" ht="15" hidden="false" customHeight="false" outlineLevel="2" collapsed="false">
      <c r="A55" s="35" t="n">
        <v>2</v>
      </c>
      <c r="B55" s="36" t="s">
        <v>778</v>
      </c>
      <c r="C55" s="37" t="s">
        <v>284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0.00289757599381456</v>
      </c>
      <c r="J55" s="40" t="n">
        <v>0.00289757599381456</v>
      </c>
      <c r="K55" s="40" t="n">
        <f aca="false">I55*(1-V55)</f>
        <v>0.00278053562775289</v>
      </c>
      <c r="L55" s="40" t="n">
        <f aca="false">I55*(1+V55)</f>
        <v>0.00301461635987624</v>
      </c>
      <c r="M55" s="40" t="n">
        <f aca="false">F55*N55</f>
        <v>0.0244845171477331</v>
      </c>
      <c r="N55" s="40" t="n">
        <f aca="false">J55*H55</f>
        <v>0.0244845171477331</v>
      </c>
      <c r="O55" s="40" t="n">
        <f aca="false">K55*Q55</f>
        <v>0.0233564992731243</v>
      </c>
      <c r="P55" s="40" t="n">
        <f aca="false">L55*R55</f>
        <v>0.025624239058948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0.234080732123344</v>
      </c>
      <c r="T55" s="42" t="n">
        <f aca="false">200*J55/S55</f>
        <v>2.47570653725378</v>
      </c>
      <c r="U55" s="43" t="n">
        <f aca="false">IFERROR(INDEX(ISO_TOL,MATCH(T55,ISO_DESDE,1)),0)</f>
        <v>0.1</v>
      </c>
      <c r="V55" s="44" t="n">
        <f aca="false">IF(T55&gt;0,U55/T55,0)</f>
        <v>0.0403925095705919</v>
      </c>
    </row>
    <row r="56" customFormat="false" ht="15" hidden="false" customHeight="false" outlineLevel="2" collapsed="false">
      <c r="A56" s="35" t="n">
        <v>2</v>
      </c>
      <c r="B56" s="36" t="s">
        <v>779</v>
      </c>
      <c r="C56" s="37" t="s">
        <v>286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0.000622782069311974</v>
      </c>
      <c r="J56" s="40" t="n">
        <v>0.000622782069311974</v>
      </c>
      <c r="K56" s="40" t="n">
        <f aca="false">I56*(1-V56)</f>
        <v>0.000575019978783558</v>
      </c>
      <c r="L56" s="40" t="n">
        <f aca="false">I56*(1+V56)</f>
        <v>0.00067054415984039</v>
      </c>
      <c r="M56" s="40" t="n">
        <f aca="false">F56*N56</f>
        <v>0.00526250848568618</v>
      </c>
      <c r="N56" s="40" t="n">
        <f aca="false">J56*H56</f>
        <v>0.00526250848568618</v>
      </c>
      <c r="O56" s="40" t="n">
        <f aca="false">K56*Q56</f>
        <v>0.00483016782178189</v>
      </c>
      <c r="P56" s="40" t="n">
        <f aca="false">L56*R56</f>
        <v>0.00569962535864331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0.095524181056832</v>
      </c>
      <c r="T56" s="42" t="n">
        <f aca="false">200*J56/S56</f>
        <v>1.3039254823686</v>
      </c>
      <c r="U56" s="43" t="n">
        <f aca="false">IFERROR(INDEX(ISO_TOL,MATCH(T56,ISO_DESDE,1)),0)</f>
        <v>0.1</v>
      </c>
      <c r="V56" s="44" t="n">
        <f aca="false">IF(T56&gt;0,U56/T56,0)</f>
        <v>0.0766914991325645</v>
      </c>
    </row>
    <row r="57" customFormat="false" ht="15" hidden="false" customHeight="false" outlineLevel="2" collapsed="false">
      <c r="A57" s="35" t="n">
        <v>2</v>
      </c>
      <c r="B57" s="36" t="s">
        <v>780</v>
      </c>
      <c r="C57" s="37" t="s">
        <v>288</v>
      </c>
      <c r="D57" s="36" t="s">
        <v>17</v>
      </c>
      <c r="E57" s="36" t="str">
        <f aca="false">INDEX(REF_DATO,MATCH(D57,REF_ID,0))</f>
        <v>Latón de forja (CuZn39Pb2 / C37700)</v>
      </c>
      <c r="F57" s="38" t="n">
        <v>1</v>
      </c>
      <c r="G57" s="35" t="s">
        <v>264</v>
      </c>
      <c r="H57" s="39" t="n">
        <f aca="false">INDEX(REF_VAL,MATCH(D57,REF_ID,0))</f>
        <v>8.45</v>
      </c>
      <c r="I57" s="40" t="n">
        <f aca="false">F57*J57</f>
        <v>0.0157211778450524</v>
      </c>
      <c r="J57" s="40" t="n">
        <v>0.0157211778450524</v>
      </c>
      <c r="K57" s="40" t="n">
        <f aca="false">I57*(1-V57)</f>
        <v>0.0154591130500677</v>
      </c>
      <c r="L57" s="40" t="n">
        <f aca="false">I57*(1+V57)</f>
        <v>0.0159832426400371</v>
      </c>
      <c r="M57" s="40" t="n">
        <f aca="false">F57*N57</f>
        <v>0.132843952790693</v>
      </c>
      <c r="N57" s="40" t="n">
        <f aca="false">J57*H57</f>
        <v>0.132843952790693</v>
      </c>
      <c r="O57" s="40" t="n">
        <f aca="false">K57*Q57</f>
        <v>0.129856549620569</v>
      </c>
      <c r="P57" s="40" t="n">
        <f aca="false">L57*R57</f>
        <v>0.135857562440316</v>
      </c>
      <c r="Q57" s="39" t="n">
        <f aca="false">INDEX(REF_MIN,MATCH(D57,REF_ID,0))</f>
        <v>8.4</v>
      </c>
      <c r="R57" s="39" t="n">
        <f aca="false">INDEX(REF_MAX,MATCH(D57,REF_ID,0))</f>
        <v>8.5</v>
      </c>
      <c r="S57" s="41" t="n">
        <v>0.524129589969411</v>
      </c>
      <c r="T57" s="42" t="n">
        <f aca="false">200*J57/S57</f>
        <v>5.99896596029617</v>
      </c>
      <c r="U57" s="43" t="n">
        <f aca="false">IFERROR(INDEX(ISO_TOL,MATCH(T57,ISO_DESDE,1)),0)</f>
        <v>0.1</v>
      </c>
      <c r="V57" s="44" t="n">
        <f aca="false">IF(T57&gt;0,U57/T57,0)</f>
        <v>0.0166695394942803</v>
      </c>
    </row>
    <row r="58" customFormat="false" ht="15" hidden="false" customHeight="false" outlineLevel="2" collapsed="false">
      <c r="A58" s="35" t="n">
        <v>2</v>
      </c>
      <c r="B58" s="36" t="s">
        <v>781</v>
      </c>
      <c r="C58" s="37" t="s">
        <v>278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782</v>
      </c>
      <c r="C59" s="37" t="s">
        <v>290</v>
      </c>
      <c r="D59" s="36" t="s">
        <v>17</v>
      </c>
      <c r="E59" s="36" t="str">
        <f aca="false">INDEX(REF_DATO,MATCH(D59,REF_ID,0))</f>
        <v>Latón de forja (CuZn39Pb2 / C37700)</v>
      </c>
      <c r="F59" s="38" t="n">
        <v>1</v>
      </c>
      <c r="G59" s="35" t="s">
        <v>264</v>
      </c>
      <c r="H59" s="39" t="n">
        <f aca="false">INDEX(REF_VAL,MATCH(D59,REF_ID,0))</f>
        <v>8.45</v>
      </c>
      <c r="I59" s="40" t="n">
        <f aca="false">F59*J59</f>
        <v>0.00162231844631377</v>
      </c>
      <c r="J59" s="40" t="n">
        <v>0.00162231844631377</v>
      </c>
      <c r="K59" s="40" t="n">
        <f aca="false">I59*(1-V59)</f>
        <v>0.0015672149111698</v>
      </c>
      <c r="L59" s="40" t="n">
        <f aca="false">I59*(1+V59)</f>
        <v>0.00167742198145773</v>
      </c>
      <c r="M59" s="40" t="n">
        <f aca="false">F59*N59</f>
        <v>0.0137085908713513</v>
      </c>
      <c r="N59" s="40" t="n">
        <f aca="false">J59*H59</f>
        <v>0.0137085908713513</v>
      </c>
      <c r="O59" s="40" t="n">
        <f aca="false">K59*Q59</f>
        <v>0.0131646052538263</v>
      </c>
      <c r="P59" s="40" t="n">
        <f aca="false">L59*R59</f>
        <v>0.0142580868423907</v>
      </c>
      <c r="Q59" s="39" t="n">
        <f aca="false">INDEX(REF_MIN,MATCH(D59,REF_ID,0))</f>
        <v>8.4</v>
      </c>
      <c r="R59" s="39" t="n">
        <f aca="false">INDEX(REF_MAX,MATCH(D59,REF_ID,0))</f>
        <v>8.5</v>
      </c>
      <c r="S59" s="41" t="n">
        <v>0.11020707028793</v>
      </c>
      <c r="T59" s="42" t="n">
        <f aca="false">200*J59/S59</f>
        <v>2.94412770809578</v>
      </c>
      <c r="U59" s="43" t="n">
        <f aca="false">IFERROR(INDEX(ISO_TOL,MATCH(T59,ISO_DESDE,1)),0)</f>
        <v>0.1</v>
      </c>
      <c r="V59" s="44" t="n">
        <f aca="false">IF(T59&gt;0,U59/T59,0)</f>
        <v>0.0339659178931061</v>
      </c>
    </row>
    <row r="60" customFormat="false" ht="15" hidden="false" customHeight="false" outlineLevel="2" collapsed="false">
      <c r="A60" s="35" t="n">
        <v>2</v>
      </c>
      <c r="B60" s="36" t="s">
        <v>783</v>
      </c>
      <c r="C60" s="37" t="s">
        <v>292</v>
      </c>
      <c r="D60" s="36" t="s">
        <v>14</v>
      </c>
      <c r="E60" s="36" t="str">
        <f aca="false">INDEX(REF_DATO,MATCH(D60,REF_ID,0))</f>
        <v>Acero inoxidable AISI 302 / 304</v>
      </c>
      <c r="F60" s="38" t="n">
        <v>1</v>
      </c>
      <c r="G60" s="35" t="s">
        <v>264</v>
      </c>
      <c r="H60" s="39" t="n">
        <f aca="false">INDEX(REF_VAL,MATCH(D60,REF_ID,0))</f>
        <v>7.93</v>
      </c>
      <c r="I60" s="40" t="n">
        <f aca="false">F60*J60</f>
        <v>0.000611811346278937</v>
      </c>
      <c r="J60" s="40" t="n">
        <v>0.000611811346278937</v>
      </c>
      <c r="K60" s="40" t="n">
        <f aca="false">I60*(1-V60)</f>
        <v>0.000611811346278937</v>
      </c>
      <c r="L60" s="40" t="n">
        <f aca="false">I60*(1+V60)</f>
        <v>0.000611811346278937</v>
      </c>
      <c r="M60" s="40" t="n">
        <f aca="false">F60*N60</f>
        <v>0.00485166397599197</v>
      </c>
      <c r="N60" s="40" t="n">
        <f aca="false">J60*H60</f>
        <v>0.00485166397599197</v>
      </c>
      <c r="O60" s="40" t="n">
        <f aca="false">K60*Q60</f>
        <v>0.00485166397599197</v>
      </c>
      <c r="P60" s="40" t="n">
        <f aca="false">L60*R60</f>
        <v>0.00485166397599197</v>
      </c>
      <c r="Q60" s="39" t="n">
        <f aca="false">INDEX(REF_MIN,MATCH(D60,REF_ID,0))</f>
        <v>7.93</v>
      </c>
      <c r="R60" s="39" t="n">
        <f aca="false">INDEX(REF_MAX,MATCH(D60,REF_ID,0))</f>
        <v>7.93</v>
      </c>
      <c r="S60" s="41" t="n">
        <v>0.606955700673548</v>
      </c>
      <c r="T60" s="42" t="n">
        <f aca="false">200*J60/S60</f>
        <v>0.2016</v>
      </c>
      <c r="U60" s="43" t="n">
        <f aca="false">IFERROR(INDEX(ISO_TOL,MATCH(T60,ISO_DESDE,1)),0)</f>
        <v>0</v>
      </c>
      <c r="V60" s="44" t="n">
        <f aca="false">IF(T60&gt;0,U60/T60,0)</f>
        <v>0</v>
      </c>
    </row>
    <row r="61" customFormat="false" ht="15" hidden="false" customHeight="false" outlineLevel="2" collapsed="false">
      <c r="A61" s="35" t="n">
        <v>2</v>
      </c>
      <c r="B61" s="36" t="s">
        <v>784</v>
      </c>
      <c r="C61" s="37" t="s">
        <v>294</v>
      </c>
      <c r="D61" s="36" t="s">
        <v>14</v>
      </c>
      <c r="E61" s="36" t="str">
        <f aca="false">INDEX(REF_DATO,MATCH(D61,REF_ID,0))</f>
        <v>Acero inoxidable AISI 302 / 304</v>
      </c>
      <c r="F61" s="38" t="n">
        <v>1</v>
      </c>
      <c r="G61" s="35" t="s">
        <v>264</v>
      </c>
      <c r="H61" s="39" t="n">
        <f aca="false">INDEX(REF_VAL,MATCH(D61,REF_ID,0))</f>
        <v>7.93</v>
      </c>
      <c r="I61" s="40" t="n">
        <f aca="false">F61*J61</f>
        <v>0.000414690230273852</v>
      </c>
      <c r="J61" s="40" t="n">
        <v>0.000414690230273852</v>
      </c>
      <c r="K61" s="40" t="n">
        <f aca="false">I61*(1-V61)</f>
        <v>0.000392699081698723</v>
      </c>
      <c r="L61" s="40" t="n">
        <f aca="false">I61*(1+V61)</f>
        <v>0.00043668137884898</v>
      </c>
      <c r="M61" s="40" t="n">
        <f aca="false">F61*N61</f>
        <v>0.00328849352607164</v>
      </c>
      <c r="N61" s="40" t="n">
        <f aca="false">J61*H61</f>
        <v>0.00328849352607164</v>
      </c>
      <c r="O61" s="40" t="n">
        <f aca="false">K61*Q61</f>
        <v>0.00311410371787087</v>
      </c>
      <c r="P61" s="40" t="n">
        <f aca="false">L61*R61</f>
        <v>0.00346288333427241</v>
      </c>
      <c r="Q61" s="39" t="n">
        <f aca="false">INDEX(REF_MIN,MATCH(D61,REF_ID,0))</f>
        <v>7.93</v>
      </c>
      <c r="R61" s="39" t="n">
        <f aca="false">INDEX(REF_MAX,MATCH(D61,REF_ID,0))</f>
        <v>7.93</v>
      </c>
      <c r="S61" s="41" t="n">
        <v>0.0439822971502571</v>
      </c>
      <c r="T61" s="42" t="n">
        <f aca="false">200*J61/S61</f>
        <v>1.88571428571428</v>
      </c>
      <c r="U61" s="43" t="n">
        <f aca="false">IFERROR(INDEX(ISO_TOL,MATCH(T61,ISO_DESDE,1)),0)</f>
        <v>0.1</v>
      </c>
      <c r="V61" s="44" t="n">
        <f aca="false">IF(T61&gt;0,U61/T61,0)</f>
        <v>0.0530303030303032</v>
      </c>
    </row>
    <row r="62" customFormat="false" ht="15" hidden="false" customHeight="false" outlineLevel="2" collapsed="false">
      <c r="A62" s="35" t="n">
        <v>2</v>
      </c>
      <c r="B62" s="36" t="s">
        <v>785</v>
      </c>
      <c r="C62" s="37" t="s">
        <v>296</v>
      </c>
      <c r="D62" s="36" t="s">
        <v>14</v>
      </c>
      <c r="E62" s="36" t="str">
        <f aca="false">INDEX(REF_DATO,MATCH(D62,REF_ID,0))</f>
        <v>Acero inoxidable AISI 302 / 304</v>
      </c>
      <c r="F62" s="38" t="n">
        <v>1</v>
      </c>
      <c r="G62" s="35" t="s">
        <v>264</v>
      </c>
      <c r="H62" s="39" t="n">
        <f aca="false">INDEX(REF_VAL,MATCH(D62,REF_ID,0))</f>
        <v>7.93</v>
      </c>
      <c r="I62" s="40" t="n">
        <f aca="false">F62*J62</f>
        <v>0.000697299378579932</v>
      </c>
      <c r="J62" s="40" t="n">
        <v>0.000697299378579932</v>
      </c>
      <c r="K62" s="40" t="n">
        <f aca="false">I62*(1-V62)</f>
        <v>0.000650528229896073</v>
      </c>
      <c r="L62" s="40" t="n">
        <f aca="false">I62*(1+V62)</f>
        <v>0.000744070527263791</v>
      </c>
      <c r="M62" s="40" t="n">
        <f aca="false">F62*N62</f>
        <v>0.00552958407213886</v>
      </c>
      <c r="N62" s="40" t="n">
        <f aca="false">J62*H62</f>
        <v>0.00552958407213886</v>
      </c>
      <c r="O62" s="40" t="n">
        <f aca="false">K62*Q62</f>
        <v>0.00515868886307586</v>
      </c>
      <c r="P62" s="40" t="n">
        <f aca="false">L62*R62</f>
        <v>0.00590047928120186</v>
      </c>
      <c r="Q62" s="39" t="n">
        <f aca="false">INDEX(REF_MIN,MATCH(D62,REF_ID,0))</f>
        <v>7.93</v>
      </c>
      <c r="R62" s="39" t="n">
        <f aca="false">INDEX(REF_MAX,MATCH(D62,REF_ID,0))</f>
        <v>7.93</v>
      </c>
      <c r="S62" s="41" t="n">
        <v>0.0935422973677176</v>
      </c>
      <c r="T62" s="42" t="n">
        <f aca="false">200*J62/S62</f>
        <v>1.49087503343825</v>
      </c>
      <c r="U62" s="43" t="n">
        <f aca="false">IFERROR(INDEX(ISO_TOL,MATCH(T62,ISO_DESDE,1)),0)</f>
        <v>0.1</v>
      </c>
      <c r="V62" s="44" t="n">
        <f aca="false">IF(T62&gt;0,U62/T62,0)</f>
        <v>0.0670747029476915</v>
      </c>
    </row>
    <row r="63" customFormat="false" ht="15" hidden="false" customHeight="false" outlineLevel="2" collapsed="false">
      <c r="A63" s="35" t="n">
        <v>2</v>
      </c>
      <c r="B63" s="36" t="s">
        <v>786</v>
      </c>
      <c r="C63" s="37" t="s">
        <v>298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0.012220819477271</v>
      </c>
      <c r="J63" s="40" t="n">
        <v>0.012220819477271</v>
      </c>
      <c r="K63" s="40" t="n">
        <f aca="false">I63*(1-V63)</f>
        <v>0.010915142066049</v>
      </c>
      <c r="L63" s="40" t="n">
        <f aca="false">I63*(1+V63)</f>
        <v>0.0135264968884931</v>
      </c>
      <c r="M63" s="40" t="n">
        <f aca="false">F63*N63</f>
        <v>0.0959334328965777</v>
      </c>
      <c r="N63" s="40" t="n">
        <f aca="false">J63*H63</f>
        <v>0.0959334328965777</v>
      </c>
      <c r="O63" s="40" t="n">
        <f aca="false">K63*Q63</f>
        <v>0.0856838652184844</v>
      </c>
      <c r="P63" s="40" t="n">
        <f aca="false">L63*R63</f>
        <v>0.106183000574671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2.61135482244415</v>
      </c>
      <c r="T63" s="42" t="n">
        <f aca="false">200*J63/S63</f>
        <v>0.935975408032274</v>
      </c>
      <c r="U63" s="43" t="n">
        <f aca="false">IFERROR(INDEX(ISO_TOL,MATCH(T63,ISO_DESDE,1)),0)</f>
        <v>0.1</v>
      </c>
      <c r="V63" s="44" t="n">
        <f aca="false">IF(T63&gt;0,U63/T63,0)</f>
        <v>0.106840413905994</v>
      </c>
    </row>
    <row r="64" customFormat="false" ht="15" hidden="false" customHeight="false" outlineLevel="2" collapsed="false">
      <c r="A64" s="35" t="n">
        <v>2</v>
      </c>
      <c r="B64" s="36" t="s">
        <v>787</v>
      </c>
      <c r="C64" s="37" t="s">
        <v>300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0.00964038014337068</v>
      </c>
      <c r="J64" s="40" t="n">
        <v>0.00964038014337068</v>
      </c>
      <c r="K64" s="40" t="n">
        <f aca="false">I64*(1-V64)</f>
        <v>0.00865558197544061</v>
      </c>
      <c r="L64" s="40" t="n">
        <f aca="false">I64*(1+V64)</f>
        <v>0.0106251783113008</v>
      </c>
      <c r="M64" s="40" t="n">
        <f aca="false">F64*N64</f>
        <v>0.0756769841254598</v>
      </c>
      <c r="N64" s="40" t="n">
        <f aca="false">J64*H64</f>
        <v>0.0756769841254598</v>
      </c>
      <c r="O64" s="40" t="n">
        <f aca="false">K64*Q64</f>
        <v>0.0679463185072088</v>
      </c>
      <c r="P64" s="40" t="n">
        <f aca="false">L64*R64</f>
        <v>0.0834076497437109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1.96959633586015</v>
      </c>
      <c r="T64" s="42" t="n">
        <f aca="false">200*J64/S64</f>
        <v>0.978919382398284</v>
      </c>
      <c r="U64" s="43" t="n">
        <f aca="false">IFERROR(INDEX(ISO_TOL,MATCH(T64,ISO_DESDE,1)),0)</f>
        <v>0.1</v>
      </c>
      <c r="V64" s="44" t="n">
        <f aca="false">IF(T64&gt;0,U64/T64,0)</f>
        <v>0.102153457984463</v>
      </c>
    </row>
    <row r="65" customFormat="false" ht="15" hidden="false" customHeight="false" outlineLevel="2" collapsed="false">
      <c r="A65" s="35" t="n">
        <v>2</v>
      </c>
      <c r="B65" s="36" t="s">
        <v>788</v>
      </c>
      <c r="C65" s="37" t="s">
        <v>302</v>
      </c>
      <c r="D65" s="36" t="s">
        <v>26</v>
      </c>
      <c r="E65" s="36" t="str">
        <f aca="false">INDEX(REF_DATO,MATCH(D65,REF_ID,0))</f>
        <v>Polipropileno</v>
      </c>
      <c r="F65" s="38" t="n">
        <v>1</v>
      </c>
      <c r="G65" s="35" t="s">
        <v>264</v>
      </c>
      <c r="H65" s="39" t="n">
        <f aca="false">INDEX(REF_VAL,MATCH(D65,REF_ID,0))</f>
        <v>0.9</v>
      </c>
      <c r="I65" s="40" t="n">
        <f aca="false">F65*J65</f>
        <v>0.0480966332840437</v>
      </c>
      <c r="J65" s="40" t="n">
        <v>0.0480966332840437</v>
      </c>
      <c r="K65" s="40" t="n">
        <f aca="false">I65*(1-V65)</f>
        <v>0.0448808605349263</v>
      </c>
      <c r="L65" s="40" t="n">
        <f aca="false">I65*(1+V65)</f>
        <v>0.0513124060331611</v>
      </c>
      <c r="M65" s="40" t="n">
        <f aca="false">F65*N65</f>
        <v>0.0432869699556393</v>
      </c>
      <c r="N65" s="40" t="n">
        <f aca="false">J65*H65</f>
        <v>0.0432869699556393</v>
      </c>
      <c r="O65" s="40" t="n">
        <f aca="false">K65*Q65</f>
        <v>0.0403927744814337</v>
      </c>
      <c r="P65" s="40" t="n">
        <f aca="false">L65*R65</f>
        <v>0.0466942894901766</v>
      </c>
      <c r="Q65" s="39" t="n">
        <f aca="false">INDEX(REF_MIN,MATCH(D65,REF_ID,0))</f>
        <v>0.9</v>
      </c>
      <c r="R65" s="39" t="n">
        <f aca="false">INDEX(REF_MAX,MATCH(D65,REF_ID,0))</f>
        <v>0.91</v>
      </c>
      <c r="S65" s="41" t="n">
        <v>6.43154549823481</v>
      </c>
      <c r="T65" s="42" t="n">
        <f aca="false">200*J65/S65</f>
        <v>1.49564776606942</v>
      </c>
      <c r="U65" s="43" t="n">
        <f aca="false">IFERROR(INDEX(ISO_TOL,MATCH(T65,ISO_DESDE,1)),0)</f>
        <v>0.1</v>
      </c>
      <c r="V65" s="44" t="n">
        <f aca="false">IF(T65&gt;0,U65/T65,0)</f>
        <v>0.0668606621616539</v>
      </c>
    </row>
    <row r="66" customFormat="false" ht="15" hidden="false" customHeight="false" outlineLevel="2" collapsed="false">
      <c r="A66" s="35" t="n">
        <v>2</v>
      </c>
      <c r="B66" s="36" t="s">
        <v>789</v>
      </c>
      <c r="C66" s="37" t="s">
        <v>741</v>
      </c>
      <c r="D66" s="36" t="s">
        <v>26</v>
      </c>
      <c r="E66" s="36" t="str">
        <f aca="false">INDEX(REF_DATO,MATCH(D66,REF_ID,0))</f>
        <v>Polipropileno</v>
      </c>
      <c r="F66" s="38" t="n">
        <v>1</v>
      </c>
      <c r="G66" s="35" t="s">
        <v>264</v>
      </c>
      <c r="H66" s="39" t="n">
        <f aca="false">INDEX(REF_VAL,MATCH(D66,REF_ID,0))</f>
        <v>0.9</v>
      </c>
      <c r="I66" s="40" t="n">
        <f aca="false">F66*J66</f>
        <v>0.00161163703129156</v>
      </c>
      <c r="J66" s="40" t="n">
        <v>0.00161163703129156</v>
      </c>
      <c r="K66" s="40" t="n">
        <f aca="false">I66*(1-V66)</f>
        <v>0.00161163703129156</v>
      </c>
      <c r="L66" s="40" t="n">
        <f aca="false">I66*(1+V66)</f>
        <v>0.00161163703129156</v>
      </c>
      <c r="M66" s="40" t="n">
        <f aca="false">F66*N66</f>
        <v>0.00145047332816241</v>
      </c>
      <c r="N66" s="40" t="n">
        <f aca="false">J66*H66</f>
        <v>0.00145047332816241</v>
      </c>
      <c r="O66" s="40" t="n">
        <f aca="false">K66*Q66</f>
        <v>0.00145047332816241</v>
      </c>
      <c r="P66" s="40" t="n">
        <f aca="false">L66*R66</f>
        <v>0.00146658969847532</v>
      </c>
      <c r="Q66" s="39" t="n">
        <f aca="false">INDEX(REF_MIN,MATCH(D66,REF_ID,0))</f>
        <v>0.9</v>
      </c>
      <c r="R66" s="39" t="n">
        <f aca="false">INDEX(REF_MAX,MATCH(D66,REF_ID,0))</f>
        <v>0.91</v>
      </c>
      <c r="S66" s="41" t="n">
        <v>0.759260112519581</v>
      </c>
      <c r="T66" s="42" t="n">
        <f aca="false">200*J66/S66</f>
        <v>0.424528301886793</v>
      </c>
      <c r="U66" s="43" t="n">
        <f aca="false">IFERROR(INDEX(ISO_TOL,MATCH(T66,ISO_DESDE,1)),0)</f>
        <v>0</v>
      </c>
      <c r="V66" s="44" t="n">
        <f aca="false">IF(T66&gt;0,U66/T66,0)</f>
        <v>0</v>
      </c>
    </row>
    <row r="67" customFormat="false" ht="15" hidden="false" customHeight="false" outlineLevel="2" collapsed="false">
      <c r="A67" s="35" t="n">
        <v>2</v>
      </c>
      <c r="B67" s="36" t="s">
        <v>790</v>
      </c>
      <c r="C67" s="37" t="s">
        <v>280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0.000842575149692783</v>
      </c>
      <c r="J67" s="40" t="n">
        <v>0.000842575149692783</v>
      </c>
      <c r="K67" s="40" t="n">
        <f aca="false">I67*(1-V67)</f>
        <v>0.000786403473046598</v>
      </c>
      <c r="L67" s="40" t="n">
        <f aca="false">I67*(1+V67)</f>
        <v>0.000898746826338969</v>
      </c>
      <c r="M67" s="40" t="n">
        <f aca="false">F67*N67</f>
        <v>0.00101109017963134</v>
      </c>
      <c r="N67" s="40" t="n">
        <f aca="false">J67*H67</f>
        <v>0.00101109017963134</v>
      </c>
      <c r="O67" s="40" t="n">
        <f aca="false">K67*Q67</f>
        <v>0.000865043820351257</v>
      </c>
      <c r="P67" s="40" t="n">
        <f aca="false">L67*R67</f>
        <v>0.00116837087424066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0.112343353292371</v>
      </c>
      <c r="T67" s="42" t="n">
        <f aca="false">200*J67/S67</f>
        <v>1.5</v>
      </c>
      <c r="U67" s="43" t="n">
        <f aca="false">IFERROR(INDEX(ISO_TOL,MATCH(T67,ISO_DESDE,1)),0)</f>
        <v>0.1</v>
      </c>
      <c r="V67" s="44" t="n">
        <f aca="false">IF(T67&gt;0,U67/T67,0)</f>
        <v>0.0666666666666666</v>
      </c>
    </row>
    <row r="68" customFormat="false" ht="15" hidden="false" customHeight="false" outlineLevel="2" collapsed="false">
      <c r="A68" s="35" t="n">
        <v>2</v>
      </c>
      <c r="B68" s="36" t="s">
        <v>791</v>
      </c>
      <c r="C68" s="37" t="s">
        <v>304</v>
      </c>
      <c r="D68" s="36"/>
      <c r="E68" s="36"/>
      <c r="F68" s="38" t="n">
        <v>1</v>
      </c>
      <c r="G68" s="35" t="s">
        <v>264</v>
      </c>
      <c r="H68" s="39"/>
      <c r="I68" s="40"/>
      <c r="J68" s="40"/>
      <c r="K68" s="40"/>
      <c r="L68" s="40"/>
      <c r="M68" s="40"/>
      <c r="N68" s="40"/>
      <c r="O68" s="40"/>
      <c r="P68" s="40"/>
      <c r="Q68" s="39"/>
      <c r="R68" s="39"/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792</v>
      </c>
      <c r="C69" s="37" t="s">
        <v>306</v>
      </c>
      <c r="D69" s="36"/>
      <c r="E69" s="36"/>
      <c r="F69" s="38" t="n">
        <v>1</v>
      </c>
      <c r="G69" s="35" t="s">
        <v>264</v>
      </c>
      <c r="H69" s="39"/>
      <c r="I69" s="40"/>
      <c r="J69" s="40"/>
      <c r="K69" s="40"/>
      <c r="L69" s="40"/>
      <c r="M69" s="40"/>
      <c r="N69" s="40"/>
      <c r="O69" s="40"/>
      <c r="P69" s="40"/>
      <c r="Q69" s="39"/>
      <c r="R69" s="39"/>
      <c r="S69" s="41"/>
      <c r="T69" s="42"/>
      <c r="U69" s="43"/>
      <c r="V69" s="44"/>
    </row>
    <row r="70" customFormat="false" ht="15" hidden="false" customHeight="false" outlineLevel="1" collapsed="false">
      <c r="A70" s="25" t="n">
        <v>1</v>
      </c>
      <c r="B70" s="26" t="s">
        <v>793</v>
      </c>
      <c r="C70" s="27" t="s">
        <v>308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IF(SUMIF(A71:A74,2,M71:M74)=0,"",SUMIF(A71:A74,2,M71:M74))</f>
        <v>0.263671854191191</v>
      </c>
      <c r="N70" s="30"/>
      <c r="O70" s="30" t="n">
        <f aca="false">IF(SUMIF(A71:A74,2,O71:O74)=0,"",SUMIF(A71:A74,2,O71:O74))</f>
        <v>0.245409676461294</v>
      </c>
      <c r="P70" s="30" t="n">
        <f aca="false">IF(SUMIF(A71:A74,2,P71:P74)=0,"",SUMIF(A71:A74,2,P71:P74))</f>
        <v>0.282864949934917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794</v>
      </c>
      <c r="C71" s="37" t="s">
        <v>369</v>
      </c>
      <c r="D71" s="36" t="s">
        <v>17</v>
      </c>
      <c r="E71" s="36" t="str">
        <f aca="false">INDEX(REF_DATO,MATCH(D71,REF_ID,0))</f>
        <v>Latón de forja (CuZn39Pb2 / C37700)</v>
      </c>
      <c r="F71" s="38" t="n">
        <v>1</v>
      </c>
      <c r="G71" s="35" t="s">
        <v>264</v>
      </c>
      <c r="H71" s="39" t="n">
        <f aca="false">INDEX(REF_VAL,MATCH(D71,REF_ID,0))</f>
        <v>8.45</v>
      </c>
      <c r="I71" s="40" t="n">
        <f aca="false">F71*J71</f>
        <v>0.00305362805928928</v>
      </c>
      <c r="J71" s="40" t="n">
        <v>0.00305362805928928</v>
      </c>
      <c r="K71" s="40" t="n">
        <f aca="false">I71*(1-V71)</f>
        <v>0.00299425195813643</v>
      </c>
      <c r="L71" s="40" t="n">
        <f aca="false">I71*(1+V71)</f>
        <v>0.00311300416044213</v>
      </c>
      <c r="M71" s="40" t="n">
        <f aca="false">F71*N71</f>
        <v>0.0258031571009944</v>
      </c>
      <c r="N71" s="40" t="n">
        <f aca="false">J71*H71</f>
        <v>0.0258031571009944</v>
      </c>
      <c r="O71" s="40" t="n">
        <f aca="false">K71*Q71</f>
        <v>0.025151716448346</v>
      </c>
      <c r="P71" s="40" t="n">
        <f aca="false">L71*R71</f>
        <v>0.0264605353637581</v>
      </c>
      <c r="Q71" s="39" t="n">
        <f aca="false">INDEX(REF_MIN,MATCH(D71,REF_ID,0))</f>
        <v>8.4</v>
      </c>
      <c r="R71" s="39" t="n">
        <f aca="false">INDEX(REF_MAX,MATCH(D71,REF_ID,0))</f>
        <v>8.5</v>
      </c>
      <c r="S71" s="41" t="n">
        <v>0.118752202305694</v>
      </c>
      <c r="T71" s="42" t="n">
        <f aca="false">200*J71/S71</f>
        <v>5.14285714285715</v>
      </c>
      <c r="U71" s="43" t="n">
        <f aca="false">IFERROR(INDEX(ISO_TOL,MATCH(T71,ISO_DESDE,1)),0)</f>
        <v>0.1</v>
      </c>
      <c r="V71" s="44" t="n">
        <f aca="false">IF(T71&gt;0,U71/T71,0)</f>
        <v>0.0194444444444444</v>
      </c>
    </row>
    <row r="72" customFormat="false" ht="15" hidden="false" customHeight="false" outlineLevel="2" collapsed="false">
      <c r="A72" s="35" t="n">
        <v>2</v>
      </c>
      <c r="B72" s="36" t="s">
        <v>795</v>
      </c>
      <c r="C72" s="37" t="s">
        <v>371</v>
      </c>
      <c r="D72" s="36" t="s">
        <v>23</v>
      </c>
      <c r="E72" s="36" t="str">
        <f aca="false">INDEX(REF_DATO,MATCH(D72,REF_ID,0))</f>
        <v>Caucho sintético (NBR / SBR)</v>
      </c>
      <c r="F72" s="38" t="n">
        <v>1</v>
      </c>
      <c r="G72" s="35" t="s">
        <v>264</v>
      </c>
      <c r="H72" s="39" t="n">
        <f aca="false">INDEX(REF_VAL,MATCH(D72,REF_ID,0))</f>
        <v>1.2</v>
      </c>
      <c r="I72" s="40" t="n">
        <f aca="false">F72*J72</f>
        <v>0.0457095747565601</v>
      </c>
      <c r="J72" s="40" t="n">
        <v>0.0457095747565601</v>
      </c>
      <c r="K72" s="40" t="n">
        <f aca="false">I72*(1-V72)</f>
        <v>0.0440201504176108</v>
      </c>
      <c r="L72" s="40" t="n">
        <f aca="false">I72*(1+V72)</f>
        <v>0.0473989990955093</v>
      </c>
      <c r="M72" s="40" t="n">
        <f aca="false">F72*N72</f>
        <v>0.0548514897078721</v>
      </c>
      <c r="N72" s="40" t="n">
        <f aca="false">J72*H72</f>
        <v>0.0548514897078721</v>
      </c>
      <c r="O72" s="40" t="n">
        <f aca="false">K72*Q72</f>
        <v>0.0484221654593719</v>
      </c>
      <c r="P72" s="40" t="n">
        <f aca="false">L72*R72</f>
        <v>0.0616186988241621</v>
      </c>
      <c r="Q72" s="39" t="n">
        <f aca="false">INDEX(REF_MIN,MATCH(D72,REF_ID,0))</f>
        <v>1.1</v>
      </c>
      <c r="R72" s="39" t="n">
        <f aca="false">INDEX(REF_MAX,MATCH(D72,REF_ID,0))</f>
        <v>1.3</v>
      </c>
      <c r="S72" s="41" t="n">
        <v>3.37884867789848</v>
      </c>
      <c r="T72" s="42" t="n">
        <f aca="false">200*J72/S72</f>
        <v>2.70563017844231</v>
      </c>
      <c r="U72" s="43" t="n">
        <f aca="false">IFERROR(INDEX(ISO_TOL,MATCH(T72,ISO_DESDE,1)),0)</f>
        <v>0.1</v>
      </c>
      <c r="V72" s="44" t="n">
        <f aca="false">IF(T72&gt;0,U72/T72,0)</f>
        <v>0.0369599662203547</v>
      </c>
    </row>
    <row r="73" customFormat="false" ht="15" hidden="false" customHeight="false" outlineLevel="2" collapsed="false">
      <c r="A73" s="35" t="n">
        <v>2</v>
      </c>
      <c r="B73" s="36" t="s">
        <v>796</v>
      </c>
      <c r="C73" s="37" t="s">
        <v>797</v>
      </c>
      <c r="D73" s="36" t="s">
        <v>26</v>
      </c>
      <c r="E73" s="36" t="str">
        <f aca="false">INDEX(REF_DATO,MATCH(D73,REF_ID,0))</f>
        <v>Polipropileno</v>
      </c>
      <c r="F73" s="38" t="n">
        <v>1</v>
      </c>
      <c r="G73" s="35" t="s">
        <v>264</v>
      </c>
      <c r="H73" s="39" t="n">
        <f aca="false">INDEX(REF_VAL,MATCH(D73,REF_ID,0))</f>
        <v>0.9</v>
      </c>
      <c r="I73" s="40" t="n">
        <f aca="false">F73*J73</f>
        <v>0.0566304807896691</v>
      </c>
      <c r="J73" s="40" t="n">
        <v>0.0566304807896691</v>
      </c>
      <c r="K73" s="40" t="n">
        <f aca="false">I73*(1-V73)</f>
        <v>0.0545514079870367</v>
      </c>
      <c r="L73" s="40" t="n">
        <f aca="false">I73*(1+V73)</f>
        <v>0.0587095535923016</v>
      </c>
      <c r="M73" s="40" t="n">
        <f aca="false">F73*N73</f>
        <v>0.0509674327107022</v>
      </c>
      <c r="N73" s="40" t="n">
        <f aca="false">J73*H73</f>
        <v>0.0509674327107022</v>
      </c>
      <c r="O73" s="40" t="n">
        <f aca="false">K73*Q73</f>
        <v>0.049096267188333</v>
      </c>
      <c r="P73" s="40" t="n">
        <f aca="false">L73*R73</f>
        <v>0.0534256937689945</v>
      </c>
      <c r="Q73" s="39" t="n">
        <f aca="false">INDEX(REF_MIN,MATCH(D73,REF_ID,0))</f>
        <v>0.9</v>
      </c>
      <c r="R73" s="39" t="n">
        <f aca="false">INDEX(REF_MAX,MATCH(D73,REF_ID,0))</f>
        <v>0.91</v>
      </c>
      <c r="S73" s="41" t="n">
        <v>4.15814560526493</v>
      </c>
      <c r="T73" s="42" t="n">
        <f aca="false">200*J73/S73</f>
        <v>2.72383346643586</v>
      </c>
      <c r="U73" s="43" t="n">
        <f aca="false">IFERROR(INDEX(ISO_TOL,MATCH(T73,ISO_DESDE,1)),0)</f>
        <v>0.1</v>
      </c>
      <c r="V73" s="44" t="n">
        <f aca="false">IF(T73&gt;0,U73/T73,0)</f>
        <v>0.036712964001742</v>
      </c>
    </row>
    <row r="74" customFormat="false" ht="15" hidden="false" customHeight="false" outlineLevel="2" collapsed="false">
      <c r="A74" s="35" t="n">
        <v>2</v>
      </c>
      <c r="B74" s="36" t="s">
        <v>798</v>
      </c>
      <c r="C74" s="37" t="s">
        <v>375</v>
      </c>
      <c r="D74" s="36" t="s">
        <v>10</v>
      </c>
      <c r="E74" s="36" t="str">
        <f aca="false">INDEX(REF_DATO,MATCH(D74,REF_ID,0))</f>
        <v>Acero (chapa LAC/LAF, SAE 1010/1045)</v>
      </c>
      <c r="F74" s="38" t="n">
        <v>1</v>
      </c>
      <c r="G74" s="35" t="s">
        <v>264</v>
      </c>
      <c r="H74" s="39" t="n">
        <f aca="false">INDEX(REF_VAL,MATCH(D74,REF_ID,0))</f>
        <v>7.85</v>
      </c>
      <c r="I74" s="40" t="n">
        <f aca="false">F74*J74</f>
        <v>0.0168216273467035</v>
      </c>
      <c r="J74" s="40" t="n">
        <v>0.0168216273467035</v>
      </c>
      <c r="K74" s="40" t="n">
        <f aca="false">I74*(1-V74)</f>
        <v>0.0156356085815596</v>
      </c>
      <c r="L74" s="40" t="n">
        <f aca="false">I74*(1+V74)</f>
        <v>0.0180076461118475</v>
      </c>
      <c r="M74" s="40" t="n">
        <f aca="false">F74*N74</f>
        <v>0.132049774671623</v>
      </c>
      <c r="N74" s="40" t="n">
        <f aca="false">J74*H74</f>
        <v>0.132049774671623</v>
      </c>
      <c r="O74" s="40" t="n">
        <f aca="false">K74*Q74</f>
        <v>0.122739527365243</v>
      </c>
      <c r="P74" s="40" t="n">
        <f aca="false">L74*R74</f>
        <v>0.141360021978003</v>
      </c>
      <c r="Q74" s="39" t="n">
        <f aca="false">INDEX(REF_MIN,MATCH(D74,REF_ID,0))</f>
        <v>7.85</v>
      </c>
      <c r="R74" s="39" t="n">
        <f aca="false">INDEX(REF_MAX,MATCH(D74,REF_ID,0))</f>
        <v>7.85</v>
      </c>
      <c r="S74" s="41" t="n">
        <v>2.37203753028787</v>
      </c>
      <c r="T74" s="42" t="n">
        <f aca="false">200*J74/S74</f>
        <v>1.41832725088983</v>
      </c>
      <c r="U74" s="43" t="n">
        <f aca="false">IFERROR(INDEX(ISO_TOL,MATCH(T74,ISO_DESDE,1)),0)</f>
        <v>0.1</v>
      </c>
      <c r="V74" s="44" t="n">
        <f aca="false">IF(T74&gt;0,U74/T74,0)</f>
        <v>0.070505590255889</v>
      </c>
    </row>
    <row r="75" customFormat="false" ht="15" hidden="false" customHeight="false" outlineLevel="1" collapsed="false">
      <c r="A75" s="25" t="n">
        <v>1</v>
      </c>
      <c r="B75" s="26" t="s">
        <v>799</v>
      </c>
      <c r="C75" s="27" t="s">
        <v>312</v>
      </c>
      <c r="D75" s="26"/>
      <c r="E75" s="26"/>
      <c r="F75" s="28" t="n">
        <v>1</v>
      </c>
      <c r="G75" s="25" t="s">
        <v>264</v>
      </c>
      <c r="H75" s="29"/>
      <c r="I75" s="30"/>
      <c r="J75" s="30"/>
      <c r="K75" s="30"/>
      <c r="L75" s="30"/>
      <c r="M75" s="30" t="n">
        <f aca="false">IF(SUMIF(A76:A78,2,M76:M78)=0,"",SUMIF(A76:A78,2,M76:M78))</f>
        <v>10.0501837500935</v>
      </c>
      <c r="N75" s="30"/>
      <c r="O75" s="30" t="n">
        <f aca="false">IF(SUMIF(A76:A78,2,O76:O78)=0,"",SUMIF(A76:A78,2,O76:O78))</f>
        <v>9.74299472043751</v>
      </c>
      <c r="P75" s="30" t="n">
        <f aca="false">IF(SUMIF(A76:A78,2,P76:P78)=0,"",SUMIF(A76:A78,2,P76:P78))</f>
        <v>10.3580435149464</v>
      </c>
      <c r="Q75" s="29"/>
      <c r="R75" s="29"/>
      <c r="S75" s="31"/>
      <c r="T75" s="32"/>
      <c r="U75" s="33"/>
      <c r="V75" s="34"/>
    </row>
    <row r="76" customFormat="false" ht="15" hidden="false" customHeight="false" outlineLevel="2" collapsed="false">
      <c r="A76" s="35" t="n">
        <v>2</v>
      </c>
      <c r="B76" s="36" t="s">
        <v>800</v>
      </c>
      <c r="C76" s="37" t="s">
        <v>801</v>
      </c>
      <c r="D76" s="36" t="s">
        <v>62</v>
      </c>
      <c r="E76" s="36" t="str">
        <f aca="false">INDEX(REF_DATO,MATCH(D76,REF_ID,0))</f>
        <v>Concentrado espumígeno AFFF 3 %</v>
      </c>
      <c r="F76" s="38" t="n">
        <f aca="false">MODELOS!$L$8*INDEX(REF_VAL,MATCH("AFFF_PROP",REF_ID,0))</f>
        <v>0.3</v>
      </c>
      <c r="G76" s="35" t="s">
        <v>213</v>
      </c>
      <c r="H76" s="39" t="n">
        <f aca="false">INDEX(REF_VAL,MATCH(D76,REF_ID,0))</f>
        <v>1.025</v>
      </c>
      <c r="I76" s="40" t="n">
        <f aca="false">F76</f>
        <v>0.3</v>
      </c>
      <c r="J76" s="40" t="n">
        <v>1</v>
      </c>
      <c r="K76" s="40" t="n">
        <f aca="false">MODELOS!$M$8*INDEX(REF_VAL,MATCH("AFFF_PROP",REF_ID,0))</f>
        <v>0.291</v>
      </c>
      <c r="L76" s="40" t="n">
        <f aca="false">MODELOS!$N$8*INDEX(REF_VAL,MATCH("AFFF_PROP",REF_ID,0))</f>
        <v>0.309</v>
      </c>
      <c r="M76" s="40" t="n">
        <f aca="false">F76*N76</f>
        <v>0.3075</v>
      </c>
      <c r="N76" s="40" t="n">
        <f aca="false">H76</f>
        <v>1.025</v>
      </c>
      <c r="O76" s="40" t="n">
        <f aca="false">MODELOS!$M$8*INDEX(REF_VAL,MATCH("AFFF_PROP",REF_ID,0))*Q76</f>
        <v>0.298275</v>
      </c>
      <c r="P76" s="40" t="n">
        <f aca="false">MODELOS!$N$8*INDEX(REF_VAL,MATCH("AFFF_PROP",REF_ID,0))*R76</f>
        <v>0.316725</v>
      </c>
      <c r="Q76" s="39" t="n">
        <f aca="false">INDEX(REF_MIN,MATCH(D76,REF_ID,0))</f>
        <v>1.025</v>
      </c>
      <c r="R76" s="39" t="n">
        <f aca="false">INDEX(REF_MAX,MATCH(D76,REF_ID,0))</f>
        <v>1.025</v>
      </c>
      <c r="S76" s="41"/>
      <c r="T76" s="42"/>
      <c r="U76" s="43"/>
      <c r="V76" s="44"/>
    </row>
    <row r="77" customFormat="false" ht="15" hidden="false" customHeight="false" outlineLevel="2" collapsed="false">
      <c r="A77" s="35" t="n">
        <v>2</v>
      </c>
      <c r="B77" s="36" t="s">
        <v>802</v>
      </c>
      <c r="C77" s="37" t="s">
        <v>803</v>
      </c>
      <c r="D77" s="36" t="s">
        <v>55</v>
      </c>
      <c r="E77" s="36" t="str">
        <f aca="false">INDEX(REF_DATO,MATCH(D77,REF_ID,0))</f>
        <v>Agua potable</v>
      </c>
      <c r="F77" s="38" t="n">
        <f aca="false">MODELOS!$L$8*(1-INDEX(REF_VAL,MATCH("AFFF_PROP",REF_ID,0)))</f>
        <v>9.7</v>
      </c>
      <c r="G77" s="35" t="s">
        <v>213</v>
      </c>
      <c r="H77" s="39" t="n">
        <f aca="false">INDEX(REF_VAL,MATCH(D77,REF_ID,0))</f>
        <v>1</v>
      </c>
      <c r="I77" s="40" t="n">
        <f aca="false">F77</f>
        <v>9.7</v>
      </c>
      <c r="J77" s="40" t="n">
        <v>1</v>
      </c>
      <c r="K77" s="40" t="n">
        <f aca="false">MODELOS!$M$8*(1-INDEX(REF_VAL,MATCH("AFFF_PROP",REF_ID,0)))</f>
        <v>9.409</v>
      </c>
      <c r="L77" s="40" t="n">
        <f aca="false">MODELOS!$N$8*(1-INDEX(REF_VAL,MATCH("AFFF_PROP",REF_ID,0)))</f>
        <v>9.991</v>
      </c>
      <c r="M77" s="40" t="n">
        <f aca="false">F77*N77</f>
        <v>9.7</v>
      </c>
      <c r="N77" s="40" t="n">
        <f aca="false">H77</f>
        <v>1</v>
      </c>
      <c r="O77" s="40" t="n">
        <f aca="false">MODELOS!$M$8*(1-INDEX(REF_VAL,MATCH("AFFF_PROP",REF_ID,0)))*Q77</f>
        <v>9.409</v>
      </c>
      <c r="P77" s="40" t="n">
        <f aca="false">MODELOS!$N$8*(1-INDEX(REF_VAL,MATCH("AFFF_PROP",REF_ID,0)))*R77</f>
        <v>9.991</v>
      </c>
      <c r="Q77" s="39" t="n">
        <f aca="false">INDEX(REF_MIN,MATCH(D77,REF_ID,0))</f>
        <v>1</v>
      </c>
      <c r="R77" s="39" t="n">
        <f aca="false">INDEX(REF_MAX,MATCH(D77,REF_ID,0))</f>
        <v>1</v>
      </c>
      <c r="S77" s="41"/>
      <c r="T77" s="42"/>
      <c r="U77" s="43"/>
      <c r="V77" s="44"/>
    </row>
    <row r="78" customFormat="false" ht="15" hidden="false" customHeight="false" outlineLevel="2" collapsed="false">
      <c r="A78" s="35" t="n">
        <v>2</v>
      </c>
      <c r="B78" s="36" t="s">
        <v>804</v>
      </c>
      <c r="C78" s="37" t="s">
        <v>755</v>
      </c>
      <c r="D78" s="36" t="s">
        <v>82</v>
      </c>
      <c r="E78" s="36" t="str">
        <f aca="false">INDEX(REF_DATO,MATCH(D78,REF_ID,0))</f>
        <v>Aire comprimido (densidad normal)</v>
      </c>
      <c r="F78" s="38" t="n">
        <f aca="false">MODELOS!$AF$8</f>
        <v>0.0426837500934968</v>
      </c>
      <c r="G78" s="35" t="s">
        <v>123</v>
      </c>
      <c r="H78" s="39" t="n">
        <f aca="false">INDEX(REF_VAL,MATCH(D78,REF_ID,0))</f>
        <v>0.00129383421076113</v>
      </c>
      <c r="I78" s="40" t="n">
        <f aca="false">F78*J78</f>
        <v>32.9901232619185</v>
      </c>
      <c r="J78" s="40" t="n">
        <f aca="false">1/H78</f>
        <v>772.896551724138</v>
      </c>
      <c r="K78" s="40" t="n">
        <f aca="false">MODELOS!$AG$8/H78</f>
        <v>27.6076487546993</v>
      </c>
      <c r="L78" s="40" t="n">
        <f aca="false">MODELOS!$AH$8/H78</f>
        <v>38.8910066899772</v>
      </c>
      <c r="M78" s="40" t="n">
        <f aca="false">F78</f>
        <v>0.0426837500934968</v>
      </c>
      <c r="N78" s="40" t="n">
        <v>1</v>
      </c>
      <c r="O78" s="40" t="n">
        <f aca="false">MODELOS!$AG$8</f>
        <v>0.0357197204375068</v>
      </c>
      <c r="P78" s="40" t="n">
        <f aca="false">MODELOS!$AH$8</f>
        <v>0.0503185149464326</v>
      </c>
      <c r="Q78" s="39"/>
      <c r="R78" s="39"/>
      <c r="S78" s="41"/>
      <c r="T78" s="42"/>
      <c r="U78" s="43"/>
      <c r="V78" s="44"/>
    </row>
    <row r="79" customFormat="false" ht="15" hidden="false" customHeight="false" outlineLevel="1" collapsed="false">
      <c r="A79" s="25" t="n">
        <v>1</v>
      </c>
      <c r="B79" s="26" t="s">
        <v>805</v>
      </c>
      <c r="C79" s="27" t="s">
        <v>318</v>
      </c>
      <c r="D79" s="26"/>
      <c r="E79" s="26"/>
      <c r="F79" s="28" t="n">
        <v>1</v>
      </c>
      <c r="G79" s="25" t="s">
        <v>264</v>
      </c>
      <c r="H79" s="29"/>
      <c r="I79" s="30"/>
      <c r="J79" s="30"/>
      <c r="K79" s="30"/>
      <c r="L79" s="30"/>
      <c r="M79" s="30" t="n">
        <f aca="false">IF(SUMIF(A80:A86,2,M80:M86)=0,"",SUMIF(A80:A86,2,M80:M86))</f>
        <v>0.0386238515241767</v>
      </c>
      <c r="N79" s="30"/>
      <c r="O79" s="30" t="n">
        <f aca="false">IF(SUMIF(A80:A86,2,O80:O86)=0,"",SUMIF(A80:A86,2,O80:O86))</f>
        <v>0.0372419037613595</v>
      </c>
      <c r="P79" s="30" t="n">
        <f aca="false">IF(SUMIF(A80:A86,2,P80:P86)=0,"",SUMIF(A80:A86,2,P80:P86))</f>
        <v>0.0400078609571728</v>
      </c>
      <c r="Q79" s="29"/>
      <c r="R79" s="29"/>
      <c r="S79" s="31"/>
      <c r="T79" s="32"/>
      <c r="U79" s="33"/>
      <c r="V79" s="34"/>
    </row>
    <row r="80" customFormat="false" ht="15" hidden="false" customHeight="false" outlineLevel="2" collapsed="false">
      <c r="A80" s="35" t="n">
        <v>2</v>
      </c>
      <c r="B80" s="36" t="s">
        <v>806</v>
      </c>
      <c r="C80" s="37" t="s">
        <v>320</v>
      </c>
      <c r="D80" s="36" t="s">
        <v>32</v>
      </c>
      <c r="E80" s="36" t="str">
        <f aca="false">INDEX(REF_DATO,MATCH(D80,REF_ID,0))</f>
        <v>PVC rígido, vinilo y papeles de identificación</v>
      </c>
      <c r="F80" s="38" t="n">
        <v>1</v>
      </c>
      <c r="G80" s="35" t="s">
        <v>264</v>
      </c>
      <c r="H80" s="39" t="n">
        <f aca="false">INDEX(REF_VAL,MATCH(D80,REF_ID,0))</f>
        <v>1.4</v>
      </c>
      <c r="I80" s="40" t="n">
        <f aca="false">F80*J80</f>
        <v>0.0233545434310441</v>
      </c>
      <c r="J80" s="40" t="n">
        <v>0.0233545434310441</v>
      </c>
      <c r="K80" s="40" t="n">
        <f aca="false">I80*(1-V80)</f>
        <v>0.0233545434310441</v>
      </c>
      <c r="L80" s="40" t="n">
        <f aca="false">I80*(1+V80)</f>
        <v>0.0233545434310441</v>
      </c>
      <c r="M80" s="40" t="n">
        <f aca="false">F80*N80</f>
        <v>0.0326963608034617</v>
      </c>
      <c r="N80" s="40" t="n">
        <f aca="false">J80*H80</f>
        <v>0.0326963608034617</v>
      </c>
      <c r="O80" s="40" t="n">
        <f aca="false">K80*Q80</f>
        <v>0.0315286336319095</v>
      </c>
      <c r="P80" s="40" t="n">
        <f aca="false">L80*R80</f>
        <v>0.0338640879750139</v>
      </c>
      <c r="Q80" s="39" t="n">
        <f aca="false">INDEX(REF_MIN,MATCH(D80,REF_ID,0))</f>
        <v>1.35</v>
      </c>
      <c r="R80" s="39" t="n">
        <f aca="false">INDEX(REF_MAX,MATCH(D80,REF_ID,0))</f>
        <v>1.45</v>
      </c>
      <c r="S80" s="41" t="n">
        <v>15.6042395571545</v>
      </c>
      <c r="T80" s="42" t="n">
        <f aca="false">200*J80/S80</f>
        <v>0.299335874016829</v>
      </c>
      <c r="U80" s="43" t="n">
        <f aca="false">IFERROR(INDEX(ISO_TOL,MATCH(T80,ISO_DESDE,1)),0)</f>
        <v>0</v>
      </c>
      <c r="V80" s="44" t="n">
        <f aca="false">IF(T80&gt;0,U80/T80,0)</f>
        <v>0</v>
      </c>
    </row>
    <row r="81" customFormat="false" ht="15" hidden="false" customHeight="false" outlineLevel="2" collapsed="false">
      <c r="A81" s="35" t="n">
        <v>2</v>
      </c>
      <c r="B81" s="36" t="s">
        <v>807</v>
      </c>
      <c r="C81" s="37" t="s">
        <v>322</v>
      </c>
      <c r="D81" s="36" t="s">
        <v>32</v>
      </c>
      <c r="E81" s="36" t="str">
        <f aca="false">INDEX(REF_DATO,MATCH(D81,REF_ID,0))</f>
        <v>PVC rígido, vinilo y papeles de identificación</v>
      </c>
      <c r="F81" s="38" t="n">
        <v>1</v>
      </c>
      <c r="G81" s="35" t="s">
        <v>264</v>
      </c>
      <c r="H81" s="39" t="n">
        <f aca="false">INDEX(REF_VAL,MATCH(D81,REF_ID,0))</f>
        <v>1.4</v>
      </c>
      <c r="I81" s="40" t="n">
        <f aca="false">F81*J81</f>
        <v>0.000635802315789456</v>
      </c>
      <c r="J81" s="40" t="n">
        <v>0.000635802315789456</v>
      </c>
      <c r="K81" s="40" t="n">
        <f aca="false">I81*(1-V81)</f>
        <v>0.000635802315789456</v>
      </c>
      <c r="L81" s="40" t="n">
        <f aca="false">I81*(1+V81)</f>
        <v>0.000635802315789456</v>
      </c>
      <c r="M81" s="40" t="n">
        <f aca="false">F81*N81</f>
        <v>0.000890123242105239</v>
      </c>
      <c r="N81" s="40" t="n">
        <f aca="false">J81*H81</f>
        <v>0.000890123242105239</v>
      </c>
      <c r="O81" s="40" t="n">
        <f aca="false">K81*Q81</f>
        <v>0.000858333126315766</v>
      </c>
      <c r="P81" s="40" t="n">
        <f aca="false">L81*R81</f>
        <v>0.000921913357894712</v>
      </c>
      <c r="Q81" s="39" t="n">
        <f aca="false">INDEX(REF_MIN,MATCH(D81,REF_ID,0))</f>
        <v>1.35</v>
      </c>
      <c r="R81" s="39" t="n">
        <f aca="false">INDEX(REF_MAX,MATCH(D81,REF_ID,0))</f>
        <v>1.45</v>
      </c>
      <c r="S81" s="41" t="n">
        <v>0.429392568421053</v>
      </c>
      <c r="T81" s="42" t="n">
        <f aca="false">200*J81/S81</f>
        <v>0.29614034454644</v>
      </c>
      <c r="U81" s="43" t="n">
        <f aca="false">IFERROR(INDEX(ISO_TOL,MATCH(T81,ISO_DESDE,1)),0)</f>
        <v>0</v>
      </c>
      <c r="V81" s="44" t="n">
        <f aca="false">IF(T81&gt;0,U81/T81,0)</f>
        <v>0</v>
      </c>
    </row>
    <row r="82" customFormat="false" ht="15" hidden="false" customHeight="false" outlineLevel="2" collapsed="false">
      <c r="A82" s="35" t="n">
        <v>2</v>
      </c>
      <c r="B82" s="36" t="s">
        <v>808</v>
      </c>
      <c r="C82" s="37" t="s">
        <v>324</v>
      </c>
      <c r="D82" s="36" t="s">
        <v>32</v>
      </c>
      <c r="E82" s="36" t="str">
        <f aca="false">INDEX(REF_DATO,MATCH(D82,REF_ID,0))</f>
        <v>PVC rígido, vinilo y papeles de identificación</v>
      </c>
      <c r="F82" s="38" t="n">
        <v>1</v>
      </c>
      <c r="G82" s="35" t="s">
        <v>264</v>
      </c>
      <c r="H82" s="39" t="n">
        <f aca="false">INDEX(REF_VAL,MATCH(D82,REF_ID,0))</f>
        <v>1.4</v>
      </c>
      <c r="I82" s="40" t="n">
        <f aca="false">F82*J82</f>
        <v>0.000721136842105262</v>
      </c>
      <c r="J82" s="40" t="n">
        <v>0.000721136842105262</v>
      </c>
      <c r="K82" s="40" t="n">
        <f aca="false">I82*(1-V82)</f>
        <v>0.000721136842105262</v>
      </c>
      <c r="L82" s="40" t="n">
        <f aca="false">I82*(1+V82)</f>
        <v>0.000721136842105262</v>
      </c>
      <c r="M82" s="40" t="n">
        <f aca="false">F82*N82</f>
        <v>0.00100959157894737</v>
      </c>
      <c r="N82" s="40" t="n">
        <f aca="false">J82*H82</f>
        <v>0.00100959157894737</v>
      </c>
      <c r="O82" s="40" t="n">
        <f aca="false">K82*Q82</f>
        <v>0.000973534736842104</v>
      </c>
      <c r="P82" s="40" t="n">
        <f aca="false">L82*R82</f>
        <v>0.00104564842105263</v>
      </c>
      <c r="Q82" s="39" t="n">
        <f aca="false">INDEX(REF_MIN,MATCH(D82,REF_ID,0))</f>
        <v>1.35</v>
      </c>
      <c r="R82" s="39" t="n">
        <f aca="false">INDEX(REF_MAX,MATCH(D82,REF_ID,0))</f>
        <v>1.45</v>
      </c>
      <c r="S82" s="41" t="n">
        <v>0.486763578947369</v>
      </c>
      <c r="T82" s="42" t="n">
        <f aca="false">200*J82/S82</f>
        <v>0.296298602974663</v>
      </c>
      <c r="U82" s="43" t="n">
        <f aca="false">IFERROR(INDEX(ISO_TOL,MATCH(T82,ISO_DESDE,1)),0)</f>
        <v>0</v>
      </c>
      <c r="V82" s="44" t="n">
        <f aca="false">IF(T82&gt;0,U82/T82,0)</f>
        <v>0</v>
      </c>
    </row>
    <row r="83" customFormat="false" ht="15" hidden="false" customHeight="false" outlineLevel="2" collapsed="false">
      <c r="A83" s="35" t="n">
        <v>2</v>
      </c>
      <c r="B83" s="36" t="s">
        <v>809</v>
      </c>
      <c r="C83" s="37" t="s">
        <v>384</v>
      </c>
      <c r="D83" s="36" t="s">
        <v>32</v>
      </c>
      <c r="E83" s="36" t="str">
        <f aca="false">INDEX(REF_DATO,MATCH(D83,REF_ID,0))</f>
        <v>PVC rígido, vinilo y papeles de identificación</v>
      </c>
      <c r="F83" s="38" t="n">
        <v>1</v>
      </c>
      <c r="G83" s="35" t="s">
        <v>264</v>
      </c>
      <c r="H83" s="39" t="n">
        <f aca="false">INDEX(REF_VAL,MATCH(D83,REF_ID,0))</f>
        <v>1.4</v>
      </c>
      <c r="I83" s="40" t="n">
        <f aca="false">F83*J83</f>
        <v>0.00231364736842105</v>
      </c>
      <c r="J83" s="40" t="n">
        <v>0.00231364736842105</v>
      </c>
      <c r="K83" s="40" t="n">
        <f aca="false">I83*(1-V83)</f>
        <v>0.00231364736842105</v>
      </c>
      <c r="L83" s="40" t="n">
        <f aca="false">I83*(1+V83)</f>
        <v>0.00231364736842105</v>
      </c>
      <c r="M83" s="40" t="n">
        <f aca="false">F83*N83</f>
        <v>0.00323910631578947</v>
      </c>
      <c r="N83" s="40" t="n">
        <f aca="false">J83*H83</f>
        <v>0.00323910631578947</v>
      </c>
      <c r="O83" s="40" t="n">
        <f aca="false">K83*Q83</f>
        <v>0.00312342394736842</v>
      </c>
      <c r="P83" s="40" t="n">
        <f aca="false">L83*R83</f>
        <v>0.00335478868421052</v>
      </c>
      <c r="Q83" s="39" t="n">
        <f aca="false">INDEX(REF_MIN,MATCH(D83,REF_ID,0))</f>
        <v>1.35</v>
      </c>
      <c r="R83" s="39" t="n">
        <f aca="false">INDEX(REF_MAX,MATCH(D83,REF_ID,0))</f>
        <v>1.45</v>
      </c>
      <c r="S83" s="41" t="n">
        <v>1.55414484210526</v>
      </c>
      <c r="T83" s="42" t="n">
        <f aca="false">200*J83/S83</f>
        <v>0.297738963028305</v>
      </c>
      <c r="U83" s="43" t="n">
        <f aca="false">IFERROR(INDEX(ISO_TOL,MATCH(T83,ISO_DESDE,1)),0)</f>
        <v>0</v>
      </c>
      <c r="V83" s="44" t="n">
        <f aca="false">IF(T83&gt;0,U83/T83,0)</f>
        <v>0</v>
      </c>
    </row>
    <row r="84" customFormat="false" ht="15" hidden="false" customHeight="false" outlineLevel="2" collapsed="false">
      <c r="A84" s="35" t="n">
        <v>2</v>
      </c>
      <c r="B84" s="36" t="s">
        <v>810</v>
      </c>
      <c r="C84" s="37" t="s">
        <v>326</v>
      </c>
      <c r="D84" s="36" t="s">
        <v>32</v>
      </c>
      <c r="E84" s="36" t="str">
        <f aca="false">INDEX(REF_DATO,MATCH(D84,REF_ID,0))</f>
        <v>PVC rígido, vinilo y papeles de identificación</v>
      </c>
      <c r="F84" s="38" t="n">
        <v>1</v>
      </c>
      <c r="G84" s="35" t="s">
        <v>264</v>
      </c>
      <c r="H84" s="39" t="n">
        <f aca="false">INDEX(REF_VAL,MATCH(D84,REF_ID,0))</f>
        <v>1.4</v>
      </c>
      <c r="I84" s="40" t="n">
        <f aca="false">F84*J84</f>
        <v>0.000338032894736833</v>
      </c>
      <c r="J84" s="40" t="n">
        <v>0.000338032894736833</v>
      </c>
      <c r="K84" s="40" t="n">
        <f aca="false">I84*(1-V84)</f>
        <v>0.000338032894736833</v>
      </c>
      <c r="L84" s="40" t="n">
        <f aca="false">I84*(1+V84)</f>
        <v>0.000338032894736833</v>
      </c>
      <c r="M84" s="40" t="n">
        <f aca="false">F84*N84</f>
        <v>0.000473246052631566</v>
      </c>
      <c r="N84" s="40" t="n">
        <f aca="false">J84*H84</f>
        <v>0.000473246052631566</v>
      </c>
      <c r="O84" s="40" t="n">
        <f aca="false">K84*Q84</f>
        <v>0.000456344407894724</v>
      </c>
      <c r="P84" s="40" t="n">
        <f aca="false">L84*R84</f>
        <v>0.000490147697368407</v>
      </c>
      <c r="Q84" s="39" t="n">
        <f aca="false">INDEX(REF_MIN,MATCH(D84,REF_ID,0))</f>
        <v>1.35</v>
      </c>
      <c r="R84" s="39" t="n">
        <f aca="false">INDEX(REF_MAX,MATCH(D84,REF_ID,0))</f>
        <v>1.45</v>
      </c>
      <c r="S84" s="41" t="n">
        <v>0.229559526315789</v>
      </c>
      <c r="T84" s="42" t="n">
        <f aca="false">200*J84/S84</f>
        <v>0.294505656255645</v>
      </c>
      <c r="U84" s="43" t="n">
        <f aca="false">IFERROR(INDEX(ISO_TOL,MATCH(T84,ISO_DESDE,1)),0)</f>
        <v>0</v>
      </c>
      <c r="V84" s="44" t="n">
        <f aca="false">IF(T84&gt;0,U84/T84,0)</f>
        <v>0</v>
      </c>
    </row>
    <row r="85" customFormat="false" ht="15" hidden="false" customHeight="false" outlineLevel="2" collapsed="false">
      <c r="A85" s="35" t="n">
        <v>2</v>
      </c>
      <c r="B85" s="36" t="s">
        <v>811</v>
      </c>
      <c r="C85" s="37" t="s">
        <v>328</v>
      </c>
      <c r="D85" s="36" t="s">
        <v>32</v>
      </c>
      <c r="E85" s="36" t="str">
        <f aca="false">INDEX(REF_DATO,MATCH(D85,REF_ID,0))</f>
        <v>PVC rígido, vinilo y papeles de identificación</v>
      </c>
      <c r="F85" s="38" t="n">
        <v>1</v>
      </c>
      <c r="G85" s="35" t="s">
        <v>264</v>
      </c>
      <c r="H85" s="39" t="n">
        <f aca="false">INDEX(REF_VAL,MATCH(D85,REF_ID,0))</f>
        <v>1.4</v>
      </c>
      <c r="I85" s="40" t="n">
        <f aca="false">F85*J85</f>
        <v>9.90778174834948E-005</v>
      </c>
      <c r="J85" s="40" t="n">
        <v>9.90778174834948E-005</v>
      </c>
      <c r="K85" s="40" t="n">
        <f aca="false">I85*(1-V85)</f>
        <v>9.90778174834948E-005</v>
      </c>
      <c r="L85" s="40" t="n">
        <f aca="false">I85*(1+V85)</f>
        <v>9.90778174834948E-005</v>
      </c>
      <c r="M85" s="40" t="n">
        <f aca="false">F85*N85</f>
        <v>0.000138708944476893</v>
      </c>
      <c r="N85" s="40" t="n">
        <f aca="false">J85*H85</f>
        <v>0.000138708944476893</v>
      </c>
      <c r="O85" s="40" t="n">
        <f aca="false">K85*Q85</f>
        <v>0.000133755053602718</v>
      </c>
      <c r="P85" s="40" t="n">
        <f aca="false">L85*R85</f>
        <v>0.000143662835351067</v>
      </c>
      <c r="Q85" s="39" t="n">
        <f aca="false">INDEX(REF_MIN,MATCH(D85,REF_ID,0))</f>
        <v>1.35</v>
      </c>
      <c r="R85" s="39" t="n">
        <f aca="false">INDEX(REF_MAX,MATCH(D85,REF_ID,0))</f>
        <v>1.45</v>
      </c>
      <c r="S85" s="41" t="n">
        <v>0.100858410433797</v>
      </c>
      <c r="T85" s="42" t="n">
        <f aca="false">200*J85/S85</f>
        <v>0.196469123511577</v>
      </c>
      <c r="U85" s="43" t="n">
        <f aca="false">IFERROR(INDEX(ISO_TOL,MATCH(T85,ISO_DESDE,1)),0)</f>
        <v>0</v>
      </c>
      <c r="V85" s="44" t="n">
        <f aca="false">IF(T85&gt;0,U85/T85,0)</f>
        <v>0</v>
      </c>
    </row>
    <row r="86" customFormat="false" ht="15" hidden="false" customHeight="false" outlineLevel="2" collapsed="false">
      <c r="A86" s="35" t="n">
        <v>2</v>
      </c>
      <c r="B86" s="36" t="s">
        <v>812</v>
      </c>
      <c r="C86" s="37" t="s">
        <v>330</v>
      </c>
      <c r="D86" s="36" t="s">
        <v>26</v>
      </c>
      <c r="E86" s="36" t="str">
        <f aca="false">INDEX(REF_DATO,MATCH(D86,REF_ID,0))</f>
        <v>Polipropileno</v>
      </c>
      <c r="F86" s="38" t="n">
        <v>1</v>
      </c>
      <c r="G86" s="35" t="s">
        <v>264</v>
      </c>
      <c r="H86" s="39" t="n">
        <f aca="false">INDEX(REF_VAL,MATCH(D86,REF_ID,0))</f>
        <v>0.9</v>
      </c>
      <c r="I86" s="40" t="n">
        <f aca="false">F86*J86</f>
        <v>0.000196349540849362</v>
      </c>
      <c r="J86" s="40" t="n">
        <v>0.000196349540849362</v>
      </c>
      <c r="K86" s="40" t="n">
        <f aca="false">I86*(1-V86)</f>
        <v>0.000186532063806894</v>
      </c>
      <c r="L86" s="40" t="n">
        <f aca="false">I86*(1+V86)</f>
        <v>0.00020616701789183</v>
      </c>
      <c r="M86" s="40" t="n">
        <f aca="false">F86*N86</f>
        <v>0.000176714586764426</v>
      </c>
      <c r="N86" s="40" t="n">
        <f aca="false">J86*H86</f>
        <v>0.000176714586764426</v>
      </c>
      <c r="O86" s="40" t="n">
        <f aca="false">K86*Q86</f>
        <v>0.000167878857426205</v>
      </c>
      <c r="P86" s="40" t="n">
        <f aca="false">L86*R86</f>
        <v>0.000187611986281566</v>
      </c>
      <c r="Q86" s="39" t="n">
        <f aca="false">INDEX(REF_MIN,MATCH(D86,REF_ID,0))</f>
        <v>0.9</v>
      </c>
      <c r="R86" s="39" t="n">
        <f aca="false">INDEX(REF_MAX,MATCH(D86,REF_ID,0))</f>
        <v>0.91</v>
      </c>
      <c r="S86" s="41" t="n">
        <v>0.0196349540849362</v>
      </c>
      <c r="T86" s="42" t="n">
        <f aca="false">200*J86/S86</f>
        <v>2</v>
      </c>
      <c r="U86" s="43" t="n">
        <f aca="false">IFERROR(INDEX(ISO_TOL,MATCH(T86,ISO_DESDE,1)),0)</f>
        <v>0.1</v>
      </c>
      <c r="V86" s="44" t="n">
        <f aca="false">IF(T86&gt;0,U86/T86,0)</f>
        <v>0.05</v>
      </c>
    </row>
    <row r="87" customFormat="false" ht="15" hidden="false" customHeight="false" outlineLevel="1" collapsed="false">
      <c r="A87" s="25" t="n">
        <v>1</v>
      </c>
      <c r="B87" s="26" t="s">
        <v>813</v>
      </c>
      <c r="C87" s="27" t="s">
        <v>332</v>
      </c>
      <c r="D87" s="26"/>
      <c r="E87" s="26"/>
      <c r="F87" s="28" t="n">
        <v>1</v>
      </c>
      <c r="G87" s="25" t="s">
        <v>264</v>
      </c>
      <c r="H87" s="29"/>
      <c r="I87" s="30"/>
      <c r="J87" s="30"/>
      <c r="K87" s="30"/>
      <c r="L87" s="30"/>
      <c r="M87" s="30" t="n">
        <f aca="false">IF(SUMIF(A88:A89,2,M88:M89)=0,"",SUMIF(A88:A89,2,M88:M89))</f>
        <v>0.327217734774336</v>
      </c>
      <c r="N87" s="30"/>
      <c r="O87" s="30" t="n">
        <f aca="false">IF(SUMIF(A88:A89,2,O88:O89)=0,"",SUMIF(A88:A89,2,O88:O89))</f>
        <v>0.310221343841074</v>
      </c>
      <c r="P87" s="30" t="n">
        <f aca="false">IF(SUMIF(A88:A89,2,P88:P89)=0,"",SUMIF(A88:A89,2,P88:P89))</f>
        <v>0.344214125707599</v>
      </c>
      <c r="Q87" s="29"/>
      <c r="R87" s="29"/>
      <c r="S87" s="31"/>
      <c r="T87" s="32"/>
      <c r="U87" s="33"/>
      <c r="V87" s="34"/>
    </row>
    <row r="88" customFormat="false" ht="15" hidden="false" customHeight="false" outlineLevel="2" collapsed="false">
      <c r="A88" s="35" t="n">
        <v>2</v>
      </c>
      <c r="B88" s="36" t="s">
        <v>814</v>
      </c>
      <c r="C88" s="37" t="s">
        <v>390</v>
      </c>
      <c r="D88" s="36" t="s">
        <v>10</v>
      </c>
      <c r="E88" s="36" t="str">
        <f aca="false">INDEX(REF_DATO,MATCH(D88,REF_ID,0))</f>
        <v>Acero (chapa LAC/LAF, SAE 1010/1045)</v>
      </c>
      <c r="F88" s="38" t="n">
        <v>1</v>
      </c>
      <c r="G88" s="35" t="s">
        <v>264</v>
      </c>
      <c r="H88" s="39" t="n">
        <f aca="false">INDEX(REF_VAL,MATCH(D88,REF_ID,0))</f>
        <v>7.85</v>
      </c>
      <c r="I88" s="40" t="n">
        <f aca="false">F88*J88</f>
        <v>0.0416837878693422</v>
      </c>
      <c r="J88" s="40" t="n">
        <v>0.0416837878693422</v>
      </c>
      <c r="K88" s="40" t="n">
        <f aca="false">I88*(1-V88)</f>
        <v>0.0395186425275253</v>
      </c>
      <c r="L88" s="40" t="n">
        <f aca="false">I88*(1+V88)</f>
        <v>0.0438489332111591</v>
      </c>
      <c r="M88" s="40" t="n">
        <f aca="false">F88*N88</f>
        <v>0.327217734774336</v>
      </c>
      <c r="N88" s="40" t="n">
        <f aca="false">J88*H88</f>
        <v>0.327217734774336</v>
      </c>
      <c r="O88" s="40" t="n">
        <f aca="false">K88*Q88</f>
        <v>0.310221343841074</v>
      </c>
      <c r="P88" s="40" t="n">
        <f aca="false">L88*R88</f>
        <v>0.344214125707599</v>
      </c>
      <c r="Q88" s="39" t="n">
        <f aca="false">INDEX(REF_MIN,MATCH(D88,REF_ID,0))</f>
        <v>7.85</v>
      </c>
      <c r="R88" s="39" t="n">
        <f aca="false">INDEX(REF_MAX,MATCH(D88,REF_ID,0))</f>
        <v>7.85</v>
      </c>
      <c r="S88" s="41" t="n">
        <v>4.33029068363372</v>
      </c>
      <c r="T88" s="42" t="n">
        <f aca="false">200*J88/S88</f>
        <v>1.92521892476575</v>
      </c>
      <c r="U88" s="43" t="n">
        <f aca="false">IFERROR(INDEX(ISO_TOL,MATCH(T88,ISO_DESDE,1)),0)</f>
        <v>0.1</v>
      </c>
      <c r="V88" s="44" t="n">
        <f aca="false">IF(T88&gt;0,U88/T88,0)</f>
        <v>0.0519421447159146</v>
      </c>
    </row>
    <row r="89" customFormat="false" ht="15" hidden="false" customHeight="false" outlineLevel="2" collapsed="false">
      <c r="A89" s="35" t="n">
        <v>2</v>
      </c>
      <c r="B89" s="36" t="s">
        <v>815</v>
      </c>
      <c r="C89" s="37" t="s">
        <v>392</v>
      </c>
      <c r="D89" s="36"/>
      <c r="E89" s="36"/>
      <c r="F89" s="38" t="n">
        <v>2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1" collapsed="false">
      <c r="A90" s="25" t="n">
        <v>1</v>
      </c>
      <c r="B90" s="26" t="s">
        <v>816</v>
      </c>
      <c r="C90" s="27" t="s">
        <v>336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str">
        <f aca="false">IF(SUMIF(A91:A94,2,M91:M94)=0,"",SUMIF(A91:A94,2,M91:M94))</f>
        <v/>
      </c>
      <c r="N90" s="30"/>
      <c r="O90" s="30" t="str">
        <f aca="false">IF(SUMIF(A91:A94,2,O91:O94)=0,"",SUMIF(A91:A94,2,O91:O94))</f>
        <v/>
      </c>
      <c r="P90" s="30" t="str">
        <f aca="false">IF(SUMIF(A91:A94,2,P91:P94)=0,"",SUMIF(A91:A94,2,P91:P94))</f>
        <v/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817</v>
      </c>
      <c r="C91" s="37" t="s">
        <v>338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818</v>
      </c>
      <c r="C92" s="37" t="s">
        <v>340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2" collapsed="false">
      <c r="A93" s="35" t="n">
        <v>2</v>
      </c>
      <c r="B93" s="36" t="s">
        <v>819</v>
      </c>
      <c r="C93" s="37" t="s">
        <v>342</v>
      </c>
      <c r="D93" s="36"/>
      <c r="E93" s="36"/>
      <c r="F93" s="38" t="n">
        <v>1</v>
      </c>
      <c r="G93" s="35" t="s">
        <v>264</v>
      </c>
      <c r="H93" s="39"/>
      <c r="I93" s="40"/>
      <c r="J93" s="40"/>
      <c r="K93" s="40"/>
      <c r="L93" s="40"/>
      <c r="M93" s="40"/>
      <c r="N93" s="40"/>
      <c r="O93" s="40"/>
      <c r="P93" s="40"/>
      <c r="Q93" s="39"/>
      <c r="R93" s="39"/>
      <c r="S93" s="41"/>
      <c r="T93" s="42"/>
      <c r="U93" s="43"/>
      <c r="V93" s="44"/>
    </row>
    <row r="94" customFormat="false" ht="15" hidden="false" customHeight="false" outlineLevel="2" collapsed="false">
      <c r="A94" s="35" t="n">
        <v>2</v>
      </c>
      <c r="B94" s="36" t="s">
        <v>820</v>
      </c>
      <c r="C94" s="37" t="s">
        <v>344</v>
      </c>
      <c r="D94" s="36"/>
      <c r="E94" s="36"/>
      <c r="F94" s="38" t="n">
        <v>1</v>
      </c>
      <c r="G94" s="35" t="s">
        <v>264</v>
      </c>
      <c r="H94" s="39"/>
      <c r="I94" s="40"/>
      <c r="J94" s="40"/>
      <c r="K94" s="40"/>
      <c r="L94" s="40"/>
      <c r="M94" s="40"/>
      <c r="N94" s="40"/>
      <c r="O94" s="40"/>
      <c r="P94" s="40"/>
      <c r="Q94" s="39"/>
      <c r="R94" s="39"/>
      <c r="S94" s="41"/>
      <c r="T94" s="42"/>
      <c r="U94" s="43"/>
      <c r="V94" s="44"/>
    </row>
    <row r="95" customFormat="false" ht="15" hidden="false" customHeight="false" outlineLevel="0" collapsed="false">
      <c r="A95" s="16" t="n">
        <v>0</v>
      </c>
      <c r="B95" s="17" t="s">
        <v>217</v>
      </c>
      <c r="C95" s="17" t="s">
        <v>218</v>
      </c>
      <c r="D95" s="17"/>
      <c r="E95" s="17"/>
      <c r="F95" s="18" t="n">
        <v>1</v>
      </c>
      <c r="G95" s="16" t="s">
        <v>264</v>
      </c>
      <c r="H95" s="19"/>
      <c r="I95" s="20"/>
      <c r="J95" s="20"/>
      <c r="K95" s="20"/>
      <c r="L95" s="20"/>
      <c r="M95" s="20" t="n">
        <f aca="false">IF(SUMIF(A96:A148,1,M96:M148)=0,"",SUMIF(A96:A148,1,M96:M148))</f>
        <v>94.8178264416728</v>
      </c>
      <c r="N95" s="20"/>
      <c r="O95" s="20" t="n">
        <f aca="false">IF(SUMIF(A96:A148,1,O96:O148)=0,"",SUMIF(A96:A148,1,O96:O148))</f>
        <v>91.3114735962716</v>
      </c>
      <c r="P95" s="20" t="n">
        <f aca="false">IF(SUMIF(A96:A148,1,P96:P148)=0,"",SUMIF(A96:A148,1,P96:P148))</f>
        <v>98.3467361380713</v>
      </c>
      <c r="Q95" s="19"/>
      <c r="R95" s="19"/>
      <c r="S95" s="21"/>
      <c r="T95" s="22"/>
      <c r="U95" s="23"/>
      <c r="V95" s="24"/>
    </row>
    <row r="96" customFormat="false" ht="15" hidden="false" customHeight="false" outlineLevel="1" collapsed="false">
      <c r="A96" s="25" t="n">
        <v>1</v>
      </c>
      <c r="B96" s="26" t="s">
        <v>821</v>
      </c>
      <c r="C96" s="27" t="s">
        <v>266</v>
      </c>
      <c r="D96" s="26"/>
      <c r="E96" s="26"/>
      <c r="F96" s="28" t="n">
        <v>1</v>
      </c>
      <c r="G96" s="25" t="s">
        <v>264</v>
      </c>
      <c r="H96" s="29"/>
      <c r="I96" s="30"/>
      <c r="J96" s="30"/>
      <c r="K96" s="30"/>
      <c r="L96" s="30"/>
      <c r="M96" s="30" t="n">
        <f aca="false">IF(SUMIF(A97:A100,2,M97:M100)=0,"",SUMIF(A97:A100,2,M97:M100))</f>
        <v>23.0823666004926</v>
      </c>
      <c r="N96" s="30"/>
      <c r="O96" s="30" t="n">
        <f aca="false">IF(SUMIF(A97:A100,2,O97:O100)=0,"",SUMIF(A97:A100,2,O97:O100))</f>
        <v>22.3515447171397</v>
      </c>
      <c r="P96" s="30" t="n">
        <f aca="false">IF(SUMIF(A97:A100,2,P97:P100)=0,"",SUMIF(A97:A100,2,P97:P100))</f>
        <v>23.8131884838456</v>
      </c>
      <c r="Q96" s="29"/>
      <c r="R96" s="29"/>
      <c r="S96" s="31"/>
      <c r="T96" s="32"/>
      <c r="U96" s="33"/>
      <c r="V96" s="34"/>
    </row>
    <row r="97" customFormat="false" ht="15" hidden="false" customHeight="false" outlineLevel="2" collapsed="false">
      <c r="A97" s="35" t="n">
        <v>2</v>
      </c>
      <c r="B97" s="36" t="s">
        <v>822</v>
      </c>
      <c r="C97" s="37" t="s">
        <v>268</v>
      </c>
      <c r="D97" s="36" t="s">
        <v>10</v>
      </c>
      <c r="E97" s="36" t="str">
        <f aca="false">INDEX(REF_DATO,MATCH(D97,REF_ID,0))</f>
        <v>Acero (chapa LAC/LAF, SAE 1010/1045)</v>
      </c>
      <c r="F97" s="38" t="n">
        <v>1</v>
      </c>
      <c r="G97" s="35" t="s">
        <v>264</v>
      </c>
      <c r="H97" s="39" t="n">
        <f aca="false">INDEX(REF_VAL,MATCH(D97,REF_ID,0))</f>
        <v>7.85</v>
      </c>
      <c r="I97" s="40" t="n">
        <f aca="false">F97*J97</f>
        <v>2.03828541984203</v>
      </c>
      <c r="J97" s="40" t="n">
        <v>2.03828541984203</v>
      </c>
      <c r="K97" s="40" t="n">
        <f aca="false">I97*(1-V97)</f>
        <v>1.97427051837511</v>
      </c>
      <c r="L97" s="40" t="n">
        <f aca="false">I97*(1+V97)</f>
        <v>2.10230032130894</v>
      </c>
      <c r="M97" s="40" t="n">
        <f aca="false">F97*N97</f>
        <v>16.0005405457599</v>
      </c>
      <c r="N97" s="40" t="n">
        <f aca="false">J97*H97</f>
        <v>16.0005405457599</v>
      </c>
      <c r="O97" s="40" t="n">
        <f aca="false">K97*Q97</f>
        <v>15.4980235692446</v>
      </c>
      <c r="P97" s="40" t="n">
        <f aca="false">L97*R97</f>
        <v>16.5030575222752</v>
      </c>
      <c r="Q97" s="39" t="n">
        <f aca="false">INDEX(REF_MIN,MATCH(D97,REF_ID,0))</f>
        <v>7.85</v>
      </c>
      <c r="R97" s="39" t="n">
        <f aca="false">INDEX(REF_MAX,MATCH(D97,REF_ID,0))</f>
        <v>7.85</v>
      </c>
      <c r="S97" s="41" t="n">
        <v>128.029802933828</v>
      </c>
      <c r="T97" s="42" t="n">
        <f aca="false">200*J97/S97</f>
        <v>3.18407960199003</v>
      </c>
      <c r="U97" s="43" t="n">
        <f aca="false">IFERROR(INDEX(ISO_TOL,MATCH(T97,ISO_DESDE,1)),0)</f>
        <v>0.1</v>
      </c>
      <c r="V97" s="44" t="n">
        <f aca="false">IF(T97&gt;0,U97/T97,0)</f>
        <v>0.0314062500000002</v>
      </c>
    </row>
    <row r="98" customFormat="false" ht="15" hidden="false" customHeight="false" outlineLevel="2" collapsed="false">
      <c r="A98" s="35" t="n">
        <v>2</v>
      </c>
      <c r="B98" s="36" t="s">
        <v>823</v>
      </c>
      <c r="C98" s="37" t="s">
        <v>270</v>
      </c>
      <c r="D98" s="36" t="s">
        <v>10</v>
      </c>
      <c r="E98" s="36" t="str">
        <f aca="false">INDEX(REF_DATO,MATCH(D98,REF_ID,0))</f>
        <v>Acero (chapa LAC/LAF, SAE 1010/1045)</v>
      </c>
      <c r="F98" s="38" t="n">
        <v>1</v>
      </c>
      <c r="G98" s="35" t="s">
        <v>264</v>
      </c>
      <c r="H98" s="39" t="n">
        <f aca="false">INDEX(REF_VAL,MATCH(D98,REF_ID,0))</f>
        <v>7.85</v>
      </c>
      <c r="I98" s="40" t="n">
        <f aca="false">F98*J98</f>
        <v>0.399694102926945</v>
      </c>
      <c r="J98" s="40" t="n">
        <v>0.399694102926945</v>
      </c>
      <c r="K98" s="40" t="n">
        <f aca="false">I98*(1-V98)</f>
        <v>0.386616367645973</v>
      </c>
      <c r="L98" s="40" t="n">
        <f aca="false">I98*(1+V98)</f>
        <v>0.412771838207917</v>
      </c>
      <c r="M98" s="40" t="n">
        <f aca="false">F98*N98</f>
        <v>3.13759870797652</v>
      </c>
      <c r="N98" s="40" t="n">
        <f aca="false">J98*H98</f>
        <v>3.13759870797652</v>
      </c>
      <c r="O98" s="40" t="n">
        <f aca="false">K98*Q98</f>
        <v>3.03493848602089</v>
      </c>
      <c r="P98" s="40" t="n">
        <f aca="false">L98*R98</f>
        <v>3.24025892993215</v>
      </c>
      <c r="Q98" s="39" t="n">
        <f aca="false">INDEX(REF_MIN,MATCH(D98,REF_ID,0))</f>
        <v>7.85</v>
      </c>
      <c r="R98" s="39" t="n">
        <f aca="false">INDEX(REF_MAX,MATCH(D98,REF_ID,0))</f>
        <v>7.85</v>
      </c>
      <c r="S98" s="41" t="n">
        <v>26.1554705619438</v>
      </c>
      <c r="T98" s="42" t="n">
        <f aca="false">200*J98/S98</f>
        <v>3.05629449090088</v>
      </c>
      <c r="U98" s="43" t="n">
        <f aca="false">IFERROR(INDEX(ISO_TOL,MATCH(T98,ISO_DESDE,1)),0)</f>
        <v>0.1</v>
      </c>
      <c r="V98" s="44" t="n">
        <f aca="false">IF(T98&gt;0,U98/T98,0)</f>
        <v>0.0327193600936419</v>
      </c>
    </row>
    <row r="99" customFormat="false" ht="15" hidden="false" customHeight="false" outlineLevel="2" collapsed="false">
      <c r="A99" s="35" t="n">
        <v>2</v>
      </c>
      <c r="B99" s="36" t="s">
        <v>824</v>
      </c>
      <c r="C99" s="37" t="s">
        <v>272</v>
      </c>
      <c r="D99" s="36" t="s">
        <v>10</v>
      </c>
      <c r="E99" s="36" t="str">
        <f aca="false">INDEX(REF_DATO,MATCH(D99,REF_ID,0))</f>
        <v>Acero (chapa LAC/LAF, SAE 1010/1045)</v>
      </c>
      <c r="F99" s="38" t="n">
        <v>1</v>
      </c>
      <c r="G99" s="35" t="s">
        <v>264</v>
      </c>
      <c r="H99" s="39" t="n">
        <f aca="false">INDEX(REF_VAL,MATCH(D99,REF_ID,0))</f>
        <v>7.85</v>
      </c>
      <c r="I99" s="40" t="n">
        <f aca="false">F99*J99</f>
        <v>0.42494412788623</v>
      </c>
      <c r="J99" s="40" t="n">
        <v>0.42494412788623</v>
      </c>
      <c r="K99" s="40" t="n">
        <f aca="false">I99*(1-V99)</f>
        <v>0.411400242549429</v>
      </c>
      <c r="L99" s="40" t="n">
        <f aca="false">I99*(1+V99)</f>
        <v>0.438488013223032</v>
      </c>
      <c r="M99" s="40" t="n">
        <f aca="false">F99*N99</f>
        <v>3.33581140390691</v>
      </c>
      <c r="N99" s="40" t="n">
        <f aca="false">J99*H99</f>
        <v>3.33581140390691</v>
      </c>
      <c r="O99" s="40" t="n">
        <f aca="false">K99*Q99</f>
        <v>3.22949190401301</v>
      </c>
      <c r="P99" s="40" t="n">
        <f aca="false">L99*R99</f>
        <v>3.4421309038008</v>
      </c>
      <c r="Q99" s="39" t="n">
        <f aca="false">INDEX(REF_MIN,MATCH(D99,REF_ID,0))</f>
        <v>7.85</v>
      </c>
      <c r="R99" s="39" t="n">
        <f aca="false">INDEX(REF_MAX,MATCH(D99,REF_ID,0))</f>
        <v>7.85</v>
      </c>
      <c r="S99" s="41" t="n">
        <v>27.0877706736028</v>
      </c>
      <c r="T99" s="42" t="n">
        <f aca="false">200*J99/S99</f>
        <v>3.13753488987073</v>
      </c>
      <c r="U99" s="43" t="n">
        <f aca="false">IFERROR(INDEX(ISO_TOL,MATCH(T99,ISO_DESDE,1)),0)</f>
        <v>0.1</v>
      </c>
      <c r="V99" s="44" t="n">
        <f aca="false">IF(T99&gt;0,U99/T99,0)</f>
        <v>0.0318721555329446</v>
      </c>
    </row>
    <row r="100" customFormat="false" ht="15" hidden="false" customHeight="false" outlineLevel="2" collapsed="false">
      <c r="A100" s="35" t="n">
        <v>2</v>
      </c>
      <c r="B100" s="36" t="s">
        <v>825</v>
      </c>
      <c r="C100" s="37" t="s">
        <v>274</v>
      </c>
      <c r="D100" s="36" t="s">
        <v>10</v>
      </c>
      <c r="E100" s="36" t="str">
        <f aca="false">INDEX(REF_DATO,MATCH(D100,REF_ID,0))</f>
        <v>Acero (chapa LAC/LAF, SAE 1010/1045)</v>
      </c>
      <c r="F100" s="38" t="n">
        <v>1</v>
      </c>
      <c r="G100" s="35" t="s">
        <v>264</v>
      </c>
      <c r="H100" s="39" t="n">
        <f aca="false">INDEX(REF_VAL,MATCH(D100,REF_ID,0))</f>
        <v>7.85</v>
      </c>
      <c r="I100" s="40" t="n">
        <f aca="false">F100*J100</f>
        <v>0.0775052156495928</v>
      </c>
      <c r="J100" s="40" t="n">
        <v>0.0775052156495928</v>
      </c>
      <c r="K100" s="40" t="n">
        <f aca="false">I100*(1-V100)</f>
        <v>0.0750434086447346</v>
      </c>
      <c r="L100" s="40" t="n">
        <f aca="false">I100*(1+V100)</f>
        <v>0.079967022654451</v>
      </c>
      <c r="M100" s="40" t="n">
        <f aca="false">F100*N100</f>
        <v>0.608415942849303</v>
      </c>
      <c r="N100" s="40" t="n">
        <f aca="false">J100*H100</f>
        <v>0.608415942849303</v>
      </c>
      <c r="O100" s="40" t="n">
        <f aca="false">K100*Q100</f>
        <v>0.589090757861167</v>
      </c>
      <c r="P100" s="40" t="n">
        <f aca="false">L100*R100</f>
        <v>0.62774112783744</v>
      </c>
      <c r="Q100" s="39" t="n">
        <f aca="false">INDEX(REF_MIN,MATCH(D100,REF_ID,0))</f>
        <v>7.85</v>
      </c>
      <c r="R100" s="39" t="n">
        <f aca="false">INDEX(REF_MAX,MATCH(D100,REF_ID,0))</f>
        <v>7.85</v>
      </c>
      <c r="S100" s="41" t="n">
        <v>2.46180700485818</v>
      </c>
      <c r="T100" s="42" t="n">
        <f aca="false">200*J100/S100</f>
        <v>6.29661183810447</v>
      </c>
      <c r="U100" s="43" t="n">
        <f aca="false">IFERROR(INDEX(ISO_TOL,MATCH(T100,ISO_DESDE,1)),0)</f>
        <v>0.2</v>
      </c>
      <c r="V100" s="44" t="n">
        <f aca="false">IF(T100&gt;0,U100/T100,0)</f>
        <v>0.0317631140591649</v>
      </c>
    </row>
    <row r="101" customFormat="false" ht="15" hidden="false" customHeight="false" outlineLevel="1" collapsed="false">
      <c r="A101" s="25" t="n">
        <v>1</v>
      </c>
      <c r="B101" s="26" t="s">
        <v>826</v>
      </c>
      <c r="C101" s="27" t="s">
        <v>276</v>
      </c>
      <c r="D101" s="26"/>
      <c r="E101" s="26"/>
      <c r="F101" s="28" t="n">
        <v>1</v>
      </c>
      <c r="G101" s="25" t="s">
        <v>264</v>
      </c>
      <c r="H101" s="29"/>
      <c r="I101" s="30"/>
      <c r="J101" s="30"/>
      <c r="K101" s="30"/>
      <c r="L101" s="30"/>
      <c r="M101" s="30" t="n">
        <f aca="false">IF(SUMIF(A102:A114,2,M102:M114)=0,"",SUMIF(A102:A114,2,M102:M114))</f>
        <v>1.78380140663527</v>
      </c>
      <c r="N101" s="30"/>
      <c r="O101" s="30" t="n">
        <f aca="false">IF(SUMIF(A102:A114,2,O102:O114)=0,"",SUMIF(A102:A114,2,O102:O114))</f>
        <v>1.72631893629832</v>
      </c>
      <c r="P101" s="30" t="n">
        <f aca="false">IF(SUMIF(A102:A114,2,P102:P114)=0,"",SUMIF(A102:A114,2,P102:P114))</f>
        <v>1.84218746642671</v>
      </c>
      <c r="Q101" s="29"/>
      <c r="R101" s="29"/>
      <c r="S101" s="31"/>
      <c r="T101" s="32"/>
      <c r="U101" s="33"/>
      <c r="V101" s="34"/>
    </row>
    <row r="102" customFormat="false" ht="15" hidden="false" customHeight="false" outlineLevel="2" collapsed="false">
      <c r="A102" s="35" t="n">
        <v>2</v>
      </c>
      <c r="B102" s="36" t="s">
        <v>827</v>
      </c>
      <c r="C102" s="37" t="s">
        <v>284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0.0153319271936849</v>
      </c>
      <c r="J102" s="40" t="n">
        <v>0.0153319271936849</v>
      </c>
      <c r="K102" s="40" t="n">
        <f aca="false">I102*(1-V102)</f>
        <v>0.0148516876326939</v>
      </c>
      <c r="L102" s="40" t="n">
        <f aca="false">I102*(1+V102)</f>
        <v>0.0158121667546759</v>
      </c>
      <c r="M102" s="40" t="n">
        <f aca="false">F102*N102</f>
        <v>0.129554784786637</v>
      </c>
      <c r="N102" s="40" t="n">
        <f aca="false">J102*H102</f>
        <v>0.129554784786637</v>
      </c>
      <c r="O102" s="40" t="n">
        <f aca="false">K102*Q102</f>
        <v>0.124754176114629</v>
      </c>
      <c r="P102" s="40" t="n">
        <f aca="false">L102*R102</f>
        <v>0.134403417414745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0.960479121982008</v>
      </c>
      <c r="T102" s="42" t="n">
        <f aca="false">200*J102/S102</f>
        <v>3.19255813953489</v>
      </c>
      <c r="U102" s="43" t="n">
        <f aca="false">IFERROR(INDEX(ISO_TOL,MATCH(T102,ISO_DESDE,1)),0)</f>
        <v>0.1</v>
      </c>
      <c r="V102" s="44" t="n">
        <f aca="false">IF(T102&gt;0,U102/T102,0)</f>
        <v>0.0313228438228438</v>
      </c>
    </row>
    <row r="103" customFormat="false" ht="15" hidden="false" customHeight="false" outlineLevel="2" collapsed="false">
      <c r="A103" s="35" t="n">
        <v>2</v>
      </c>
      <c r="B103" s="36" t="s">
        <v>828</v>
      </c>
      <c r="C103" s="37" t="s">
        <v>286</v>
      </c>
      <c r="D103" s="36" t="s">
        <v>17</v>
      </c>
      <c r="E103" s="36" t="str">
        <f aca="false">INDEX(REF_DATO,MATCH(D103,REF_ID,0))</f>
        <v>Latón de forja (CuZn39Pb2 / C37700)</v>
      </c>
      <c r="F103" s="38" t="n">
        <v>1</v>
      </c>
      <c r="G103" s="35" t="s">
        <v>264</v>
      </c>
      <c r="H103" s="39" t="n">
        <f aca="false">INDEX(REF_VAL,MATCH(D103,REF_ID,0))</f>
        <v>8.45</v>
      </c>
      <c r="I103" s="40" t="n">
        <f aca="false">F103*J103</f>
        <v>0.0223665060653795</v>
      </c>
      <c r="J103" s="40" t="n">
        <v>0.0223665060653795</v>
      </c>
      <c r="K103" s="40" t="n">
        <f aca="false">I103*(1-V103)</f>
        <v>0.0218969981848931</v>
      </c>
      <c r="L103" s="40" t="n">
        <f aca="false">I103*(1+V103)</f>
        <v>0.0228360139458658</v>
      </c>
      <c r="M103" s="40" t="n">
        <f aca="false">F103*N103</f>
        <v>0.188996976252456</v>
      </c>
      <c r="N103" s="40" t="n">
        <f aca="false">J103*H103</f>
        <v>0.188996976252456</v>
      </c>
      <c r="O103" s="40" t="n">
        <f aca="false">K103*Q103</f>
        <v>0.183934784753102</v>
      </c>
      <c r="P103" s="40" t="n">
        <f aca="false">L103*R103</f>
        <v>0.194106118539859</v>
      </c>
      <c r="Q103" s="39" t="n">
        <f aca="false">INDEX(REF_MIN,MATCH(D103,REF_ID,0))</f>
        <v>8.4</v>
      </c>
      <c r="R103" s="39" t="n">
        <f aca="false">INDEX(REF_MAX,MATCH(D103,REF_ID,0))</f>
        <v>8.5</v>
      </c>
      <c r="S103" s="41" t="n">
        <v>0.939015760972682</v>
      </c>
      <c r="T103" s="42" t="n">
        <f aca="false">200*J103/S103</f>
        <v>4.76381909547739</v>
      </c>
      <c r="U103" s="43" t="n">
        <f aca="false">IFERROR(INDEX(ISO_TOL,MATCH(T103,ISO_DESDE,1)),0)</f>
        <v>0.1</v>
      </c>
      <c r="V103" s="44" t="n">
        <f aca="false">IF(T103&gt;0,U103/T103,0)</f>
        <v>0.0209915611814346</v>
      </c>
    </row>
    <row r="104" customFormat="false" ht="15" hidden="false" customHeight="false" outlineLevel="2" collapsed="false">
      <c r="A104" s="35" t="n">
        <v>2</v>
      </c>
      <c r="B104" s="36" t="s">
        <v>829</v>
      </c>
      <c r="C104" s="37" t="s">
        <v>288</v>
      </c>
      <c r="D104" s="36" t="s">
        <v>17</v>
      </c>
      <c r="E104" s="36" t="str">
        <f aca="false">INDEX(REF_DATO,MATCH(D104,REF_ID,0))</f>
        <v>Latón de forja (CuZn39Pb2 / C37700)</v>
      </c>
      <c r="F104" s="38" t="n">
        <v>1</v>
      </c>
      <c r="G104" s="35" t="s">
        <v>264</v>
      </c>
      <c r="H104" s="39" t="n">
        <f aca="false">INDEX(REF_VAL,MATCH(D104,REF_ID,0))</f>
        <v>8.45</v>
      </c>
      <c r="I104" s="40" t="n">
        <f aca="false">F104*J104</f>
        <v>0.108715470063791</v>
      </c>
      <c r="J104" s="40" t="n">
        <v>0.108715470063791</v>
      </c>
      <c r="K104" s="40" t="n">
        <f aca="false">I104*(1-V104)</f>
        <v>0.106695843413249</v>
      </c>
      <c r="L104" s="40" t="n">
        <f aca="false">I104*(1+V104)</f>
        <v>0.110735096714333</v>
      </c>
      <c r="M104" s="40" t="n">
        <f aca="false">F104*N104</f>
        <v>0.918645722039034</v>
      </c>
      <c r="N104" s="40" t="n">
        <f aca="false">J104*H104</f>
        <v>0.918645722039034</v>
      </c>
      <c r="O104" s="40" t="n">
        <f aca="false">K104*Q104</f>
        <v>0.896245084671288</v>
      </c>
      <c r="P104" s="40" t="n">
        <f aca="false">L104*R104</f>
        <v>0.941248322071834</v>
      </c>
      <c r="Q104" s="39" t="n">
        <f aca="false">INDEX(REF_MIN,MATCH(D104,REF_ID,0))</f>
        <v>8.4</v>
      </c>
      <c r="R104" s="39" t="n">
        <f aca="false">INDEX(REF_MAX,MATCH(D104,REF_ID,0))</f>
        <v>8.5</v>
      </c>
      <c r="S104" s="41" t="n">
        <v>2.01962665054239</v>
      </c>
      <c r="T104" s="42" t="n">
        <f aca="false">200*J104/S104</f>
        <v>10.7658977499227</v>
      </c>
      <c r="U104" s="43" t="n">
        <f aca="false">IFERROR(INDEX(ISO_TOL,MATCH(T104,ISO_DESDE,1)),0)</f>
        <v>0.2</v>
      </c>
      <c r="V104" s="44" t="n">
        <f aca="false">IF(T104&gt;0,U104/T104,0)</f>
        <v>0.018577178108666</v>
      </c>
    </row>
    <row r="105" customFormat="false" ht="15" hidden="false" customHeight="false" outlineLevel="2" collapsed="false">
      <c r="A105" s="35" t="n">
        <v>2</v>
      </c>
      <c r="B105" s="36" t="s">
        <v>830</v>
      </c>
      <c r="C105" s="37" t="s">
        <v>278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2" collapsed="false">
      <c r="A106" s="35" t="n">
        <v>2</v>
      </c>
      <c r="B106" s="36" t="s">
        <v>831</v>
      </c>
      <c r="C106" s="37" t="s">
        <v>290</v>
      </c>
      <c r="D106" s="36" t="s">
        <v>17</v>
      </c>
      <c r="E106" s="36" t="str">
        <f aca="false">INDEX(REF_DATO,MATCH(D106,REF_ID,0))</f>
        <v>Latón de forja (CuZn39Pb2 / C37700)</v>
      </c>
      <c r="F106" s="38" t="n">
        <v>1</v>
      </c>
      <c r="G106" s="35" t="s">
        <v>264</v>
      </c>
      <c r="H106" s="39" t="n">
        <f aca="false">INDEX(REF_VAL,MATCH(D106,REF_ID,0))</f>
        <v>8.45</v>
      </c>
      <c r="I106" s="40" t="n">
        <f aca="false">F106*J106</f>
        <v>0.00370707933123595</v>
      </c>
      <c r="J106" s="40" t="n">
        <v>0.00370707933123595</v>
      </c>
      <c r="K106" s="40" t="n">
        <f aca="false">I106*(1-V106)</f>
        <v>0.00361031827750538</v>
      </c>
      <c r="L106" s="40" t="n">
        <f aca="false">I106*(1+V106)</f>
        <v>0.00380384038496652</v>
      </c>
      <c r="M106" s="40" t="n">
        <f aca="false">F106*N106</f>
        <v>0.0313248203489438</v>
      </c>
      <c r="N106" s="40" t="n">
        <f aca="false">J106*H106</f>
        <v>0.0313248203489438</v>
      </c>
      <c r="O106" s="40" t="n">
        <f aca="false">K106*Q106</f>
        <v>0.0303266735310452</v>
      </c>
      <c r="P106" s="40" t="n">
        <f aca="false">L106*R106</f>
        <v>0.0323326432722154</v>
      </c>
      <c r="Q106" s="39" t="n">
        <f aca="false">INDEX(REF_MIN,MATCH(D106,REF_ID,0))</f>
        <v>8.4</v>
      </c>
      <c r="R106" s="39" t="n">
        <f aca="false">INDEX(REF_MAX,MATCH(D106,REF_ID,0))</f>
        <v>8.5</v>
      </c>
      <c r="S106" s="41" t="n">
        <v>0.193522107461131</v>
      </c>
      <c r="T106" s="42" t="n">
        <f aca="false">200*J106/S106</f>
        <v>3.83116883116882</v>
      </c>
      <c r="U106" s="43" t="n">
        <f aca="false">IFERROR(INDEX(ISO_TOL,MATCH(T106,ISO_DESDE,1)),0)</f>
        <v>0.1</v>
      </c>
      <c r="V106" s="44" t="n">
        <f aca="false">IF(T106&gt;0,U106/T106,0)</f>
        <v>0.0261016949152543</v>
      </c>
    </row>
    <row r="107" customFormat="false" ht="15" hidden="false" customHeight="false" outlineLevel="2" collapsed="false">
      <c r="A107" s="35" t="n">
        <v>2</v>
      </c>
      <c r="B107" s="36" t="s">
        <v>832</v>
      </c>
      <c r="C107" s="37" t="s">
        <v>292</v>
      </c>
      <c r="D107" s="36" t="s">
        <v>14</v>
      </c>
      <c r="E107" s="36" t="str">
        <f aca="false">INDEX(REF_DATO,MATCH(D107,REF_ID,0))</f>
        <v>Acero inoxidable AISI 302 / 304</v>
      </c>
      <c r="F107" s="38" t="n">
        <v>1</v>
      </c>
      <c r="G107" s="35" t="s">
        <v>264</v>
      </c>
      <c r="H107" s="39" t="n">
        <f aca="false">INDEX(REF_VAL,MATCH(D107,REF_ID,0))</f>
        <v>7.93</v>
      </c>
      <c r="I107" s="40" t="n">
        <f aca="false">F107*J107</f>
        <v>0.00119148042980047</v>
      </c>
      <c r="J107" s="40" t="n">
        <v>0.00119148042980047</v>
      </c>
      <c r="K107" s="40" t="n">
        <f aca="false">I107*(1-V107)</f>
        <v>0.00119148042980047</v>
      </c>
      <c r="L107" s="40" t="n">
        <f aca="false">I107*(1+V107)</f>
        <v>0.00119148042980047</v>
      </c>
      <c r="M107" s="40" t="n">
        <f aca="false">F107*N107</f>
        <v>0.00944843980831769</v>
      </c>
      <c r="N107" s="40" t="n">
        <f aca="false">J107*H107</f>
        <v>0.00944843980831769</v>
      </c>
      <c r="O107" s="40" t="n">
        <f aca="false">K107*Q107</f>
        <v>0.00944843980831769</v>
      </c>
      <c r="P107" s="40" t="n">
        <f aca="false">L107*R107</f>
        <v>0.00944843980831769</v>
      </c>
      <c r="Q107" s="39" t="n">
        <f aca="false">INDEX(REF_MIN,MATCH(D107,REF_ID,0))</f>
        <v>7.93</v>
      </c>
      <c r="R107" s="39" t="n">
        <f aca="false">INDEX(REF_MAX,MATCH(D107,REF_ID,0))</f>
        <v>7.93</v>
      </c>
      <c r="S107" s="41" t="n">
        <v>1.17364874989869</v>
      </c>
      <c r="T107" s="42" t="n">
        <f aca="false">200*J107/S107</f>
        <v>0.203038674033149</v>
      </c>
      <c r="U107" s="43" t="n">
        <f aca="false">IFERROR(INDEX(ISO_TOL,MATCH(T107,ISO_DESDE,1)),0)</f>
        <v>0</v>
      </c>
      <c r="V107" s="44" t="n">
        <f aca="false">IF(T107&gt;0,U107/T107,0)</f>
        <v>0</v>
      </c>
    </row>
    <row r="108" customFormat="false" ht="15" hidden="false" customHeight="false" outlineLevel="2" collapsed="false">
      <c r="A108" s="35" t="n">
        <v>2</v>
      </c>
      <c r="B108" s="36" t="s">
        <v>833</v>
      </c>
      <c r="C108" s="37" t="s">
        <v>574</v>
      </c>
      <c r="D108" s="36" t="s">
        <v>10</v>
      </c>
      <c r="E108" s="36" t="str">
        <f aca="false">INDEX(REF_DATO,MATCH(D108,REF_ID,0))</f>
        <v>Acero (chapa LAC/LAF, SAE 1010/1045)</v>
      </c>
      <c r="F108" s="38" t="n">
        <v>1</v>
      </c>
      <c r="G108" s="35" t="s">
        <v>264</v>
      </c>
      <c r="H108" s="39" t="n">
        <f aca="false">INDEX(REF_VAL,MATCH(D108,REF_ID,0))</f>
        <v>7.85</v>
      </c>
      <c r="I108" s="40" t="n">
        <f aca="false">F108*J108</f>
        <v>0.035672011288146</v>
      </c>
      <c r="J108" s="40" t="n">
        <v>0.035672011288146</v>
      </c>
      <c r="K108" s="40" t="n">
        <f aca="false">I108*(1-V108)</f>
        <v>0.0346305861831503</v>
      </c>
      <c r="L108" s="40" t="n">
        <f aca="false">I108*(1+V108)</f>
        <v>0.0367134363931418</v>
      </c>
      <c r="M108" s="40" t="n">
        <f aca="false">F108*N108</f>
        <v>0.280025288611946</v>
      </c>
      <c r="N108" s="40" t="n">
        <f aca="false">J108*H108</f>
        <v>0.280025288611946</v>
      </c>
      <c r="O108" s="40" t="n">
        <f aca="false">K108*Q108</f>
        <v>0.27185010153773</v>
      </c>
      <c r="P108" s="40" t="n">
        <f aca="false">L108*R108</f>
        <v>0.288200475686163</v>
      </c>
      <c r="Q108" s="39" t="n">
        <f aca="false">INDEX(REF_MIN,MATCH(D108,REF_ID,0))</f>
        <v>7.85</v>
      </c>
      <c r="R108" s="39" t="n">
        <f aca="false">INDEX(REF_MAX,MATCH(D108,REF_ID,0))</f>
        <v>7.85</v>
      </c>
      <c r="S108" s="41" t="n">
        <v>1.04142510499571</v>
      </c>
      <c r="T108" s="42" t="n">
        <f aca="false">200*J108/S108</f>
        <v>6.85061481944839</v>
      </c>
      <c r="U108" s="43" t="n">
        <f aca="false">IFERROR(INDEX(ISO_TOL,MATCH(T108,ISO_DESDE,1)),0)</f>
        <v>0.2</v>
      </c>
      <c r="V108" s="44" t="n">
        <f aca="false">IF(T108&gt;0,U108/T108,0)</f>
        <v>0.0291944599530271</v>
      </c>
    </row>
    <row r="109" customFormat="false" ht="15" hidden="false" customHeight="false" outlineLevel="2" collapsed="false">
      <c r="A109" s="35" t="n">
        <v>2</v>
      </c>
      <c r="B109" s="36" t="s">
        <v>834</v>
      </c>
      <c r="C109" s="37" t="s">
        <v>294</v>
      </c>
      <c r="D109" s="36" t="s">
        <v>14</v>
      </c>
      <c r="E109" s="36" t="str">
        <f aca="false">INDEX(REF_DATO,MATCH(D109,REF_ID,0))</f>
        <v>Acero inoxidable AISI 302 / 304</v>
      </c>
      <c r="F109" s="38" t="n">
        <v>1</v>
      </c>
      <c r="G109" s="35" t="s">
        <v>264</v>
      </c>
      <c r="H109" s="39" t="n">
        <f aca="false">INDEX(REF_VAL,MATCH(D109,REF_ID,0))</f>
        <v>7.93</v>
      </c>
      <c r="I109" s="40" t="n">
        <f aca="false">F109*J109</f>
        <v>0.00236247767549953</v>
      </c>
      <c r="J109" s="40" t="n">
        <v>0.00236247767549953</v>
      </c>
      <c r="K109" s="40" t="n">
        <f aca="false">I109*(1-V109)</f>
        <v>0.0022983891853663</v>
      </c>
      <c r="L109" s="40" t="n">
        <f aca="false">I109*(1+V109)</f>
        <v>0.00242656616563276</v>
      </c>
      <c r="M109" s="40" t="n">
        <f aca="false">F109*N109</f>
        <v>0.0187344479667113</v>
      </c>
      <c r="N109" s="40" t="n">
        <f aca="false">J109*H109</f>
        <v>0.0187344479667113</v>
      </c>
      <c r="O109" s="40" t="n">
        <f aca="false">K109*Q109</f>
        <v>0.0182262262399547</v>
      </c>
      <c r="P109" s="40" t="n">
        <f aca="false">L109*R109</f>
        <v>0.0192426696934678</v>
      </c>
      <c r="Q109" s="39" t="n">
        <f aca="false">INDEX(REF_MIN,MATCH(D109,REF_ID,0))</f>
        <v>7.93</v>
      </c>
      <c r="R109" s="39" t="n">
        <f aca="false">INDEX(REF_MAX,MATCH(D109,REF_ID,0))</f>
        <v>7.93</v>
      </c>
      <c r="S109" s="41" t="n">
        <v>0.128176980266464</v>
      </c>
      <c r="T109" s="42" t="n">
        <f aca="false">200*J109/S109</f>
        <v>3.68627450980393</v>
      </c>
      <c r="U109" s="43" t="n">
        <f aca="false">IFERROR(INDEX(ISO_TOL,MATCH(T109,ISO_DESDE,1)),0)</f>
        <v>0.1</v>
      </c>
      <c r="V109" s="44" t="n">
        <f aca="false">IF(T109&gt;0,U109/T109,0)</f>
        <v>0.0271276595744681</v>
      </c>
    </row>
    <row r="110" customFormat="false" ht="15" hidden="false" customHeight="false" outlineLevel="2" collapsed="false">
      <c r="A110" s="35" t="n">
        <v>2</v>
      </c>
      <c r="B110" s="36" t="s">
        <v>835</v>
      </c>
      <c r="C110" s="37" t="s">
        <v>296</v>
      </c>
      <c r="D110" s="36" t="s">
        <v>14</v>
      </c>
      <c r="E110" s="36" t="str">
        <f aca="false">INDEX(REF_DATO,MATCH(D110,REF_ID,0))</f>
        <v>Acero inoxidable AISI 302 / 304</v>
      </c>
      <c r="F110" s="38" t="n">
        <v>1</v>
      </c>
      <c r="G110" s="35" t="s">
        <v>264</v>
      </c>
      <c r="H110" s="39" t="n">
        <f aca="false">INDEX(REF_VAL,MATCH(D110,REF_ID,0))</f>
        <v>7.93</v>
      </c>
      <c r="I110" s="40" t="n">
        <f aca="false">F110*J110</f>
        <v>0.000765660375542344</v>
      </c>
      <c r="J110" s="40" t="n">
        <v>0.000765660375542344</v>
      </c>
      <c r="K110" s="40" t="n">
        <f aca="false">I110*(1-V110)</f>
        <v>0.000714616660880282</v>
      </c>
      <c r="L110" s="40" t="n">
        <f aca="false">I110*(1+V110)</f>
        <v>0.000816704090204405</v>
      </c>
      <c r="M110" s="40" t="n">
        <f aca="false">F110*N110</f>
        <v>0.00607168677805078</v>
      </c>
      <c r="N110" s="40" t="n">
        <f aca="false">J110*H110</f>
        <v>0.00607168677805078</v>
      </c>
      <c r="O110" s="40" t="n">
        <f aca="false">K110*Q110</f>
        <v>0.00566691012078064</v>
      </c>
      <c r="P110" s="40" t="n">
        <f aca="false">L110*R110</f>
        <v>0.00647646343532093</v>
      </c>
      <c r="Q110" s="39" t="n">
        <f aca="false">INDEX(REF_MIN,MATCH(D110,REF_ID,0))</f>
        <v>7.93</v>
      </c>
      <c r="R110" s="39" t="n">
        <f aca="false">INDEX(REF_MAX,MATCH(D110,REF_ID,0))</f>
        <v>7.93</v>
      </c>
      <c r="S110" s="41" t="n">
        <v>0.102087429324123</v>
      </c>
      <c r="T110" s="42" t="n">
        <f aca="false">200*J110/S110</f>
        <v>1.50000912083193</v>
      </c>
      <c r="U110" s="43" t="n">
        <f aca="false">IFERROR(INDEX(ISO_TOL,MATCH(T110,ISO_DESDE,1)),0)</f>
        <v>0.1</v>
      </c>
      <c r="V110" s="44" t="n">
        <f aca="false">IF(T110&gt;0,U110/T110,0)</f>
        <v>0.0666662612988236</v>
      </c>
    </row>
    <row r="111" customFormat="false" ht="15" hidden="false" customHeight="false" outlineLevel="2" collapsed="false">
      <c r="A111" s="35" t="n">
        <v>2</v>
      </c>
      <c r="B111" s="36" t="s">
        <v>836</v>
      </c>
      <c r="C111" s="37" t="s">
        <v>302</v>
      </c>
      <c r="D111" s="36" t="s">
        <v>32</v>
      </c>
      <c r="E111" s="36" t="str">
        <f aca="false">INDEX(REF_DATO,MATCH(D111,REF_ID,0))</f>
        <v>PVC rígido, vinilo y papeles de identificación</v>
      </c>
      <c r="F111" s="38" t="n">
        <v>1</v>
      </c>
      <c r="G111" s="35" t="s">
        <v>264</v>
      </c>
      <c r="H111" s="39" t="n">
        <f aca="false">INDEX(REF_VAL,MATCH(D111,REF_ID,0))</f>
        <v>1.4</v>
      </c>
      <c r="I111" s="40" t="n">
        <f aca="false">F111*J111</f>
        <v>0.141753249995549</v>
      </c>
      <c r="J111" s="40" t="n">
        <v>0.141753249995549</v>
      </c>
      <c r="K111" s="40" t="n">
        <f aca="false">I111*(1-V111)</f>
        <v>0.136066233935214</v>
      </c>
      <c r="L111" s="40" t="n">
        <f aca="false">I111*(1+V111)</f>
        <v>0.147440266055884</v>
      </c>
      <c r="M111" s="40" t="n">
        <f aca="false">F111*N111</f>
        <v>0.198454549993769</v>
      </c>
      <c r="N111" s="40" t="n">
        <f aca="false">J111*H111</f>
        <v>0.198454549993769</v>
      </c>
      <c r="O111" s="40" t="n">
        <f aca="false">K111*Q111</f>
        <v>0.183689415812539</v>
      </c>
      <c r="P111" s="40" t="n">
        <f aca="false">L111*R111</f>
        <v>0.213788385781032</v>
      </c>
      <c r="Q111" s="39" t="n">
        <f aca="false">INDEX(REF_MIN,MATCH(D111,REF_ID,0))</f>
        <v>1.35</v>
      </c>
      <c r="R111" s="39" t="n">
        <f aca="false">INDEX(REF_MAX,MATCH(D111,REF_ID,0))</f>
        <v>1.45</v>
      </c>
      <c r="S111" s="41" t="n">
        <v>11.37403212067</v>
      </c>
      <c r="T111" s="42" t="n">
        <f aca="false">200*J111/S111</f>
        <v>2.4925769242016</v>
      </c>
      <c r="U111" s="43" t="n">
        <f aca="false">IFERROR(INDEX(ISO_TOL,MATCH(T111,ISO_DESDE,1)),0)</f>
        <v>0.1</v>
      </c>
      <c r="V111" s="44" t="n">
        <f aca="false">IF(T111&gt;0,U111/T111,0)</f>
        <v>0.0401191229161488</v>
      </c>
    </row>
    <row r="112" customFormat="false" ht="15" hidden="false" customHeight="false" outlineLevel="2" collapsed="false">
      <c r="A112" s="35" t="n">
        <v>2</v>
      </c>
      <c r="B112" s="36" t="s">
        <v>837</v>
      </c>
      <c r="C112" s="37" t="s">
        <v>280</v>
      </c>
      <c r="D112" s="36" t="s">
        <v>23</v>
      </c>
      <c r="E112" s="36" t="str">
        <f aca="false">INDEX(REF_DATO,MATCH(D112,REF_ID,0))</f>
        <v>Caucho sintético (NBR / SBR)</v>
      </c>
      <c r="F112" s="38" t="n">
        <v>1</v>
      </c>
      <c r="G112" s="35" t="s">
        <v>264</v>
      </c>
      <c r="H112" s="39" t="n">
        <f aca="false">INDEX(REF_VAL,MATCH(D112,REF_ID,0))</f>
        <v>1.2</v>
      </c>
      <c r="I112" s="40" t="n">
        <f aca="false">F112*J112</f>
        <v>0.00212057504117311</v>
      </c>
      <c r="J112" s="40" t="n">
        <v>0.00212057504117311</v>
      </c>
      <c r="K112" s="40" t="n">
        <f aca="false">I112*(1-V112)</f>
        <v>0.00197920337176157</v>
      </c>
      <c r="L112" s="40" t="n">
        <f aca="false">I112*(1+V112)</f>
        <v>0.00226194671058465</v>
      </c>
      <c r="M112" s="40" t="n">
        <f aca="false">F112*N112</f>
        <v>0.00254469004940773</v>
      </c>
      <c r="N112" s="40" t="n">
        <f aca="false">J112*H112</f>
        <v>0.00254469004940773</v>
      </c>
      <c r="O112" s="40" t="n">
        <f aca="false">K112*Q112</f>
        <v>0.00217712370893773</v>
      </c>
      <c r="P112" s="40" t="n">
        <f aca="false">L112*R112</f>
        <v>0.00294053072376005</v>
      </c>
      <c r="Q112" s="39" t="n">
        <f aca="false">INDEX(REF_MIN,MATCH(D112,REF_ID,0))</f>
        <v>1.1</v>
      </c>
      <c r="R112" s="39" t="n">
        <f aca="false">INDEX(REF_MAX,MATCH(D112,REF_ID,0))</f>
        <v>1.3</v>
      </c>
      <c r="S112" s="41" t="n">
        <v>0.282743338823082</v>
      </c>
      <c r="T112" s="42" t="n">
        <f aca="false">200*J112/S112</f>
        <v>1.5</v>
      </c>
      <c r="U112" s="43" t="n">
        <f aca="false">IFERROR(INDEX(ISO_TOL,MATCH(T112,ISO_DESDE,1)),0)</f>
        <v>0.1</v>
      </c>
      <c r="V112" s="44" t="n">
        <f aca="false">IF(T112&gt;0,U112/T112,0)</f>
        <v>0.0666666666666668</v>
      </c>
    </row>
    <row r="113" customFormat="false" ht="15" hidden="false" customHeight="false" outlineLevel="2" collapsed="false">
      <c r="A113" s="35" t="n">
        <v>2</v>
      </c>
      <c r="B113" s="36" t="s">
        <v>838</v>
      </c>
      <c r="C113" s="37" t="s">
        <v>304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839</v>
      </c>
      <c r="C114" s="37" t="s">
        <v>306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1" collapsed="false">
      <c r="A115" s="25" t="n">
        <v>1</v>
      </c>
      <c r="B115" s="26" t="s">
        <v>840</v>
      </c>
      <c r="C115" s="27" t="s">
        <v>308</v>
      </c>
      <c r="D115" s="26"/>
      <c r="E115" s="26"/>
      <c r="F115" s="28" t="n">
        <v>1</v>
      </c>
      <c r="G115" s="25" t="s">
        <v>264</v>
      </c>
      <c r="H115" s="29"/>
      <c r="I115" s="30"/>
      <c r="J115" s="30"/>
      <c r="K115" s="30"/>
      <c r="L115" s="30"/>
      <c r="M115" s="30" t="n">
        <f aca="false">IF(SUMIF(A116:A120,2,M116:M120)=0,"",SUMIF(A116:A120,2,M116:M120))</f>
        <v>2.4851877865696</v>
      </c>
      <c r="N115" s="30"/>
      <c r="O115" s="30" t="n">
        <f aca="false">IF(SUMIF(A116:A120,2,O116:O120)=0,"",SUMIF(A116:A120,2,O116:O120))</f>
        <v>2.249895179286</v>
      </c>
      <c r="P115" s="30" t="n">
        <f aca="false">IF(SUMIF(A116:A120,2,P116:P120)=0,"",SUMIF(A116:A120,2,P116:P120))</f>
        <v>2.73064541535443</v>
      </c>
      <c r="Q115" s="29"/>
      <c r="R115" s="29"/>
      <c r="S115" s="31"/>
      <c r="T115" s="32"/>
      <c r="U115" s="33"/>
      <c r="V115" s="34"/>
    </row>
    <row r="116" customFormat="false" ht="15" hidden="false" customHeight="false" outlineLevel="2" collapsed="false">
      <c r="A116" s="35" t="n">
        <v>2</v>
      </c>
      <c r="B116" s="36" t="s">
        <v>841</v>
      </c>
      <c r="C116" s="37" t="s">
        <v>369</v>
      </c>
      <c r="D116" s="36" t="s">
        <v>17</v>
      </c>
      <c r="E116" s="36" t="str">
        <f aca="false">INDEX(REF_DATO,MATCH(D116,REF_ID,0))</f>
        <v>Latón de forja (CuZn39Pb2 / C37700)</v>
      </c>
      <c r="F116" s="38" t="n">
        <v>1</v>
      </c>
      <c r="G116" s="35" t="s">
        <v>264</v>
      </c>
      <c r="H116" s="39" t="n">
        <f aca="false">INDEX(REF_VAL,MATCH(D116,REF_ID,0))</f>
        <v>8.45</v>
      </c>
      <c r="I116" s="40" t="n">
        <f aca="false">F116*J116</f>
        <v>0.00723822947387088</v>
      </c>
      <c r="J116" s="40" t="n">
        <v>0.00723822947387088</v>
      </c>
      <c r="K116" s="40" t="n">
        <f aca="false">I116*(1-V116)</f>
        <v>0.00702711444754965</v>
      </c>
      <c r="L116" s="40" t="n">
        <f aca="false">I116*(1+V116)</f>
        <v>0.00744934450019212</v>
      </c>
      <c r="M116" s="40" t="n">
        <f aca="false">F116*N116</f>
        <v>0.061163039054209</v>
      </c>
      <c r="N116" s="40" t="n">
        <f aca="false">J116*H116</f>
        <v>0.061163039054209</v>
      </c>
      <c r="O116" s="40" t="n">
        <f aca="false">K116*Q116</f>
        <v>0.0590277613594171</v>
      </c>
      <c r="P116" s="40" t="n">
        <f aca="false">L116*R116</f>
        <v>0.063319428251633</v>
      </c>
      <c r="Q116" s="39" t="n">
        <f aca="false">INDEX(REF_MIN,MATCH(D116,REF_ID,0))</f>
        <v>8.4</v>
      </c>
      <c r="R116" s="39" t="n">
        <f aca="false">INDEX(REF_MAX,MATCH(D116,REF_ID,0))</f>
        <v>8.5</v>
      </c>
      <c r="S116" s="41" t="n">
        <v>0.211115026321234</v>
      </c>
      <c r="T116" s="42" t="n">
        <f aca="false">200*J116/S116</f>
        <v>6.85714285714286</v>
      </c>
      <c r="U116" s="43" t="n">
        <f aca="false">IFERROR(INDEX(ISO_TOL,MATCH(T116,ISO_DESDE,1)),0)</f>
        <v>0.2</v>
      </c>
      <c r="V116" s="44" t="n">
        <f aca="false">IF(T116&gt;0,U116/T116,0)</f>
        <v>0.0291666666666667</v>
      </c>
    </row>
    <row r="117" customFormat="false" ht="15" hidden="false" customHeight="false" outlineLevel="2" collapsed="false">
      <c r="A117" s="35" t="n">
        <v>2</v>
      </c>
      <c r="B117" s="36" t="s">
        <v>842</v>
      </c>
      <c r="C117" s="37" t="s">
        <v>513</v>
      </c>
      <c r="D117" s="36" t="s">
        <v>23</v>
      </c>
      <c r="E117" s="36" t="str">
        <f aca="false">INDEX(REF_DATO,MATCH(D117,REF_ID,0))</f>
        <v>Caucho sintético (NBR / SBR)</v>
      </c>
      <c r="F117" s="38" t="n">
        <v>1</v>
      </c>
      <c r="G117" s="35" t="s">
        <v>264</v>
      </c>
      <c r="H117" s="39" t="n">
        <f aca="false">INDEX(REF_VAL,MATCH(D117,REF_ID,0))</f>
        <v>1.2</v>
      </c>
      <c r="I117" s="40" t="n">
        <f aca="false">F117*J117</f>
        <v>1.50292007128298</v>
      </c>
      <c r="J117" s="40" t="n">
        <v>1.50292007128298</v>
      </c>
      <c r="K117" s="40" t="n">
        <f aca="false">I117*(1-V117)</f>
        <v>1.46286204556427</v>
      </c>
      <c r="L117" s="40" t="n">
        <f aca="false">I117*(1+V117)</f>
        <v>1.5429780970017</v>
      </c>
      <c r="M117" s="40" t="n">
        <f aca="false">F117*N117</f>
        <v>1.80350408553958</v>
      </c>
      <c r="N117" s="40" t="n">
        <f aca="false">J117*H117</f>
        <v>1.80350408553958</v>
      </c>
      <c r="O117" s="40" t="n">
        <f aca="false">K117*Q117</f>
        <v>1.60914825012069</v>
      </c>
      <c r="P117" s="40" t="n">
        <f aca="false">L117*R117</f>
        <v>2.00587152610221</v>
      </c>
      <c r="Q117" s="39" t="n">
        <f aca="false">INDEX(REF_MIN,MATCH(D117,REF_ID,0))</f>
        <v>1.1</v>
      </c>
      <c r="R117" s="39" t="n">
        <f aca="false">INDEX(REF_MAX,MATCH(D117,REF_ID,0))</f>
        <v>1.3</v>
      </c>
      <c r="S117" s="41" t="n">
        <v>80.1160514374318</v>
      </c>
      <c r="T117" s="42" t="n">
        <f aca="false">200*J117/S117</f>
        <v>3.75185757240349</v>
      </c>
      <c r="U117" s="43" t="n">
        <f aca="false">IFERROR(INDEX(ISO_TOL,MATCH(T117,ISO_DESDE,1)),0)</f>
        <v>0.1</v>
      </c>
      <c r="V117" s="44" t="n">
        <f aca="false">IF(T117&gt;0,U117/T117,0)</f>
        <v>0.0266534638029819</v>
      </c>
    </row>
    <row r="118" customFormat="false" ht="15" hidden="false" customHeight="false" outlineLevel="2" collapsed="false">
      <c r="A118" s="35" t="n">
        <v>2</v>
      </c>
      <c r="B118" s="36" t="s">
        <v>843</v>
      </c>
      <c r="C118" s="37" t="s">
        <v>371</v>
      </c>
      <c r="D118" s="36" t="s">
        <v>23</v>
      </c>
      <c r="E118" s="36" t="str">
        <f aca="false">INDEX(REF_DATO,MATCH(D118,REF_ID,0))</f>
        <v>Caucho sintético (NBR / SBR)</v>
      </c>
      <c r="F118" s="38" t="n">
        <v>1</v>
      </c>
      <c r="G118" s="35" t="s">
        <v>264</v>
      </c>
      <c r="H118" s="39" t="n">
        <f aca="false">INDEX(REF_VAL,MATCH(D118,REF_ID,0))</f>
        <v>1.2</v>
      </c>
      <c r="I118" s="40" t="n">
        <f aca="false">F118*J118</f>
        <v>0.140073368319385</v>
      </c>
      <c r="J118" s="40" t="n">
        <v>0.140073368319385</v>
      </c>
      <c r="K118" s="40" t="n">
        <f aca="false">I118*(1-V118)</f>
        <v>0.136174518324682</v>
      </c>
      <c r="L118" s="40" t="n">
        <f aca="false">I118*(1+V118)</f>
        <v>0.143972218314089</v>
      </c>
      <c r="M118" s="40" t="n">
        <f aca="false">F118*N118</f>
        <v>0.168088041983263</v>
      </c>
      <c r="N118" s="40" t="n">
        <f aca="false">J118*H118</f>
        <v>0.168088041983263</v>
      </c>
      <c r="O118" s="40" t="n">
        <f aca="false">K118*Q118</f>
        <v>0.14979197015715</v>
      </c>
      <c r="P118" s="40" t="n">
        <f aca="false">L118*R118</f>
        <v>0.187163883808316</v>
      </c>
      <c r="Q118" s="39" t="n">
        <f aca="false">INDEX(REF_MIN,MATCH(D118,REF_ID,0))</f>
        <v>1.1</v>
      </c>
      <c r="R118" s="39" t="n">
        <f aca="false">INDEX(REF_MAX,MATCH(D118,REF_ID,0))</f>
        <v>1.3</v>
      </c>
      <c r="S118" s="41" t="n">
        <v>7.79769998940736</v>
      </c>
      <c r="T118" s="42" t="n">
        <f aca="false">200*J118/S118</f>
        <v>3.592684214824</v>
      </c>
      <c r="U118" s="43" t="n">
        <f aca="false">IFERROR(INDEX(ISO_TOL,MATCH(T118,ISO_DESDE,1)),0)</f>
        <v>0.1</v>
      </c>
      <c r="V118" s="44" t="n">
        <f aca="false">IF(T118&gt;0,U118/T118,0)</f>
        <v>0.0278343416845221</v>
      </c>
    </row>
    <row r="119" customFormat="false" ht="15" hidden="false" customHeight="false" outlineLevel="2" collapsed="false">
      <c r="A119" s="35" t="n">
        <v>2</v>
      </c>
      <c r="B119" s="36" t="s">
        <v>844</v>
      </c>
      <c r="C119" s="37" t="s">
        <v>516</v>
      </c>
      <c r="D119" s="36" t="s">
        <v>17</v>
      </c>
      <c r="E119" s="36" t="str">
        <f aca="false">INDEX(REF_DATO,MATCH(D119,REF_ID,0))</f>
        <v>Latón de forja (CuZn39Pb2 / C37700)</v>
      </c>
      <c r="F119" s="38" t="n">
        <v>1</v>
      </c>
      <c r="G119" s="35" t="s">
        <v>264</v>
      </c>
      <c r="H119" s="39" t="n">
        <f aca="false">INDEX(REF_VAL,MATCH(D119,REF_ID,0))</f>
        <v>8.45</v>
      </c>
      <c r="I119" s="40" t="n">
        <f aca="false">F119*J119</f>
        <v>0.0414388603746335</v>
      </c>
      <c r="J119" s="40" t="n">
        <v>0.0414388603746335</v>
      </c>
      <c r="K119" s="40" t="n">
        <f aca="false">I119*(1-V119)</f>
        <v>0.0397381805740958</v>
      </c>
      <c r="L119" s="40" t="n">
        <f aca="false">I119*(1+V119)</f>
        <v>0.0431395401751712</v>
      </c>
      <c r="M119" s="40" t="n">
        <f aca="false">F119*N119</f>
        <v>0.350158370165653</v>
      </c>
      <c r="N119" s="40" t="n">
        <f aca="false">J119*H119</f>
        <v>0.350158370165653</v>
      </c>
      <c r="O119" s="40" t="n">
        <f aca="false">K119*Q119</f>
        <v>0.333800716822404</v>
      </c>
      <c r="P119" s="40" t="n">
        <f aca="false">L119*R119</f>
        <v>0.366686091488955</v>
      </c>
      <c r="Q119" s="39" t="n">
        <f aca="false">INDEX(REF_MIN,MATCH(D119,REF_ID,0))</f>
        <v>8.4</v>
      </c>
      <c r="R119" s="39" t="n">
        <f aca="false">INDEX(REF_MAX,MATCH(D119,REF_ID,0))</f>
        <v>8.5</v>
      </c>
      <c r="S119" s="41" t="n">
        <v>3.40135960107539</v>
      </c>
      <c r="T119" s="42" t="n">
        <f aca="false">200*J119/S119</f>
        <v>2.43660566565981</v>
      </c>
      <c r="U119" s="43" t="n">
        <f aca="false">IFERROR(INDEX(ISO_TOL,MATCH(T119,ISO_DESDE,1)),0)</f>
        <v>0.1</v>
      </c>
      <c r="V119" s="44" t="n">
        <f aca="false">IF(T119&gt;0,U119/T119,0)</f>
        <v>0.0410406991206437</v>
      </c>
    </row>
    <row r="120" customFormat="false" ht="15" hidden="false" customHeight="false" outlineLevel="2" collapsed="false">
      <c r="A120" s="35" t="n">
        <v>2</v>
      </c>
      <c r="B120" s="36" t="s">
        <v>845</v>
      </c>
      <c r="C120" s="37" t="s">
        <v>797</v>
      </c>
      <c r="D120" s="36" t="s">
        <v>26</v>
      </c>
      <c r="E120" s="36" t="str">
        <f aca="false">INDEX(REF_DATO,MATCH(D120,REF_ID,0))</f>
        <v>Polipropileno</v>
      </c>
      <c r="F120" s="38" t="n">
        <v>1</v>
      </c>
      <c r="G120" s="35" t="s">
        <v>264</v>
      </c>
      <c r="H120" s="39" t="n">
        <f aca="false">INDEX(REF_VAL,MATCH(D120,REF_ID,0))</f>
        <v>0.9</v>
      </c>
      <c r="I120" s="40" t="n">
        <f aca="false">F120*J120</f>
        <v>0.113638055363222</v>
      </c>
      <c r="J120" s="40" t="n">
        <v>0.113638055363222</v>
      </c>
      <c r="K120" s="40" t="n">
        <f aca="false">I120*(1-V120)</f>
        <v>0.109029423140377</v>
      </c>
      <c r="L120" s="40" t="n">
        <f aca="false">I120*(1+V120)</f>
        <v>0.118246687586067</v>
      </c>
      <c r="M120" s="40" t="n">
        <f aca="false">F120*N120</f>
        <v>0.1022742498269</v>
      </c>
      <c r="N120" s="40" t="n">
        <f aca="false">J120*H120</f>
        <v>0.1022742498269</v>
      </c>
      <c r="O120" s="40" t="n">
        <f aca="false">K120*Q120</f>
        <v>0.0981264808263393</v>
      </c>
      <c r="P120" s="40" t="n">
        <f aca="false">L120*R120</f>
        <v>0.107604485703321</v>
      </c>
      <c r="Q120" s="39" t="n">
        <f aca="false">INDEX(REF_MIN,MATCH(D120,REF_ID,0))</f>
        <v>0.9</v>
      </c>
      <c r="R120" s="39" t="n">
        <f aca="false">INDEX(REF_MAX,MATCH(D120,REF_ID,0))</f>
        <v>0.91</v>
      </c>
      <c r="S120" s="41" t="n">
        <v>9.21726444568973</v>
      </c>
      <c r="T120" s="42" t="n">
        <f aca="false">200*J120/S120</f>
        <v>2.46576532620505</v>
      </c>
      <c r="U120" s="43" t="n">
        <f aca="false">IFERROR(INDEX(ISO_TOL,MATCH(T120,ISO_DESDE,1)),0)</f>
        <v>0.1</v>
      </c>
      <c r="V120" s="44" t="n">
        <f aca="false">IF(T120&gt;0,U120/T120,0)</f>
        <v>0.0405553598054303</v>
      </c>
    </row>
    <row r="121" customFormat="false" ht="15" hidden="false" customHeight="false" outlineLevel="1" collapsed="false">
      <c r="A121" s="25" t="n">
        <v>1</v>
      </c>
      <c r="B121" s="26" t="s">
        <v>846</v>
      </c>
      <c r="C121" s="27" t="s">
        <v>520</v>
      </c>
      <c r="D121" s="26"/>
      <c r="E121" s="26"/>
      <c r="F121" s="28" t="n">
        <v>1</v>
      </c>
      <c r="G121" s="25" t="s">
        <v>264</v>
      </c>
      <c r="H121" s="29"/>
      <c r="I121" s="30"/>
      <c r="J121" s="30"/>
      <c r="K121" s="30"/>
      <c r="L121" s="30"/>
      <c r="M121" s="30" t="n">
        <f aca="false">IF(SUMIF(A122:A131,2,M122:M131)=0,"",SUMIF(A122:A131,2,M122:M131))</f>
        <v>17.24134089691</v>
      </c>
      <c r="N121" s="30"/>
      <c r="O121" s="30" t="n">
        <f aca="false">IF(SUMIF(A122:A131,2,O122:O131)=0,"",SUMIF(A122:A131,2,O122:O131))</f>
        <v>16.2884673837705</v>
      </c>
      <c r="P121" s="30" t="n">
        <f aca="false">IF(SUMIF(A122:A131,2,P122:P131)=0,"",SUMIF(A122:A131,2,P122:P131))</f>
        <v>18.2024602111191</v>
      </c>
      <c r="Q121" s="29"/>
      <c r="R121" s="29"/>
      <c r="S121" s="31"/>
      <c r="T121" s="32"/>
      <c r="U121" s="33"/>
      <c r="V121" s="34"/>
    </row>
    <row r="122" customFormat="false" ht="15" hidden="false" customHeight="false" outlineLevel="2" collapsed="false">
      <c r="A122" s="35" t="n">
        <v>2</v>
      </c>
      <c r="B122" s="36" t="s">
        <v>847</v>
      </c>
      <c r="C122" s="37" t="s">
        <v>522</v>
      </c>
      <c r="D122" s="36" t="s">
        <v>10</v>
      </c>
      <c r="E122" s="36" t="str">
        <f aca="false">INDEX(REF_DATO,MATCH(D122,REF_ID,0))</f>
        <v>Acero (chapa LAC/LAF, SAE 1010/1045)</v>
      </c>
      <c r="F122" s="38" t="n">
        <v>1</v>
      </c>
      <c r="G122" s="35" t="s">
        <v>264</v>
      </c>
      <c r="H122" s="39" t="n">
        <f aca="false">INDEX(REF_VAL,MATCH(D122,REF_ID,0))</f>
        <v>7.85</v>
      </c>
      <c r="I122" s="40" t="n">
        <f aca="false">F122*J122</f>
        <v>0.0151124248894341</v>
      </c>
      <c r="J122" s="40" t="n">
        <v>0.0151124248894341</v>
      </c>
      <c r="K122" s="40" t="n">
        <f aca="false">I122*(1-V122)</f>
        <v>0.0145942544671514</v>
      </c>
      <c r="L122" s="40" t="n">
        <f aca="false">I122*(1+V122)</f>
        <v>0.0156305953117168</v>
      </c>
      <c r="M122" s="40" t="n">
        <f aca="false">F122*N122</f>
        <v>0.118632535382058</v>
      </c>
      <c r="N122" s="40" t="n">
        <f aca="false">J122*H122</f>
        <v>0.118632535382058</v>
      </c>
      <c r="O122" s="40" t="n">
        <f aca="false">K122*Q122</f>
        <v>0.114564897567139</v>
      </c>
      <c r="P122" s="40" t="n">
        <f aca="false">L122*R122</f>
        <v>0.122700173196977</v>
      </c>
      <c r="Q122" s="39" t="n">
        <f aca="false">INDEX(REF_MIN,MATCH(D122,REF_ID,0))</f>
        <v>7.85</v>
      </c>
      <c r="R122" s="39" t="n">
        <f aca="false">INDEX(REF_MAX,MATCH(D122,REF_ID,0))</f>
        <v>7.85</v>
      </c>
      <c r="S122" s="41" t="n">
        <v>1.03634084456535</v>
      </c>
      <c r="T122" s="42" t="n">
        <f aca="false">200*J122/S122</f>
        <v>2.91649701325289</v>
      </c>
      <c r="U122" s="43" t="n">
        <f aca="false">IFERROR(INDEX(ISO_TOL,MATCH(T122,ISO_DESDE,1)),0)</f>
        <v>0.1</v>
      </c>
      <c r="V122" s="44" t="n">
        <f aca="false">IF(T122&gt;0,U122/T122,0)</f>
        <v>0.0342877086949134</v>
      </c>
    </row>
    <row r="123" customFormat="false" ht="15" hidden="false" customHeight="false" outlineLevel="2" collapsed="false">
      <c r="A123" s="35" t="n">
        <v>2</v>
      </c>
      <c r="B123" s="36" t="s">
        <v>848</v>
      </c>
      <c r="C123" s="37" t="s">
        <v>524</v>
      </c>
      <c r="D123" s="36" t="s">
        <v>10</v>
      </c>
      <c r="E123" s="36" t="str">
        <f aca="false">INDEX(REF_DATO,MATCH(D123,REF_ID,0))</f>
        <v>Acero (chapa LAC/LAF, SAE 1010/1045)</v>
      </c>
      <c r="F123" s="38" t="n">
        <v>1</v>
      </c>
      <c r="G123" s="35" t="s">
        <v>264</v>
      </c>
      <c r="H123" s="39" t="n">
        <f aca="false">INDEX(REF_VAL,MATCH(D123,REF_ID,0))</f>
        <v>7.85</v>
      </c>
      <c r="I123" s="40" t="n">
        <f aca="false">F123*J123</f>
        <v>0.0260703314008699</v>
      </c>
      <c r="J123" s="40" t="n">
        <v>0.0260703314008699</v>
      </c>
      <c r="K123" s="40" t="n">
        <f aca="false">I123*(1-V123)</f>
        <v>0.0253948337667927</v>
      </c>
      <c r="L123" s="40" t="n">
        <f aca="false">I123*(1+V123)</f>
        <v>0.0267458290349471</v>
      </c>
      <c r="M123" s="40" t="n">
        <f aca="false">F123*N123</f>
        <v>0.204652101496828</v>
      </c>
      <c r="N123" s="40" t="n">
        <f aca="false">J123*H123</f>
        <v>0.204652101496828</v>
      </c>
      <c r="O123" s="40" t="n">
        <f aca="false">K123*Q123</f>
        <v>0.199349445069323</v>
      </c>
      <c r="P123" s="40" t="n">
        <f aca="false">L123*R123</f>
        <v>0.209954757924334</v>
      </c>
      <c r="Q123" s="39" t="n">
        <f aca="false">INDEX(REF_MIN,MATCH(D123,REF_ID,0))</f>
        <v>7.85</v>
      </c>
      <c r="R123" s="39" t="n">
        <f aca="false">INDEX(REF_MAX,MATCH(D123,REF_ID,0))</f>
        <v>7.85</v>
      </c>
      <c r="S123" s="41" t="n">
        <v>1.35099526815438</v>
      </c>
      <c r="T123" s="42" t="n">
        <f aca="false">200*J123/S123</f>
        <v>3.85942601212588</v>
      </c>
      <c r="U123" s="43" t="n">
        <f aca="false">IFERROR(INDEX(ISO_TOL,MATCH(T123,ISO_DESDE,1)),0)</f>
        <v>0.1</v>
      </c>
      <c r="V123" s="44" t="n">
        <f aca="false">IF(T123&gt;0,U123/T123,0)</f>
        <v>0.0259105886952649</v>
      </c>
    </row>
    <row r="124" customFormat="false" ht="15" hidden="false" customHeight="false" outlineLevel="2" collapsed="false">
      <c r="A124" s="35" t="n">
        <v>2</v>
      </c>
      <c r="B124" s="36" t="s">
        <v>849</v>
      </c>
      <c r="C124" s="37" t="s">
        <v>526</v>
      </c>
      <c r="D124" s="36" t="s">
        <v>10</v>
      </c>
      <c r="E124" s="36" t="str">
        <f aca="false">INDEX(REF_DATO,MATCH(D124,REF_ID,0))</f>
        <v>Acero (chapa LAC/LAF, SAE 1010/1045)</v>
      </c>
      <c r="F124" s="38" t="n">
        <v>1</v>
      </c>
      <c r="G124" s="35" t="s">
        <v>264</v>
      </c>
      <c r="H124" s="39" t="n">
        <f aca="false">INDEX(REF_VAL,MATCH(D124,REF_ID,0))</f>
        <v>7.85</v>
      </c>
      <c r="I124" s="40" t="n">
        <f aca="false">F124*J124</f>
        <v>0.0620590212790128</v>
      </c>
      <c r="J124" s="40" t="n">
        <v>0.0620590212790128</v>
      </c>
      <c r="K124" s="40" t="n">
        <f aca="false">I124*(1-V124)</f>
        <v>0.0589373777387733</v>
      </c>
      <c r="L124" s="40" t="n">
        <f aca="false">I124*(1+V124)</f>
        <v>0.0651806648192523</v>
      </c>
      <c r="M124" s="40" t="n">
        <f aca="false">F124*N124</f>
        <v>0.487163317040251</v>
      </c>
      <c r="N124" s="40" t="n">
        <f aca="false">J124*H124</f>
        <v>0.487163317040251</v>
      </c>
      <c r="O124" s="40" t="n">
        <f aca="false">K124*Q124</f>
        <v>0.462658415249371</v>
      </c>
      <c r="P124" s="40" t="n">
        <f aca="false">L124*R124</f>
        <v>0.511668218831131</v>
      </c>
      <c r="Q124" s="39" t="n">
        <f aca="false">INDEX(REF_MIN,MATCH(D124,REF_ID,0))</f>
        <v>7.85</v>
      </c>
      <c r="R124" s="39" t="n">
        <f aca="false">INDEX(REF_MAX,MATCH(D124,REF_ID,0))</f>
        <v>7.85</v>
      </c>
      <c r="S124" s="41" t="n">
        <v>6.243287080479</v>
      </c>
      <c r="T124" s="42" t="n">
        <f aca="false">200*J124/S124</f>
        <v>1.98802395209581</v>
      </c>
      <c r="U124" s="43" t="n">
        <f aca="false">IFERROR(INDEX(ISO_TOL,MATCH(T124,ISO_DESDE,1)),0)</f>
        <v>0.1</v>
      </c>
      <c r="V124" s="44" t="n">
        <f aca="false">IF(T124&gt;0,U124/T124,0)</f>
        <v>0.0503012048192771</v>
      </c>
    </row>
    <row r="125" customFormat="false" ht="15" hidden="false" customHeight="false" outlineLevel="2" collapsed="false">
      <c r="A125" s="35" t="n">
        <v>2</v>
      </c>
      <c r="B125" s="36" t="s">
        <v>850</v>
      </c>
      <c r="C125" s="37" t="s">
        <v>528</v>
      </c>
      <c r="D125" s="36" t="s">
        <v>23</v>
      </c>
      <c r="E125" s="36" t="str">
        <f aca="false">INDEX(REF_DATO,MATCH(D125,REF_ID,0))</f>
        <v>Caucho sintético (NBR / SBR)</v>
      </c>
      <c r="F125" s="38" t="n">
        <v>2</v>
      </c>
      <c r="G125" s="35" t="s">
        <v>264</v>
      </c>
      <c r="H125" s="39" t="n">
        <f aca="false">INDEX(REF_VAL,MATCH(D125,REF_ID,0))</f>
        <v>1.2</v>
      </c>
      <c r="I125" s="40" t="n">
        <f aca="false">F125*J125</f>
        <v>5.5602420057355</v>
      </c>
      <c r="J125" s="40" t="n">
        <v>2.78012100286775</v>
      </c>
      <c r="K125" s="40" t="n">
        <f aca="false">I125*(1-V125)</f>
        <v>5.51901300038685</v>
      </c>
      <c r="L125" s="40" t="n">
        <f aca="false">I125*(1+V125)</f>
        <v>5.60147101108416</v>
      </c>
      <c r="M125" s="40" t="n">
        <f aca="false">F125*N125</f>
        <v>6.67229040688261</v>
      </c>
      <c r="N125" s="40" t="n">
        <f aca="false">J125*H125</f>
        <v>3.3361452034413</v>
      </c>
      <c r="O125" s="40" t="n">
        <f aca="false">K125*Q125</f>
        <v>6.07091430042554</v>
      </c>
      <c r="P125" s="40" t="n">
        <f aca="false">L125*R125</f>
        <v>7.2819123144094</v>
      </c>
      <c r="Q125" s="39" t="n">
        <f aca="false">INDEX(REF_MIN,MATCH(D125,REF_ID,0))</f>
        <v>1.1</v>
      </c>
      <c r="R125" s="39" t="n">
        <f aca="false">INDEX(REF_MAX,MATCH(D125,REF_ID,0))</f>
        <v>1.3</v>
      </c>
      <c r="S125" s="41" t="n">
        <v>20.6145026743255</v>
      </c>
      <c r="T125" s="42" t="n">
        <f aca="false">200*J125/S125</f>
        <v>26.9724770642202</v>
      </c>
      <c r="U125" s="43" t="n">
        <f aca="false">IFERROR(INDEX(ISO_TOL,MATCH(T125,ISO_DESDE,1)),0)</f>
        <v>0.2</v>
      </c>
      <c r="V125" s="44" t="n">
        <f aca="false">IF(T125&gt;0,U125/T125,0)</f>
        <v>0.00741496598639456</v>
      </c>
    </row>
    <row r="126" customFormat="false" ht="15" hidden="false" customHeight="false" outlineLevel="2" collapsed="false">
      <c r="A126" s="35" t="n">
        <v>2</v>
      </c>
      <c r="B126" s="36" t="s">
        <v>851</v>
      </c>
      <c r="C126" s="37" t="s">
        <v>530</v>
      </c>
      <c r="D126" s="36" t="s">
        <v>10</v>
      </c>
      <c r="E126" s="36" t="str">
        <f aca="false">INDEX(REF_DATO,MATCH(D126,REF_ID,0))</f>
        <v>Acero (chapa LAC/LAF, SAE 1010/1045)</v>
      </c>
      <c r="F126" s="38" t="n">
        <v>2</v>
      </c>
      <c r="G126" s="35" t="s">
        <v>264</v>
      </c>
      <c r="H126" s="39" t="n">
        <f aca="false">INDEX(REF_VAL,MATCH(D126,REF_ID,0))</f>
        <v>7.85</v>
      </c>
      <c r="I126" s="40" t="n">
        <f aca="false">F126*J126</f>
        <v>0.664168972364031</v>
      </c>
      <c r="J126" s="40" t="n">
        <v>0.332084486182016</v>
      </c>
      <c r="K126" s="40" t="n">
        <f aca="false">I126*(1-V126)</f>
        <v>0.644445104923813</v>
      </c>
      <c r="L126" s="40" t="n">
        <f aca="false">I126*(1+V126)</f>
        <v>0.683892839804249</v>
      </c>
      <c r="M126" s="40" t="n">
        <f aca="false">F126*N126</f>
        <v>5.21372643305764</v>
      </c>
      <c r="N126" s="40" t="n">
        <f aca="false">J126*H126</f>
        <v>2.60686321652882</v>
      </c>
      <c r="O126" s="40" t="n">
        <f aca="false">K126*Q126</f>
        <v>5.05889407365193</v>
      </c>
      <c r="P126" s="40" t="n">
        <f aca="false">L126*R126</f>
        <v>5.36855879246336</v>
      </c>
      <c r="Q126" s="39" t="n">
        <f aca="false">INDEX(REF_MIN,MATCH(D126,REF_ID,0))</f>
        <v>7.85</v>
      </c>
      <c r="R126" s="39" t="n">
        <f aca="false">INDEX(REF_MAX,MATCH(D126,REF_ID,0))</f>
        <v>7.85</v>
      </c>
      <c r="S126" s="41" t="n">
        <v>19.7238674402181</v>
      </c>
      <c r="T126" s="42" t="n">
        <f aca="false">200*J126/S126</f>
        <v>3.36733642312842</v>
      </c>
      <c r="U126" s="43" t="n">
        <f aca="false">IFERROR(INDEX(ISO_TOL,MATCH(T126,ISO_DESDE,1)),0)</f>
        <v>0.1</v>
      </c>
      <c r="V126" s="44" t="n">
        <f aca="false">IF(T126&gt;0,U126/T126,0)</f>
        <v>0.0296970624358036</v>
      </c>
    </row>
    <row r="127" customFormat="false" ht="15" hidden="false" customHeight="false" outlineLevel="2" collapsed="false">
      <c r="A127" s="35" t="n">
        <v>2</v>
      </c>
      <c r="B127" s="36" t="s">
        <v>852</v>
      </c>
      <c r="C127" s="37" t="s">
        <v>532</v>
      </c>
      <c r="D127" s="36" t="s">
        <v>10</v>
      </c>
      <c r="E127" s="36" t="str">
        <f aca="false">INDEX(REF_DATO,MATCH(D127,REF_ID,0))</f>
        <v>Acero (chapa LAC/LAF, SAE 1010/1045)</v>
      </c>
      <c r="F127" s="38" t="n">
        <v>1</v>
      </c>
      <c r="G127" s="35" t="s">
        <v>264</v>
      </c>
      <c r="H127" s="39" t="n">
        <f aca="false">INDEX(REF_VAL,MATCH(D127,REF_ID,0))</f>
        <v>7.85</v>
      </c>
      <c r="I127" s="40" t="n">
        <f aca="false">F127*J127</f>
        <v>0.246432380032925</v>
      </c>
      <c r="J127" s="40" t="n">
        <v>0.246432380032925</v>
      </c>
      <c r="K127" s="40" t="n">
        <f aca="false">I127*(1-V127)</f>
        <v>0.242370841978366</v>
      </c>
      <c r="L127" s="40" t="n">
        <f aca="false">I127*(1+V127)</f>
        <v>0.250493918087484</v>
      </c>
      <c r="M127" s="40" t="n">
        <f aca="false">F127*N127</f>
        <v>1.93449418325846</v>
      </c>
      <c r="N127" s="40" t="n">
        <f aca="false">J127*H127</f>
        <v>1.93449418325846</v>
      </c>
      <c r="O127" s="40" t="n">
        <f aca="false">K127*Q127</f>
        <v>1.90261110953018</v>
      </c>
      <c r="P127" s="40" t="n">
        <f aca="false">L127*R127</f>
        <v>1.96637725698675</v>
      </c>
      <c r="Q127" s="39" t="n">
        <f aca="false">INDEX(REF_MIN,MATCH(D127,REF_ID,0))</f>
        <v>7.85</v>
      </c>
      <c r="R127" s="39" t="n">
        <f aca="false">INDEX(REF_MAX,MATCH(D127,REF_ID,0))</f>
        <v>7.85</v>
      </c>
      <c r="S127" s="41" t="n">
        <v>4.06153805455876</v>
      </c>
      <c r="T127" s="42" t="n">
        <f aca="false">200*J127/S127</f>
        <v>12.134929020612</v>
      </c>
      <c r="U127" s="43" t="n">
        <f aca="false">IFERROR(INDEX(ISO_TOL,MATCH(T127,ISO_DESDE,1)),0)</f>
        <v>0.2</v>
      </c>
      <c r="V127" s="44" t="n">
        <f aca="false">IF(T127&gt;0,U127/T127,0)</f>
        <v>0.0164813489770139</v>
      </c>
    </row>
    <row r="128" customFormat="false" ht="15" hidden="false" customHeight="false" outlineLevel="2" collapsed="false">
      <c r="A128" s="35" t="n">
        <v>2</v>
      </c>
      <c r="B128" s="36" t="s">
        <v>853</v>
      </c>
      <c r="C128" s="37" t="s">
        <v>534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0.0113479353195908</v>
      </c>
      <c r="J128" s="40" t="n">
        <v>0.0113479353195908</v>
      </c>
      <c r="K128" s="40" t="n">
        <f aca="false">I128*(1-V128)</f>
        <v>0.0108973555348423</v>
      </c>
      <c r="L128" s="40" t="n">
        <f aca="false">I128*(1+V128)</f>
        <v>0.0117985151043393</v>
      </c>
      <c r="M128" s="40" t="n">
        <f aca="false">F128*N128</f>
        <v>0.0890812922587879</v>
      </c>
      <c r="N128" s="40" t="n">
        <f aca="false">J128*H128</f>
        <v>0.0890812922587879</v>
      </c>
      <c r="O128" s="40" t="n">
        <f aca="false">K128*Q128</f>
        <v>0.0855442409485124</v>
      </c>
      <c r="P128" s="40" t="n">
        <f aca="false">L128*R128</f>
        <v>0.0926183435690633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0.901159569496926</v>
      </c>
      <c r="T128" s="42" t="n">
        <f aca="false">200*J128/S128</f>
        <v>2.51851851851849</v>
      </c>
      <c r="U128" s="43" t="n">
        <f aca="false">IFERROR(INDEX(ISO_TOL,MATCH(T128,ISO_DESDE,1)),0)</f>
        <v>0.1</v>
      </c>
      <c r="V128" s="44" t="n">
        <f aca="false">IF(T128&gt;0,U128/T128,0)</f>
        <v>0.0397058823529416</v>
      </c>
    </row>
    <row r="129" customFormat="false" ht="15" hidden="false" customHeight="false" outlineLevel="2" collapsed="false">
      <c r="A129" s="35" t="n">
        <v>2</v>
      </c>
      <c r="B129" s="36" t="s">
        <v>854</v>
      </c>
      <c r="C129" s="37" t="s">
        <v>536</v>
      </c>
      <c r="D129" s="36" t="s">
        <v>10</v>
      </c>
      <c r="E129" s="36" t="str">
        <f aca="false">INDEX(REF_DATO,MATCH(D129,REF_ID,0))</f>
        <v>Acero (chapa LAC/LAF, SAE 1010/1045)</v>
      </c>
      <c r="F129" s="38" t="n">
        <v>1</v>
      </c>
      <c r="G129" s="35" t="s">
        <v>264</v>
      </c>
      <c r="H129" s="39" t="n">
        <f aca="false">INDEX(REF_VAL,MATCH(D129,REF_ID,0))</f>
        <v>7.85</v>
      </c>
      <c r="I129" s="40" t="n">
        <f aca="false">F129*J129</f>
        <v>0.00167535674298741</v>
      </c>
      <c r="J129" s="40" t="n">
        <v>0.00167535674298741</v>
      </c>
      <c r="K129" s="40" t="n">
        <f aca="false">I129*(1-V129)</f>
        <v>0.0015914526583427</v>
      </c>
      <c r="L129" s="40" t="n">
        <f aca="false">I129*(1+V129)</f>
        <v>0.00175926082763212</v>
      </c>
      <c r="M129" s="40" t="n">
        <f aca="false">F129*N129</f>
        <v>0.0131515504324512</v>
      </c>
      <c r="N129" s="40" t="n">
        <f aca="false">J129*H129</f>
        <v>0.0131515504324512</v>
      </c>
      <c r="O129" s="40" t="n">
        <f aca="false">K129*Q129</f>
        <v>0.0124929033679902</v>
      </c>
      <c r="P129" s="40" t="n">
        <f aca="false">L129*R129</f>
        <v>0.0138101974969121</v>
      </c>
      <c r="Q129" s="39" t="n">
        <f aca="false">INDEX(REF_MIN,MATCH(D129,REF_ID,0))</f>
        <v>7.85</v>
      </c>
      <c r="R129" s="39" t="n">
        <f aca="false">INDEX(REF_MAX,MATCH(D129,REF_ID,0))</f>
        <v>7.85</v>
      </c>
      <c r="S129" s="41" t="n">
        <v>0.167808169289417</v>
      </c>
      <c r="T129" s="42" t="n">
        <f aca="false">200*J129/S129</f>
        <v>1.9967523036354</v>
      </c>
      <c r="U129" s="43" t="n">
        <f aca="false">IFERROR(INDEX(ISO_TOL,MATCH(T129,ISO_DESDE,1)),0)</f>
        <v>0.1</v>
      </c>
      <c r="V129" s="44" t="n">
        <f aca="false">IF(T129&gt;0,U129/T129,0)</f>
        <v>0.0500813244677041</v>
      </c>
    </row>
    <row r="130" customFormat="false" ht="15" hidden="false" customHeight="false" outlineLevel="2" collapsed="false">
      <c r="A130" s="35" t="n">
        <v>2</v>
      </c>
      <c r="B130" s="36" t="s">
        <v>855</v>
      </c>
      <c r="C130" s="37" t="s">
        <v>538</v>
      </c>
      <c r="D130" s="36" t="s">
        <v>10</v>
      </c>
      <c r="E130" s="36" t="str">
        <f aca="false">INDEX(REF_DATO,MATCH(D130,REF_ID,0))</f>
        <v>Acero (chapa LAC/LAF, SAE 1010/1045)</v>
      </c>
      <c r="F130" s="38" t="n">
        <v>1</v>
      </c>
      <c r="G130" s="35" t="s">
        <v>264</v>
      </c>
      <c r="H130" s="39" t="n">
        <f aca="false">INDEX(REF_VAL,MATCH(D130,REF_ID,0))</f>
        <v>7.85</v>
      </c>
      <c r="I130" s="40" t="n">
        <f aca="false">F130*J130</f>
        <v>0.214651836573362</v>
      </c>
      <c r="J130" s="40" t="n">
        <v>0.214651836573362</v>
      </c>
      <c r="K130" s="40" t="n">
        <f aca="false">I130*(1-V130)</f>
        <v>0.202074841829372</v>
      </c>
      <c r="L130" s="40" t="n">
        <f aca="false">I130*(1+V130)</f>
        <v>0.227228831317351</v>
      </c>
      <c r="M130" s="40" t="n">
        <f aca="false">F130*N130</f>
        <v>1.68501691710089</v>
      </c>
      <c r="N130" s="40" t="n">
        <f aca="false">J130*H130</f>
        <v>1.68501691710089</v>
      </c>
      <c r="O130" s="40" t="n">
        <f aca="false">K130*Q130</f>
        <v>1.58628750836057</v>
      </c>
      <c r="P130" s="40" t="n">
        <f aca="false">L130*R130</f>
        <v>1.78374632584121</v>
      </c>
      <c r="Q130" s="39" t="n">
        <f aca="false">INDEX(REF_MIN,MATCH(D130,REF_ID,0))</f>
        <v>7.85</v>
      </c>
      <c r="R130" s="39" t="n">
        <f aca="false">INDEX(REF_MAX,MATCH(D130,REF_ID,0))</f>
        <v>7.85</v>
      </c>
      <c r="S130" s="41" t="n">
        <v>25.1539894879792</v>
      </c>
      <c r="T130" s="42" t="n">
        <f aca="false">200*J130/S130</f>
        <v>1.70670212513161</v>
      </c>
      <c r="U130" s="43" t="n">
        <f aca="false">IFERROR(INDEX(ISO_TOL,MATCH(T130,ISO_DESDE,1)),0)</f>
        <v>0.1</v>
      </c>
      <c r="V130" s="44" t="n">
        <f aca="false">IF(T130&gt;0,U130/T130,0)</f>
        <v>0.0585925326555088</v>
      </c>
    </row>
    <row r="131" customFormat="false" ht="15" hidden="false" customHeight="false" outlineLevel="2" collapsed="false">
      <c r="A131" s="35" t="n">
        <v>2</v>
      </c>
      <c r="B131" s="36" t="s">
        <v>856</v>
      </c>
      <c r="C131" s="37" t="s">
        <v>540</v>
      </c>
      <c r="D131" s="36" t="s">
        <v>10</v>
      </c>
      <c r="E131" s="36" t="str">
        <f aca="false">INDEX(REF_DATO,MATCH(D131,REF_ID,0))</f>
        <v>Acero (chapa LAC/LAF, SAE 1010/1045)</v>
      </c>
      <c r="F131" s="38" t="n">
        <v>1</v>
      </c>
      <c r="G131" s="35" t="s">
        <v>264</v>
      </c>
      <c r="H131" s="39" t="n">
        <f aca="false">INDEX(REF_VAL,MATCH(D131,REF_ID,0))</f>
        <v>7.85</v>
      </c>
      <c r="I131" s="40" t="n">
        <f aca="false">F131*J131</f>
        <v>0.104857599999999</v>
      </c>
      <c r="J131" s="40" t="n">
        <v>0.104857599999999</v>
      </c>
      <c r="K131" s="40" t="n">
        <f aca="false">I131*(1-V131)</f>
        <v>0.101293055999999</v>
      </c>
      <c r="L131" s="40" t="n">
        <f aca="false">I131*(1+V131)</f>
        <v>0.108422143999999</v>
      </c>
      <c r="M131" s="40" t="n">
        <f aca="false">F131*N131</f>
        <v>0.823132159999995</v>
      </c>
      <c r="N131" s="40" t="n">
        <f aca="false">J131*H131</f>
        <v>0.823132159999995</v>
      </c>
      <c r="O131" s="40" t="n">
        <f aca="false">K131*Q131</f>
        <v>0.795150489599995</v>
      </c>
      <c r="P131" s="40" t="n">
        <f aca="false">L131*R131</f>
        <v>0.851113830399995</v>
      </c>
      <c r="Q131" s="39" t="n">
        <f aca="false">INDEX(REF_MIN,MATCH(D131,REF_ID,0))</f>
        <v>7.85</v>
      </c>
      <c r="R131" s="39" t="n">
        <f aca="false">INDEX(REF_MAX,MATCH(D131,REF_ID,0))</f>
        <v>7.85</v>
      </c>
      <c r="S131" s="41" t="n">
        <v>7.129088</v>
      </c>
      <c r="T131" s="42" t="n">
        <f aca="false">200*J131/S131</f>
        <v>2.94168342430335</v>
      </c>
      <c r="U131" s="43" t="n">
        <f aca="false">IFERROR(INDEX(ISO_TOL,MATCH(T131,ISO_DESDE,1)),0)</f>
        <v>0.1</v>
      </c>
      <c r="V131" s="44" t="n">
        <f aca="false">IF(T131&gt;0,U131/T131,0)</f>
        <v>0.0339941406250002</v>
      </c>
    </row>
    <row r="132" customFormat="false" ht="15" hidden="false" customHeight="false" outlineLevel="1" collapsed="false">
      <c r="A132" s="25" t="n">
        <v>1</v>
      </c>
      <c r="B132" s="26" t="s">
        <v>857</v>
      </c>
      <c r="C132" s="27" t="s">
        <v>312</v>
      </c>
      <c r="D132" s="26"/>
      <c r="E132" s="26"/>
      <c r="F132" s="28" t="n">
        <v>1</v>
      </c>
      <c r="G132" s="25" t="s">
        <v>264</v>
      </c>
      <c r="H132" s="29"/>
      <c r="I132" s="30"/>
      <c r="J132" s="30"/>
      <c r="K132" s="30"/>
      <c r="L132" s="30"/>
      <c r="M132" s="30" t="n">
        <f aca="false">IF(SUMIF(A133:A135,2,M133:M135)=0,"",SUMIF(A133:A135,2,M133:M135))</f>
        <v>50.164049811835</v>
      </c>
      <c r="N132" s="30"/>
      <c r="O132" s="30" t="n">
        <f aca="false">IF(SUMIF(A133:A135,2,O133:O135)=0,"",SUMIF(A133:A135,2,O133:O135))</f>
        <v>48.6363513914419</v>
      </c>
      <c r="P132" s="30" t="n">
        <f aca="false">IF(SUMIF(A133:A135,2,P133:P135)=0,"",SUMIF(A133:A135,2,P133:P135))</f>
        <v>51.6949886095298</v>
      </c>
      <c r="Q132" s="29"/>
      <c r="R132" s="29"/>
      <c r="S132" s="31"/>
      <c r="T132" s="32"/>
      <c r="U132" s="33"/>
      <c r="V132" s="34"/>
    </row>
    <row r="133" customFormat="false" ht="15" hidden="false" customHeight="false" outlineLevel="2" collapsed="false">
      <c r="A133" s="35" t="n">
        <v>2</v>
      </c>
      <c r="B133" s="36" t="s">
        <v>858</v>
      </c>
      <c r="C133" s="37" t="s">
        <v>801</v>
      </c>
      <c r="D133" s="36" t="s">
        <v>62</v>
      </c>
      <c r="E133" s="36" t="str">
        <f aca="false">INDEX(REF_DATO,MATCH(D133,REF_ID,0))</f>
        <v>Concentrado espumígeno AFFF 3 %</v>
      </c>
      <c r="F133" s="38" t="n">
        <f aca="false">MODELOS!$L$9*INDEX(REF_VAL,MATCH("AFFF_PROP",REF_ID,0))</f>
        <v>1.5</v>
      </c>
      <c r="G133" s="35" t="s">
        <v>213</v>
      </c>
      <c r="H133" s="39" t="n">
        <f aca="false">INDEX(REF_VAL,MATCH(D133,REF_ID,0))</f>
        <v>1.025</v>
      </c>
      <c r="I133" s="40" t="n">
        <f aca="false">F133</f>
        <v>1.5</v>
      </c>
      <c r="J133" s="40" t="n">
        <v>1</v>
      </c>
      <c r="K133" s="40" t="n">
        <f aca="false">MODELOS!$M$9*INDEX(REF_VAL,MATCH("AFFF_PROP",REF_ID,0))</f>
        <v>1.455</v>
      </c>
      <c r="L133" s="40" t="n">
        <f aca="false">MODELOS!$N$9*INDEX(REF_VAL,MATCH("AFFF_PROP",REF_ID,0))</f>
        <v>1.545</v>
      </c>
      <c r="M133" s="40" t="n">
        <f aca="false">F133*N133</f>
        <v>1.5375</v>
      </c>
      <c r="N133" s="40" t="n">
        <f aca="false">H133</f>
        <v>1.025</v>
      </c>
      <c r="O133" s="40" t="n">
        <f aca="false">MODELOS!$M$9*INDEX(REF_VAL,MATCH("AFFF_PROP",REF_ID,0))*Q133</f>
        <v>1.491375</v>
      </c>
      <c r="P133" s="40" t="n">
        <f aca="false">MODELOS!$N$9*INDEX(REF_VAL,MATCH("AFFF_PROP",REF_ID,0))*R133</f>
        <v>1.583625</v>
      </c>
      <c r="Q133" s="39" t="n">
        <f aca="false">INDEX(REF_MIN,MATCH(D133,REF_ID,0))</f>
        <v>1.025</v>
      </c>
      <c r="R133" s="39" t="n">
        <f aca="false">INDEX(REF_MAX,MATCH(D133,REF_ID,0))</f>
        <v>1.025</v>
      </c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859</v>
      </c>
      <c r="C134" s="37" t="s">
        <v>803</v>
      </c>
      <c r="D134" s="36" t="s">
        <v>55</v>
      </c>
      <c r="E134" s="36" t="str">
        <f aca="false">INDEX(REF_DATO,MATCH(D134,REF_ID,0))</f>
        <v>Agua potable</v>
      </c>
      <c r="F134" s="38" t="n">
        <f aca="false">MODELOS!$L$9*(1-INDEX(REF_VAL,MATCH("AFFF_PROP",REF_ID,0)))</f>
        <v>48.5</v>
      </c>
      <c r="G134" s="35" t="s">
        <v>213</v>
      </c>
      <c r="H134" s="39" t="n">
        <f aca="false">INDEX(REF_VAL,MATCH(D134,REF_ID,0))</f>
        <v>1</v>
      </c>
      <c r="I134" s="40" t="n">
        <f aca="false">F134</f>
        <v>48.5</v>
      </c>
      <c r="J134" s="40" t="n">
        <v>1</v>
      </c>
      <c r="K134" s="40" t="n">
        <f aca="false">MODELOS!$M$9*(1-INDEX(REF_VAL,MATCH("AFFF_PROP",REF_ID,0)))</f>
        <v>47.045</v>
      </c>
      <c r="L134" s="40" t="n">
        <f aca="false">MODELOS!$N$9*(1-INDEX(REF_VAL,MATCH("AFFF_PROP",REF_ID,0)))</f>
        <v>49.955</v>
      </c>
      <c r="M134" s="40" t="n">
        <f aca="false">F134*N134</f>
        <v>48.5</v>
      </c>
      <c r="N134" s="40" t="n">
        <f aca="false">H134</f>
        <v>1</v>
      </c>
      <c r="O134" s="40" t="n">
        <f aca="false">MODELOS!$M$9*(1-INDEX(REF_VAL,MATCH("AFFF_PROP",REF_ID,0)))*Q134</f>
        <v>47.045</v>
      </c>
      <c r="P134" s="40" t="n">
        <f aca="false">MODELOS!$N$9*(1-INDEX(REF_VAL,MATCH("AFFF_PROP",REF_ID,0)))*R134</f>
        <v>49.955</v>
      </c>
      <c r="Q134" s="39" t="n">
        <f aca="false">INDEX(REF_MIN,MATCH(D134,REF_ID,0))</f>
        <v>1</v>
      </c>
      <c r="R134" s="39" t="n">
        <f aca="false">INDEX(REF_MAX,MATCH(D134,REF_ID,0))</f>
        <v>1</v>
      </c>
      <c r="S134" s="41"/>
      <c r="T134" s="42"/>
      <c r="U134" s="43"/>
      <c r="V134" s="44"/>
    </row>
    <row r="135" customFormat="false" ht="15" hidden="false" customHeight="false" outlineLevel="2" collapsed="false">
      <c r="A135" s="35" t="n">
        <v>2</v>
      </c>
      <c r="B135" s="36" t="s">
        <v>860</v>
      </c>
      <c r="C135" s="37" t="s">
        <v>755</v>
      </c>
      <c r="D135" s="36" t="s">
        <v>82</v>
      </c>
      <c r="E135" s="36" t="str">
        <f aca="false">INDEX(REF_DATO,MATCH(D135,REF_ID,0))</f>
        <v>Aire comprimido (densidad normal)</v>
      </c>
      <c r="F135" s="38" t="n">
        <f aca="false">MODELOS!$AF$9</f>
        <v>0.126549811834991</v>
      </c>
      <c r="G135" s="35" t="s">
        <v>123</v>
      </c>
      <c r="H135" s="39" t="n">
        <f aca="false">INDEX(REF_VAL,MATCH(D135,REF_ID,0))</f>
        <v>0.00129383421076113</v>
      </c>
      <c r="I135" s="40" t="n">
        <f aca="false">F135*J135</f>
        <v>97.8099131886027</v>
      </c>
      <c r="J135" s="40" t="n">
        <f aca="false">1/H135</f>
        <v>772.896551724138</v>
      </c>
      <c r="K135" s="40" t="n">
        <f aca="false">MODELOS!$AG$9/H135</f>
        <v>77.2714081992941</v>
      </c>
      <c r="L135" s="40" t="n">
        <f aca="false">MODELOS!$AH$9/H135</f>
        <v>120.852894620724</v>
      </c>
      <c r="M135" s="40" t="n">
        <f aca="false">F135</f>
        <v>0.126549811834991</v>
      </c>
      <c r="N135" s="40" t="n">
        <v>1</v>
      </c>
      <c r="O135" s="40" t="n">
        <f aca="false">MODELOS!$AG$9</f>
        <v>0.0999763914419349</v>
      </c>
      <c r="P135" s="40" t="n">
        <f aca="false">MODELOS!$AH$9</f>
        <v>0.156363609529802</v>
      </c>
      <c r="Q135" s="39"/>
      <c r="R135" s="39"/>
      <c r="S135" s="41"/>
      <c r="T135" s="42"/>
      <c r="U135" s="43"/>
      <c r="V135" s="44"/>
    </row>
    <row r="136" customFormat="false" ht="15" hidden="false" customHeight="false" outlineLevel="1" collapsed="false">
      <c r="A136" s="25" t="n">
        <v>1</v>
      </c>
      <c r="B136" s="26" t="s">
        <v>861</v>
      </c>
      <c r="C136" s="27" t="s">
        <v>318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IF(SUMIF(A137:A143,2,M137:M143)=0,"",SUMIF(A137:A143,2,M137:M143))</f>
        <v>0.0610799392302778</v>
      </c>
      <c r="N136" s="30"/>
      <c r="O136" s="30" t="n">
        <f aca="false">IF(SUMIF(A137:A143,2,O137:O143)=0,"",SUMIF(A137:A143,2,O137:O143))</f>
        <v>0.0588959883350998</v>
      </c>
      <c r="P136" s="30" t="n">
        <f aca="false">IF(SUMIF(A137:A143,2,P137:P143)=0,"",SUMIF(A137:A143,2,P137:P143))</f>
        <v>0.0632659517956347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862</v>
      </c>
      <c r="C137" s="37" t="s">
        <v>320</v>
      </c>
      <c r="D137" s="36" t="s">
        <v>32</v>
      </c>
      <c r="E137" s="36" t="str">
        <f aca="false">INDEX(REF_DATO,MATCH(D137,REF_ID,0))</f>
        <v>PVC rígido, vinilo y papeles de identificación</v>
      </c>
      <c r="F137" s="38" t="n">
        <v>1</v>
      </c>
      <c r="G137" s="35" t="s">
        <v>264</v>
      </c>
      <c r="H137" s="39" t="n">
        <f aca="false">INDEX(REF_VAL,MATCH(D137,REF_ID,0))</f>
        <v>1.4</v>
      </c>
      <c r="I137" s="40" t="n">
        <f aca="false">F137*J137</f>
        <v>0.039214991434738</v>
      </c>
      <c r="J137" s="40" t="n">
        <v>0.039214991434738</v>
      </c>
      <c r="K137" s="40" t="n">
        <f aca="false">I137*(1-V137)</f>
        <v>0.039214991434738</v>
      </c>
      <c r="L137" s="40" t="n">
        <f aca="false">I137*(1+V137)</f>
        <v>0.039214991434738</v>
      </c>
      <c r="M137" s="40" t="n">
        <f aca="false">F137*N137</f>
        <v>0.0549009880086332</v>
      </c>
      <c r="N137" s="40" t="n">
        <f aca="false">J137*H137</f>
        <v>0.0549009880086332</v>
      </c>
      <c r="O137" s="40" t="n">
        <f aca="false">K137*Q137</f>
        <v>0.0529402384368963</v>
      </c>
      <c r="P137" s="40" t="n">
        <f aca="false">L137*R137</f>
        <v>0.0568617375803701</v>
      </c>
      <c r="Q137" s="39" t="n">
        <f aca="false">INDEX(REF_MIN,MATCH(D137,REF_ID,0))</f>
        <v>1.35</v>
      </c>
      <c r="R137" s="39" t="n">
        <f aca="false">INDEX(REF_MAX,MATCH(D137,REF_ID,0))</f>
        <v>1.45</v>
      </c>
      <c r="S137" s="41" t="n">
        <v>26.1925431456208</v>
      </c>
      <c r="T137" s="42" t="n">
        <f aca="false">200*J137/S137</f>
        <v>0.299436303047912</v>
      </c>
      <c r="U137" s="43" t="n">
        <f aca="false">IFERROR(INDEX(ISO_TOL,MATCH(T137,ISO_DESDE,1)),0)</f>
        <v>0</v>
      </c>
      <c r="V137" s="44" t="n">
        <f aca="false">IF(T137&gt;0,U137/T137,0)</f>
        <v>0</v>
      </c>
    </row>
    <row r="138" customFormat="false" ht="15" hidden="false" customHeight="false" outlineLevel="2" collapsed="false">
      <c r="A138" s="35" t="n">
        <v>2</v>
      </c>
      <c r="B138" s="36" t="s">
        <v>863</v>
      </c>
      <c r="C138" s="37" t="s">
        <v>322</v>
      </c>
      <c r="D138" s="36" t="s">
        <v>32</v>
      </c>
      <c r="E138" s="36" t="str">
        <f aca="false">INDEX(REF_DATO,MATCH(D138,REF_ID,0))</f>
        <v>PVC rígido, vinilo y papeles de identificación</v>
      </c>
      <c r="F138" s="38" t="n">
        <v>1</v>
      </c>
      <c r="G138" s="35" t="s">
        <v>264</v>
      </c>
      <c r="H138" s="39" t="n">
        <f aca="false">INDEX(REF_VAL,MATCH(D138,REF_ID,0))</f>
        <v>1.4</v>
      </c>
      <c r="I138" s="40" t="n">
        <f aca="false">F138*J138</f>
        <v>0.000635395125000007</v>
      </c>
      <c r="J138" s="40" t="n">
        <v>0.000635395125000007</v>
      </c>
      <c r="K138" s="40" t="n">
        <f aca="false">I138*(1-V138)</f>
        <v>0.000635395125000007</v>
      </c>
      <c r="L138" s="40" t="n">
        <f aca="false">I138*(1+V138)</f>
        <v>0.000635395125000007</v>
      </c>
      <c r="M138" s="40" t="n">
        <f aca="false">F138*N138</f>
        <v>0.00088955317500001</v>
      </c>
      <c r="N138" s="40" t="n">
        <f aca="false">J138*H138</f>
        <v>0.00088955317500001</v>
      </c>
      <c r="O138" s="40" t="n">
        <f aca="false">K138*Q138</f>
        <v>0.00085778341875001</v>
      </c>
      <c r="P138" s="40" t="n">
        <f aca="false">L138*R138</f>
        <v>0.000921322931250011</v>
      </c>
      <c r="Q138" s="39" t="n">
        <f aca="false">INDEX(REF_MIN,MATCH(D138,REF_ID,0))</f>
        <v>1.35</v>
      </c>
      <c r="R138" s="39" t="n">
        <f aca="false">INDEX(REF_MAX,MATCH(D138,REF_ID,0))</f>
        <v>1.45</v>
      </c>
      <c r="S138" s="41" t="n">
        <v>0.4291193375</v>
      </c>
      <c r="T138" s="42" t="n">
        <f aca="false">200*J138/S138</f>
        <v>0.296139124702115</v>
      </c>
      <c r="U138" s="43" t="n">
        <f aca="false">IFERROR(INDEX(ISO_TOL,MATCH(T138,ISO_DESDE,1)),0)</f>
        <v>0</v>
      </c>
      <c r="V138" s="44" t="n">
        <f aca="false">IF(T138&gt;0,U138/T138,0)</f>
        <v>0</v>
      </c>
    </row>
    <row r="139" customFormat="false" ht="15" hidden="false" customHeight="false" outlineLevel="2" collapsed="false">
      <c r="A139" s="35" t="n">
        <v>2</v>
      </c>
      <c r="B139" s="36" t="s">
        <v>864</v>
      </c>
      <c r="C139" s="37" t="s">
        <v>324</v>
      </c>
      <c r="D139" s="36" t="s">
        <v>32</v>
      </c>
      <c r="E139" s="36" t="str">
        <f aca="false">INDEX(REF_DATO,MATCH(D139,REF_ID,0))</f>
        <v>PVC rígido, vinilo y papeles de identificación</v>
      </c>
      <c r="F139" s="38" t="n">
        <v>1</v>
      </c>
      <c r="G139" s="35" t="s">
        <v>264</v>
      </c>
      <c r="H139" s="39" t="n">
        <f aca="false">INDEX(REF_VAL,MATCH(D139,REF_ID,0))</f>
        <v>1.4</v>
      </c>
      <c r="I139" s="40" t="n">
        <f aca="false">F139*J139</f>
        <v>0.00072067500000004</v>
      </c>
      <c r="J139" s="40" t="n">
        <v>0.00072067500000004</v>
      </c>
      <c r="K139" s="40" t="n">
        <f aca="false">I139*(1-V139)</f>
        <v>0.00072067500000004</v>
      </c>
      <c r="L139" s="40" t="n">
        <f aca="false">I139*(1+V139)</f>
        <v>0.00072067500000004</v>
      </c>
      <c r="M139" s="40" t="n">
        <f aca="false">F139*N139</f>
        <v>0.00100894500000006</v>
      </c>
      <c r="N139" s="40" t="n">
        <f aca="false">J139*H139</f>
        <v>0.00100894500000006</v>
      </c>
      <c r="O139" s="40" t="n">
        <f aca="false">K139*Q139</f>
        <v>0.000972911250000054</v>
      </c>
      <c r="P139" s="40" t="n">
        <f aca="false">L139*R139</f>
        <v>0.00104497875000006</v>
      </c>
      <c r="Q139" s="39" t="n">
        <f aca="false">INDEX(REF_MIN,MATCH(D139,REF_ID,0))</f>
        <v>1.35</v>
      </c>
      <c r="R139" s="39" t="n">
        <f aca="false">INDEX(REF_MAX,MATCH(D139,REF_ID,0))</f>
        <v>1.45</v>
      </c>
      <c r="S139" s="41" t="n">
        <v>0.486453375000001</v>
      </c>
      <c r="T139" s="42" t="n">
        <f aca="false">200*J139/S139</f>
        <v>0.29629766675996</v>
      </c>
      <c r="U139" s="43" t="n">
        <f aca="false">IFERROR(INDEX(ISO_TOL,MATCH(T139,ISO_DESDE,1)),0)</f>
        <v>0</v>
      </c>
      <c r="V139" s="44" t="n">
        <f aca="false">IF(T139&gt;0,U139/T139,0)</f>
        <v>0</v>
      </c>
    </row>
    <row r="140" customFormat="false" ht="15" hidden="false" customHeight="false" outlineLevel="2" collapsed="false">
      <c r="A140" s="35" t="n">
        <v>2</v>
      </c>
      <c r="B140" s="36" t="s">
        <v>865</v>
      </c>
      <c r="C140" s="37" t="s">
        <v>384</v>
      </c>
      <c r="D140" s="36" t="s">
        <v>32</v>
      </c>
      <c r="E140" s="36" t="str">
        <f aca="false">INDEX(REF_DATO,MATCH(D140,REF_ID,0))</f>
        <v>PVC rígido, vinilo y papeles de identificación</v>
      </c>
      <c r="F140" s="38" t="n">
        <v>1</v>
      </c>
      <c r="G140" s="35" t="s">
        <v>264</v>
      </c>
      <c r="H140" s="39" t="n">
        <f aca="false">INDEX(REF_VAL,MATCH(D140,REF_ID,0))</f>
        <v>1.4</v>
      </c>
      <c r="I140" s="40" t="n">
        <f aca="false">F140*J140</f>
        <v>0.00231216562500015</v>
      </c>
      <c r="J140" s="40" t="n">
        <v>0.00231216562500015</v>
      </c>
      <c r="K140" s="40" t="n">
        <f aca="false">I140*(1-V140)</f>
        <v>0.00231216562500015</v>
      </c>
      <c r="L140" s="40" t="n">
        <f aca="false">I140*(1+V140)</f>
        <v>0.00231216562500015</v>
      </c>
      <c r="M140" s="40" t="n">
        <f aca="false">F140*N140</f>
        <v>0.00323703187500021</v>
      </c>
      <c r="N140" s="40" t="n">
        <f aca="false">J140*H140</f>
        <v>0.00323703187500021</v>
      </c>
      <c r="O140" s="40" t="n">
        <f aca="false">K140*Q140</f>
        <v>0.0031214235937502</v>
      </c>
      <c r="P140" s="40" t="n">
        <f aca="false">L140*R140</f>
        <v>0.00335264015625021</v>
      </c>
      <c r="Q140" s="39" t="n">
        <f aca="false">INDEX(REF_MIN,MATCH(D140,REF_ID,0))</f>
        <v>1.35</v>
      </c>
      <c r="R140" s="39" t="n">
        <f aca="false">INDEX(REF_MAX,MATCH(D140,REF_ID,0))</f>
        <v>1.45</v>
      </c>
      <c r="S140" s="41" t="n">
        <v>1.553151625</v>
      </c>
      <c r="T140" s="42" t="n">
        <f aca="false">200*J140/S140</f>
        <v>0.297738557882286</v>
      </c>
      <c r="U140" s="43" t="n">
        <f aca="false">IFERROR(INDEX(ISO_TOL,MATCH(T140,ISO_DESDE,1)),0)</f>
        <v>0</v>
      </c>
      <c r="V140" s="44" t="n">
        <f aca="false">IF(T140&gt;0,U140/T140,0)</f>
        <v>0</v>
      </c>
    </row>
    <row r="141" customFormat="false" ht="15" hidden="false" customHeight="false" outlineLevel="2" collapsed="false">
      <c r="A141" s="35" t="n">
        <v>2</v>
      </c>
      <c r="B141" s="36" t="s">
        <v>866</v>
      </c>
      <c r="C141" s="37" t="s">
        <v>326</v>
      </c>
      <c r="D141" s="36" t="s">
        <v>32</v>
      </c>
      <c r="E141" s="36" t="str">
        <f aca="false">INDEX(REF_DATO,MATCH(D141,REF_ID,0))</f>
        <v>PVC rígido, vinilo y papeles de identificación</v>
      </c>
      <c r="F141" s="38" t="n">
        <v>1</v>
      </c>
      <c r="G141" s="35" t="s">
        <v>264</v>
      </c>
      <c r="H141" s="39" t="n">
        <f aca="false">INDEX(REF_VAL,MATCH(D141,REF_ID,0))</f>
        <v>1.4</v>
      </c>
      <c r="I141" s="40" t="n">
        <f aca="false">F141*J141</f>
        <v>0.000337816406250003</v>
      </c>
      <c r="J141" s="40" t="n">
        <v>0.000337816406250003</v>
      </c>
      <c r="K141" s="40" t="n">
        <f aca="false">I141*(1-V141)</f>
        <v>0.000337816406250003</v>
      </c>
      <c r="L141" s="40" t="n">
        <f aca="false">I141*(1+V141)</f>
        <v>0.000337816406250003</v>
      </c>
      <c r="M141" s="40" t="n">
        <f aca="false">F141*N141</f>
        <v>0.000472942968750004</v>
      </c>
      <c r="N141" s="40" t="n">
        <f aca="false">J141*H141</f>
        <v>0.000472942968750004</v>
      </c>
      <c r="O141" s="40" t="n">
        <f aca="false">K141*Q141</f>
        <v>0.000456052148437504</v>
      </c>
      <c r="P141" s="40" t="n">
        <f aca="false">L141*R141</f>
        <v>0.000489833789062504</v>
      </c>
      <c r="Q141" s="39" t="n">
        <f aca="false">INDEX(REF_MIN,MATCH(D141,REF_ID,0))</f>
        <v>1.35</v>
      </c>
      <c r="R141" s="39" t="n">
        <f aca="false">INDEX(REF_MAX,MATCH(D141,REF_ID,0))</f>
        <v>1.45</v>
      </c>
      <c r="S141" s="41" t="n">
        <v>0.22941346875</v>
      </c>
      <c r="T141" s="42" t="n">
        <f aca="false">200*J141/S141</f>
        <v>0.294504423032052</v>
      </c>
      <c r="U141" s="43" t="n">
        <f aca="false">IFERROR(INDEX(ISO_TOL,MATCH(T141,ISO_DESDE,1)),0)</f>
        <v>0</v>
      </c>
      <c r="V141" s="44" t="n">
        <f aca="false">IF(T141&gt;0,U141/T141,0)</f>
        <v>0</v>
      </c>
    </row>
    <row r="142" customFormat="false" ht="15" hidden="false" customHeight="false" outlineLevel="2" collapsed="false">
      <c r="A142" s="35" t="n">
        <v>2</v>
      </c>
      <c r="B142" s="36" t="s">
        <v>867</v>
      </c>
      <c r="C142" s="37" t="s">
        <v>328</v>
      </c>
      <c r="D142" s="36" t="s">
        <v>32</v>
      </c>
      <c r="E142" s="36" t="str">
        <f aca="false">INDEX(REF_DATO,MATCH(D142,REF_ID,0))</f>
        <v>PVC rígido, vinilo y papeles de identificación</v>
      </c>
      <c r="F142" s="38" t="n">
        <v>1</v>
      </c>
      <c r="G142" s="35" t="s">
        <v>264</v>
      </c>
      <c r="H142" s="39" t="n">
        <f aca="false">INDEX(REF_VAL,MATCH(D142,REF_ID,0))</f>
        <v>1.4</v>
      </c>
      <c r="I142" s="40" t="n">
        <f aca="false">F142*J142</f>
        <v>0.000281259725807048</v>
      </c>
      <c r="J142" s="40" t="n">
        <v>0.000281259725807048</v>
      </c>
      <c r="K142" s="40" t="n">
        <f aca="false">I142*(1-V142)</f>
        <v>0.000281259725807048</v>
      </c>
      <c r="L142" s="40" t="n">
        <f aca="false">I142*(1+V142)</f>
        <v>0.000281259725807048</v>
      </c>
      <c r="M142" s="40" t="n">
        <f aca="false">F142*N142</f>
        <v>0.000393763616129867</v>
      </c>
      <c r="N142" s="40" t="n">
        <f aca="false">J142*H142</f>
        <v>0.000393763616129867</v>
      </c>
      <c r="O142" s="40" t="n">
        <f aca="false">K142*Q142</f>
        <v>0.000379700629839514</v>
      </c>
      <c r="P142" s="40" t="n">
        <f aca="false">L142*R142</f>
        <v>0.000407826602420219</v>
      </c>
      <c r="Q142" s="39" t="n">
        <f aca="false">INDEX(REF_MIN,MATCH(D142,REF_ID,0))</f>
        <v>1.35</v>
      </c>
      <c r="R142" s="39" t="n">
        <f aca="false">INDEX(REF_MAX,MATCH(D142,REF_ID,0))</f>
        <v>1.45</v>
      </c>
      <c r="S142" s="41" t="n">
        <v>0.284334790645751</v>
      </c>
      <c r="T142" s="42" t="n">
        <f aca="false">200*J142/S142</f>
        <v>0.197837011199566</v>
      </c>
      <c r="U142" s="43" t="n">
        <f aca="false">IFERROR(INDEX(ISO_TOL,MATCH(T142,ISO_DESDE,1)),0)</f>
        <v>0</v>
      </c>
      <c r="V142" s="44" t="n">
        <f aca="false">IF(T142&gt;0,U142/T142,0)</f>
        <v>0</v>
      </c>
    </row>
    <row r="143" customFormat="false" ht="15" hidden="false" customHeight="false" outlineLevel="2" collapsed="false">
      <c r="A143" s="35" t="n">
        <v>2</v>
      </c>
      <c r="B143" s="36" t="s">
        <v>868</v>
      </c>
      <c r="C143" s="37" t="s">
        <v>330</v>
      </c>
      <c r="D143" s="36" t="s">
        <v>26</v>
      </c>
      <c r="E143" s="36" t="str">
        <f aca="false">INDEX(REF_DATO,MATCH(D143,REF_ID,0))</f>
        <v>Polipropileno</v>
      </c>
      <c r="F143" s="38" t="n">
        <v>1</v>
      </c>
      <c r="G143" s="35" t="s">
        <v>264</v>
      </c>
      <c r="H143" s="39" t="n">
        <f aca="false">INDEX(REF_VAL,MATCH(D143,REF_ID,0))</f>
        <v>0.9</v>
      </c>
      <c r="I143" s="40" t="n">
        <f aca="false">F143*J143</f>
        <v>0.000196349540849362</v>
      </c>
      <c r="J143" s="40" t="n">
        <v>0.000196349540849362</v>
      </c>
      <c r="K143" s="40" t="n">
        <f aca="false">I143*(1-V143)</f>
        <v>0.000186532063806894</v>
      </c>
      <c r="L143" s="40" t="n">
        <f aca="false">I143*(1+V143)</f>
        <v>0.00020616701789183</v>
      </c>
      <c r="M143" s="40" t="n">
        <f aca="false">F143*N143</f>
        <v>0.000176714586764426</v>
      </c>
      <c r="N143" s="40" t="n">
        <f aca="false">J143*H143</f>
        <v>0.000176714586764426</v>
      </c>
      <c r="O143" s="40" t="n">
        <f aca="false">K143*Q143</f>
        <v>0.000167878857426205</v>
      </c>
      <c r="P143" s="40" t="n">
        <f aca="false">L143*R143</f>
        <v>0.000187611986281566</v>
      </c>
      <c r="Q143" s="39" t="n">
        <f aca="false">INDEX(REF_MIN,MATCH(D143,REF_ID,0))</f>
        <v>0.9</v>
      </c>
      <c r="R143" s="39" t="n">
        <f aca="false">INDEX(REF_MAX,MATCH(D143,REF_ID,0))</f>
        <v>0.91</v>
      </c>
      <c r="S143" s="41" t="n">
        <v>0.0196349540849362</v>
      </c>
      <c r="T143" s="42" t="n">
        <f aca="false">200*J143/S143</f>
        <v>2</v>
      </c>
      <c r="U143" s="43" t="n">
        <f aca="false">IFERROR(INDEX(ISO_TOL,MATCH(T143,ISO_DESDE,1)),0)</f>
        <v>0.1</v>
      </c>
      <c r="V143" s="44" t="n">
        <f aca="false">IF(T143&gt;0,U143/T143,0)</f>
        <v>0.05</v>
      </c>
    </row>
    <row r="144" customFormat="false" ht="15" hidden="false" customHeight="false" outlineLevel="1" collapsed="false">
      <c r="A144" s="25" t="n">
        <v>1</v>
      </c>
      <c r="B144" s="26" t="s">
        <v>869</v>
      </c>
      <c r="C144" s="27" t="s">
        <v>336</v>
      </c>
      <c r="D144" s="26"/>
      <c r="E144" s="26"/>
      <c r="F144" s="28" t="n">
        <v>1</v>
      </c>
      <c r="G144" s="25" t="s">
        <v>264</v>
      </c>
      <c r="H144" s="29"/>
      <c r="I144" s="30"/>
      <c r="J144" s="30"/>
      <c r="K144" s="30"/>
      <c r="L144" s="30"/>
      <c r="M144" s="30" t="str">
        <f aca="false">IF(SUMIF(A145:A148,2,M145:M148)=0,"",SUMIF(A145:A148,2,M145:M148))</f>
        <v/>
      </c>
      <c r="N144" s="30"/>
      <c r="O144" s="30" t="str">
        <f aca="false">IF(SUMIF(A145:A148,2,O145:O148)=0,"",SUMIF(A145:A148,2,O145:O148))</f>
        <v/>
      </c>
      <c r="P144" s="30" t="str">
        <f aca="false">IF(SUMIF(A145:A148,2,P145:P148)=0,"",SUMIF(A145:A148,2,P145:P148))</f>
        <v/>
      </c>
      <c r="Q144" s="29"/>
      <c r="R144" s="29"/>
      <c r="S144" s="31"/>
      <c r="T144" s="32"/>
      <c r="U144" s="33"/>
      <c r="V144" s="34"/>
    </row>
    <row r="145" customFormat="false" ht="15" hidden="false" customHeight="false" outlineLevel="2" collapsed="false">
      <c r="A145" s="35" t="n">
        <v>2</v>
      </c>
      <c r="B145" s="36" t="s">
        <v>870</v>
      </c>
      <c r="C145" s="37" t="s">
        <v>338</v>
      </c>
      <c r="D145" s="36"/>
      <c r="E145" s="36"/>
      <c r="F145" s="38" t="n">
        <v>1</v>
      </c>
      <c r="G145" s="35" t="s">
        <v>264</v>
      </c>
      <c r="H145" s="39"/>
      <c r="I145" s="40"/>
      <c r="J145" s="40"/>
      <c r="K145" s="40"/>
      <c r="L145" s="40"/>
      <c r="M145" s="40"/>
      <c r="N145" s="40"/>
      <c r="O145" s="40"/>
      <c r="P145" s="40"/>
      <c r="Q145" s="39"/>
      <c r="R145" s="39"/>
      <c r="S145" s="41"/>
      <c r="T145" s="42"/>
      <c r="U145" s="43"/>
      <c r="V145" s="44"/>
    </row>
    <row r="146" customFormat="false" ht="15" hidden="false" customHeight="false" outlineLevel="2" collapsed="false">
      <c r="A146" s="35" t="n">
        <v>2</v>
      </c>
      <c r="B146" s="36" t="s">
        <v>871</v>
      </c>
      <c r="C146" s="37" t="s">
        <v>340</v>
      </c>
      <c r="D146" s="36"/>
      <c r="E146" s="36"/>
      <c r="F146" s="38" t="n">
        <v>1</v>
      </c>
      <c r="G146" s="35" t="s">
        <v>264</v>
      </c>
      <c r="H146" s="39"/>
      <c r="I146" s="40"/>
      <c r="J146" s="40"/>
      <c r="K146" s="40"/>
      <c r="L146" s="40"/>
      <c r="M146" s="40"/>
      <c r="N146" s="40"/>
      <c r="O146" s="40"/>
      <c r="P146" s="40"/>
      <c r="Q146" s="39"/>
      <c r="R146" s="39"/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872</v>
      </c>
      <c r="C147" s="37" t="s">
        <v>342</v>
      </c>
      <c r="D147" s="36"/>
      <c r="E147" s="36"/>
      <c r="F147" s="38" t="n">
        <v>1</v>
      </c>
      <c r="G147" s="35" t="s">
        <v>264</v>
      </c>
      <c r="H147" s="39"/>
      <c r="I147" s="40"/>
      <c r="J147" s="40"/>
      <c r="K147" s="40"/>
      <c r="L147" s="40"/>
      <c r="M147" s="40"/>
      <c r="N147" s="40"/>
      <c r="O147" s="40"/>
      <c r="P147" s="40"/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873</v>
      </c>
      <c r="C148" s="37" t="s">
        <v>344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0" collapsed="false">
      <c r="A149" s="16" t="n">
        <v>0</v>
      </c>
      <c r="B149" s="17" t="s">
        <v>220</v>
      </c>
      <c r="C149" s="17" t="s">
        <v>221</v>
      </c>
      <c r="D149" s="17"/>
      <c r="E149" s="17"/>
      <c r="F149" s="18" t="n">
        <v>1</v>
      </c>
      <c r="G149" s="16" t="s">
        <v>264</v>
      </c>
      <c r="H149" s="19"/>
      <c r="I149" s="20"/>
      <c r="J149" s="20"/>
      <c r="K149" s="20"/>
      <c r="L149" s="20"/>
      <c r="M149" s="20" t="n">
        <f aca="false">IF(SUMIF(A150:A193,1,M150:M193)=0,"",SUMIF(A150:A193,1,M150:M193))</f>
        <v>8.7696161219309</v>
      </c>
      <c r="N149" s="20"/>
      <c r="O149" s="20" t="n">
        <f aca="false">IF(SUMIF(A150:A193,1,O150:O193)=0,"",SUMIF(A150:A193,1,O150:O193))</f>
        <v>8.39112563011774</v>
      </c>
      <c r="P149" s="20" t="n">
        <f aca="false">IF(SUMIF(A150:A193,1,P150:P193)=0,"",SUMIF(A150:A193,1,P150:P193))</f>
        <v>9.15830538135791</v>
      </c>
      <c r="Q149" s="19"/>
      <c r="R149" s="19"/>
      <c r="S149" s="21"/>
      <c r="T149" s="22"/>
      <c r="U149" s="23"/>
      <c r="V149" s="24"/>
    </row>
    <row r="150" customFormat="false" ht="15" hidden="false" customHeight="false" outlineLevel="1" collapsed="false">
      <c r="A150" s="25" t="n">
        <v>1</v>
      </c>
      <c r="B150" s="26" t="s">
        <v>874</v>
      </c>
      <c r="C150" s="27" t="s">
        <v>266</v>
      </c>
      <c r="D150" s="26"/>
      <c r="E150" s="26"/>
      <c r="F150" s="28" t="n">
        <v>1</v>
      </c>
      <c r="G150" s="25" t="s">
        <v>264</v>
      </c>
      <c r="H150" s="29"/>
      <c r="I150" s="30"/>
      <c r="J150" s="30"/>
      <c r="K150" s="30"/>
      <c r="L150" s="30"/>
      <c r="M150" s="30" t="n">
        <f aca="false">IF(SUMIF(A151:A154,2,M151:M154)=0,"",SUMIF(A151:A154,2,M151:M154))</f>
        <v>2.69106540062604</v>
      </c>
      <c r="N150" s="30"/>
      <c r="O150" s="30" t="n">
        <f aca="false">IF(SUMIF(A151:A154,2,O151:O154)=0,"",SUMIF(A151:A154,2,O151:O154))</f>
        <v>2.52518629857663</v>
      </c>
      <c r="P150" s="30" t="n">
        <f aca="false">IF(SUMIF(A151:A154,2,P151:P154)=0,"",SUMIF(A151:A154,2,P151:P154))</f>
        <v>2.85694450267545</v>
      </c>
      <c r="Q150" s="29"/>
      <c r="R150" s="29"/>
      <c r="S150" s="31"/>
      <c r="T150" s="32"/>
      <c r="U150" s="33"/>
      <c r="V150" s="34"/>
    </row>
    <row r="151" customFormat="false" ht="15" hidden="false" customHeight="false" outlineLevel="2" collapsed="false">
      <c r="A151" s="35" t="n">
        <v>2</v>
      </c>
      <c r="B151" s="36" t="s">
        <v>875</v>
      </c>
      <c r="C151" s="37" t="s">
        <v>268</v>
      </c>
      <c r="D151" s="36" t="s">
        <v>10</v>
      </c>
      <c r="E151" s="36" t="str">
        <f aca="false">INDEX(REF_DATO,MATCH(D151,REF_ID,0))</f>
        <v>Acero (chapa LAC/LAF, SAE 1010/1045)</v>
      </c>
      <c r="F151" s="38" t="n">
        <v>1</v>
      </c>
      <c r="G151" s="35" t="s">
        <v>264</v>
      </c>
      <c r="H151" s="39" t="n">
        <f aca="false">INDEX(REF_VAL,MATCH(D151,REF_ID,0))</f>
        <v>7.85</v>
      </c>
      <c r="I151" s="40" t="n">
        <f aca="false">F151*J151</f>
        <v>0.24893432097772</v>
      </c>
      <c r="J151" s="40" t="n">
        <v>0.24893432097772</v>
      </c>
      <c r="K151" s="40" t="n">
        <f aca="false">I151*(1-V151)</f>
        <v>0.233288874164672</v>
      </c>
      <c r="L151" s="40" t="n">
        <f aca="false">I151*(1+V151)</f>
        <v>0.264579767790769</v>
      </c>
      <c r="M151" s="40" t="n">
        <f aca="false">F151*N151</f>
        <v>1.95413441967511</v>
      </c>
      <c r="N151" s="40" t="n">
        <f aca="false">J151*H151</f>
        <v>1.95413441967511</v>
      </c>
      <c r="O151" s="40" t="n">
        <f aca="false">K151*Q151</f>
        <v>1.83131766219267</v>
      </c>
      <c r="P151" s="40" t="n">
        <f aca="false">L151*R151</f>
        <v>2.07695117715754</v>
      </c>
      <c r="Q151" s="39" t="n">
        <f aca="false">INDEX(REF_MIN,MATCH(D151,REF_ID,0))</f>
        <v>7.85</v>
      </c>
      <c r="R151" s="39" t="n">
        <f aca="false">INDEX(REF_MAX,MATCH(D151,REF_ID,0))</f>
        <v>7.85</v>
      </c>
      <c r="S151" s="41" t="n">
        <v>31.2908936260973</v>
      </c>
      <c r="T151" s="42" t="n">
        <f aca="false">200*J151/S151</f>
        <v>1.5910975503116</v>
      </c>
      <c r="U151" s="43" t="n">
        <f aca="false">IFERROR(INDEX(ISO_TOL,MATCH(T151,ISO_DESDE,1)),0)</f>
        <v>0.1</v>
      </c>
      <c r="V151" s="44" t="n">
        <f aca="false">IF(T151&gt;0,U151/T151,0)</f>
        <v>0.0628496976696472</v>
      </c>
    </row>
    <row r="152" customFormat="false" ht="15" hidden="false" customHeight="false" outlineLevel="2" collapsed="false">
      <c r="A152" s="35" t="n">
        <v>2</v>
      </c>
      <c r="B152" s="36" t="s">
        <v>876</v>
      </c>
      <c r="C152" s="37" t="s">
        <v>270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0.0459583713072003</v>
      </c>
      <c r="J152" s="40" t="n">
        <v>0.0459583713072003</v>
      </c>
      <c r="K152" s="40" t="n">
        <f aca="false">I152*(1-V152)</f>
        <v>0.0429667063861364</v>
      </c>
      <c r="L152" s="40" t="n">
        <f aca="false">I152*(1+V152)</f>
        <v>0.0489500362282642</v>
      </c>
      <c r="M152" s="40" t="n">
        <f aca="false">F152*N152</f>
        <v>0.360773214761522</v>
      </c>
      <c r="N152" s="40" t="n">
        <f aca="false">J152*H152</f>
        <v>0.360773214761522</v>
      </c>
      <c r="O152" s="40" t="n">
        <f aca="false">K152*Q152</f>
        <v>0.33728864513117</v>
      </c>
      <c r="P152" s="40" t="n">
        <f aca="false">L152*R152</f>
        <v>0.384257784391874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5.98332984212788</v>
      </c>
      <c r="T152" s="42" t="n">
        <f aca="false">200*J152/S152</f>
        <v>1.53621386484874</v>
      </c>
      <c r="U152" s="43" t="n">
        <f aca="false">IFERROR(INDEX(ISO_TOL,MATCH(T152,ISO_DESDE,1)),0)</f>
        <v>0.1</v>
      </c>
      <c r="V152" s="44" t="n">
        <f aca="false">IF(T152&gt;0,U152/T152,0)</f>
        <v>0.0650951031546942</v>
      </c>
    </row>
    <row r="153" customFormat="false" ht="15" hidden="false" customHeight="false" outlineLevel="2" collapsed="false">
      <c r="A153" s="35" t="n">
        <v>2</v>
      </c>
      <c r="B153" s="36" t="s">
        <v>877</v>
      </c>
      <c r="C153" s="37" t="s">
        <v>272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0.0404159140887371</v>
      </c>
      <c r="J153" s="40" t="n">
        <v>0.0404159140887371</v>
      </c>
      <c r="K153" s="40" t="n">
        <f aca="false">I153*(1-V153)</f>
        <v>0.0381466534782765</v>
      </c>
      <c r="L153" s="40" t="n">
        <f aca="false">I153*(1+V153)</f>
        <v>0.0426851746991976</v>
      </c>
      <c r="M153" s="40" t="n">
        <f aca="false">F153*N153</f>
        <v>0.317264925596586</v>
      </c>
      <c r="N153" s="40" t="n">
        <f aca="false">J153*H153</f>
        <v>0.317264925596586</v>
      </c>
      <c r="O153" s="40" t="n">
        <f aca="false">K153*Q153</f>
        <v>0.29945122980447</v>
      </c>
      <c r="P153" s="40" t="n">
        <f aca="false">L153*R153</f>
        <v>0.335078621388701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4.53852122092116</v>
      </c>
      <c r="T153" s="42" t="n">
        <f aca="false">200*J153/S153</f>
        <v>1.78101686084147</v>
      </c>
      <c r="U153" s="43" t="n">
        <f aca="false">IFERROR(INDEX(ISO_TOL,MATCH(T153,ISO_DESDE,1)),0)</f>
        <v>0.1</v>
      </c>
      <c r="V153" s="44" t="n">
        <f aca="false">IF(T153&gt;0,U153/T153,0)</f>
        <v>0.0561476997768305</v>
      </c>
    </row>
    <row r="154" customFormat="false" ht="15" hidden="false" customHeight="false" outlineLevel="2" collapsed="false">
      <c r="A154" s="35" t="n">
        <v>2</v>
      </c>
      <c r="B154" s="36" t="s">
        <v>878</v>
      </c>
      <c r="C154" s="37" t="s">
        <v>274</v>
      </c>
      <c r="D154" s="36" t="s">
        <v>10</v>
      </c>
      <c r="E154" s="36" t="str">
        <f aca="false">INDEX(REF_DATO,MATCH(D154,REF_ID,0))</f>
        <v>Acero (chapa LAC/LAF, SAE 1010/1045)</v>
      </c>
      <c r="F154" s="38" t="n">
        <v>1</v>
      </c>
      <c r="G154" s="35" t="s">
        <v>264</v>
      </c>
      <c r="H154" s="39" t="n">
        <f aca="false">INDEX(REF_VAL,MATCH(D154,REF_ID,0))</f>
        <v>7.85</v>
      </c>
      <c r="I154" s="40" t="n">
        <f aca="false">F154*J154</f>
        <v>0.00750227268698458</v>
      </c>
      <c r="J154" s="40" t="n">
        <v>0.00750227268698458</v>
      </c>
      <c r="K154" s="40" t="n">
        <f aca="false">I154*(1-V154)</f>
        <v>0.00727754922908514</v>
      </c>
      <c r="L154" s="40" t="n">
        <f aca="false">I154*(1+V154)</f>
        <v>0.00772699614488401</v>
      </c>
      <c r="M154" s="40" t="n">
        <f aca="false">F154*N154</f>
        <v>0.0588928405928289</v>
      </c>
      <c r="N154" s="40" t="n">
        <f aca="false">J154*H154</f>
        <v>0.0588928405928289</v>
      </c>
      <c r="O154" s="40" t="n">
        <f aca="false">K154*Q154</f>
        <v>0.0571287614483184</v>
      </c>
      <c r="P154" s="40" t="n">
        <f aca="false">L154*R154</f>
        <v>0.0606569197373395</v>
      </c>
      <c r="Q154" s="39" t="n">
        <f aca="false">INDEX(REF_MIN,MATCH(D154,REF_ID,0))</f>
        <v>7.85</v>
      </c>
      <c r="R154" s="39" t="n">
        <f aca="false">INDEX(REF_MAX,MATCH(D154,REF_ID,0))</f>
        <v>7.85</v>
      </c>
      <c r="S154" s="41" t="n">
        <v>0.449446915798867</v>
      </c>
      <c r="T154" s="42" t="n">
        <f aca="false">200*J154/S154</f>
        <v>3.33844662106523</v>
      </c>
      <c r="U154" s="43" t="n">
        <f aca="false">IFERROR(INDEX(ISO_TOL,MATCH(T154,ISO_DESDE,1)),0)</f>
        <v>0.1</v>
      </c>
      <c r="V154" s="44" t="n">
        <f aca="false">IF(T154&gt;0,U154/T154,0)</f>
        <v>0.0299540508957103</v>
      </c>
    </row>
    <row r="155" customFormat="false" ht="15" hidden="false" customHeight="false" outlineLevel="1" collapsed="false">
      <c r="A155" s="25" t="n">
        <v>1</v>
      </c>
      <c r="B155" s="26" t="s">
        <v>879</v>
      </c>
      <c r="C155" s="27" t="s">
        <v>276</v>
      </c>
      <c r="D155" s="26"/>
      <c r="E155" s="26"/>
      <c r="F155" s="28" t="n">
        <v>1</v>
      </c>
      <c r="G155" s="25" t="s">
        <v>264</v>
      </c>
      <c r="H155" s="29"/>
      <c r="I155" s="30"/>
      <c r="J155" s="30"/>
      <c r="K155" s="30"/>
      <c r="L155" s="30"/>
      <c r="M155" s="30" t="n">
        <f aca="false">IF(SUMIF(A156:A169,2,M156:M169)=0,"",SUMIF(A156:A169,2,M156:M169))</f>
        <v>0.408780674701619</v>
      </c>
      <c r="N155" s="30"/>
      <c r="O155" s="30" t="n">
        <f aca="false">IF(SUMIF(A156:A169,2,O156:O169)=0,"",SUMIF(A156:A169,2,O156:O169))</f>
        <v>0.380385780826064</v>
      </c>
      <c r="P155" s="30" t="n">
        <f aca="false">IF(SUMIF(A156:A169,2,P156:P169)=0,"",SUMIF(A156:A169,2,P156:P169))</f>
        <v>0.43745588474233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880</v>
      </c>
      <c r="C156" s="37" t="s">
        <v>284</v>
      </c>
      <c r="D156" s="36" t="s">
        <v>17</v>
      </c>
      <c r="E156" s="36" t="str">
        <f aca="false">INDEX(REF_DATO,MATCH(D156,REF_ID,0))</f>
        <v>Latón de forja (CuZn39Pb2 / C37700)</v>
      </c>
      <c r="F156" s="38" t="n">
        <v>1</v>
      </c>
      <c r="G156" s="35" t="s">
        <v>264</v>
      </c>
      <c r="H156" s="39" t="n">
        <f aca="false">INDEX(REF_VAL,MATCH(D156,REF_ID,0))</f>
        <v>8.45</v>
      </c>
      <c r="I156" s="40" t="n">
        <f aca="false">F156*J156</f>
        <v>0.00289757599381457</v>
      </c>
      <c r="J156" s="40" t="n">
        <v>0.00289757599381457</v>
      </c>
      <c r="K156" s="40" t="n">
        <f aca="false">I156*(1-V156)</f>
        <v>0.0027805356277529</v>
      </c>
      <c r="L156" s="40" t="n">
        <f aca="false">I156*(1+V156)</f>
        <v>0.00301461635987624</v>
      </c>
      <c r="M156" s="40" t="n">
        <f aca="false">F156*N156</f>
        <v>0.0244845171477331</v>
      </c>
      <c r="N156" s="40" t="n">
        <f aca="false">J156*H156</f>
        <v>0.0244845171477331</v>
      </c>
      <c r="O156" s="40" t="n">
        <f aca="false">K156*Q156</f>
        <v>0.0233564992731243</v>
      </c>
      <c r="P156" s="40" t="n">
        <f aca="false">L156*R156</f>
        <v>0.0256242390589481</v>
      </c>
      <c r="Q156" s="39" t="n">
        <f aca="false">INDEX(REF_MIN,MATCH(D156,REF_ID,0))</f>
        <v>8.4</v>
      </c>
      <c r="R156" s="39" t="n">
        <f aca="false">INDEX(REF_MAX,MATCH(D156,REF_ID,0))</f>
        <v>8.5</v>
      </c>
      <c r="S156" s="41" t="n">
        <v>0.234080732123344</v>
      </c>
      <c r="T156" s="42" t="n">
        <f aca="false">200*J156/S156</f>
        <v>2.47570653725378</v>
      </c>
      <c r="U156" s="43" t="n">
        <f aca="false">IFERROR(INDEX(ISO_TOL,MATCH(T156,ISO_DESDE,1)),0)</f>
        <v>0.1</v>
      </c>
      <c r="V156" s="44" t="n">
        <f aca="false">IF(T156&gt;0,U156/T156,0)</f>
        <v>0.0403925095705918</v>
      </c>
    </row>
    <row r="157" customFormat="false" ht="15" hidden="false" customHeight="false" outlineLevel="2" collapsed="false">
      <c r="A157" s="35" t="n">
        <v>2</v>
      </c>
      <c r="B157" s="36" t="s">
        <v>881</v>
      </c>
      <c r="C157" s="37" t="s">
        <v>286</v>
      </c>
      <c r="D157" s="36" t="s">
        <v>17</v>
      </c>
      <c r="E157" s="36" t="str">
        <f aca="false">INDEX(REF_DATO,MATCH(D157,REF_ID,0))</f>
        <v>Latón de forja (CuZn39Pb2 / C37700)</v>
      </c>
      <c r="F157" s="38" t="n">
        <v>1</v>
      </c>
      <c r="G157" s="35" t="s">
        <v>264</v>
      </c>
      <c r="H157" s="39" t="n">
        <f aca="false">INDEX(REF_VAL,MATCH(D157,REF_ID,0))</f>
        <v>8.45</v>
      </c>
      <c r="I157" s="40" t="n">
        <f aca="false">F157*J157</f>
        <v>0.000622782069311974</v>
      </c>
      <c r="J157" s="40" t="n">
        <v>0.000622782069311974</v>
      </c>
      <c r="K157" s="40" t="n">
        <f aca="false">I157*(1-V157)</f>
        <v>0.000575019978783558</v>
      </c>
      <c r="L157" s="40" t="n">
        <f aca="false">I157*(1+V157)</f>
        <v>0.00067054415984039</v>
      </c>
      <c r="M157" s="40" t="n">
        <f aca="false">F157*N157</f>
        <v>0.00526250848568618</v>
      </c>
      <c r="N157" s="40" t="n">
        <f aca="false">J157*H157</f>
        <v>0.00526250848568618</v>
      </c>
      <c r="O157" s="40" t="n">
        <f aca="false">K157*Q157</f>
        <v>0.00483016782178189</v>
      </c>
      <c r="P157" s="40" t="n">
        <f aca="false">L157*R157</f>
        <v>0.00569962535864332</v>
      </c>
      <c r="Q157" s="39" t="n">
        <f aca="false">INDEX(REF_MIN,MATCH(D157,REF_ID,0))</f>
        <v>8.4</v>
      </c>
      <c r="R157" s="39" t="n">
        <f aca="false">INDEX(REF_MAX,MATCH(D157,REF_ID,0))</f>
        <v>8.5</v>
      </c>
      <c r="S157" s="41" t="n">
        <v>0.095524181056832</v>
      </c>
      <c r="T157" s="42" t="n">
        <f aca="false">200*J157/S157</f>
        <v>1.3039254823686</v>
      </c>
      <c r="U157" s="43" t="n">
        <f aca="false">IFERROR(INDEX(ISO_TOL,MATCH(T157,ISO_DESDE,1)),0)</f>
        <v>0.1</v>
      </c>
      <c r="V157" s="44" t="n">
        <f aca="false">IF(T157&gt;0,U157/T157,0)</f>
        <v>0.0766914991325645</v>
      </c>
    </row>
    <row r="158" customFormat="false" ht="15" hidden="false" customHeight="false" outlineLevel="2" collapsed="false">
      <c r="A158" s="35" t="n">
        <v>2</v>
      </c>
      <c r="B158" s="36" t="s">
        <v>882</v>
      </c>
      <c r="C158" s="37" t="s">
        <v>288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0.015721177845052</v>
      </c>
      <c r="J158" s="40" t="n">
        <v>0.015721177845052</v>
      </c>
      <c r="K158" s="40" t="n">
        <f aca="false">I158*(1-V158)</f>
        <v>0.0154591130500673</v>
      </c>
      <c r="L158" s="40" t="n">
        <f aca="false">I158*(1+V158)</f>
        <v>0.0159832426400367</v>
      </c>
      <c r="M158" s="40" t="n">
        <f aca="false">F158*N158</f>
        <v>0.132843952790689</v>
      </c>
      <c r="N158" s="40" t="n">
        <f aca="false">J158*H158</f>
        <v>0.132843952790689</v>
      </c>
      <c r="O158" s="40" t="n">
        <f aca="false">K158*Q158</f>
        <v>0.129856549620565</v>
      </c>
      <c r="P158" s="40" t="n">
        <f aca="false">L158*R158</f>
        <v>0.135857562440312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0.524129589969398</v>
      </c>
      <c r="T158" s="42" t="n">
        <f aca="false">200*J158/S158</f>
        <v>5.99896596029615</v>
      </c>
      <c r="U158" s="43" t="n">
        <f aca="false">IFERROR(INDEX(ISO_TOL,MATCH(T158,ISO_DESDE,1)),0)</f>
        <v>0.1</v>
      </c>
      <c r="V158" s="44" t="n">
        <f aca="false">IF(T158&gt;0,U158/T158,0)</f>
        <v>0.0166695394942803</v>
      </c>
    </row>
    <row r="159" customFormat="false" ht="15" hidden="false" customHeight="false" outlineLevel="2" collapsed="false">
      <c r="A159" s="35" t="n">
        <v>2</v>
      </c>
      <c r="B159" s="36" t="s">
        <v>883</v>
      </c>
      <c r="C159" s="37" t="s">
        <v>278</v>
      </c>
      <c r="D159" s="36"/>
      <c r="E159" s="36"/>
      <c r="F159" s="38" t="n">
        <v>1</v>
      </c>
      <c r="G159" s="35" t="s">
        <v>264</v>
      </c>
      <c r="H159" s="39"/>
      <c r="I159" s="40"/>
      <c r="J159" s="40"/>
      <c r="K159" s="40"/>
      <c r="L159" s="40"/>
      <c r="M159" s="40"/>
      <c r="N159" s="40"/>
      <c r="O159" s="40"/>
      <c r="P159" s="40"/>
      <c r="Q159" s="39"/>
      <c r="R159" s="39"/>
      <c r="S159" s="41"/>
      <c r="T159" s="42"/>
      <c r="U159" s="43"/>
      <c r="V159" s="44"/>
    </row>
    <row r="160" customFormat="false" ht="15" hidden="false" customHeight="false" outlineLevel="2" collapsed="false">
      <c r="A160" s="35" t="n">
        <v>2</v>
      </c>
      <c r="B160" s="36" t="s">
        <v>884</v>
      </c>
      <c r="C160" s="37" t="s">
        <v>290</v>
      </c>
      <c r="D160" s="36" t="s">
        <v>17</v>
      </c>
      <c r="E160" s="36" t="str">
        <f aca="false">INDEX(REF_DATO,MATCH(D160,REF_ID,0))</f>
        <v>Latón de forja (CuZn39Pb2 / C37700)</v>
      </c>
      <c r="F160" s="38" t="n">
        <v>1</v>
      </c>
      <c r="G160" s="35" t="s">
        <v>264</v>
      </c>
      <c r="H160" s="39" t="n">
        <f aca="false">INDEX(REF_VAL,MATCH(D160,REF_ID,0))</f>
        <v>8.45</v>
      </c>
      <c r="I160" s="40" t="n">
        <f aca="false">F160*J160</f>
        <v>0.00162231844631377</v>
      </c>
      <c r="J160" s="40" t="n">
        <v>0.00162231844631377</v>
      </c>
      <c r="K160" s="40" t="n">
        <f aca="false">I160*(1-V160)</f>
        <v>0.0015672149111698</v>
      </c>
      <c r="L160" s="40" t="n">
        <f aca="false">I160*(1+V160)</f>
        <v>0.00167742198145773</v>
      </c>
      <c r="M160" s="40" t="n">
        <f aca="false">F160*N160</f>
        <v>0.0137085908713513</v>
      </c>
      <c r="N160" s="40" t="n">
        <f aca="false">J160*H160</f>
        <v>0.0137085908713513</v>
      </c>
      <c r="O160" s="40" t="n">
        <f aca="false">K160*Q160</f>
        <v>0.0131646052538263</v>
      </c>
      <c r="P160" s="40" t="n">
        <f aca="false">L160*R160</f>
        <v>0.0142580868423907</v>
      </c>
      <c r="Q160" s="39" t="n">
        <f aca="false">INDEX(REF_MIN,MATCH(D160,REF_ID,0))</f>
        <v>8.4</v>
      </c>
      <c r="R160" s="39" t="n">
        <f aca="false">INDEX(REF_MAX,MATCH(D160,REF_ID,0))</f>
        <v>8.5</v>
      </c>
      <c r="S160" s="41" t="n">
        <v>0.11020707028793</v>
      </c>
      <c r="T160" s="42" t="n">
        <f aca="false">200*J160/S160</f>
        <v>2.94412770809578</v>
      </c>
      <c r="U160" s="43" t="n">
        <f aca="false">IFERROR(INDEX(ISO_TOL,MATCH(T160,ISO_DESDE,1)),0)</f>
        <v>0.1</v>
      </c>
      <c r="V160" s="44" t="n">
        <f aca="false">IF(T160&gt;0,U160/T160,0)</f>
        <v>0.0339659178931061</v>
      </c>
    </row>
    <row r="161" customFormat="false" ht="15" hidden="false" customHeight="false" outlineLevel="2" collapsed="false">
      <c r="A161" s="35" t="n">
        <v>2</v>
      </c>
      <c r="B161" s="36" t="s">
        <v>885</v>
      </c>
      <c r="C161" s="37" t="s">
        <v>292</v>
      </c>
      <c r="D161" s="36" t="s">
        <v>14</v>
      </c>
      <c r="E161" s="36" t="str">
        <f aca="false">INDEX(REF_DATO,MATCH(D161,REF_ID,0))</f>
        <v>Acero inoxidable AISI 302 / 304</v>
      </c>
      <c r="F161" s="38" t="n">
        <v>1</v>
      </c>
      <c r="G161" s="35" t="s">
        <v>264</v>
      </c>
      <c r="H161" s="39" t="n">
        <f aca="false">INDEX(REF_VAL,MATCH(D161,REF_ID,0))</f>
        <v>7.93</v>
      </c>
      <c r="I161" s="40" t="n">
        <f aca="false">F161*J161</f>
        <v>0.000611811346278937</v>
      </c>
      <c r="J161" s="40" t="n">
        <v>0.000611811346278937</v>
      </c>
      <c r="K161" s="40" t="n">
        <f aca="false">I161*(1-V161)</f>
        <v>0.000611811346278937</v>
      </c>
      <c r="L161" s="40" t="n">
        <f aca="false">I161*(1+V161)</f>
        <v>0.000611811346278937</v>
      </c>
      <c r="M161" s="40" t="n">
        <f aca="false">F161*N161</f>
        <v>0.00485166397599197</v>
      </c>
      <c r="N161" s="40" t="n">
        <f aca="false">J161*H161</f>
        <v>0.00485166397599197</v>
      </c>
      <c r="O161" s="40" t="n">
        <f aca="false">K161*Q161</f>
        <v>0.00485166397599197</v>
      </c>
      <c r="P161" s="40" t="n">
        <f aca="false">L161*R161</f>
        <v>0.00485166397599197</v>
      </c>
      <c r="Q161" s="39" t="n">
        <f aca="false">INDEX(REF_MIN,MATCH(D161,REF_ID,0))</f>
        <v>7.93</v>
      </c>
      <c r="R161" s="39" t="n">
        <f aca="false">INDEX(REF_MAX,MATCH(D161,REF_ID,0))</f>
        <v>7.93</v>
      </c>
      <c r="S161" s="41" t="n">
        <v>0.606955700673548</v>
      </c>
      <c r="T161" s="42" t="n">
        <f aca="false">200*J161/S161</f>
        <v>0.2016</v>
      </c>
      <c r="U161" s="43" t="n">
        <f aca="false">IFERROR(INDEX(ISO_TOL,MATCH(T161,ISO_DESDE,1)),0)</f>
        <v>0</v>
      </c>
      <c r="V161" s="44" t="n">
        <f aca="false">IF(T161&gt;0,U161/T161,0)</f>
        <v>0</v>
      </c>
    </row>
    <row r="162" customFormat="false" ht="15" hidden="false" customHeight="false" outlineLevel="2" collapsed="false">
      <c r="A162" s="35" t="n">
        <v>2</v>
      </c>
      <c r="B162" s="36" t="s">
        <v>886</v>
      </c>
      <c r="C162" s="37" t="s">
        <v>294</v>
      </c>
      <c r="D162" s="36" t="s">
        <v>14</v>
      </c>
      <c r="E162" s="36" t="str">
        <f aca="false">INDEX(REF_DATO,MATCH(D162,REF_ID,0))</f>
        <v>Acero inoxidable AISI 302 / 304</v>
      </c>
      <c r="F162" s="38" t="n">
        <v>1</v>
      </c>
      <c r="G162" s="35" t="s">
        <v>264</v>
      </c>
      <c r="H162" s="39" t="n">
        <f aca="false">INDEX(REF_VAL,MATCH(D162,REF_ID,0))</f>
        <v>7.93</v>
      </c>
      <c r="I162" s="40" t="n">
        <f aca="false">F162*J162</f>
        <v>0.000414690230273853</v>
      </c>
      <c r="J162" s="40" t="n">
        <v>0.000414690230273853</v>
      </c>
      <c r="K162" s="40" t="n">
        <f aca="false">I162*(1-V162)</f>
        <v>0.000392699081698725</v>
      </c>
      <c r="L162" s="40" t="n">
        <f aca="false">I162*(1+V162)</f>
        <v>0.000436681378848982</v>
      </c>
      <c r="M162" s="40" t="n">
        <f aca="false">F162*N162</f>
        <v>0.00328849352607166</v>
      </c>
      <c r="N162" s="40" t="n">
        <f aca="false">J162*H162</f>
        <v>0.00328849352607166</v>
      </c>
      <c r="O162" s="40" t="n">
        <f aca="false">K162*Q162</f>
        <v>0.00311410371787089</v>
      </c>
      <c r="P162" s="40" t="n">
        <f aca="false">L162*R162</f>
        <v>0.00346288333427243</v>
      </c>
      <c r="Q162" s="39" t="n">
        <f aca="false">INDEX(REF_MIN,MATCH(D162,REF_ID,0))</f>
        <v>7.93</v>
      </c>
      <c r="R162" s="39" t="n">
        <f aca="false">INDEX(REF_MAX,MATCH(D162,REF_ID,0))</f>
        <v>7.93</v>
      </c>
      <c r="S162" s="41" t="n">
        <v>0.0439822971502571</v>
      </c>
      <c r="T162" s="42" t="n">
        <f aca="false">200*J162/S162</f>
        <v>1.88571428571429</v>
      </c>
      <c r="U162" s="43" t="n">
        <f aca="false">IFERROR(INDEX(ISO_TOL,MATCH(T162,ISO_DESDE,1)),0)</f>
        <v>0.1</v>
      </c>
      <c r="V162" s="44" t="n">
        <f aca="false">IF(T162&gt;0,U162/T162,0)</f>
        <v>0.053030303030303</v>
      </c>
    </row>
    <row r="163" customFormat="false" ht="15" hidden="false" customHeight="false" outlineLevel="2" collapsed="false">
      <c r="A163" s="35" t="n">
        <v>2</v>
      </c>
      <c r="B163" s="36" t="s">
        <v>887</v>
      </c>
      <c r="C163" s="37" t="s">
        <v>296</v>
      </c>
      <c r="D163" s="36" t="s">
        <v>14</v>
      </c>
      <c r="E163" s="36" t="str">
        <f aca="false">INDEX(REF_DATO,MATCH(D163,REF_ID,0))</f>
        <v>Acero inoxidable AISI 302 / 304</v>
      </c>
      <c r="F163" s="38" t="n">
        <v>1</v>
      </c>
      <c r="G163" s="35" t="s">
        <v>264</v>
      </c>
      <c r="H163" s="39" t="n">
        <f aca="false">INDEX(REF_VAL,MATCH(D163,REF_ID,0))</f>
        <v>7.93</v>
      </c>
      <c r="I163" s="40" t="n">
        <f aca="false">F163*J163</f>
        <v>0.0006972993812865</v>
      </c>
      <c r="J163" s="40" t="n">
        <v>0.0006972993812865</v>
      </c>
      <c r="K163" s="40" t="n">
        <f aca="false">I163*(1-V163)</f>
        <v>0.000650528232618022</v>
      </c>
      <c r="L163" s="40" t="n">
        <f aca="false">I163*(1+V163)</f>
        <v>0.000744070529954977</v>
      </c>
      <c r="M163" s="40" t="n">
        <f aca="false">F163*N163</f>
        <v>0.00552958409360194</v>
      </c>
      <c r="N163" s="40" t="n">
        <f aca="false">J163*H163</f>
        <v>0.00552958409360194</v>
      </c>
      <c r="O163" s="40" t="n">
        <f aca="false">K163*Q163</f>
        <v>0.00515868888466092</v>
      </c>
      <c r="P163" s="40" t="n">
        <f aca="false">L163*R163</f>
        <v>0.00590047930254296</v>
      </c>
      <c r="Q163" s="39" t="n">
        <f aca="false">INDEX(REF_MIN,MATCH(D163,REF_ID,0))</f>
        <v>7.93</v>
      </c>
      <c r="R163" s="39" t="n">
        <f aca="false">INDEX(REF_MAX,MATCH(D163,REF_ID,0))</f>
        <v>7.93</v>
      </c>
      <c r="S163" s="41" t="n">
        <v>0.0935422973369542</v>
      </c>
      <c r="T163" s="42" t="n">
        <f aca="false">200*J163/S163</f>
        <v>1.49087503971539</v>
      </c>
      <c r="U163" s="43" t="n">
        <f aca="false">IFERROR(INDEX(ISO_TOL,MATCH(T163,ISO_DESDE,1)),0)</f>
        <v>0.1</v>
      </c>
      <c r="V163" s="44" t="n">
        <f aca="false">IF(T163&gt;0,U163/T163,0)</f>
        <v>0.067074702665282</v>
      </c>
    </row>
    <row r="164" customFormat="false" ht="15" hidden="false" customHeight="false" outlineLevel="2" collapsed="false">
      <c r="A164" s="35" t="n">
        <v>2</v>
      </c>
      <c r="B164" s="36" t="s">
        <v>888</v>
      </c>
      <c r="C164" s="37" t="s">
        <v>298</v>
      </c>
      <c r="D164" s="36" t="s">
        <v>10</v>
      </c>
      <c r="E164" s="36" t="str">
        <f aca="false">INDEX(REF_DATO,MATCH(D164,REF_ID,0))</f>
        <v>Acero (chapa LAC/LAF, SAE 1010/1045)</v>
      </c>
      <c r="F164" s="38" t="n">
        <v>1</v>
      </c>
      <c r="G164" s="35" t="s">
        <v>264</v>
      </c>
      <c r="H164" s="39" t="n">
        <f aca="false">INDEX(REF_VAL,MATCH(D164,REF_ID,0))</f>
        <v>7.85</v>
      </c>
      <c r="I164" s="40" t="n">
        <f aca="false">F164*J164</f>
        <v>0.0122208194772713</v>
      </c>
      <c r="J164" s="40" t="n">
        <v>0.0122208194772713</v>
      </c>
      <c r="K164" s="40" t="n">
        <f aca="false">I164*(1-V164)</f>
        <v>0.0109151420660492</v>
      </c>
      <c r="L164" s="40" t="n">
        <f aca="false">I164*(1+V164)</f>
        <v>0.0135264968884933</v>
      </c>
      <c r="M164" s="40" t="n">
        <f aca="false">F164*N164</f>
        <v>0.0959334328965793</v>
      </c>
      <c r="N164" s="40" t="n">
        <f aca="false">J164*H164</f>
        <v>0.0959334328965793</v>
      </c>
      <c r="O164" s="40" t="n">
        <f aca="false">K164*Q164</f>
        <v>0.0856838652184865</v>
      </c>
      <c r="P164" s="40" t="n">
        <f aca="false">L164*R164</f>
        <v>0.106183000574672</v>
      </c>
      <c r="Q164" s="39" t="n">
        <f aca="false">INDEX(REF_MIN,MATCH(D164,REF_ID,0))</f>
        <v>7.85</v>
      </c>
      <c r="R164" s="39" t="n">
        <f aca="false">INDEX(REF_MAX,MATCH(D164,REF_ID,0))</f>
        <v>7.85</v>
      </c>
      <c r="S164" s="41" t="n">
        <v>2.61135482244402</v>
      </c>
      <c r="T164" s="42" t="n">
        <f aca="false">200*J164/S164</f>
        <v>0.935975408032335</v>
      </c>
      <c r="U164" s="43" t="n">
        <f aca="false">IFERROR(INDEX(ISO_TOL,MATCH(T164,ISO_DESDE,1)),0)</f>
        <v>0.1</v>
      </c>
      <c r="V164" s="44" t="n">
        <f aca="false">IF(T164&gt;0,U164/T164,0)</f>
        <v>0.106840413905987</v>
      </c>
    </row>
    <row r="165" customFormat="false" ht="15" hidden="false" customHeight="false" outlineLevel="2" collapsed="false">
      <c r="A165" s="35" t="n">
        <v>2</v>
      </c>
      <c r="B165" s="36" t="s">
        <v>889</v>
      </c>
      <c r="C165" s="37" t="s">
        <v>300</v>
      </c>
      <c r="D165" s="36" t="s">
        <v>10</v>
      </c>
      <c r="E165" s="36" t="str">
        <f aca="false">INDEX(REF_DATO,MATCH(D165,REF_ID,0))</f>
        <v>Acero (chapa LAC/LAF, SAE 1010/1045)</v>
      </c>
      <c r="F165" s="38" t="n">
        <v>1</v>
      </c>
      <c r="G165" s="35" t="s">
        <v>264</v>
      </c>
      <c r="H165" s="39" t="n">
        <f aca="false">INDEX(REF_VAL,MATCH(D165,REF_ID,0))</f>
        <v>7.85</v>
      </c>
      <c r="I165" s="40" t="n">
        <f aca="false">F165*J165</f>
        <v>0.0096403801433707</v>
      </c>
      <c r="J165" s="40" t="n">
        <v>0.0096403801433707</v>
      </c>
      <c r="K165" s="40" t="n">
        <f aca="false">I165*(1-V165)</f>
        <v>0.00865558197544062</v>
      </c>
      <c r="L165" s="40" t="n">
        <f aca="false">I165*(1+V165)</f>
        <v>0.0106251783113008</v>
      </c>
      <c r="M165" s="40" t="n">
        <f aca="false">F165*N165</f>
        <v>0.07567698412546</v>
      </c>
      <c r="N165" s="40" t="n">
        <f aca="false">J165*H165</f>
        <v>0.07567698412546</v>
      </c>
      <c r="O165" s="40" t="n">
        <f aca="false">K165*Q165</f>
        <v>0.0679463185072089</v>
      </c>
      <c r="P165" s="40" t="n">
        <f aca="false">L165*R165</f>
        <v>0.0834076497437111</v>
      </c>
      <c r="Q165" s="39" t="n">
        <f aca="false">INDEX(REF_MIN,MATCH(D165,REF_ID,0))</f>
        <v>7.85</v>
      </c>
      <c r="R165" s="39" t="n">
        <f aca="false">INDEX(REF_MAX,MATCH(D165,REF_ID,0))</f>
        <v>7.85</v>
      </c>
      <c r="S165" s="41" t="n">
        <v>1.96959633586015</v>
      </c>
      <c r="T165" s="42" t="n">
        <f aca="false">200*J165/S165</f>
        <v>0.978919382398283</v>
      </c>
      <c r="U165" s="43" t="n">
        <f aca="false">IFERROR(INDEX(ISO_TOL,MATCH(T165,ISO_DESDE,1)),0)</f>
        <v>0.1</v>
      </c>
      <c r="V165" s="44" t="n">
        <f aca="false">IF(T165&gt;0,U165/T165,0)</f>
        <v>0.102153457984464</v>
      </c>
    </row>
    <row r="166" customFormat="false" ht="15" hidden="false" customHeight="false" outlineLevel="2" collapsed="false">
      <c r="A166" s="35" t="n">
        <v>2</v>
      </c>
      <c r="B166" s="36" t="s">
        <v>890</v>
      </c>
      <c r="C166" s="37" t="s">
        <v>302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0.0329927547205877</v>
      </c>
      <c r="J166" s="40" t="n">
        <v>0.0329927547205877</v>
      </c>
      <c r="K166" s="40" t="n">
        <f aca="false">I166*(1-V166)</f>
        <v>0.0307839072090341</v>
      </c>
      <c r="L166" s="40" t="n">
        <f aca="false">I166*(1+V166)</f>
        <v>0.0352016022321414</v>
      </c>
      <c r="M166" s="40" t="n">
        <f aca="false">F166*N166</f>
        <v>0.0461898566088228</v>
      </c>
      <c r="N166" s="40" t="n">
        <f aca="false">J166*H166</f>
        <v>0.0461898566088228</v>
      </c>
      <c r="O166" s="40" t="n">
        <f aca="false">K166*Q166</f>
        <v>0.041558274732196</v>
      </c>
      <c r="P166" s="40" t="n">
        <f aca="false">L166*R166</f>
        <v>0.0510423232366051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4.41769502310735</v>
      </c>
      <c r="T166" s="42" t="n">
        <f aca="false">200*J166/S166</f>
        <v>1.49366375668826</v>
      </c>
      <c r="U166" s="43" t="n">
        <f aca="false">IFERROR(INDEX(ISO_TOL,MATCH(T166,ISO_DESDE,1)),0)</f>
        <v>0.1</v>
      </c>
      <c r="V166" s="44" t="n">
        <f aca="false">IF(T166&gt;0,U166/T166,0)</f>
        <v>0.0669494720965309</v>
      </c>
    </row>
    <row r="167" customFormat="false" ht="15" hidden="false" customHeight="false" outlineLevel="2" collapsed="false">
      <c r="A167" s="35" t="n">
        <v>2</v>
      </c>
      <c r="B167" s="36" t="s">
        <v>891</v>
      </c>
      <c r="C167" s="37" t="s">
        <v>280</v>
      </c>
      <c r="D167" s="36" t="s">
        <v>23</v>
      </c>
      <c r="E167" s="36" t="str">
        <f aca="false">INDEX(REF_DATO,MATCH(D167,REF_ID,0))</f>
        <v>Caucho sintético (NBR / SBR)</v>
      </c>
      <c r="F167" s="38" t="n">
        <v>1</v>
      </c>
      <c r="G167" s="35" t="s">
        <v>264</v>
      </c>
      <c r="H167" s="39" t="n">
        <f aca="false">INDEX(REF_VAL,MATCH(D167,REF_ID,0))</f>
        <v>1.2</v>
      </c>
      <c r="I167" s="40" t="n">
        <f aca="false">F167*J167</f>
        <v>0.000842575149692783</v>
      </c>
      <c r="J167" s="40" t="n">
        <v>0.000842575149692783</v>
      </c>
      <c r="K167" s="40" t="n">
        <f aca="false">I167*(1-V167)</f>
        <v>0.000786403473046597</v>
      </c>
      <c r="L167" s="40" t="n">
        <f aca="false">I167*(1+V167)</f>
        <v>0.000898746826338968</v>
      </c>
      <c r="M167" s="40" t="n">
        <f aca="false">F167*N167</f>
        <v>0.00101109017963134</v>
      </c>
      <c r="N167" s="40" t="n">
        <f aca="false">J167*H167</f>
        <v>0.00101109017963134</v>
      </c>
      <c r="O167" s="40" t="n">
        <f aca="false">K167*Q167</f>
        <v>0.000865043820351257</v>
      </c>
      <c r="P167" s="40" t="n">
        <f aca="false">L167*R167</f>
        <v>0.00116837087424066</v>
      </c>
      <c r="Q167" s="39" t="n">
        <f aca="false">INDEX(REF_MIN,MATCH(D167,REF_ID,0))</f>
        <v>1.1</v>
      </c>
      <c r="R167" s="39" t="n">
        <f aca="false">INDEX(REF_MAX,MATCH(D167,REF_ID,0))</f>
        <v>1.3</v>
      </c>
      <c r="S167" s="41" t="n">
        <v>0.112343353292371</v>
      </c>
      <c r="T167" s="42" t="n">
        <f aca="false">200*J167/S167</f>
        <v>1.5</v>
      </c>
      <c r="U167" s="43" t="n">
        <f aca="false">IFERROR(INDEX(ISO_TOL,MATCH(T167,ISO_DESDE,1)),0)</f>
        <v>0.1</v>
      </c>
      <c r="V167" s="44" t="n">
        <f aca="false">IF(T167&gt;0,U167/T167,0)</f>
        <v>0.0666666666666666</v>
      </c>
    </row>
    <row r="168" customFormat="false" ht="15" hidden="false" customHeight="false" outlineLevel="2" collapsed="false">
      <c r="A168" s="35" t="n">
        <v>2</v>
      </c>
      <c r="B168" s="36" t="s">
        <v>892</v>
      </c>
      <c r="C168" s="37" t="s">
        <v>304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893</v>
      </c>
      <c r="C169" s="37" t="s">
        <v>306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1" collapsed="false">
      <c r="A170" s="25" t="n">
        <v>1</v>
      </c>
      <c r="B170" s="26" t="s">
        <v>894</v>
      </c>
      <c r="C170" s="27" t="s">
        <v>308</v>
      </c>
      <c r="D170" s="26"/>
      <c r="E170" s="26"/>
      <c r="F170" s="28" t="n">
        <v>1</v>
      </c>
      <c r="G170" s="25" t="s">
        <v>264</v>
      </c>
      <c r="H170" s="29"/>
      <c r="I170" s="30"/>
      <c r="J170" s="30"/>
      <c r="K170" s="30"/>
      <c r="L170" s="30"/>
      <c r="M170" s="30" t="n">
        <f aca="false">IF(SUMIF(A171:A174,2,M171:M174)=0,"",SUMIF(A171:A174,2,M171:M174))</f>
        <v>0.201643092188796</v>
      </c>
      <c r="N170" s="30"/>
      <c r="O170" s="30" t="n">
        <f aca="false">IF(SUMIF(A171:A174,2,O171:O174)=0,"",SUMIF(A171:A174,2,O171:O174))</f>
        <v>0.188166264800703</v>
      </c>
      <c r="P170" s="30" t="n">
        <f aca="false">IF(SUMIF(A171:A174,2,P171:P174)=0,"",SUMIF(A171:A174,2,P171:P174))</f>
        <v>0.215632736620764</v>
      </c>
      <c r="Q170" s="29"/>
      <c r="R170" s="29"/>
      <c r="S170" s="31"/>
      <c r="T170" s="32"/>
      <c r="U170" s="33"/>
      <c r="V170" s="34"/>
    </row>
    <row r="171" customFormat="false" ht="15" hidden="false" customHeight="false" outlineLevel="2" collapsed="false">
      <c r="A171" s="35" t="n">
        <v>2</v>
      </c>
      <c r="B171" s="36" t="s">
        <v>895</v>
      </c>
      <c r="C171" s="37" t="s">
        <v>369</v>
      </c>
      <c r="D171" s="36" t="s">
        <v>17</v>
      </c>
      <c r="E171" s="36" t="str">
        <f aca="false">INDEX(REF_DATO,MATCH(D171,REF_ID,0))</f>
        <v>Latón de forja (CuZn39Pb2 / C37700)</v>
      </c>
      <c r="F171" s="38" t="n">
        <v>1</v>
      </c>
      <c r="G171" s="35" t="s">
        <v>264</v>
      </c>
      <c r="H171" s="39" t="n">
        <f aca="false">INDEX(REF_VAL,MATCH(D171,REF_ID,0))</f>
        <v>8.45</v>
      </c>
      <c r="I171" s="40" t="n">
        <f aca="false">F171*J171</f>
        <v>0.00466607483608731</v>
      </c>
      <c r="J171" s="40" t="n">
        <v>0.00466607483608731</v>
      </c>
      <c r="K171" s="40" t="n">
        <f aca="false">I171*(1-V171)</f>
        <v>0.00458505473234755</v>
      </c>
      <c r="L171" s="40" t="n">
        <f aca="false">I171*(1+V171)</f>
        <v>0.00474709493982706</v>
      </c>
      <c r="M171" s="40" t="n">
        <f aca="false">F171*N171</f>
        <v>0.0394283323649377</v>
      </c>
      <c r="N171" s="40" t="n">
        <f aca="false">J171*H171</f>
        <v>0.0394283323649377</v>
      </c>
      <c r="O171" s="40" t="n">
        <f aca="false">K171*Q171</f>
        <v>0.0385144597517194</v>
      </c>
      <c r="P171" s="40" t="n">
        <f aca="false">L171*R171</f>
        <v>0.04035030698853</v>
      </c>
      <c r="Q171" s="39" t="n">
        <f aca="false">INDEX(REF_MIN,MATCH(D171,REF_ID,0))</f>
        <v>8.4</v>
      </c>
      <c r="R171" s="39" t="n">
        <f aca="false">INDEX(REF_MAX,MATCH(D171,REF_ID,0))</f>
        <v>8.5</v>
      </c>
      <c r="S171" s="41" t="n">
        <v>0.162040207479508</v>
      </c>
      <c r="T171" s="42" t="n">
        <f aca="false">200*J171/S171</f>
        <v>5.75915682739099</v>
      </c>
      <c r="U171" s="43" t="n">
        <f aca="false">IFERROR(INDEX(ISO_TOL,MATCH(T171,ISO_DESDE,1)),0)</f>
        <v>0.1</v>
      </c>
      <c r="V171" s="44" t="n">
        <f aca="false">IF(T171&gt;0,U171/T171,0)</f>
        <v>0.0173636528743917</v>
      </c>
    </row>
    <row r="172" customFormat="false" ht="15" hidden="false" customHeight="false" outlineLevel="2" collapsed="false">
      <c r="A172" s="35" t="n">
        <v>2</v>
      </c>
      <c r="B172" s="36" t="s">
        <v>896</v>
      </c>
      <c r="C172" s="37" t="s">
        <v>371</v>
      </c>
      <c r="D172" s="36" t="s">
        <v>23</v>
      </c>
      <c r="E172" s="36" t="str">
        <f aca="false">INDEX(REF_DATO,MATCH(D172,REF_ID,0))</f>
        <v>Caucho sintético (NBR / SBR)</v>
      </c>
      <c r="F172" s="38" t="n">
        <v>1</v>
      </c>
      <c r="G172" s="35" t="s">
        <v>264</v>
      </c>
      <c r="H172" s="39" t="n">
        <f aca="false">INDEX(REF_VAL,MATCH(D172,REF_ID,0))</f>
        <v>1.2</v>
      </c>
      <c r="I172" s="40" t="n">
        <f aca="false">F172*J172</f>
        <v>0.0423956379600814</v>
      </c>
      <c r="J172" s="40" t="n">
        <v>0.0423956379600814</v>
      </c>
      <c r="K172" s="40" t="n">
        <f aca="false">I172*(1-V172)</f>
        <v>0.0408252487072126</v>
      </c>
      <c r="L172" s="40" t="n">
        <f aca="false">I172*(1+V172)</f>
        <v>0.0439660272129502</v>
      </c>
      <c r="M172" s="40" t="n">
        <f aca="false">F172*N172</f>
        <v>0.0508747655520977</v>
      </c>
      <c r="N172" s="40" t="n">
        <f aca="false">J172*H172</f>
        <v>0.0508747655520977</v>
      </c>
      <c r="O172" s="40" t="n">
        <f aca="false">K172*Q172</f>
        <v>0.0449077735779339</v>
      </c>
      <c r="P172" s="40" t="n">
        <f aca="false">L172*R172</f>
        <v>0.0571558353768353</v>
      </c>
      <c r="Q172" s="39" t="n">
        <f aca="false">INDEX(REF_MIN,MATCH(D172,REF_ID,0))</f>
        <v>1.1</v>
      </c>
      <c r="R172" s="39" t="n">
        <f aca="false">INDEX(REF_MAX,MATCH(D172,REF_ID,0))</f>
        <v>1.3</v>
      </c>
      <c r="S172" s="41" t="n">
        <v>3.14077850573766</v>
      </c>
      <c r="T172" s="42" t="n">
        <f aca="false">200*J172/S172</f>
        <v>2.69968976689263</v>
      </c>
      <c r="U172" s="43" t="n">
        <f aca="false">IFERROR(INDEX(ISO_TOL,MATCH(T172,ISO_DESDE,1)),0)</f>
        <v>0.1</v>
      </c>
      <c r="V172" s="44" t="n">
        <f aca="false">IF(T172&gt;0,U172/T172,0)</f>
        <v>0.037041293124247</v>
      </c>
    </row>
    <row r="173" customFormat="false" ht="15" hidden="false" customHeight="false" outlineLevel="2" collapsed="false">
      <c r="A173" s="35" t="n">
        <v>2</v>
      </c>
      <c r="B173" s="36" t="s">
        <v>897</v>
      </c>
      <c r="C173" s="37" t="s">
        <v>373</v>
      </c>
      <c r="D173" s="36" t="s">
        <v>26</v>
      </c>
      <c r="E173" s="36" t="str">
        <f aca="false">INDEX(REF_DATO,MATCH(D173,REF_ID,0))</f>
        <v>Polipropileno</v>
      </c>
      <c r="F173" s="38" t="n">
        <v>1</v>
      </c>
      <c r="G173" s="35" t="s">
        <v>264</v>
      </c>
      <c r="H173" s="39" t="n">
        <f aca="false">INDEX(REF_VAL,MATCH(D173,REF_ID,0))</f>
        <v>0.9</v>
      </c>
      <c r="I173" s="40" t="n">
        <f aca="false">F173*J173</f>
        <v>0.0187178422933425</v>
      </c>
      <c r="J173" s="40" t="n">
        <v>0.0187178422933425</v>
      </c>
      <c r="K173" s="40" t="n">
        <f aca="false">I173*(1-V173)</f>
        <v>0.0183719662939511</v>
      </c>
      <c r="L173" s="40" t="n">
        <f aca="false">I173*(1+V173)</f>
        <v>0.019063718292734</v>
      </c>
      <c r="M173" s="40" t="n">
        <f aca="false">F173*N173</f>
        <v>0.0168460580640083</v>
      </c>
      <c r="N173" s="40" t="n">
        <f aca="false">J173*H173</f>
        <v>0.0168460580640083</v>
      </c>
      <c r="O173" s="40" t="n">
        <f aca="false">K173*Q173</f>
        <v>0.0165347696645559</v>
      </c>
      <c r="P173" s="40" t="n">
        <f aca="false">L173*R173</f>
        <v>0.0173479836463879</v>
      </c>
      <c r="Q173" s="39" t="n">
        <f aca="false">INDEX(REF_MIN,MATCH(D173,REF_ID,0))</f>
        <v>0.9</v>
      </c>
      <c r="R173" s="39" t="n">
        <f aca="false">INDEX(REF_MAX,MATCH(D173,REF_ID,0))</f>
        <v>0.91</v>
      </c>
      <c r="S173" s="41" t="n">
        <v>0.691751998782917</v>
      </c>
      <c r="T173" s="42" t="n">
        <f aca="false">200*J173/S173</f>
        <v>5.41172047967337</v>
      </c>
      <c r="U173" s="43" t="n">
        <f aca="false">IFERROR(INDEX(ISO_TOL,MATCH(T173,ISO_DESDE,1)),0)</f>
        <v>0.1</v>
      </c>
      <c r="V173" s="44" t="n">
        <f aca="false">IF(T173&gt;0,U173/T173,0)</f>
        <v>0.018478411879476</v>
      </c>
    </row>
    <row r="174" customFormat="false" ht="15" hidden="false" customHeight="false" outlineLevel="2" collapsed="false">
      <c r="A174" s="35" t="n">
        <v>2</v>
      </c>
      <c r="B174" s="36" t="s">
        <v>898</v>
      </c>
      <c r="C174" s="37" t="s">
        <v>375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0.0120374441028983</v>
      </c>
      <c r="J174" s="40" t="n">
        <v>0.0120374441028983</v>
      </c>
      <c r="K174" s="40" t="n">
        <f aca="false">I174*(1-V174)</f>
        <v>0.0112368486377699</v>
      </c>
      <c r="L174" s="40" t="n">
        <f aca="false">I174*(1+V174)</f>
        <v>0.0128380395680268</v>
      </c>
      <c r="M174" s="40" t="n">
        <f aca="false">F174*N174</f>
        <v>0.094493936207752</v>
      </c>
      <c r="N174" s="40" t="n">
        <f aca="false">J174*H174</f>
        <v>0.094493936207752</v>
      </c>
      <c r="O174" s="40" t="n">
        <f aca="false">K174*Q174</f>
        <v>0.0882092618064935</v>
      </c>
      <c r="P174" s="40" t="n">
        <f aca="false">L174*R174</f>
        <v>0.10077861060901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1.60119093025693</v>
      </c>
      <c r="T174" s="42" t="n">
        <f aca="false">200*J174/S174</f>
        <v>1.50356136491065</v>
      </c>
      <c r="U174" s="43" t="n">
        <f aca="false">IFERROR(INDEX(ISO_TOL,MATCH(T174,ISO_DESDE,1)),0)</f>
        <v>0.1</v>
      </c>
      <c r="V174" s="44" t="n">
        <f aca="false">IF(T174&gt;0,U174/T174,0)</f>
        <v>0.0665087586936915</v>
      </c>
    </row>
    <row r="175" customFormat="false" ht="15" hidden="false" customHeight="false" outlineLevel="1" collapsed="false">
      <c r="A175" s="25" t="n">
        <v>1</v>
      </c>
      <c r="B175" s="26" t="s">
        <v>899</v>
      </c>
      <c r="C175" s="27" t="s">
        <v>312</v>
      </c>
      <c r="D175" s="26"/>
      <c r="E175" s="26"/>
      <c r="F175" s="28" t="n">
        <v>1</v>
      </c>
      <c r="G175" s="25" t="s">
        <v>264</v>
      </c>
      <c r="H175" s="29"/>
      <c r="I175" s="30"/>
      <c r="J175" s="30"/>
      <c r="K175" s="30"/>
      <c r="L175" s="30"/>
      <c r="M175" s="30" t="n">
        <f aca="false">IF(SUMIF(A176:A177,2,M176:M177)=0,"",SUMIF(A176:A177,2,M176:M177))</f>
        <v>5.15479104586487</v>
      </c>
      <c r="N175" s="30"/>
      <c r="O175" s="30" t="n">
        <f aca="false">IF(SUMIF(A176:A177,2,O176:O177)=0,"",SUMIF(A176:A177,2,O176:O177))</f>
        <v>5</v>
      </c>
      <c r="P175" s="30" t="n">
        <f aca="false">IF(SUMIF(A176:A177,2,P176:P177)=0,"",SUMIF(A176:A177,2,P176:P177))</f>
        <v>5.31898566446438</v>
      </c>
      <c r="Q175" s="29"/>
      <c r="R175" s="29"/>
      <c r="S175" s="31"/>
      <c r="T175" s="32"/>
      <c r="U175" s="33"/>
      <c r="V175" s="34"/>
    </row>
    <row r="176" customFormat="false" ht="15" hidden="false" customHeight="false" outlineLevel="2" collapsed="false">
      <c r="A176" s="35" t="n">
        <v>2</v>
      </c>
      <c r="B176" s="36" t="s">
        <v>900</v>
      </c>
      <c r="C176" s="37" t="s">
        <v>901</v>
      </c>
      <c r="D176" s="36" t="s">
        <v>45</v>
      </c>
      <c r="E176" s="36" t="str">
        <f aca="false">INDEX(REF_DATO,MATCH(D176,REF_ID,0))</f>
        <v>Polvo BC (bicarbonato de sodio)</v>
      </c>
      <c r="F176" s="38" t="n">
        <f aca="false">MODELOS!$L$10</f>
        <v>5.15</v>
      </c>
      <c r="G176" s="35" t="s">
        <v>123</v>
      </c>
      <c r="H176" s="39" t="n">
        <f aca="false">INDEX(REF_VAL,MATCH(D176,REF_ID,0))</f>
        <v>0.9</v>
      </c>
      <c r="I176" s="40" t="n">
        <f aca="false">F176*J176</f>
        <v>5.72222222222222</v>
      </c>
      <c r="J176" s="40" t="n">
        <f aca="false">1/H176</f>
        <v>1.11111111111111</v>
      </c>
      <c r="K176" s="40" t="n">
        <f aca="false">MODELOS!$M$10/R176</f>
        <v>5</v>
      </c>
      <c r="L176" s="40" t="n">
        <f aca="false">MODELOS!$N$10/Q176</f>
        <v>6.23529411764706</v>
      </c>
      <c r="M176" s="40" t="n">
        <f aca="false">F176</f>
        <v>5.15</v>
      </c>
      <c r="N176" s="40" t="n">
        <v>1</v>
      </c>
      <c r="O176" s="40" t="n">
        <f aca="false">MODELOS!$M$10</f>
        <v>5</v>
      </c>
      <c r="P176" s="40" t="n">
        <f aca="false">MODELOS!$N$10</f>
        <v>5.3</v>
      </c>
      <c r="Q176" s="39" t="n">
        <f aca="false">INDEX(REF_MIN,MATCH(D176,REF_ID,0))</f>
        <v>0.85</v>
      </c>
      <c r="R176" s="39" t="n">
        <f aca="false">INDEX(REF_MAX,MATCH(D176,REF_ID,0))</f>
        <v>1</v>
      </c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902</v>
      </c>
      <c r="C177" s="37" t="s">
        <v>316</v>
      </c>
      <c r="D177" s="36" t="s">
        <v>78</v>
      </c>
      <c r="E177" s="36" t="str">
        <f aca="false">INDEX(REF_DATO,MATCH(D177,REF_ID,0))</f>
        <v>Nitrógeno seco (densidad normal)</v>
      </c>
      <c r="F177" s="38" t="n">
        <f aca="false">MODELOS!$AF$10</f>
        <v>0.00479104586487373</v>
      </c>
      <c r="G177" s="35" t="s">
        <v>123</v>
      </c>
      <c r="H177" s="39" t="n">
        <f aca="false">INDEX(REF_VAL,MATCH(D177,REF_ID,0))</f>
        <v>0.00124921923797626</v>
      </c>
      <c r="I177" s="40" t="n">
        <f aca="false">F177*J177</f>
        <v>3.83523221483142</v>
      </c>
      <c r="J177" s="40" t="n">
        <f aca="false">1/H177</f>
        <v>800.5</v>
      </c>
      <c r="K177" s="40" t="n">
        <f aca="false">MODELOS!$AG$10/H177</f>
        <v>0</v>
      </c>
      <c r="L177" s="40" t="n">
        <f aca="false">MODELOS!$AH$10/H177</f>
        <v>15.1980244037367</v>
      </c>
      <c r="M177" s="40" t="n">
        <f aca="false">F177</f>
        <v>0.00479104586487373</v>
      </c>
      <c r="N177" s="40" t="n">
        <v>1</v>
      </c>
      <c r="O177" s="40" t="n">
        <f aca="false">MODELOS!$AG$10</f>
        <v>0</v>
      </c>
      <c r="P177" s="40" t="n">
        <f aca="false">MODELOS!$AH$10</f>
        <v>0.0189856644643807</v>
      </c>
      <c r="Q177" s="39"/>
      <c r="R177" s="39"/>
      <c r="S177" s="41"/>
      <c r="T177" s="42"/>
      <c r="U177" s="43"/>
      <c r="V177" s="44"/>
    </row>
    <row r="178" customFormat="false" ht="15" hidden="false" customHeight="false" outlineLevel="1" collapsed="false">
      <c r="A178" s="25" t="n">
        <v>1</v>
      </c>
      <c r="B178" s="26" t="s">
        <v>903</v>
      </c>
      <c r="C178" s="27" t="s">
        <v>318</v>
      </c>
      <c r="D178" s="26"/>
      <c r="E178" s="26"/>
      <c r="F178" s="28" t="n">
        <v>1</v>
      </c>
      <c r="G178" s="25" t="s">
        <v>264</v>
      </c>
      <c r="H178" s="29"/>
      <c r="I178" s="30"/>
      <c r="J178" s="30"/>
      <c r="K178" s="30"/>
      <c r="L178" s="30"/>
      <c r="M178" s="30" t="n">
        <f aca="false">IF(SUMIF(A179:A185,2,M179:M185)=0,"",SUMIF(A179:A185,2,M179:M185))</f>
        <v>0.0234638030252372</v>
      </c>
      <c r="N178" s="30"/>
      <c r="O178" s="30" t="n">
        <f aca="false">IF(SUMIF(A179:A185,2,O179:O185)=0,"",SUMIF(A179:A185,2,O179:O185))</f>
        <v>0.0226232855659535</v>
      </c>
      <c r="P178" s="30" t="n">
        <f aca="false">IF(SUMIF(A179:A185,2,P179:P185)=0,"",SUMIF(A179:A185,2,P179:P185))</f>
        <v>0.0243063821546997</v>
      </c>
      <c r="Q178" s="29"/>
      <c r="R178" s="29"/>
      <c r="S178" s="31"/>
      <c r="T178" s="32"/>
      <c r="U178" s="33"/>
      <c r="V178" s="34"/>
    </row>
    <row r="179" customFormat="false" ht="15" hidden="false" customHeight="false" outlineLevel="2" collapsed="false">
      <c r="A179" s="35" t="n">
        <v>2</v>
      </c>
      <c r="B179" s="36" t="s">
        <v>904</v>
      </c>
      <c r="C179" s="37" t="s">
        <v>320</v>
      </c>
      <c r="D179" s="36" t="s">
        <v>32</v>
      </c>
      <c r="E179" s="36" t="str">
        <f aca="false">INDEX(REF_DATO,MATCH(D179,REF_ID,0))</f>
        <v>PVC rígido, vinilo y papeles de identificación</v>
      </c>
      <c r="F179" s="38" t="n">
        <v>1</v>
      </c>
      <c r="G179" s="35" t="s">
        <v>264</v>
      </c>
      <c r="H179" s="39" t="n">
        <f aca="false">INDEX(REF_VAL,MATCH(D179,REF_ID,0))</f>
        <v>1.4</v>
      </c>
      <c r="I179" s="40" t="n">
        <f aca="false">F179*J179</f>
        <v>0.0125199691343666</v>
      </c>
      <c r="J179" s="40" t="n">
        <v>0.0125199691343666</v>
      </c>
      <c r="K179" s="40" t="n">
        <f aca="false">I179*(1-V179)</f>
        <v>0.0125199691343666</v>
      </c>
      <c r="L179" s="40" t="n">
        <f aca="false">I179*(1+V179)</f>
        <v>0.0125199691343666</v>
      </c>
      <c r="M179" s="40" t="n">
        <f aca="false">F179*N179</f>
        <v>0.0175279567881133</v>
      </c>
      <c r="N179" s="40" t="n">
        <f aca="false">J179*H179</f>
        <v>0.0175279567881133</v>
      </c>
      <c r="O179" s="40" t="n">
        <f aca="false">K179*Q179</f>
        <v>0.0169019583313949</v>
      </c>
      <c r="P179" s="40" t="n">
        <f aca="false">L179*R179</f>
        <v>0.0181539552448316</v>
      </c>
      <c r="Q179" s="39" t="n">
        <f aca="false">INDEX(REF_MIN,MATCH(D179,REF_ID,0))</f>
        <v>1.35</v>
      </c>
      <c r="R179" s="39" t="n">
        <f aca="false">INDEX(REF_MAX,MATCH(D179,REF_ID,0))</f>
        <v>1.45</v>
      </c>
      <c r="S179" s="41" t="n">
        <v>8.37264933827291</v>
      </c>
      <c r="T179" s="42" t="n">
        <f aca="false">200*J179/S179</f>
        <v>0.299068278833452</v>
      </c>
      <c r="U179" s="43" t="n">
        <f aca="false">IFERROR(INDEX(ISO_TOL,MATCH(T179,ISO_DESDE,1)),0)</f>
        <v>0</v>
      </c>
      <c r="V179" s="44" t="n">
        <f aca="false">IF(T179&gt;0,U179/T179,0)</f>
        <v>0</v>
      </c>
    </row>
    <row r="180" customFormat="false" ht="15" hidden="false" customHeight="false" outlineLevel="2" collapsed="false">
      <c r="A180" s="35" t="n">
        <v>2</v>
      </c>
      <c r="B180" s="36" t="s">
        <v>905</v>
      </c>
      <c r="C180" s="37" t="s">
        <v>322</v>
      </c>
      <c r="D180" s="36" t="s">
        <v>32</v>
      </c>
      <c r="E180" s="36" t="str">
        <f aca="false">INDEX(REF_DATO,MATCH(D180,REF_ID,0))</f>
        <v>PVC rígido, vinilo y papeles de identificación</v>
      </c>
      <c r="F180" s="38" t="n">
        <v>1</v>
      </c>
      <c r="G180" s="35" t="s">
        <v>264</v>
      </c>
      <c r="H180" s="39" t="n">
        <f aca="false">INDEX(REF_VAL,MATCH(D180,REF_ID,0))</f>
        <v>1.4</v>
      </c>
      <c r="I180" s="40" t="n">
        <f aca="false">F180*J180</f>
        <v>0.000636044705882347</v>
      </c>
      <c r="J180" s="40" t="n">
        <v>0.000636044705882347</v>
      </c>
      <c r="K180" s="40" t="n">
        <f aca="false">I180*(1-V180)</f>
        <v>0.000636044705882347</v>
      </c>
      <c r="L180" s="40" t="n">
        <f aca="false">I180*(1+V180)</f>
        <v>0.000636044705882347</v>
      </c>
      <c r="M180" s="40" t="n">
        <f aca="false">F180*N180</f>
        <v>0.000890462588235285</v>
      </c>
      <c r="N180" s="40" t="n">
        <f aca="false">J180*H180</f>
        <v>0.000890462588235285</v>
      </c>
      <c r="O180" s="40" t="n">
        <f aca="false">K180*Q180</f>
        <v>0.000858660352941168</v>
      </c>
      <c r="P180" s="40" t="n">
        <f aca="false">L180*R180</f>
        <v>0.000922264823529402</v>
      </c>
      <c r="Q180" s="39" t="n">
        <f aca="false">INDEX(REF_MIN,MATCH(D180,REF_ID,0))</f>
        <v>1.35</v>
      </c>
      <c r="R180" s="39" t="n">
        <f aca="false">INDEX(REF_MAX,MATCH(D180,REF_ID,0))</f>
        <v>1.45</v>
      </c>
      <c r="S180" s="41" t="n">
        <v>0.429555215686275</v>
      </c>
      <c r="T180" s="42" t="n">
        <f aca="false">200*J180/S180</f>
        <v>0.296141069951241</v>
      </c>
      <c r="U180" s="43" t="n">
        <f aca="false">IFERROR(INDEX(ISO_TOL,MATCH(T180,ISO_DESDE,1)),0)</f>
        <v>0</v>
      </c>
      <c r="V180" s="44" t="n">
        <f aca="false">IF(T180&gt;0,U180/T180,0)</f>
        <v>0</v>
      </c>
    </row>
    <row r="181" customFormat="false" ht="15" hidden="false" customHeight="false" outlineLevel="2" collapsed="false">
      <c r="A181" s="35" t="n">
        <v>2</v>
      </c>
      <c r="B181" s="36" t="s">
        <v>906</v>
      </c>
      <c r="C181" s="37" t="s">
        <v>324</v>
      </c>
      <c r="D181" s="36" t="s">
        <v>32</v>
      </c>
      <c r="E181" s="36" t="str">
        <f aca="false">INDEX(REF_DATO,MATCH(D181,REF_ID,0))</f>
        <v>PVC rígido, vinilo y papeles de identificación</v>
      </c>
      <c r="F181" s="38" t="n">
        <v>1</v>
      </c>
      <c r="G181" s="35" t="s">
        <v>264</v>
      </c>
      <c r="H181" s="39" t="n">
        <f aca="false">INDEX(REF_VAL,MATCH(D181,REF_ID,0))</f>
        <v>1.4</v>
      </c>
      <c r="I181" s="40" t="n">
        <f aca="false">F181*J181</f>
        <v>0.000721411764705912</v>
      </c>
      <c r="J181" s="40" t="n">
        <v>0.000721411764705912</v>
      </c>
      <c r="K181" s="40" t="n">
        <f aca="false">I181*(1-V181)</f>
        <v>0.000721411764705912</v>
      </c>
      <c r="L181" s="40" t="n">
        <f aca="false">I181*(1+V181)</f>
        <v>0.000721411764705912</v>
      </c>
      <c r="M181" s="40" t="n">
        <f aca="false">F181*N181</f>
        <v>0.00100997647058828</v>
      </c>
      <c r="N181" s="40" t="n">
        <f aca="false">J181*H181</f>
        <v>0.00100997647058828</v>
      </c>
      <c r="O181" s="40" t="n">
        <f aca="false">K181*Q181</f>
        <v>0.000973905882352981</v>
      </c>
      <c r="P181" s="40" t="n">
        <f aca="false">L181*R181</f>
        <v>0.00104604705882357</v>
      </c>
      <c r="Q181" s="39" t="n">
        <f aca="false">INDEX(REF_MIN,MATCH(D181,REF_ID,0))</f>
        <v>1.35</v>
      </c>
      <c r="R181" s="39" t="n">
        <f aca="false">INDEX(REF_MAX,MATCH(D181,REF_ID,0))</f>
        <v>1.45</v>
      </c>
      <c r="S181" s="41" t="n">
        <v>0.486948235294118</v>
      </c>
      <c r="T181" s="42" t="n">
        <f aca="false">200*J181/S181</f>
        <v>0.296299159712604</v>
      </c>
      <c r="U181" s="43" t="n">
        <f aca="false">IFERROR(INDEX(ISO_TOL,MATCH(T181,ISO_DESDE,1)),0)</f>
        <v>0</v>
      </c>
      <c r="V181" s="44" t="n">
        <f aca="false">IF(T181&gt;0,U181/T181,0)</f>
        <v>0</v>
      </c>
    </row>
    <row r="182" customFormat="false" ht="15" hidden="false" customHeight="false" outlineLevel="2" collapsed="false">
      <c r="A182" s="35" t="n">
        <v>2</v>
      </c>
      <c r="B182" s="36" t="s">
        <v>907</v>
      </c>
      <c r="C182" s="37" t="s">
        <v>384</v>
      </c>
      <c r="D182" s="36" t="s">
        <v>32</v>
      </c>
      <c r="E182" s="36" t="str">
        <f aca="false">INDEX(REF_DATO,MATCH(D182,REF_ID,0))</f>
        <v>PVC rígido, vinilo y papeles de identificación</v>
      </c>
      <c r="F182" s="38" t="n">
        <v>1</v>
      </c>
      <c r="G182" s="35" t="s">
        <v>264</v>
      </c>
      <c r="H182" s="39" t="n">
        <f aca="false">INDEX(REF_VAL,MATCH(D182,REF_ID,0))</f>
        <v>1.4</v>
      </c>
      <c r="I182" s="40" t="n">
        <f aca="false">F182*J182</f>
        <v>0.00231452941176485</v>
      </c>
      <c r="J182" s="40" t="n">
        <v>0.00231452941176485</v>
      </c>
      <c r="K182" s="40" t="n">
        <f aca="false">I182*(1-V182)</f>
        <v>0.00231452941176485</v>
      </c>
      <c r="L182" s="40" t="n">
        <f aca="false">I182*(1+V182)</f>
        <v>0.00231452941176485</v>
      </c>
      <c r="M182" s="40" t="n">
        <f aca="false">F182*N182</f>
        <v>0.00324034117647078</v>
      </c>
      <c r="N182" s="40" t="n">
        <f aca="false">J182*H182</f>
        <v>0.00324034117647078</v>
      </c>
      <c r="O182" s="40" t="n">
        <f aca="false">K182*Q182</f>
        <v>0.00312461470588254</v>
      </c>
      <c r="P182" s="40" t="n">
        <f aca="false">L182*R182</f>
        <v>0.00335606764705903</v>
      </c>
      <c r="Q182" s="39" t="n">
        <f aca="false">INDEX(REF_MIN,MATCH(D182,REF_ID,0))</f>
        <v>1.35</v>
      </c>
      <c r="R182" s="39" t="n">
        <f aca="false">INDEX(REF_MAX,MATCH(D182,REF_ID,0))</f>
        <v>1.45</v>
      </c>
      <c r="S182" s="41" t="n">
        <v>1.55473607843137</v>
      </c>
      <c r="T182" s="42" t="n">
        <f aca="false">200*J182/S182</f>
        <v>0.297739203955446</v>
      </c>
      <c r="U182" s="43" t="n">
        <f aca="false">IFERROR(INDEX(ISO_TOL,MATCH(T182,ISO_DESDE,1)),0)</f>
        <v>0</v>
      </c>
      <c r="V182" s="44" t="n">
        <f aca="false">IF(T182&gt;0,U182/T182,0)</f>
        <v>0</v>
      </c>
    </row>
    <row r="183" customFormat="false" ht="15" hidden="false" customHeight="false" outlineLevel="2" collapsed="false">
      <c r="A183" s="35" t="n">
        <v>2</v>
      </c>
      <c r="B183" s="36" t="s">
        <v>908</v>
      </c>
      <c r="C183" s="37" t="s">
        <v>326</v>
      </c>
      <c r="D183" s="36" t="s">
        <v>32</v>
      </c>
      <c r="E183" s="36" t="str">
        <f aca="false">INDEX(REF_DATO,MATCH(D183,REF_ID,0))</f>
        <v>PVC rígido, vinilo y papeles de identificación</v>
      </c>
      <c r="F183" s="38" t="n">
        <v>1</v>
      </c>
      <c r="G183" s="35" t="s">
        <v>264</v>
      </c>
      <c r="H183" s="39" t="n">
        <f aca="false">INDEX(REF_VAL,MATCH(D183,REF_ID,0))</f>
        <v>1.4</v>
      </c>
      <c r="I183" s="40" t="n">
        <f aca="false">F183*J183</f>
        <v>0.000338161764705884</v>
      </c>
      <c r="J183" s="40" t="n">
        <v>0.000338161764705884</v>
      </c>
      <c r="K183" s="40" t="n">
        <f aca="false">I183*(1-V183)</f>
        <v>0.000338161764705884</v>
      </c>
      <c r="L183" s="40" t="n">
        <f aca="false">I183*(1+V183)</f>
        <v>0.000338161764705884</v>
      </c>
      <c r="M183" s="40" t="n">
        <f aca="false">F183*N183</f>
        <v>0.000473426470588238</v>
      </c>
      <c r="N183" s="40" t="n">
        <f aca="false">J183*H183</f>
        <v>0.000473426470588238</v>
      </c>
      <c r="O183" s="40" t="n">
        <f aca="false">K183*Q183</f>
        <v>0.000456518382352944</v>
      </c>
      <c r="P183" s="40" t="n">
        <f aca="false">L183*R183</f>
        <v>0.000490334558823532</v>
      </c>
      <c r="Q183" s="39" t="n">
        <f aca="false">INDEX(REF_MIN,MATCH(D183,REF_ID,0))</f>
        <v>1.35</v>
      </c>
      <c r="R183" s="39" t="n">
        <f aca="false">INDEX(REF_MAX,MATCH(D183,REF_ID,0))</f>
        <v>1.45</v>
      </c>
      <c r="S183" s="41" t="n">
        <v>0.229646470588236</v>
      </c>
      <c r="T183" s="42" t="n">
        <f aca="false">200*J183/S183</f>
        <v>0.294506389616778</v>
      </c>
      <c r="U183" s="43" t="n">
        <f aca="false">IFERROR(INDEX(ISO_TOL,MATCH(T183,ISO_DESDE,1)),0)</f>
        <v>0</v>
      </c>
      <c r="V183" s="44" t="n">
        <f aca="false">IF(T183&gt;0,U183/T183,0)</f>
        <v>0</v>
      </c>
    </row>
    <row r="184" customFormat="false" ht="15" hidden="false" customHeight="false" outlineLevel="2" collapsed="false">
      <c r="A184" s="35" t="n">
        <v>2</v>
      </c>
      <c r="B184" s="36" t="s">
        <v>909</v>
      </c>
      <c r="C184" s="37" t="s">
        <v>328</v>
      </c>
      <c r="D184" s="36" t="s">
        <v>32</v>
      </c>
      <c r="E184" s="36" t="str">
        <f aca="false">INDEX(REF_DATO,MATCH(D184,REF_ID,0))</f>
        <v>PVC rígido, vinilo y papeles de identificación</v>
      </c>
      <c r="F184" s="38" t="n">
        <v>1</v>
      </c>
      <c r="G184" s="35" t="s">
        <v>264</v>
      </c>
      <c r="H184" s="39" t="n">
        <f aca="false">INDEX(REF_VAL,MATCH(D184,REF_ID,0))</f>
        <v>1.4</v>
      </c>
      <c r="I184" s="40" t="n">
        <f aca="false">F184*J184</f>
        <v>0.000103517817483494</v>
      </c>
      <c r="J184" s="40" t="n">
        <v>0.000103517817483494</v>
      </c>
      <c r="K184" s="40" t="n">
        <f aca="false">I184*(1-V184)</f>
        <v>0.000103517817483494</v>
      </c>
      <c r="L184" s="40" t="n">
        <f aca="false">I184*(1+V184)</f>
        <v>0.000103517817483494</v>
      </c>
      <c r="M184" s="40" t="n">
        <f aca="false">F184*N184</f>
        <v>0.000144924944476891</v>
      </c>
      <c r="N184" s="40" t="n">
        <f aca="false">J184*H184</f>
        <v>0.000144924944476891</v>
      </c>
      <c r="O184" s="40" t="n">
        <f aca="false">K184*Q184</f>
        <v>0.000139749053602717</v>
      </c>
      <c r="P184" s="40" t="n">
        <f aca="false">L184*R184</f>
        <v>0.000150100835351066</v>
      </c>
      <c r="Q184" s="39" t="n">
        <f aca="false">INDEX(REF_MIN,MATCH(D184,REF_ID,0))</f>
        <v>1.35</v>
      </c>
      <c r="R184" s="39" t="n">
        <f aca="false">INDEX(REF_MAX,MATCH(D184,REF_ID,0))</f>
        <v>1.45</v>
      </c>
      <c r="S184" s="41" t="n">
        <v>0.105338410433796</v>
      </c>
      <c r="T184" s="42" t="n">
        <f aca="false">200*J184/S184</f>
        <v>0.196543344554366</v>
      </c>
      <c r="U184" s="43" t="n">
        <f aca="false">IFERROR(INDEX(ISO_TOL,MATCH(T184,ISO_DESDE,1)),0)</f>
        <v>0</v>
      </c>
      <c r="V184" s="44" t="n">
        <f aca="false">IF(T184&gt;0,U184/T184,0)</f>
        <v>0</v>
      </c>
    </row>
    <row r="185" customFormat="false" ht="15" hidden="false" customHeight="false" outlineLevel="2" collapsed="false">
      <c r="A185" s="35" t="n">
        <v>2</v>
      </c>
      <c r="B185" s="36" t="s">
        <v>910</v>
      </c>
      <c r="C185" s="37" t="s">
        <v>330</v>
      </c>
      <c r="D185" s="36" t="s">
        <v>26</v>
      </c>
      <c r="E185" s="36" t="str">
        <f aca="false">INDEX(REF_DATO,MATCH(D185,REF_ID,0))</f>
        <v>Polipropileno</v>
      </c>
      <c r="F185" s="38" t="n">
        <v>1</v>
      </c>
      <c r="G185" s="35" t="s">
        <v>264</v>
      </c>
      <c r="H185" s="39" t="n">
        <f aca="false">INDEX(REF_VAL,MATCH(D185,REF_ID,0))</f>
        <v>0.9</v>
      </c>
      <c r="I185" s="40" t="n">
        <f aca="false">F185*J185</f>
        <v>0.000196349540849362</v>
      </c>
      <c r="J185" s="40" t="n">
        <v>0.000196349540849362</v>
      </c>
      <c r="K185" s="40" t="n">
        <f aca="false">I185*(1-V185)</f>
        <v>0.000186532063806894</v>
      </c>
      <c r="L185" s="40" t="n">
        <f aca="false">I185*(1+V185)</f>
        <v>0.00020616701789183</v>
      </c>
      <c r="M185" s="40" t="n">
        <f aca="false">F185*N185</f>
        <v>0.000176714586764426</v>
      </c>
      <c r="N185" s="40" t="n">
        <f aca="false">J185*H185</f>
        <v>0.000176714586764426</v>
      </c>
      <c r="O185" s="40" t="n">
        <f aca="false">K185*Q185</f>
        <v>0.000167878857426205</v>
      </c>
      <c r="P185" s="40" t="n">
        <f aca="false">L185*R185</f>
        <v>0.000187611986281566</v>
      </c>
      <c r="Q185" s="39" t="n">
        <f aca="false">INDEX(REF_MIN,MATCH(D185,REF_ID,0))</f>
        <v>0.9</v>
      </c>
      <c r="R185" s="39" t="n">
        <f aca="false">INDEX(REF_MAX,MATCH(D185,REF_ID,0))</f>
        <v>0.91</v>
      </c>
      <c r="S185" s="41" t="n">
        <v>0.0196349540849362</v>
      </c>
      <c r="T185" s="42" t="n">
        <f aca="false">200*J185/S185</f>
        <v>2</v>
      </c>
      <c r="U185" s="43" t="n">
        <f aca="false">IFERROR(INDEX(ISO_TOL,MATCH(T185,ISO_DESDE,1)),0)</f>
        <v>0.1</v>
      </c>
      <c r="V185" s="44" t="n">
        <f aca="false">IF(T185&gt;0,U185/T185,0)</f>
        <v>0.05</v>
      </c>
    </row>
    <row r="186" customFormat="false" ht="15" hidden="false" customHeight="false" outlineLevel="1" collapsed="false">
      <c r="A186" s="25" t="n">
        <v>1</v>
      </c>
      <c r="B186" s="26" t="s">
        <v>911</v>
      </c>
      <c r="C186" s="27" t="s">
        <v>332</v>
      </c>
      <c r="D186" s="26"/>
      <c r="E186" s="26"/>
      <c r="F186" s="28" t="n">
        <v>1</v>
      </c>
      <c r="G186" s="25" t="s">
        <v>264</v>
      </c>
      <c r="H186" s="29"/>
      <c r="I186" s="30"/>
      <c r="J186" s="30"/>
      <c r="K186" s="30"/>
      <c r="L186" s="30"/>
      <c r="M186" s="30" t="n">
        <f aca="false">IF(SUMIF(A187:A188,2,M187:M188)=0,"",SUMIF(A187:A188,2,M187:M188))</f>
        <v>0.289872105524336</v>
      </c>
      <c r="N186" s="30"/>
      <c r="O186" s="30" t="n">
        <f aca="false">IF(SUMIF(A187:A188,2,O187:O188)=0,"",SUMIF(A187:A188,2,O187:O188))</f>
        <v>0.274764000348385</v>
      </c>
      <c r="P186" s="30" t="n">
        <f aca="false">IF(SUMIF(A187:A188,2,P187:P188)=0,"",SUMIF(A187:A188,2,P187:P188))</f>
        <v>0.304980210700288</v>
      </c>
      <c r="Q186" s="29"/>
      <c r="R186" s="29"/>
      <c r="S186" s="31"/>
      <c r="T186" s="32"/>
      <c r="U186" s="33"/>
      <c r="V186" s="34"/>
    </row>
    <row r="187" customFormat="false" ht="15" hidden="false" customHeight="false" outlineLevel="2" collapsed="false">
      <c r="A187" s="35" t="n">
        <v>2</v>
      </c>
      <c r="B187" s="36" t="s">
        <v>912</v>
      </c>
      <c r="C187" s="37" t="s">
        <v>390</v>
      </c>
      <c r="D187" s="36" t="s">
        <v>10</v>
      </c>
      <c r="E187" s="36" t="str">
        <f aca="false">INDEX(REF_DATO,MATCH(D187,REF_ID,0))</f>
        <v>Acero (chapa LAC/LAF, SAE 1010/1045)</v>
      </c>
      <c r="F187" s="38" t="n">
        <v>1</v>
      </c>
      <c r="G187" s="35" t="s">
        <v>264</v>
      </c>
      <c r="H187" s="39" t="n">
        <f aca="false">INDEX(REF_VAL,MATCH(D187,REF_ID,0))</f>
        <v>7.85</v>
      </c>
      <c r="I187" s="40" t="n">
        <f aca="false">F187*J187</f>
        <v>0.0369263828693422</v>
      </c>
      <c r="J187" s="40" t="n">
        <v>0.0369263828693422</v>
      </c>
      <c r="K187" s="40" t="n">
        <f aca="false">I187*(1-V187)</f>
        <v>0.0350017834838707</v>
      </c>
      <c r="L187" s="40" t="n">
        <f aca="false">I187*(1+V187)</f>
        <v>0.0388509822548137</v>
      </c>
      <c r="M187" s="40" t="n">
        <f aca="false">F187*N187</f>
        <v>0.289872105524336</v>
      </c>
      <c r="N187" s="40" t="n">
        <f aca="false">J187*H187</f>
        <v>0.289872105524336</v>
      </c>
      <c r="O187" s="40" t="n">
        <f aca="false">K187*Q187</f>
        <v>0.274764000348385</v>
      </c>
      <c r="P187" s="40" t="n">
        <f aca="false">L187*R187</f>
        <v>0.304980210700288</v>
      </c>
      <c r="Q187" s="39" t="n">
        <f aca="false">INDEX(REF_MIN,MATCH(D187,REF_ID,0))</f>
        <v>7.85</v>
      </c>
      <c r="R187" s="39" t="n">
        <f aca="false">INDEX(REF_MAX,MATCH(D187,REF_ID,0))</f>
        <v>7.85</v>
      </c>
      <c r="S187" s="41" t="n">
        <v>3.849198770943</v>
      </c>
      <c r="T187" s="42" t="n">
        <f aca="false">200*J187/S187</f>
        <v>1.91865294918484</v>
      </c>
      <c r="U187" s="43" t="n">
        <f aca="false">IFERROR(INDEX(ISO_TOL,MATCH(T187,ISO_DESDE,1)),0)</f>
        <v>0.1</v>
      </c>
      <c r="V187" s="44" t="n">
        <f aca="false">IF(T187&gt;0,U187/T187,0)</f>
        <v>0.0521199000801505</v>
      </c>
    </row>
    <row r="188" customFormat="false" ht="15" hidden="false" customHeight="false" outlineLevel="2" collapsed="false">
      <c r="A188" s="35" t="n">
        <v>2</v>
      </c>
      <c r="B188" s="36" t="s">
        <v>913</v>
      </c>
      <c r="C188" s="37" t="s">
        <v>392</v>
      </c>
      <c r="D188" s="36"/>
      <c r="E188" s="36"/>
      <c r="F188" s="38" t="n">
        <v>2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1" collapsed="false">
      <c r="A189" s="25" t="n">
        <v>1</v>
      </c>
      <c r="B189" s="26" t="s">
        <v>914</v>
      </c>
      <c r="C189" s="27" t="s">
        <v>336</v>
      </c>
      <c r="D189" s="26"/>
      <c r="E189" s="26"/>
      <c r="F189" s="28" t="n">
        <v>1</v>
      </c>
      <c r="G189" s="25" t="s">
        <v>264</v>
      </c>
      <c r="H189" s="29"/>
      <c r="I189" s="30"/>
      <c r="J189" s="30"/>
      <c r="K189" s="30"/>
      <c r="L189" s="30"/>
      <c r="M189" s="30" t="str">
        <f aca="false">IF(SUMIF(A190:A193,2,M190:M193)=0,"",SUMIF(A190:A193,2,M190:M193))</f>
        <v/>
      </c>
      <c r="N189" s="30"/>
      <c r="O189" s="30" t="str">
        <f aca="false">IF(SUMIF(A190:A193,2,O190:O193)=0,"",SUMIF(A190:A193,2,O190:O193))</f>
        <v/>
      </c>
      <c r="P189" s="30" t="str">
        <f aca="false">IF(SUMIF(A190:A193,2,P190:P193)=0,"",SUMIF(A190:A193,2,P190:P193))</f>
        <v/>
      </c>
      <c r="Q189" s="29"/>
      <c r="R189" s="29"/>
      <c r="S189" s="31"/>
      <c r="T189" s="32"/>
      <c r="U189" s="33"/>
      <c r="V189" s="34"/>
    </row>
    <row r="190" customFormat="false" ht="15" hidden="false" customHeight="false" outlineLevel="2" collapsed="false">
      <c r="A190" s="35" t="n">
        <v>2</v>
      </c>
      <c r="B190" s="36" t="s">
        <v>915</v>
      </c>
      <c r="C190" s="37" t="s">
        <v>338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916</v>
      </c>
      <c r="C191" s="37" t="s">
        <v>340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917</v>
      </c>
      <c r="C192" s="37" t="s">
        <v>342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918</v>
      </c>
      <c r="C193" s="37" t="s">
        <v>344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0" collapsed="false">
      <c r="A194" s="16" t="n">
        <v>0</v>
      </c>
      <c r="B194" s="17" t="s">
        <v>222</v>
      </c>
      <c r="C194" s="17" t="s">
        <v>223</v>
      </c>
      <c r="D194" s="17"/>
      <c r="E194" s="17"/>
      <c r="F194" s="18" t="n">
        <v>1</v>
      </c>
      <c r="G194" s="16" t="s">
        <v>264</v>
      </c>
      <c r="H194" s="19"/>
      <c r="I194" s="20"/>
      <c r="J194" s="20"/>
      <c r="K194" s="20"/>
      <c r="L194" s="20"/>
      <c r="M194" s="20" t="n">
        <f aca="false">IF(SUMIF(A195:A239,1,M195:M239)=0,"",SUMIF(A195:A239,1,M195:M239))</f>
        <v>10.8339751710794</v>
      </c>
      <c r="N194" s="20"/>
      <c r="O194" s="20" t="n">
        <f aca="false">IF(SUMIF(A195:A239,1,O195:O239)=0,"",SUMIF(A195:A239,1,O195:O239))</f>
        <v>10.4409021947696</v>
      </c>
      <c r="P194" s="20" t="n">
        <f aca="false">IF(SUMIF(A195:A239,1,P195:P239)=0,"",SUMIF(A195:A239,1,P195:P239))</f>
        <v>11.2278166591557</v>
      </c>
      <c r="Q194" s="19"/>
      <c r="R194" s="19"/>
      <c r="S194" s="21"/>
      <c r="T194" s="22"/>
      <c r="U194" s="23"/>
      <c r="V194" s="24"/>
    </row>
    <row r="195" customFormat="false" ht="15" hidden="false" customHeight="false" outlineLevel="1" collapsed="false">
      <c r="A195" s="25" t="n">
        <v>1</v>
      </c>
      <c r="B195" s="26" t="s">
        <v>919</v>
      </c>
      <c r="C195" s="27" t="s">
        <v>266</v>
      </c>
      <c r="D195" s="26"/>
      <c r="E195" s="26"/>
      <c r="F195" s="28" t="n">
        <v>1</v>
      </c>
      <c r="G195" s="25" t="s">
        <v>264</v>
      </c>
      <c r="H195" s="29"/>
      <c r="I195" s="30"/>
      <c r="J195" s="30"/>
      <c r="K195" s="30"/>
      <c r="L195" s="30"/>
      <c r="M195" s="30" t="n">
        <f aca="false">IF(SUMIF(A196:A199,2,M196:M199)=0,"",SUMIF(A196:A199,2,M196:M199))</f>
        <v>1.6891886088123</v>
      </c>
      <c r="N195" s="30"/>
      <c r="O195" s="30" t="n">
        <f aca="false">IF(SUMIF(A196:A199,2,O196:O199)=0,"",SUMIF(A196:A199,2,O196:O199))</f>
        <v>1.48323170578086</v>
      </c>
      <c r="P195" s="30" t="n">
        <f aca="false">IF(SUMIF(A196:A199,2,P196:P199)=0,"",SUMIF(A196:A199,2,P196:P199))</f>
        <v>1.89514551184374</v>
      </c>
      <c r="Q195" s="29"/>
      <c r="R195" s="29"/>
      <c r="S195" s="31"/>
      <c r="T195" s="32"/>
      <c r="U195" s="33"/>
      <c r="V195" s="34"/>
    </row>
    <row r="196" customFormat="false" ht="15" hidden="false" customHeight="false" outlineLevel="2" collapsed="false">
      <c r="A196" s="35" t="n">
        <v>2</v>
      </c>
      <c r="B196" s="36" t="s">
        <v>920</v>
      </c>
      <c r="C196" s="37" t="s">
        <v>268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0.14357028161423</v>
      </c>
      <c r="J196" s="40" t="n">
        <v>0.14357028161423</v>
      </c>
      <c r="K196" s="40" t="n">
        <f aca="false">I196*(1-V196)</f>
        <v>0.125572882259025</v>
      </c>
      <c r="L196" s="40" t="n">
        <f aca="false">I196*(1+V196)</f>
        <v>0.161567680969434</v>
      </c>
      <c r="M196" s="40" t="n">
        <f aca="false">F196*N196</f>
        <v>1.13851233320084</v>
      </c>
      <c r="N196" s="40" t="n">
        <f aca="false">J196*H196</f>
        <v>1.13851233320084</v>
      </c>
      <c r="O196" s="40" t="n">
        <f aca="false">K196*Q196</f>
        <v>0.995792956314072</v>
      </c>
      <c r="P196" s="40" t="n">
        <f aca="false">L196*R196</f>
        <v>1.28123171008761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35.9947987104081</v>
      </c>
      <c r="T196" s="42" t="n">
        <f aca="false">200*J196/S196</f>
        <v>0.79772793157871</v>
      </c>
      <c r="U196" s="43" t="n">
        <f aca="false">IFERROR(INDEX(ISO_TOL,MATCH(T196,ISO_DESDE,1)),0)</f>
        <v>0.1</v>
      </c>
      <c r="V196" s="44" t="n">
        <f aca="false">IF(T196&gt;0,U196/T196,0)</f>
        <v>0.125356021823254</v>
      </c>
    </row>
    <row r="197" customFormat="false" ht="15" hidden="false" customHeight="false" outlineLevel="2" collapsed="false">
      <c r="A197" s="35" t="n">
        <v>2</v>
      </c>
      <c r="B197" s="36" t="s">
        <v>921</v>
      </c>
      <c r="C197" s="37" t="s">
        <v>270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0.033653616976422</v>
      </c>
      <c r="J197" s="40" t="n">
        <v>0.033653616976422</v>
      </c>
      <c r="K197" s="40" t="n">
        <f aca="false">I197*(1-V197)</f>
        <v>0.0292703439560347</v>
      </c>
      <c r="L197" s="40" t="n">
        <f aca="false">I197*(1+V197)</f>
        <v>0.0380368899968094</v>
      </c>
      <c r="M197" s="40" t="n">
        <f aca="false">F197*N197</f>
        <v>0.266873182623027</v>
      </c>
      <c r="N197" s="40" t="n">
        <f aca="false">J197*H197</f>
        <v>0.266873182623027</v>
      </c>
      <c r="O197" s="40" t="n">
        <f aca="false">K197*Q197</f>
        <v>0.232113827571355</v>
      </c>
      <c r="P197" s="40" t="n">
        <f aca="false">L197*R197</f>
        <v>0.301632537674698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8.76654604077466</v>
      </c>
      <c r="T197" s="42" t="n">
        <f aca="false">200*J197/S197</f>
        <v>0.767773689201961</v>
      </c>
      <c r="U197" s="43" t="n">
        <f aca="false">IFERROR(INDEX(ISO_TOL,MATCH(T197,ISO_DESDE,1)),0)</f>
        <v>0.1</v>
      </c>
      <c r="V197" s="44" t="n">
        <f aca="false">IF(T197&gt;0,U197/T197,0)</f>
        <v>0.130246713851242</v>
      </c>
    </row>
    <row r="198" customFormat="false" ht="15" hidden="false" customHeight="false" outlineLevel="2" collapsed="false">
      <c r="A198" s="35" t="n">
        <v>2</v>
      </c>
      <c r="B198" s="36" t="s">
        <v>922</v>
      </c>
      <c r="C198" s="37" t="s">
        <v>272</v>
      </c>
      <c r="D198" s="36" t="s">
        <v>14</v>
      </c>
      <c r="E198" s="36" t="str">
        <f aca="false">INDEX(REF_DATO,MATCH(D198,REF_ID,0))</f>
        <v>Acero inoxidable AISI 302 / 304</v>
      </c>
      <c r="F198" s="38" t="n">
        <v>1</v>
      </c>
      <c r="G198" s="35" t="s">
        <v>264</v>
      </c>
      <c r="H198" s="39" t="n">
        <f aca="false">INDEX(REF_VAL,MATCH(D198,REF_ID,0))</f>
        <v>7.93</v>
      </c>
      <c r="I198" s="40" t="n">
        <f aca="false">F198*J198</f>
        <v>0.0289970511022257</v>
      </c>
      <c r="J198" s="40" t="n">
        <v>0.0289970511022257</v>
      </c>
      <c r="K198" s="40" t="n">
        <f aca="false">I198*(1-V198)</f>
        <v>0.02561224422016</v>
      </c>
      <c r="L198" s="40" t="n">
        <f aca="false">I198*(1+V198)</f>
        <v>0.0323818579842914</v>
      </c>
      <c r="M198" s="40" t="n">
        <f aca="false">F198*N198</f>
        <v>0.22994661524065</v>
      </c>
      <c r="N198" s="40" t="n">
        <f aca="false">J198*H198</f>
        <v>0.22994661524065</v>
      </c>
      <c r="O198" s="40" t="n">
        <f aca="false">K198*Q198</f>
        <v>0.203105096665868</v>
      </c>
      <c r="P198" s="40" t="n">
        <f aca="false">L198*R198</f>
        <v>0.256788133815431</v>
      </c>
      <c r="Q198" s="39" t="n">
        <f aca="false">INDEX(REF_MIN,MATCH(D198,REF_ID,0))</f>
        <v>7.93</v>
      </c>
      <c r="R198" s="39" t="n">
        <f aca="false">INDEX(REF_MAX,MATCH(D198,REF_ID,0))</f>
        <v>7.93</v>
      </c>
      <c r="S198" s="41" t="n">
        <v>6.76961376413148</v>
      </c>
      <c r="T198" s="42" t="n">
        <f aca="false">200*J198/S198</f>
        <v>0.856682585227104</v>
      </c>
      <c r="U198" s="43" t="n">
        <f aca="false">IFERROR(INDEX(ISO_TOL,MATCH(T198,ISO_DESDE,1)),0)</f>
        <v>0.1</v>
      </c>
      <c r="V198" s="44" t="n">
        <f aca="false">IF(T198&gt;0,U198/T198,0)</f>
        <v>0.11672934844764</v>
      </c>
    </row>
    <row r="199" customFormat="false" ht="15" hidden="false" customHeight="false" outlineLevel="2" collapsed="false">
      <c r="A199" s="35" t="n">
        <v>2</v>
      </c>
      <c r="B199" s="36" t="s">
        <v>923</v>
      </c>
      <c r="C199" s="37" t="s">
        <v>274</v>
      </c>
      <c r="D199" s="36" t="s">
        <v>14</v>
      </c>
      <c r="E199" s="36" t="str">
        <f aca="false">INDEX(REF_DATO,MATCH(D199,REF_ID,0))</f>
        <v>Acero inoxidable AISI 302 / 304</v>
      </c>
      <c r="F199" s="38" t="n">
        <v>1</v>
      </c>
      <c r="G199" s="35" t="s">
        <v>264</v>
      </c>
      <c r="H199" s="39" t="n">
        <f aca="false">INDEX(REF_VAL,MATCH(D199,REF_ID,0))</f>
        <v>7.93</v>
      </c>
      <c r="I199" s="40" t="n">
        <f aca="false">F199*J199</f>
        <v>0.0067914852140965</v>
      </c>
      <c r="J199" s="40" t="n">
        <v>0.0067914852140965</v>
      </c>
      <c r="K199" s="40" t="n">
        <f aca="false">I199*(1-V199)</f>
        <v>0.00658509775908792</v>
      </c>
      <c r="L199" s="40" t="n">
        <f aca="false">I199*(1+V199)</f>
        <v>0.00699787266910508</v>
      </c>
      <c r="M199" s="40" t="n">
        <f aca="false">F199*N199</f>
        <v>0.0538564777477852</v>
      </c>
      <c r="N199" s="40" t="n">
        <f aca="false">J199*H199</f>
        <v>0.0538564777477852</v>
      </c>
      <c r="O199" s="40" t="n">
        <f aca="false">K199*Q199</f>
        <v>0.0522198252295672</v>
      </c>
      <c r="P199" s="40" t="n">
        <f aca="false">L199*R199</f>
        <v>0.0554931302660033</v>
      </c>
      <c r="Q199" s="39" t="n">
        <f aca="false">INDEX(REF_MIN,MATCH(D199,REF_ID,0))</f>
        <v>7.93</v>
      </c>
      <c r="R199" s="39" t="n">
        <f aca="false">INDEX(REF_MAX,MATCH(D199,REF_ID,0))</f>
        <v>7.93</v>
      </c>
      <c r="S199" s="41" t="n">
        <v>0.412774910017161</v>
      </c>
      <c r="T199" s="42" t="n">
        <f aca="false">200*J199/S199</f>
        <v>3.29064826823614</v>
      </c>
      <c r="U199" s="43" t="n">
        <f aca="false">IFERROR(INDEX(ISO_TOL,MATCH(T199,ISO_DESDE,1)),0)</f>
        <v>0.1</v>
      </c>
      <c r="V199" s="44" t="n">
        <f aca="false">IF(T199&gt;0,U199/T199,0)</f>
        <v>0.0303891488389314</v>
      </c>
    </row>
    <row r="200" customFormat="false" ht="15" hidden="false" customHeight="false" outlineLevel="1" collapsed="false">
      <c r="A200" s="25" t="n">
        <v>1</v>
      </c>
      <c r="B200" s="26" t="s">
        <v>924</v>
      </c>
      <c r="C200" s="27" t="s">
        <v>276</v>
      </c>
      <c r="D200" s="26"/>
      <c r="E200" s="26"/>
      <c r="F200" s="28" t="n">
        <v>1</v>
      </c>
      <c r="G200" s="25" t="s">
        <v>264</v>
      </c>
      <c r="H200" s="29"/>
      <c r="I200" s="30"/>
      <c r="J200" s="30"/>
      <c r="K200" s="30"/>
      <c r="L200" s="30"/>
      <c r="M200" s="30" t="n">
        <f aca="false">IF(SUMIF(A201:A215,2,M201:M215)=0,"",SUMIF(A201:A215,2,M201:M215))</f>
        <v>0.392212802483116</v>
      </c>
      <c r="N200" s="30"/>
      <c r="O200" s="30" t="n">
        <f aca="false">IF(SUMIF(A201:A215,2,O201:O215)=0,"",SUMIF(A201:A215,2,O201:O215))</f>
        <v>0.366562992269548</v>
      </c>
      <c r="P200" s="30" t="n">
        <f aca="false">IF(SUMIF(A201:A215,2,P201:P215)=0,"",SUMIF(A201:A215,2,P201:P215))</f>
        <v>0.418272138361851</v>
      </c>
      <c r="Q200" s="29"/>
      <c r="R200" s="29"/>
      <c r="S200" s="31"/>
      <c r="T200" s="32"/>
      <c r="U200" s="33"/>
      <c r="V200" s="34"/>
    </row>
    <row r="201" customFormat="false" ht="15" hidden="false" customHeight="false" outlineLevel="2" collapsed="false">
      <c r="A201" s="35" t="n">
        <v>2</v>
      </c>
      <c r="B201" s="36" t="s">
        <v>925</v>
      </c>
      <c r="C201" s="37" t="s">
        <v>284</v>
      </c>
      <c r="D201" s="36" t="s">
        <v>17</v>
      </c>
      <c r="E201" s="36" t="str">
        <f aca="false">INDEX(REF_DATO,MATCH(D201,REF_ID,0))</f>
        <v>Latón de forja (CuZn39Pb2 / C37700)</v>
      </c>
      <c r="F201" s="38" t="n">
        <v>1</v>
      </c>
      <c r="G201" s="35" t="s">
        <v>264</v>
      </c>
      <c r="H201" s="39" t="n">
        <f aca="false">INDEX(REF_VAL,MATCH(D201,REF_ID,0))</f>
        <v>8.45</v>
      </c>
      <c r="I201" s="40" t="n">
        <f aca="false">F201*J201</f>
        <v>0.00289757599381457</v>
      </c>
      <c r="J201" s="40" t="n">
        <v>0.00289757599381457</v>
      </c>
      <c r="K201" s="40" t="n">
        <f aca="false">I201*(1-V201)</f>
        <v>0.0027805356277529</v>
      </c>
      <c r="L201" s="40" t="n">
        <f aca="false">I201*(1+V201)</f>
        <v>0.00301461635987624</v>
      </c>
      <c r="M201" s="40" t="n">
        <f aca="false">F201*N201</f>
        <v>0.0244845171477331</v>
      </c>
      <c r="N201" s="40" t="n">
        <f aca="false">J201*H201</f>
        <v>0.0244845171477331</v>
      </c>
      <c r="O201" s="40" t="n">
        <f aca="false">K201*Q201</f>
        <v>0.0233564992731243</v>
      </c>
      <c r="P201" s="40" t="n">
        <f aca="false">L201*R201</f>
        <v>0.0256242390589481</v>
      </c>
      <c r="Q201" s="39" t="n">
        <f aca="false">INDEX(REF_MIN,MATCH(D201,REF_ID,0))</f>
        <v>8.4</v>
      </c>
      <c r="R201" s="39" t="n">
        <f aca="false">INDEX(REF_MAX,MATCH(D201,REF_ID,0))</f>
        <v>8.5</v>
      </c>
      <c r="S201" s="41" t="n">
        <v>0.234080732123344</v>
      </c>
      <c r="T201" s="42" t="n">
        <f aca="false">200*J201/S201</f>
        <v>2.47570653725378</v>
      </c>
      <c r="U201" s="43" t="n">
        <f aca="false">IFERROR(INDEX(ISO_TOL,MATCH(T201,ISO_DESDE,1)),0)</f>
        <v>0.1</v>
      </c>
      <c r="V201" s="44" t="n">
        <f aca="false">IF(T201&gt;0,U201/T201,0)</f>
        <v>0.0403925095705918</v>
      </c>
    </row>
    <row r="202" customFormat="false" ht="15" hidden="false" customHeight="false" outlineLevel="2" collapsed="false">
      <c r="A202" s="35" t="n">
        <v>2</v>
      </c>
      <c r="B202" s="36" t="s">
        <v>926</v>
      </c>
      <c r="C202" s="37" t="s">
        <v>286</v>
      </c>
      <c r="D202" s="36" t="s">
        <v>17</v>
      </c>
      <c r="E202" s="36" t="str">
        <f aca="false">INDEX(REF_DATO,MATCH(D202,REF_ID,0))</f>
        <v>Latón de forja (CuZn39Pb2 / C37700)</v>
      </c>
      <c r="F202" s="38" t="n">
        <v>1</v>
      </c>
      <c r="G202" s="35" t="s">
        <v>264</v>
      </c>
      <c r="H202" s="39" t="n">
        <f aca="false">INDEX(REF_VAL,MATCH(D202,REF_ID,0))</f>
        <v>8.45</v>
      </c>
      <c r="I202" s="40" t="n">
        <f aca="false">F202*J202</f>
        <v>0.000622782069311974</v>
      </c>
      <c r="J202" s="40" t="n">
        <v>0.000622782069311974</v>
      </c>
      <c r="K202" s="40" t="n">
        <f aca="false">I202*(1-V202)</f>
        <v>0.000575019978783558</v>
      </c>
      <c r="L202" s="40" t="n">
        <f aca="false">I202*(1+V202)</f>
        <v>0.00067054415984039</v>
      </c>
      <c r="M202" s="40" t="n">
        <f aca="false">F202*N202</f>
        <v>0.00526250848568618</v>
      </c>
      <c r="N202" s="40" t="n">
        <f aca="false">J202*H202</f>
        <v>0.00526250848568618</v>
      </c>
      <c r="O202" s="40" t="n">
        <f aca="false">K202*Q202</f>
        <v>0.00483016782178189</v>
      </c>
      <c r="P202" s="40" t="n">
        <f aca="false">L202*R202</f>
        <v>0.00569962535864331</v>
      </c>
      <c r="Q202" s="39" t="n">
        <f aca="false">INDEX(REF_MIN,MATCH(D202,REF_ID,0))</f>
        <v>8.4</v>
      </c>
      <c r="R202" s="39" t="n">
        <f aca="false">INDEX(REF_MAX,MATCH(D202,REF_ID,0))</f>
        <v>8.5</v>
      </c>
      <c r="S202" s="41" t="n">
        <v>0.095524181056832</v>
      </c>
      <c r="T202" s="42" t="n">
        <f aca="false">200*J202/S202</f>
        <v>1.3039254823686</v>
      </c>
      <c r="U202" s="43" t="n">
        <f aca="false">IFERROR(INDEX(ISO_TOL,MATCH(T202,ISO_DESDE,1)),0)</f>
        <v>0.1</v>
      </c>
      <c r="V202" s="44" t="n">
        <f aca="false">IF(T202&gt;0,U202/T202,0)</f>
        <v>0.0766914991325645</v>
      </c>
    </row>
    <row r="203" customFormat="false" ht="15" hidden="false" customHeight="false" outlineLevel="2" collapsed="false">
      <c r="A203" s="35" t="n">
        <v>2</v>
      </c>
      <c r="B203" s="36" t="s">
        <v>927</v>
      </c>
      <c r="C203" s="37" t="s">
        <v>288</v>
      </c>
      <c r="D203" s="36" t="s">
        <v>17</v>
      </c>
      <c r="E203" s="36" t="str">
        <f aca="false">INDEX(REF_DATO,MATCH(D203,REF_ID,0))</f>
        <v>Latón de forja (CuZn39Pb2 / C37700)</v>
      </c>
      <c r="F203" s="38" t="n">
        <v>1</v>
      </c>
      <c r="G203" s="35" t="s">
        <v>264</v>
      </c>
      <c r="H203" s="39" t="n">
        <f aca="false">INDEX(REF_VAL,MATCH(D203,REF_ID,0))</f>
        <v>8.45</v>
      </c>
      <c r="I203" s="40" t="n">
        <f aca="false">F203*J203</f>
        <v>0.015721177845052</v>
      </c>
      <c r="J203" s="40" t="n">
        <v>0.015721177845052</v>
      </c>
      <c r="K203" s="40" t="n">
        <f aca="false">I203*(1-V203)</f>
        <v>0.0154591130500673</v>
      </c>
      <c r="L203" s="40" t="n">
        <f aca="false">I203*(1+V203)</f>
        <v>0.0159832426400367</v>
      </c>
      <c r="M203" s="40" t="n">
        <f aca="false">F203*N203</f>
        <v>0.132843952790689</v>
      </c>
      <c r="N203" s="40" t="n">
        <f aca="false">J203*H203</f>
        <v>0.132843952790689</v>
      </c>
      <c r="O203" s="40" t="n">
        <f aca="false">K203*Q203</f>
        <v>0.129856549620565</v>
      </c>
      <c r="P203" s="40" t="n">
        <f aca="false">L203*R203</f>
        <v>0.135857562440312</v>
      </c>
      <c r="Q203" s="39" t="n">
        <f aca="false">INDEX(REF_MIN,MATCH(D203,REF_ID,0))</f>
        <v>8.4</v>
      </c>
      <c r="R203" s="39" t="n">
        <f aca="false">INDEX(REF_MAX,MATCH(D203,REF_ID,0))</f>
        <v>8.5</v>
      </c>
      <c r="S203" s="41" t="n">
        <v>0.524129589969398</v>
      </c>
      <c r="T203" s="42" t="n">
        <f aca="false">200*J203/S203</f>
        <v>5.99896596029615</v>
      </c>
      <c r="U203" s="43" t="n">
        <f aca="false">IFERROR(INDEX(ISO_TOL,MATCH(T203,ISO_DESDE,1)),0)</f>
        <v>0.1</v>
      </c>
      <c r="V203" s="44" t="n">
        <f aca="false">IF(T203&gt;0,U203/T203,0)</f>
        <v>0.0166695394942803</v>
      </c>
    </row>
    <row r="204" customFormat="false" ht="15" hidden="false" customHeight="false" outlineLevel="2" collapsed="false">
      <c r="A204" s="35" t="n">
        <v>2</v>
      </c>
      <c r="B204" s="36" t="s">
        <v>928</v>
      </c>
      <c r="C204" s="37" t="s">
        <v>278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929</v>
      </c>
      <c r="C205" s="37" t="s">
        <v>290</v>
      </c>
      <c r="D205" s="36" t="s">
        <v>17</v>
      </c>
      <c r="E205" s="36" t="str">
        <f aca="false">INDEX(REF_DATO,MATCH(D205,REF_ID,0))</f>
        <v>Latón de forja (CuZn39Pb2 / C37700)</v>
      </c>
      <c r="F205" s="38" t="n">
        <v>1</v>
      </c>
      <c r="G205" s="35" t="s">
        <v>264</v>
      </c>
      <c r="H205" s="39" t="n">
        <f aca="false">INDEX(REF_VAL,MATCH(D205,REF_ID,0))</f>
        <v>8.45</v>
      </c>
      <c r="I205" s="40" t="n">
        <f aca="false">F205*J205</f>
        <v>0.00162231844631377</v>
      </c>
      <c r="J205" s="40" t="n">
        <v>0.00162231844631377</v>
      </c>
      <c r="K205" s="40" t="n">
        <f aca="false">I205*(1-V205)</f>
        <v>0.0015672149111698</v>
      </c>
      <c r="L205" s="40" t="n">
        <f aca="false">I205*(1+V205)</f>
        <v>0.00167742198145773</v>
      </c>
      <c r="M205" s="40" t="n">
        <f aca="false">F205*N205</f>
        <v>0.0137085908713513</v>
      </c>
      <c r="N205" s="40" t="n">
        <f aca="false">J205*H205</f>
        <v>0.0137085908713513</v>
      </c>
      <c r="O205" s="40" t="n">
        <f aca="false">K205*Q205</f>
        <v>0.0131646052538263</v>
      </c>
      <c r="P205" s="40" t="n">
        <f aca="false">L205*R205</f>
        <v>0.0142580868423907</v>
      </c>
      <c r="Q205" s="39" t="n">
        <f aca="false">INDEX(REF_MIN,MATCH(D205,REF_ID,0))</f>
        <v>8.4</v>
      </c>
      <c r="R205" s="39" t="n">
        <f aca="false">INDEX(REF_MAX,MATCH(D205,REF_ID,0))</f>
        <v>8.5</v>
      </c>
      <c r="S205" s="41" t="n">
        <v>0.11020707028793</v>
      </c>
      <c r="T205" s="42" t="n">
        <f aca="false">200*J205/S205</f>
        <v>2.94412770809578</v>
      </c>
      <c r="U205" s="43" t="n">
        <f aca="false">IFERROR(INDEX(ISO_TOL,MATCH(T205,ISO_DESDE,1)),0)</f>
        <v>0.1</v>
      </c>
      <c r="V205" s="44" t="n">
        <f aca="false">IF(T205&gt;0,U205/T205,0)</f>
        <v>0.0339659178931061</v>
      </c>
    </row>
    <row r="206" customFormat="false" ht="15" hidden="false" customHeight="false" outlineLevel="2" collapsed="false">
      <c r="A206" s="35" t="n">
        <v>2</v>
      </c>
      <c r="B206" s="36" t="s">
        <v>930</v>
      </c>
      <c r="C206" s="37" t="s">
        <v>292</v>
      </c>
      <c r="D206" s="36" t="s">
        <v>14</v>
      </c>
      <c r="E206" s="36" t="str">
        <f aca="false">INDEX(REF_DATO,MATCH(D206,REF_ID,0))</f>
        <v>Acero inoxidable AISI 302 / 304</v>
      </c>
      <c r="F206" s="38" t="n">
        <v>1</v>
      </c>
      <c r="G206" s="35" t="s">
        <v>264</v>
      </c>
      <c r="H206" s="39" t="n">
        <f aca="false">INDEX(REF_VAL,MATCH(D206,REF_ID,0))</f>
        <v>7.93</v>
      </c>
      <c r="I206" s="40" t="n">
        <f aca="false">F206*J206</f>
        <v>0.000611811346278937</v>
      </c>
      <c r="J206" s="40" t="n">
        <v>0.000611811346278937</v>
      </c>
      <c r="K206" s="40" t="n">
        <f aca="false">I206*(1-V206)</f>
        <v>0.000611811346278937</v>
      </c>
      <c r="L206" s="40" t="n">
        <f aca="false">I206*(1+V206)</f>
        <v>0.000611811346278937</v>
      </c>
      <c r="M206" s="40" t="n">
        <f aca="false">F206*N206</f>
        <v>0.00485166397599197</v>
      </c>
      <c r="N206" s="40" t="n">
        <f aca="false">J206*H206</f>
        <v>0.00485166397599197</v>
      </c>
      <c r="O206" s="40" t="n">
        <f aca="false">K206*Q206</f>
        <v>0.00485166397599197</v>
      </c>
      <c r="P206" s="40" t="n">
        <f aca="false">L206*R206</f>
        <v>0.00485166397599197</v>
      </c>
      <c r="Q206" s="39" t="n">
        <f aca="false">INDEX(REF_MIN,MATCH(D206,REF_ID,0))</f>
        <v>7.93</v>
      </c>
      <c r="R206" s="39" t="n">
        <f aca="false">INDEX(REF_MAX,MATCH(D206,REF_ID,0))</f>
        <v>7.93</v>
      </c>
      <c r="S206" s="41" t="n">
        <v>0.606955700673548</v>
      </c>
      <c r="T206" s="42" t="n">
        <f aca="false">200*J206/S206</f>
        <v>0.2016</v>
      </c>
      <c r="U206" s="43" t="n">
        <f aca="false">IFERROR(INDEX(ISO_TOL,MATCH(T206,ISO_DESDE,1)),0)</f>
        <v>0</v>
      </c>
      <c r="V206" s="44" t="n">
        <f aca="false">IF(T206&gt;0,U206/T206,0)</f>
        <v>0</v>
      </c>
    </row>
    <row r="207" customFormat="false" ht="15" hidden="false" customHeight="false" outlineLevel="2" collapsed="false">
      <c r="A207" s="35" t="n">
        <v>2</v>
      </c>
      <c r="B207" s="36" t="s">
        <v>931</v>
      </c>
      <c r="C207" s="37" t="s">
        <v>294</v>
      </c>
      <c r="D207" s="36" t="s">
        <v>14</v>
      </c>
      <c r="E207" s="36" t="str">
        <f aca="false">INDEX(REF_DATO,MATCH(D207,REF_ID,0))</f>
        <v>Acero inoxidable AISI 302 / 304</v>
      </c>
      <c r="F207" s="38" t="n">
        <v>1</v>
      </c>
      <c r="G207" s="35" t="s">
        <v>264</v>
      </c>
      <c r="H207" s="39" t="n">
        <f aca="false">INDEX(REF_VAL,MATCH(D207,REF_ID,0))</f>
        <v>7.93</v>
      </c>
      <c r="I207" s="40" t="n">
        <f aca="false">F207*J207</f>
        <v>0.000414690230273853</v>
      </c>
      <c r="J207" s="40" t="n">
        <v>0.000414690230273853</v>
      </c>
      <c r="K207" s="40" t="n">
        <f aca="false">I207*(1-V207)</f>
        <v>0.000392699081698725</v>
      </c>
      <c r="L207" s="40" t="n">
        <f aca="false">I207*(1+V207)</f>
        <v>0.000436681378848982</v>
      </c>
      <c r="M207" s="40" t="n">
        <f aca="false">F207*N207</f>
        <v>0.00328849352607166</v>
      </c>
      <c r="N207" s="40" t="n">
        <f aca="false">J207*H207</f>
        <v>0.00328849352607166</v>
      </c>
      <c r="O207" s="40" t="n">
        <f aca="false">K207*Q207</f>
        <v>0.00311410371787089</v>
      </c>
      <c r="P207" s="40" t="n">
        <f aca="false">L207*R207</f>
        <v>0.00346288333427243</v>
      </c>
      <c r="Q207" s="39" t="n">
        <f aca="false">INDEX(REF_MIN,MATCH(D207,REF_ID,0))</f>
        <v>7.93</v>
      </c>
      <c r="R207" s="39" t="n">
        <f aca="false">INDEX(REF_MAX,MATCH(D207,REF_ID,0))</f>
        <v>7.93</v>
      </c>
      <c r="S207" s="41" t="n">
        <v>0.0439822971502571</v>
      </c>
      <c r="T207" s="42" t="n">
        <f aca="false">200*J207/S207</f>
        <v>1.88571428571429</v>
      </c>
      <c r="U207" s="43" t="n">
        <f aca="false">IFERROR(INDEX(ISO_TOL,MATCH(T207,ISO_DESDE,1)),0)</f>
        <v>0.1</v>
      </c>
      <c r="V207" s="44" t="n">
        <f aca="false">IF(T207&gt;0,U207/T207,0)</f>
        <v>0.053030303030303</v>
      </c>
    </row>
    <row r="208" customFormat="false" ht="15" hidden="false" customHeight="false" outlineLevel="2" collapsed="false">
      <c r="A208" s="35" t="n">
        <v>2</v>
      </c>
      <c r="B208" s="36" t="s">
        <v>932</v>
      </c>
      <c r="C208" s="37" t="s">
        <v>296</v>
      </c>
      <c r="D208" s="36" t="s">
        <v>14</v>
      </c>
      <c r="E208" s="36" t="str">
        <f aca="false">INDEX(REF_DATO,MATCH(D208,REF_ID,0))</f>
        <v>Acero inoxidable AISI 302 / 304</v>
      </c>
      <c r="F208" s="38" t="n">
        <v>1</v>
      </c>
      <c r="G208" s="35" t="s">
        <v>264</v>
      </c>
      <c r="H208" s="39" t="n">
        <f aca="false">INDEX(REF_VAL,MATCH(D208,REF_ID,0))</f>
        <v>7.93</v>
      </c>
      <c r="I208" s="40" t="n">
        <f aca="false">F208*J208</f>
        <v>0.000697299381286491</v>
      </c>
      <c r="J208" s="40" t="n">
        <v>0.000697299381286491</v>
      </c>
      <c r="K208" s="40" t="n">
        <f aca="false">I208*(1-V208)</f>
        <v>0.000650528232618014</v>
      </c>
      <c r="L208" s="40" t="n">
        <f aca="false">I208*(1+V208)</f>
        <v>0.000744070529954968</v>
      </c>
      <c r="M208" s="40" t="n">
        <f aca="false">F208*N208</f>
        <v>0.00552958409360188</v>
      </c>
      <c r="N208" s="40" t="n">
        <f aca="false">J208*H208</f>
        <v>0.00552958409360188</v>
      </c>
      <c r="O208" s="40" t="n">
        <f aca="false">K208*Q208</f>
        <v>0.00515868888466085</v>
      </c>
      <c r="P208" s="40" t="n">
        <f aca="false">L208*R208</f>
        <v>0.0059004793025429</v>
      </c>
      <c r="Q208" s="39" t="n">
        <f aca="false">INDEX(REF_MIN,MATCH(D208,REF_ID,0))</f>
        <v>7.93</v>
      </c>
      <c r="R208" s="39" t="n">
        <f aca="false">INDEX(REF_MAX,MATCH(D208,REF_ID,0))</f>
        <v>7.93</v>
      </c>
      <c r="S208" s="41" t="n">
        <v>0.0935422973369539</v>
      </c>
      <c r="T208" s="42" t="n">
        <f aca="false">200*J208/S208</f>
        <v>1.49087503971537</v>
      </c>
      <c r="U208" s="43" t="n">
        <f aca="false">IFERROR(INDEX(ISO_TOL,MATCH(T208,ISO_DESDE,1)),0)</f>
        <v>0.1</v>
      </c>
      <c r="V208" s="44" t="n">
        <f aca="false">IF(T208&gt;0,U208/T208,0)</f>
        <v>0.0670747026652826</v>
      </c>
    </row>
    <row r="209" customFormat="false" ht="15" hidden="false" customHeight="false" outlineLevel="2" collapsed="false">
      <c r="A209" s="35" t="n">
        <v>2</v>
      </c>
      <c r="B209" s="36" t="s">
        <v>933</v>
      </c>
      <c r="C209" s="37" t="s">
        <v>298</v>
      </c>
      <c r="D209" s="36" t="s">
        <v>10</v>
      </c>
      <c r="E209" s="36" t="str">
        <f aca="false">INDEX(REF_DATO,MATCH(D209,REF_ID,0))</f>
        <v>Acero (chapa LAC/LAF, SAE 1010/1045)</v>
      </c>
      <c r="F209" s="38" t="n">
        <v>1</v>
      </c>
      <c r="G209" s="35" t="s">
        <v>264</v>
      </c>
      <c r="H209" s="39" t="n">
        <f aca="false">INDEX(REF_VAL,MATCH(D209,REF_ID,0))</f>
        <v>7.85</v>
      </c>
      <c r="I209" s="40" t="n">
        <f aca="false">F209*J209</f>
        <v>0.0122208194772713</v>
      </c>
      <c r="J209" s="40" t="n">
        <v>0.0122208194772713</v>
      </c>
      <c r="K209" s="40" t="n">
        <f aca="false">I209*(1-V209)</f>
        <v>0.0109151420660493</v>
      </c>
      <c r="L209" s="40" t="n">
        <f aca="false">I209*(1+V209)</f>
        <v>0.0135264968884933</v>
      </c>
      <c r="M209" s="40" t="n">
        <f aca="false">F209*N209</f>
        <v>0.0959334328965794</v>
      </c>
      <c r="N209" s="40" t="n">
        <f aca="false">J209*H209</f>
        <v>0.0959334328965794</v>
      </c>
      <c r="O209" s="40" t="n">
        <f aca="false">K209*Q209</f>
        <v>0.0856838652184866</v>
      </c>
      <c r="P209" s="40" t="n">
        <f aca="false">L209*R209</f>
        <v>0.106183000574672</v>
      </c>
      <c r="Q209" s="39" t="n">
        <f aca="false">INDEX(REF_MIN,MATCH(D209,REF_ID,0))</f>
        <v>7.85</v>
      </c>
      <c r="R209" s="39" t="n">
        <f aca="false">INDEX(REF_MAX,MATCH(D209,REF_ID,0))</f>
        <v>7.85</v>
      </c>
      <c r="S209" s="41" t="n">
        <v>2.61135482244402</v>
      </c>
      <c r="T209" s="42" t="n">
        <f aca="false">200*J209/S209</f>
        <v>0.935975408032339</v>
      </c>
      <c r="U209" s="43" t="n">
        <f aca="false">IFERROR(INDEX(ISO_TOL,MATCH(T209,ISO_DESDE,1)),0)</f>
        <v>0.1</v>
      </c>
      <c r="V209" s="44" t="n">
        <f aca="false">IF(T209&gt;0,U209/T209,0)</f>
        <v>0.106840413905987</v>
      </c>
    </row>
    <row r="210" customFormat="false" ht="15" hidden="false" customHeight="false" outlineLevel="2" collapsed="false">
      <c r="A210" s="35" t="n">
        <v>2</v>
      </c>
      <c r="B210" s="36" t="s">
        <v>934</v>
      </c>
      <c r="C210" s="37" t="s">
        <v>300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0.00964038014337073</v>
      </c>
      <c r="J210" s="40" t="n">
        <v>0.00964038014337073</v>
      </c>
      <c r="K210" s="40" t="n">
        <f aca="false">I210*(1-V210)</f>
        <v>0.00865558197544065</v>
      </c>
      <c r="L210" s="40" t="n">
        <f aca="false">I210*(1+V210)</f>
        <v>0.0106251783113008</v>
      </c>
      <c r="M210" s="40" t="n">
        <f aca="false">F210*N210</f>
        <v>0.0756769841254602</v>
      </c>
      <c r="N210" s="40" t="n">
        <f aca="false">J210*H210</f>
        <v>0.0756769841254602</v>
      </c>
      <c r="O210" s="40" t="n">
        <f aca="false">K210*Q210</f>
        <v>0.0679463185072091</v>
      </c>
      <c r="P210" s="40" t="n">
        <f aca="false">L210*R210</f>
        <v>0.0834076497437113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1.96959633586016</v>
      </c>
      <c r="T210" s="42" t="n">
        <f aca="false">200*J210/S210</f>
        <v>0.978919382398284</v>
      </c>
      <c r="U210" s="43" t="n">
        <f aca="false">IFERROR(INDEX(ISO_TOL,MATCH(T210,ISO_DESDE,1)),0)</f>
        <v>0.1</v>
      </c>
      <c r="V210" s="44" t="n">
        <f aca="false">IF(T210&gt;0,U210/T210,0)</f>
        <v>0.102153457984463</v>
      </c>
    </row>
    <row r="211" customFormat="false" ht="15" hidden="false" customHeight="false" outlineLevel="2" collapsed="false">
      <c r="A211" s="35" t="n">
        <v>2</v>
      </c>
      <c r="B211" s="36" t="s">
        <v>935</v>
      </c>
      <c r="C211" s="37" t="s">
        <v>302</v>
      </c>
      <c r="D211" s="36" t="s">
        <v>26</v>
      </c>
      <c r="E211" s="36" t="str">
        <f aca="false">INDEX(REF_DATO,MATCH(D211,REF_ID,0))</f>
        <v>Polipropileno</v>
      </c>
      <c r="F211" s="38" t="n">
        <v>1</v>
      </c>
      <c r="G211" s="35" t="s">
        <v>264</v>
      </c>
      <c r="H211" s="39" t="n">
        <f aca="false">INDEX(REF_VAL,MATCH(D211,REF_ID,0))</f>
        <v>0.9</v>
      </c>
      <c r="I211" s="40" t="n">
        <f aca="false">F211*J211</f>
        <v>0.0313016789579526</v>
      </c>
      <c r="J211" s="40" t="n">
        <v>0.0313016789579526</v>
      </c>
      <c r="K211" s="40" t="n">
        <f aca="false">I211*(1-V211)</f>
        <v>0.0292055698305746</v>
      </c>
      <c r="L211" s="40" t="n">
        <f aca="false">I211*(1+V211)</f>
        <v>0.0333977880853306</v>
      </c>
      <c r="M211" s="40" t="n">
        <f aca="false">F211*N211</f>
        <v>0.0281715110621574</v>
      </c>
      <c r="N211" s="40" t="n">
        <f aca="false">J211*H211</f>
        <v>0.0281715110621574</v>
      </c>
      <c r="O211" s="40" t="n">
        <f aca="false">K211*Q211</f>
        <v>0.0262850128475172</v>
      </c>
      <c r="P211" s="40" t="n">
        <f aca="false">L211*R211</f>
        <v>0.0303919871576509</v>
      </c>
      <c r="Q211" s="39" t="n">
        <f aca="false">INDEX(REF_MIN,MATCH(D211,REF_ID,0))</f>
        <v>0.9</v>
      </c>
      <c r="R211" s="39" t="n">
        <f aca="false">INDEX(REF_MAX,MATCH(D211,REF_ID,0))</f>
        <v>0.91</v>
      </c>
      <c r="S211" s="41" t="n">
        <v>4.192218254756</v>
      </c>
      <c r="T211" s="42" t="n">
        <f aca="false">200*J211/S211</f>
        <v>1.49332296439678</v>
      </c>
      <c r="U211" s="43" t="n">
        <f aca="false">IFERROR(INDEX(ISO_TOL,MATCH(T211,ISO_DESDE,1)),0)</f>
        <v>0.1</v>
      </c>
      <c r="V211" s="44" t="n">
        <f aca="false">IF(T211&gt;0,U211/T211,0)</f>
        <v>0.0669647506829808</v>
      </c>
    </row>
    <row r="212" customFormat="false" ht="15" hidden="false" customHeight="false" outlineLevel="2" collapsed="false">
      <c r="A212" s="35" t="n">
        <v>2</v>
      </c>
      <c r="B212" s="36" t="s">
        <v>936</v>
      </c>
      <c r="C212" s="37" t="s">
        <v>741</v>
      </c>
      <c r="D212" s="36" t="s">
        <v>26</v>
      </c>
      <c r="E212" s="36" t="str">
        <f aca="false">INDEX(REF_DATO,MATCH(D212,REF_ID,0))</f>
        <v>Polipropileno</v>
      </c>
      <c r="F212" s="38" t="n">
        <v>1</v>
      </c>
      <c r="G212" s="35" t="s">
        <v>264</v>
      </c>
      <c r="H212" s="39" t="n">
        <f aca="false">INDEX(REF_VAL,MATCH(D212,REF_ID,0))</f>
        <v>0.9</v>
      </c>
      <c r="I212" s="40" t="n">
        <f aca="false">F212*J212</f>
        <v>0.00161163703129156</v>
      </c>
      <c r="J212" s="40" t="n">
        <v>0.00161163703129156</v>
      </c>
      <c r="K212" s="40" t="n">
        <f aca="false">I212*(1-V212)</f>
        <v>0.00161163703129156</v>
      </c>
      <c r="L212" s="40" t="n">
        <f aca="false">I212*(1+V212)</f>
        <v>0.00161163703129156</v>
      </c>
      <c r="M212" s="40" t="n">
        <f aca="false">F212*N212</f>
        <v>0.00145047332816241</v>
      </c>
      <c r="N212" s="40" t="n">
        <f aca="false">J212*H212</f>
        <v>0.00145047332816241</v>
      </c>
      <c r="O212" s="40" t="n">
        <f aca="false">K212*Q212</f>
        <v>0.00145047332816241</v>
      </c>
      <c r="P212" s="40" t="n">
        <f aca="false">L212*R212</f>
        <v>0.00146658969847532</v>
      </c>
      <c r="Q212" s="39" t="n">
        <f aca="false">INDEX(REF_MIN,MATCH(D212,REF_ID,0))</f>
        <v>0.9</v>
      </c>
      <c r="R212" s="39" t="n">
        <f aca="false">INDEX(REF_MAX,MATCH(D212,REF_ID,0))</f>
        <v>0.91</v>
      </c>
      <c r="S212" s="41" t="n">
        <v>0.759260112519581</v>
      </c>
      <c r="T212" s="42" t="n">
        <f aca="false">200*J212/S212</f>
        <v>0.424528301886793</v>
      </c>
      <c r="U212" s="43" t="n">
        <f aca="false">IFERROR(INDEX(ISO_TOL,MATCH(T212,ISO_DESDE,1)),0)</f>
        <v>0</v>
      </c>
      <c r="V212" s="44" t="n">
        <f aca="false">IF(T212&gt;0,U212/T212,0)</f>
        <v>0</v>
      </c>
    </row>
    <row r="213" customFormat="false" ht="15" hidden="false" customHeight="false" outlineLevel="2" collapsed="false">
      <c r="A213" s="35" t="n">
        <v>2</v>
      </c>
      <c r="B213" s="36" t="s">
        <v>937</v>
      </c>
      <c r="C213" s="37" t="s">
        <v>280</v>
      </c>
      <c r="D213" s="36" t="s">
        <v>23</v>
      </c>
      <c r="E213" s="36" t="str">
        <f aca="false">INDEX(REF_DATO,MATCH(D213,REF_ID,0))</f>
        <v>Caucho sintético (NBR / SBR)</v>
      </c>
      <c r="F213" s="38" t="n">
        <v>1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0.000842575149692783</v>
      </c>
      <c r="J213" s="40" t="n">
        <v>0.000842575149692783</v>
      </c>
      <c r="K213" s="40" t="n">
        <f aca="false">I213*(1-V213)</f>
        <v>0.000786403473046597</v>
      </c>
      <c r="L213" s="40" t="n">
        <f aca="false">I213*(1+V213)</f>
        <v>0.000898746826338968</v>
      </c>
      <c r="M213" s="40" t="n">
        <f aca="false">F213*N213</f>
        <v>0.00101109017963134</v>
      </c>
      <c r="N213" s="40" t="n">
        <f aca="false">J213*H213</f>
        <v>0.00101109017963134</v>
      </c>
      <c r="O213" s="40" t="n">
        <f aca="false">K213*Q213</f>
        <v>0.000865043820351257</v>
      </c>
      <c r="P213" s="40" t="n">
        <f aca="false">L213*R213</f>
        <v>0.00116837087424066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0.112343353292371</v>
      </c>
      <c r="T213" s="42" t="n">
        <f aca="false">200*J213/S213</f>
        <v>1.5</v>
      </c>
      <c r="U213" s="43" t="n">
        <f aca="false">IFERROR(INDEX(ISO_TOL,MATCH(T213,ISO_DESDE,1)),0)</f>
        <v>0.1</v>
      </c>
      <c r="V213" s="44" t="n">
        <f aca="false">IF(T213&gt;0,U213/T213,0)</f>
        <v>0.0666666666666666</v>
      </c>
    </row>
    <row r="214" customFormat="false" ht="15" hidden="false" customHeight="false" outlineLevel="2" collapsed="false">
      <c r="A214" s="35" t="n">
        <v>2</v>
      </c>
      <c r="B214" s="36" t="s">
        <v>938</v>
      </c>
      <c r="C214" s="37" t="s">
        <v>304</v>
      </c>
      <c r="D214" s="36"/>
      <c r="E214" s="36"/>
      <c r="F214" s="38" t="n">
        <v>1</v>
      </c>
      <c r="G214" s="35" t="s">
        <v>264</v>
      </c>
      <c r="H214" s="39"/>
      <c r="I214" s="40"/>
      <c r="J214" s="40"/>
      <c r="K214" s="40"/>
      <c r="L214" s="40"/>
      <c r="M214" s="40"/>
      <c r="N214" s="40"/>
      <c r="O214" s="40"/>
      <c r="P214" s="40"/>
      <c r="Q214" s="39"/>
      <c r="R214" s="39"/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939</v>
      </c>
      <c r="C215" s="37" t="s">
        <v>306</v>
      </c>
      <c r="D215" s="36"/>
      <c r="E215" s="36"/>
      <c r="F215" s="38" t="n">
        <v>1</v>
      </c>
      <c r="G215" s="35" t="s">
        <v>264</v>
      </c>
      <c r="H215" s="39"/>
      <c r="I215" s="40"/>
      <c r="J215" s="40"/>
      <c r="K215" s="40"/>
      <c r="L215" s="40"/>
      <c r="M215" s="40"/>
      <c r="N215" s="40"/>
      <c r="O215" s="40"/>
      <c r="P215" s="40"/>
      <c r="Q215" s="39"/>
      <c r="R215" s="39"/>
      <c r="S215" s="41"/>
      <c r="T215" s="42"/>
      <c r="U215" s="43"/>
      <c r="V215" s="44"/>
    </row>
    <row r="216" customFormat="false" ht="15" hidden="false" customHeight="false" outlineLevel="1" collapsed="false">
      <c r="A216" s="25" t="n">
        <v>1</v>
      </c>
      <c r="B216" s="26" t="s">
        <v>940</v>
      </c>
      <c r="C216" s="27" t="s">
        <v>308</v>
      </c>
      <c r="D216" s="26"/>
      <c r="E216" s="26"/>
      <c r="F216" s="28" t="n">
        <v>1</v>
      </c>
      <c r="G216" s="25" t="s">
        <v>264</v>
      </c>
      <c r="H216" s="29"/>
      <c r="I216" s="30"/>
      <c r="J216" s="30"/>
      <c r="K216" s="30"/>
      <c r="L216" s="30"/>
      <c r="M216" s="30" t="n">
        <f aca="false">IF(SUMIF(A217:A220,2,M217:M220)=0,"",SUMIF(A217:A220,2,M217:M220))</f>
        <v>0.451539099710328</v>
      </c>
      <c r="N216" s="30"/>
      <c r="O216" s="30" t="n">
        <f aca="false">IF(SUMIF(A217:A220,2,O217:O220)=0,"",SUMIF(A217:A220,2,O217:O220))</f>
        <v>0.42870425352003</v>
      </c>
      <c r="P216" s="30" t="n">
        <f aca="false">IF(SUMIF(A217:A220,2,P217:P220)=0,"",SUMIF(A217:A220,2,P217:P220))</f>
        <v>0.474513953757131</v>
      </c>
      <c r="Q216" s="29"/>
      <c r="R216" s="29"/>
      <c r="S216" s="31"/>
      <c r="T216" s="32"/>
      <c r="U216" s="33"/>
      <c r="V216" s="34"/>
    </row>
    <row r="217" customFormat="false" ht="15" hidden="false" customHeight="false" outlineLevel="2" collapsed="false">
      <c r="A217" s="35" t="n">
        <v>2</v>
      </c>
      <c r="B217" s="36" t="s">
        <v>941</v>
      </c>
      <c r="C217" s="37" t="s">
        <v>369</v>
      </c>
      <c r="D217" s="36" t="s">
        <v>17</v>
      </c>
      <c r="E217" s="36" t="str">
        <f aca="false">INDEX(REF_DATO,MATCH(D217,REF_ID,0))</f>
        <v>Latón de forja (CuZn39Pb2 / C37700)</v>
      </c>
      <c r="F217" s="38" t="n">
        <v>1</v>
      </c>
      <c r="G217" s="35" t="s">
        <v>264</v>
      </c>
      <c r="H217" s="39" t="n">
        <f aca="false">INDEX(REF_VAL,MATCH(D217,REF_ID,0))</f>
        <v>8.45</v>
      </c>
      <c r="I217" s="40" t="n">
        <f aca="false">F217*J217</f>
        <v>0.00305362805928928</v>
      </c>
      <c r="J217" s="40" t="n">
        <v>0.00305362805928928</v>
      </c>
      <c r="K217" s="40" t="n">
        <f aca="false">I217*(1-V217)</f>
        <v>0.00299425195813643</v>
      </c>
      <c r="L217" s="40" t="n">
        <f aca="false">I217*(1+V217)</f>
        <v>0.00311300416044212</v>
      </c>
      <c r="M217" s="40" t="n">
        <f aca="false">F217*N217</f>
        <v>0.0258031571009944</v>
      </c>
      <c r="N217" s="40" t="n">
        <f aca="false">J217*H217</f>
        <v>0.0258031571009944</v>
      </c>
      <c r="O217" s="40" t="n">
        <f aca="false">K217*Q217</f>
        <v>0.025151716448346</v>
      </c>
      <c r="P217" s="40" t="n">
        <f aca="false">L217*R217</f>
        <v>0.0264605353637581</v>
      </c>
      <c r="Q217" s="39" t="n">
        <f aca="false">INDEX(REF_MIN,MATCH(D217,REF_ID,0))</f>
        <v>8.4</v>
      </c>
      <c r="R217" s="39" t="n">
        <f aca="false">INDEX(REF_MAX,MATCH(D217,REF_ID,0))</f>
        <v>8.5</v>
      </c>
      <c r="S217" s="41" t="n">
        <v>0.118752202305694</v>
      </c>
      <c r="T217" s="42" t="n">
        <f aca="false">200*J217/S217</f>
        <v>5.14285714285714</v>
      </c>
      <c r="U217" s="43" t="n">
        <f aca="false">IFERROR(INDEX(ISO_TOL,MATCH(T217,ISO_DESDE,1)),0)</f>
        <v>0.1</v>
      </c>
      <c r="V217" s="44" t="n">
        <f aca="false">IF(T217&gt;0,U217/T217,0)</f>
        <v>0.0194444444444445</v>
      </c>
    </row>
    <row r="218" customFormat="false" ht="15" hidden="false" customHeight="false" outlineLevel="2" collapsed="false">
      <c r="A218" s="35" t="n">
        <v>2</v>
      </c>
      <c r="B218" s="36" t="s">
        <v>942</v>
      </c>
      <c r="C218" s="37" t="s">
        <v>371</v>
      </c>
      <c r="D218" s="36" t="s">
        <v>23</v>
      </c>
      <c r="E218" s="36" t="str">
        <f aca="false">INDEX(REF_DATO,MATCH(D218,REF_ID,0))</f>
        <v>Caucho sintético (NBR / SBR)</v>
      </c>
      <c r="F218" s="38" t="n">
        <v>1</v>
      </c>
      <c r="G218" s="35" t="s">
        <v>264</v>
      </c>
      <c r="H218" s="39" t="n">
        <f aca="false">INDEX(REF_VAL,MATCH(D218,REF_ID,0))</f>
        <v>1.2</v>
      </c>
      <c r="I218" s="40" t="n">
        <f aca="false">F218*J218</f>
        <v>0.0173385794576799</v>
      </c>
      <c r="J218" s="40" t="n">
        <v>0.0173385794576799</v>
      </c>
      <c r="K218" s="40" t="n">
        <f aca="false">I218*(1-V218)</f>
        <v>0.0166682282257307</v>
      </c>
      <c r="L218" s="40" t="n">
        <f aca="false">I218*(1+V218)</f>
        <v>0.0180089306896291</v>
      </c>
      <c r="M218" s="40" t="n">
        <f aca="false">F218*N218</f>
        <v>0.0208062953492159</v>
      </c>
      <c r="N218" s="40" t="n">
        <f aca="false">J218*H218</f>
        <v>0.0208062953492159</v>
      </c>
      <c r="O218" s="40" t="n">
        <f aca="false">K218*Q218</f>
        <v>0.0183350510483037</v>
      </c>
      <c r="P218" s="40" t="n">
        <f aca="false">L218*R218</f>
        <v>0.0234116098965179</v>
      </c>
      <c r="Q218" s="39" t="n">
        <f aca="false">INDEX(REF_MIN,MATCH(D218,REF_ID,0))</f>
        <v>1.1</v>
      </c>
      <c r="R218" s="39" t="n">
        <f aca="false">INDEX(REF_MAX,MATCH(D218,REF_ID,0))</f>
        <v>1.3</v>
      </c>
      <c r="S218" s="41" t="n">
        <v>1.34070246389847</v>
      </c>
      <c r="T218" s="42" t="n">
        <f aca="false">200*J218/S218</f>
        <v>2.586491771972</v>
      </c>
      <c r="U218" s="43" t="n">
        <f aca="false">IFERROR(INDEX(ISO_TOL,MATCH(T218,ISO_DESDE,1)),0)</f>
        <v>0.1</v>
      </c>
      <c r="V218" s="44" t="n">
        <f aca="false">IF(T218&gt;0,U218/T218,0)</f>
        <v>0.0386624079317127</v>
      </c>
    </row>
    <row r="219" customFormat="false" ht="15" hidden="false" customHeight="false" outlineLevel="2" collapsed="false">
      <c r="A219" s="35" t="n">
        <v>2</v>
      </c>
      <c r="B219" s="36" t="s">
        <v>943</v>
      </c>
      <c r="C219" s="37" t="s">
        <v>944</v>
      </c>
      <c r="D219" s="36" t="s">
        <v>14</v>
      </c>
      <c r="E219" s="36" t="str">
        <f aca="false">INDEX(REF_DATO,MATCH(D219,REF_ID,0))</f>
        <v>Acero inoxidable AISI 302 / 304</v>
      </c>
      <c r="F219" s="38" t="n">
        <v>1</v>
      </c>
      <c r="G219" s="35" t="s">
        <v>264</v>
      </c>
      <c r="H219" s="39" t="n">
        <f aca="false">INDEX(REF_VAL,MATCH(D219,REF_ID,0))</f>
        <v>7.93</v>
      </c>
      <c r="I219" s="40" t="n">
        <f aca="false">F219*J219</f>
        <v>0.0338920042765802</v>
      </c>
      <c r="J219" s="40" t="n">
        <v>0.0338920042765802</v>
      </c>
      <c r="K219" s="40" t="n">
        <f aca="false">I219*(1-V219)</f>
        <v>0.0325903752477532</v>
      </c>
      <c r="L219" s="40" t="n">
        <f aca="false">I219*(1+V219)</f>
        <v>0.0351936333054072</v>
      </c>
      <c r="M219" s="40" t="n">
        <f aca="false">F219*N219</f>
        <v>0.268763593913281</v>
      </c>
      <c r="N219" s="40" t="n">
        <f aca="false">J219*H219</f>
        <v>0.268763593913281</v>
      </c>
      <c r="O219" s="40" t="n">
        <f aca="false">K219*Q219</f>
        <v>0.258441675714683</v>
      </c>
      <c r="P219" s="40" t="n">
        <f aca="false">L219*R219</f>
        <v>0.279085512111879</v>
      </c>
      <c r="Q219" s="39" t="n">
        <f aca="false">INDEX(REF_MIN,MATCH(D219,REF_ID,0))</f>
        <v>7.93</v>
      </c>
      <c r="R219" s="39" t="n">
        <f aca="false">INDEX(REF_MAX,MATCH(D219,REF_ID,0))</f>
        <v>7.93</v>
      </c>
      <c r="S219" s="41" t="n">
        <v>2.60325805765399</v>
      </c>
      <c r="T219" s="42" t="n">
        <f aca="false">200*J219/S219</f>
        <v>2.60381441455121</v>
      </c>
      <c r="U219" s="43" t="n">
        <f aca="false">IFERROR(INDEX(ISO_TOL,MATCH(T219,ISO_DESDE,1)),0)</f>
        <v>0.1</v>
      </c>
      <c r="V219" s="44" t="n">
        <f aca="false">IF(T219&gt;0,U219/T219,0)</f>
        <v>0.038405194871477</v>
      </c>
    </row>
    <row r="220" customFormat="false" ht="15" hidden="false" customHeight="false" outlineLevel="2" collapsed="false">
      <c r="A220" s="35" t="n">
        <v>2</v>
      </c>
      <c r="B220" s="36" t="s">
        <v>945</v>
      </c>
      <c r="C220" s="37" t="s">
        <v>375</v>
      </c>
      <c r="D220" s="36" t="s">
        <v>10</v>
      </c>
      <c r="E220" s="36" t="str">
        <f aca="false">INDEX(REF_DATO,MATCH(D220,REF_ID,0))</f>
        <v>Acero (chapa LAC/LAF, SAE 1010/1045)</v>
      </c>
      <c r="F220" s="38" t="n">
        <v>1</v>
      </c>
      <c r="G220" s="35" t="s">
        <v>264</v>
      </c>
      <c r="H220" s="39" t="n">
        <f aca="false">INDEX(REF_VAL,MATCH(D220,REF_ID,0))</f>
        <v>7.85</v>
      </c>
      <c r="I220" s="40" t="n">
        <f aca="false">F220*J220</f>
        <v>0.0173459940569219</v>
      </c>
      <c r="J220" s="40" t="n">
        <v>0.0173459940569219</v>
      </c>
      <c r="K220" s="40" t="n">
        <f aca="false">I220*(1-V220)</f>
        <v>0.0161497847527003</v>
      </c>
      <c r="L220" s="40" t="n">
        <f aca="false">I220*(1+V220)</f>
        <v>0.0185422033611434</v>
      </c>
      <c r="M220" s="40" t="n">
        <f aca="false">F220*N220</f>
        <v>0.136166053346837</v>
      </c>
      <c r="N220" s="40" t="n">
        <f aca="false">J220*H220</f>
        <v>0.136166053346837</v>
      </c>
      <c r="O220" s="40" t="n">
        <f aca="false">K220*Q220</f>
        <v>0.126775810308697</v>
      </c>
      <c r="P220" s="40" t="n">
        <f aca="false">L220*R220</f>
        <v>0.145556296384976</v>
      </c>
      <c r="Q220" s="39" t="n">
        <f aca="false">INDEX(REF_MIN,MATCH(D220,REF_ID,0))</f>
        <v>7.85</v>
      </c>
      <c r="R220" s="39" t="n">
        <f aca="false">INDEX(REF_MAX,MATCH(D220,REF_ID,0))</f>
        <v>7.85</v>
      </c>
      <c r="S220" s="41" t="n">
        <v>2.39241860844314</v>
      </c>
      <c r="T220" s="42" t="n">
        <f aca="false">200*J220/S220</f>
        <v>1.45008018209737</v>
      </c>
      <c r="U220" s="43" t="n">
        <f aca="false">IFERROR(INDEX(ISO_TOL,MATCH(T220,ISO_DESDE,1)),0)</f>
        <v>0.1</v>
      </c>
      <c r="V220" s="44" t="n">
        <f aca="false">IF(T220&gt;0,U220/T220,0)</f>
        <v>0.0689617037972077</v>
      </c>
    </row>
    <row r="221" customFormat="false" ht="15" hidden="false" customHeight="false" outlineLevel="1" collapsed="false">
      <c r="A221" s="25" t="n">
        <v>1</v>
      </c>
      <c r="B221" s="26" t="s">
        <v>946</v>
      </c>
      <c r="C221" s="27" t="s">
        <v>312</v>
      </c>
      <c r="D221" s="26"/>
      <c r="E221" s="26"/>
      <c r="F221" s="28" t="n">
        <v>1</v>
      </c>
      <c r="G221" s="25" t="s">
        <v>264</v>
      </c>
      <c r="H221" s="29"/>
      <c r="I221" s="30"/>
      <c r="J221" s="30"/>
      <c r="K221" s="30"/>
      <c r="L221" s="30"/>
      <c r="M221" s="30" t="n">
        <f aca="false">IF(SUMIF(A222:A223,2,M222:M223)=0,"",SUMIF(A222:A223,2,M222:M223))</f>
        <v>7.946718126473</v>
      </c>
      <c r="N221" s="30"/>
      <c r="O221" s="30" t="n">
        <f aca="false">IF(SUMIF(A222:A223,2,O222:O223)=0,"",SUMIF(A222:A223,2,O222:O223))</f>
        <v>7.82605343926964</v>
      </c>
      <c r="P221" s="30" t="n">
        <f aca="false">IF(SUMIF(A222:A223,2,P222:P223)=0,"",SUMIF(A222:A223,2,P222:P223))</f>
        <v>8.06759973025105</v>
      </c>
      <c r="Q221" s="29"/>
      <c r="R221" s="29"/>
      <c r="S221" s="31"/>
      <c r="T221" s="32"/>
      <c r="U221" s="33"/>
      <c r="V221" s="34"/>
    </row>
    <row r="222" customFormat="false" ht="15" hidden="false" customHeight="false" outlineLevel="2" collapsed="false">
      <c r="A222" s="35" t="n">
        <v>2</v>
      </c>
      <c r="B222" s="36" t="s">
        <v>947</v>
      </c>
      <c r="C222" s="37" t="s">
        <v>948</v>
      </c>
      <c r="D222" s="36" t="s">
        <v>68</v>
      </c>
      <c r="E222" s="36" t="str">
        <f aca="false">INDEX(REF_DATO,MATCH(D222,REF_ID,0))</f>
        <v>Acetato de potasio (sales K)</v>
      </c>
      <c r="F222" s="38" t="n">
        <f aca="false">MODELOS!$L$11</f>
        <v>6.09</v>
      </c>
      <c r="G222" s="35" t="s">
        <v>213</v>
      </c>
      <c r="H222" s="39" t="n">
        <f aca="false">INDEX(REF_VAL,MATCH(D222,REF_ID,0))</f>
        <v>1.3</v>
      </c>
      <c r="I222" s="40" t="n">
        <f aca="false">F222</f>
        <v>6.09</v>
      </c>
      <c r="J222" s="40" t="n">
        <v>1</v>
      </c>
      <c r="K222" s="40" t="n">
        <f aca="false">MODELOS!$M$11</f>
        <v>6</v>
      </c>
      <c r="L222" s="40" t="n">
        <f aca="false">MODELOS!$N$11</f>
        <v>6.18</v>
      </c>
      <c r="M222" s="40" t="n">
        <f aca="false">F222*N222</f>
        <v>7.917</v>
      </c>
      <c r="N222" s="40" t="n">
        <f aca="false">H222</f>
        <v>1.3</v>
      </c>
      <c r="O222" s="40" t="n">
        <f aca="false">MODELOS!$M$11*Q222</f>
        <v>7.8</v>
      </c>
      <c r="P222" s="40" t="n">
        <f aca="false">MODELOS!$N$11*R222</f>
        <v>8.034</v>
      </c>
      <c r="Q222" s="39" t="n">
        <f aca="false">INDEX(REF_MIN,MATCH(D222,REF_ID,0))</f>
        <v>1.3</v>
      </c>
      <c r="R222" s="39" t="n">
        <f aca="false">INDEX(REF_MAX,MATCH(D222,REF_ID,0))</f>
        <v>1.3</v>
      </c>
      <c r="S222" s="41"/>
      <c r="T222" s="42"/>
      <c r="U222" s="43"/>
      <c r="V222" s="44"/>
    </row>
    <row r="223" customFormat="false" ht="15" hidden="false" customHeight="false" outlineLevel="2" collapsed="false">
      <c r="A223" s="35" t="n">
        <v>2</v>
      </c>
      <c r="B223" s="36" t="s">
        <v>949</v>
      </c>
      <c r="C223" s="37" t="s">
        <v>316</v>
      </c>
      <c r="D223" s="36" t="s">
        <v>78</v>
      </c>
      <c r="E223" s="36" t="str">
        <f aca="false">INDEX(REF_DATO,MATCH(D223,REF_ID,0))</f>
        <v>Nitrógeno seco (densidad normal)</v>
      </c>
      <c r="F223" s="38" t="n">
        <f aca="false">MODELOS!$AF$11</f>
        <v>0.0297181264729978</v>
      </c>
      <c r="G223" s="35" t="s">
        <v>123</v>
      </c>
      <c r="H223" s="39" t="n">
        <f aca="false">INDEX(REF_VAL,MATCH(D223,REF_ID,0))</f>
        <v>0.00124921923797626</v>
      </c>
      <c r="I223" s="40" t="n">
        <f aca="false">F223*J223</f>
        <v>23.7893602416347</v>
      </c>
      <c r="J223" s="40" t="n">
        <f aca="false">1/H223</f>
        <v>800.5</v>
      </c>
      <c r="K223" s="40" t="n">
        <f aca="false">MODELOS!$AG$11/H223</f>
        <v>20.8557781353435</v>
      </c>
      <c r="L223" s="40" t="n">
        <f aca="false">MODELOS!$AH$11/H223</f>
        <v>26.8965840659656</v>
      </c>
      <c r="M223" s="40" t="n">
        <f aca="false">F223</f>
        <v>0.0297181264729978</v>
      </c>
      <c r="N223" s="40" t="n">
        <v>1</v>
      </c>
      <c r="O223" s="40" t="n">
        <f aca="false">MODELOS!$AG$11</f>
        <v>0.0260534392696358</v>
      </c>
      <c r="P223" s="40" t="n">
        <f aca="false">MODELOS!$AH$11</f>
        <v>0.03359973025105</v>
      </c>
      <c r="Q223" s="39"/>
      <c r="R223" s="39"/>
      <c r="S223" s="41"/>
      <c r="T223" s="42"/>
      <c r="U223" s="43"/>
      <c r="V223" s="44"/>
    </row>
    <row r="224" customFormat="false" ht="15" hidden="false" customHeight="false" outlineLevel="1" collapsed="false">
      <c r="A224" s="25" t="n">
        <v>1</v>
      </c>
      <c r="B224" s="26" t="s">
        <v>950</v>
      </c>
      <c r="C224" s="27" t="s">
        <v>318</v>
      </c>
      <c r="D224" s="26"/>
      <c r="E224" s="26"/>
      <c r="F224" s="28" t="n">
        <v>1</v>
      </c>
      <c r="G224" s="25" t="s">
        <v>264</v>
      </c>
      <c r="H224" s="29"/>
      <c r="I224" s="30"/>
      <c r="J224" s="30"/>
      <c r="K224" s="30"/>
      <c r="L224" s="30"/>
      <c r="M224" s="30" t="n">
        <f aca="false">IF(SUMIF(A225:A231,2,M225:M231)=0,"",SUMIF(A225:A231,2,M225:M231))</f>
        <v>0.0270987988262915</v>
      </c>
      <c r="N224" s="30"/>
      <c r="O224" s="30" t="n">
        <f aca="false">IF(SUMIF(A225:A231,2,O225:O231)=0,"",SUMIF(A225:A231,2,O225:O231))</f>
        <v>0.0261284600883987</v>
      </c>
      <c r="P224" s="30" t="n">
        <f aca="false">IF(SUMIF(A225:A231,2,P225:P231)=0,"",SUMIF(A225:A231,2,P225:P231))</f>
        <v>0.0280711992343631</v>
      </c>
      <c r="Q224" s="29"/>
      <c r="R224" s="29"/>
      <c r="S224" s="31"/>
      <c r="T224" s="32"/>
      <c r="U224" s="33"/>
      <c r="V224" s="34"/>
    </row>
    <row r="225" customFormat="false" ht="15" hidden="false" customHeight="false" outlineLevel="2" collapsed="false">
      <c r="A225" s="35" t="n">
        <v>2</v>
      </c>
      <c r="B225" s="36" t="s">
        <v>951</v>
      </c>
      <c r="C225" s="37" t="s">
        <v>320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0.0151223629325547</v>
      </c>
      <c r="J225" s="40" t="n">
        <v>0.0151223629325547</v>
      </c>
      <c r="K225" s="40" t="n">
        <f aca="false">I225*(1-V225)</f>
        <v>0.0151223629325547</v>
      </c>
      <c r="L225" s="40" t="n">
        <f aca="false">I225*(1+V225)</f>
        <v>0.0151223629325547</v>
      </c>
      <c r="M225" s="40" t="n">
        <f aca="false">F225*N225</f>
        <v>0.0211713081055766</v>
      </c>
      <c r="N225" s="40" t="n">
        <f aca="false">J225*H225</f>
        <v>0.0211713081055766</v>
      </c>
      <c r="O225" s="40" t="n">
        <f aca="false">K225*Q225</f>
        <v>0.0204151899589488</v>
      </c>
      <c r="P225" s="40" t="n">
        <f aca="false">L225*R225</f>
        <v>0.0219274262522043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10.1115293063879</v>
      </c>
      <c r="T225" s="42" t="n">
        <f aca="false">200*J225/S225</f>
        <v>0.299111291167426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952</v>
      </c>
      <c r="C226" s="37" t="s">
        <v>322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0.000635802315789456</v>
      </c>
      <c r="J226" s="40" t="n">
        <v>0.000635802315789456</v>
      </c>
      <c r="K226" s="40" t="n">
        <f aca="false">I226*(1-V226)</f>
        <v>0.000635802315789456</v>
      </c>
      <c r="L226" s="40" t="n">
        <f aca="false">I226*(1+V226)</f>
        <v>0.000635802315789456</v>
      </c>
      <c r="M226" s="40" t="n">
        <f aca="false">F226*N226</f>
        <v>0.000890123242105238</v>
      </c>
      <c r="N226" s="40" t="n">
        <f aca="false">J226*H226</f>
        <v>0.000890123242105238</v>
      </c>
      <c r="O226" s="40" t="n">
        <f aca="false">K226*Q226</f>
        <v>0.000858333126315765</v>
      </c>
      <c r="P226" s="40" t="n">
        <f aca="false">L226*R226</f>
        <v>0.000921913357894711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0.429392568421053</v>
      </c>
      <c r="T226" s="42" t="n">
        <f aca="false">200*J226/S226</f>
        <v>0.29614034454644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953</v>
      </c>
      <c r="C227" s="37" t="s">
        <v>324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0.000721136842105262</v>
      </c>
      <c r="J227" s="40" t="n">
        <v>0.000721136842105262</v>
      </c>
      <c r="K227" s="40" t="n">
        <f aca="false">I227*(1-V227)</f>
        <v>0.000721136842105262</v>
      </c>
      <c r="L227" s="40" t="n">
        <f aca="false">I227*(1+V227)</f>
        <v>0.000721136842105262</v>
      </c>
      <c r="M227" s="40" t="n">
        <f aca="false">F227*N227</f>
        <v>0.00100959157894737</v>
      </c>
      <c r="N227" s="40" t="n">
        <f aca="false">J227*H227</f>
        <v>0.00100959157894737</v>
      </c>
      <c r="O227" s="40" t="n">
        <f aca="false">K227*Q227</f>
        <v>0.000973534736842104</v>
      </c>
      <c r="P227" s="40" t="n">
        <f aca="false">L227*R227</f>
        <v>0.00104564842105263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0.486763578947369</v>
      </c>
      <c r="T227" s="42" t="n">
        <f aca="false">200*J227/S227</f>
        <v>0.296298602974663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954</v>
      </c>
      <c r="C228" s="37" t="s">
        <v>384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0.00231364736842102</v>
      </c>
      <c r="J228" s="40" t="n">
        <v>0.00231364736842102</v>
      </c>
      <c r="K228" s="40" t="n">
        <f aca="false">I228*(1-V228)</f>
        <v>0.00231364736842102</v>
      </c>
      <c r="L228" s="40" t="n">
        <f aca="false">I228*(1+V228)</f>
        <v>0.00231364736842102</v>
      </c>
      <c r="M228" s="40" t="n">
        <f aca="false">F228*N228</f>
        <v>0.00323910631578943</v>
      </c>
      <c r="N228" s="40" t="n">
        <f aca="false">J228*H228</f>
        <v>0.00323910631578943</v>
      </c>
      <c r="O228" s="40" t="n">
        <f aca="false">K228*Q228</f>
        <v>0.00312342394736838</v>
      </c>
      <c r="P228" s="40" t="n">
        <f aca="false">L228*R228</f>
        <v>0.00335478868421048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1.55414484210526</v>
      </c>
      <c r="T228" s="42" t="n">
        <f aca="false">200*J228/S228</f>
        <v>0.297738963028301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955</v>
      </c>
      <c r="C229" s="37" t="s">
        <v>326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0.000338032894736833</v>
      </c>
      <c r="J229" s="40" t="n">
        <v>0.000338032894736833</v>
      </c>
      <c r="K229" s="40" t="n">
        <f aca="false">I229*(1-V229)</f>
        <v>0.000338032894736833</v>
      </c>
      <c r="L229" s="40" t="n">
        <f aca="false">I229*(1+V229)</f>
        <v>0.000338032894736833</v>
      </c>
      <c r="M229" s="40" t="n">
        <f aca="false">F229*N229</f>
        <v>0.000473246052631566</v>
      </c>
      <c r="N229" s="40" t="n">
        <f aca="false">J229*H229</f>
        <v>0.000473246052631566</v>
      </c>
      <c r="O229" s="40" t="n">
        <f aca="false">K229*Q229</f>
        <v>0.000456344407894724</v>
      </c>
      <c r="P229" s="40" t="n">
        <f aca="false">L229*R229</f>
        <v>0.000490147697368407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0.229559526315789</v>
      </c>
      <c r="T229" s="42" t="n">
        <f aca="false">200*J229/S229</f>
        <v>0.294505656255645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956</v>
      </c>
      <c r="C230" s="37" t="s">
        <v>328</v>
      </c>
      <c r="D230" s="36" t="s">
        <v>32</v>
      </c>
      <c r="E230" s="36" t="str">
        <f aca="false">INDEX(REF_DATO,MATCH(D230,REF_ID,0))</f>
        <v>PVC rígido, vinilo y papeles de identificación</v>
      </c>
      <c r="F230" s="38" t="n">
        <v>1</v>
      </c>
      <c r="G230" s="35" t="s">
        <v>264</v>
      </c>
      <c r="H230" s="39" t="n">
        <f aca="false">INDEX(REF_VAL,MATCH(D230,REF_ID,0))</f>
        <v>1.4</v>
      </c>
      <c r="I230" s="40" t="n">
        <f aca="false">F230*J230</f>
        <v>9.90778174834942E-005</v>
      </c>
      <c r="J230" s="40" t="n">
        <v>9.90778174834942E-005</v>
      </c>
      <c r="K230" s="40" t="n">
        <f aca="false">I230*(1-V230)</f>
        <v>9.90778174834942E-005</v>
      </c>
      <c r="L230" s="40" t="n">
        <f aca="false">I230*(1+V230)</f>
        <v>9.90778174834942E-005</v>
      </c>
      <c r="M230" s="40" t="n">
        <f aca="false">F230*N230</f>
        <v>0.000138708944476892</v>
      </c>
      <c r="N230" s="40" t="n">
        <f aca="false">J230*H230</f>
        <v>0.000138708944476892</v>
      </c>
      <c r="O230" s="40" t="n">
        <f aca="false">K230*Q230</f>
        <v>0.000133755053602717</v>
      </c>
      <c r="P230" s="40" t="n">
        <f aca="false">L230*R230</f>
        <v>0.000143662835351067</v>
      </c>
      <c r="Q230" s="39" t="n">
        <f aca="false">INDEX(REF_MIN,MATCH(D230,REF_ID,0))</f>
        <v>1.35</v>
      </c>
      <c r="R230" s="39" t="n">
        <f aca="false">INDEX(REF_MAX,MATCH(D230,REF_ID,0))</f>
        <v>1.45</v>
      </c>
      <c r="S230" s="41" t="n">
        <v>0.100858410433796</v>
      </c>
      <c r="T230" s="42" t="n">
        <f aca="false">200*J230/S230</f>
        <v>0.196469123511577</v>
      </c>
      <c r="U230" s="43" t="n">
        <f aca="false">IFERROR(INDEX(ISO_TOL,MATCH(T230,ISO_DESDE,1)),0)</f>
        <v>0</v>
      </c>
      <c r="V230" s="44" t="n">
        <f aca="false">IF(T230&gt;0,U230/T230,0)</f>
        <v>0</v>
      </c>
    </row>
    <row r="231" customFormat="false" ht="15" hidden="false" customHeight="false" outlineLevel="2" collapsed="false">
      <c r="A231" s="35" t="n">
        <v>2</v>
      </c>
      <c r="B231" s="36" t="s">
        <v>957</v>
      </c>
      <c r="C231" s="37" t="s">
        <v>330</v>
      </c>
      <c r="D231" s="36" t="s">
        <v>26</v>
      </c>
      <c r="E231" s="36" t="str">
        <f aca="false">INDEX(REF_DATO,MATCH(D231,REF_ID,0))</f>
        <v>Polipropileno</v>
      </c>
      <c r="F231" s="38" t="n">
        <v>1</v>
      </c>
      <c r="G231" s="35" t="s">
        <v>264</v>
      </c>
      <c r="H231" s="39" t="n">
        <f aca="false">INDEX(REF_VAL,MATCH(D231,REF_ID,0))</f>
        <v>0.9</v>
      </c>
      <c r="I231" s="40" t="n">
        <f aca="false">F231*J231</f>
        <v>0.000196349540849362</v>
      </c>
      <c r="J231" s="40" t="n">
        <v>0.000196349540849362</v>
      </c>
      <c r="K231" s="40" t="n">
        <f aca="false">I231*(1-V231)</f>
        <v>0.000186532063806894</v>
      </c>
      <c r="L231" s="40" t="n">
        <f aca="false">I231*(1+V231)</f>
        <v>0.00020616701789183</v>
      </c>
      <c r="M231" s="40" t="n">
        <f aca="false">F231*N231</f>
        <v>0.000176714586764426</v>
      </c>
      <c r="N231" s="40" t="n">
        <f aca="false">J231*H231</f>
        <v>0.000176714586764426</v>
      </c>
      <c r="O231" s="40" t="n">
        <f aca="false">K231*Q231</f>
        <v>0.000167878857426205</v>
      </c>
      <c r="P231" s="40" t="n">
        <f aca="false">L231*R231</f>
        <v>0.000187611986281566</v>
      </c>
      <c r="Q231" s="39" t="n">
        <f aca="false">INDEX(REF_MIN,MATCH(D231,REF_ID,0))</f>
        <v>0.9</v>
      </c>
      <c r="R231" s="39" t="n">
        <f aca="false">INDEX(REF_MAX,MATCH(D231,REF_ID,0))</f>
        <v>0.91</v>
      </c>
      <c r="S231" s="41" t="n">
        <v>0.0196349540849362</v>
      </c>
      <c r="T231" s="42" t="n">
        <f aca="false">200*J231/S231</f>
        <v>2</v>
      </c>
      <c r="U231" s="43" t="n">
        <f aca="false">IFERROR(INDEX(ISO_TOL,MATCH(T231,ISO_DESDE,1)),0)</f>
        <v>0.1</v>
      </c>
      <c r="V231" s="44" t="n">
        <f aca="false">IF(T231&gt;0,U231/T231,0)</f>
        <v>0.0499999999999999</v>
      </c>
    </row>
    <row r="232" customFormat="false" ht="15" hidden="false" customHeight="false" outlineLevel="1" collapsed="false">
      <c r="A232" s="25" t="n">
        <v>1</v>
      </c>
      <c r="B232" s="26" t="s">
        <v>958</v>
      </c>
      <c r="C232" s="27" t="s">
        <v>332</v>
      </c>
      <c r="D232" s="26"/>
      <c r="E232" s="26"/>
      <c r="F232" s="28" t="n">
        <v>1</v>
      </c>
      <c r="G232" s="25" t="s">
        <v>264</v>
      </c>
      <c r="H232" s="29"/>
      <c r="I232" s="30"/>
      <c r="J232" s="30"/>
      <c r="K232" s="30"/>
      <c r="L232" s="30"/>
      <c r="M232" s="30" t="n">
        <f aca="false">IF(SUMIF(A233:A234,2,M233:M234)=0,"",SUMIF(A233:A234,2,M233:M234))</f>
        <v>0.327217734774336</v>
      </c>
      <c r="N232" s="30"/>
      <c r="O232" s="30" t="n">
        <f aca="false">IF(SUMIF(A233:A234,2,O233:O234)=0,"",SUMIF(A233:A234,2,O233:O234))</f>
        <v>0.310221343841074</v>
      </c>
      <c r="P232" s="30" t="n">
        <f aca="false">IF(SUMIF(A233:A234,2,P233:P234)=0,"",SUMIF(A233:A234,2,P233:P234))</f>
        <v>0.344214125707599</v>
      </c>
      <c r="Q232" s="29"/>
      <c r="R232" s="29"/>
      <c r="S232" s="31"/>
      <c r="T232" s="32"/>
      <c r="U232" s="33"/>
      <c r="V232" s="34"/>
    </row>
    <row r="233" customFormat="false" ht="15" hidden="false" customHeight="false" outlineLevel="2" collapsed="false">
      <c r="A233" s="35" t="n">
        <v>2</v>
      </c>
      <c r="B233" s="36" t="s">
        <v>959</v>
      </c>
      <c r="C233" s="37" t="s">
        <v>390</v>
      </c>
      <c r="D233" s="36" t="s">
        <v>10</v>
      </c>
      <c r="E233" s="36" t="str">
        <f aca="false">INDEX(REF_DATO,MATCH(D233,REF_ID,0))</f>
        <v>Acero (chapa LAC/LAF, SAE 1010/1045)</v>
      </c>
      <c r="F233" s="38" t="n">
        <v>1</v>
      </c>
      <c r="G233" s="35" t="s">
        <v>264</v>
      </c>
      <c r="H233" s="39" t="n">
        <f aca="false">INDEX(REF_VAL,MATCH(D233,REF_ID,0))</f>
        <v>7.85</v>
      </c>
      <c r="I233" s="40" t="n">
        <f aca="false">F233*J233</f>
        <v>0.0416837878693422</v>
      </c>
      <c r="J233" s="40" t="n">
        <v>0.0416837878693422</v>
      </c>
      <c r="K233" s="40" t="n">
        <f aca="false">I233*(1-V233)</f>
        <v>0.0395186425275253</v>
      </c>
      <c r="L233" s="40" t="n">
        <f aca="false">I233*(1+V233)</f>
        <v>0.0438489332111591</v>
      </c>
      <c r="M233" s="40" t="n">
        <f aca="false">F233*N233</f>
        <v>0.327217734774336</v>
      </c>
      <c r="N233" s="40" t="n">
        <f aca="false">J233*H233</f>
        <v>0.327217734774336</v>
      </c>
      <c r="O233" s="40" t="n">
        <f aca="false">K233*Q233</f>
        <v>0.310221343841074</v>
      </c>
      <c r="P233" s="40" t="n">
        <f aca="false">L233*R233</f>
        <v>0.344214125707599</v>
      </c>
      <c r="Q233" s="39" t="n">
        <f aca="false">INDEX(REF_MIN,MATCH(D233,REF_ID,0))</f>
        <v>7.85</v>
      </c>
      <c r="R233" s="39" t="n">
        <f aca="false">INDEX(REF_MAX,MATCH(D233,REF_ID,0))</f>
        <v>7.85</v>
      </c>
      <c r="S233" s="41" t="n">
        <v>4.33029068363372</v>
      </c>
      <c r="T233" s="42" t="n">
        <f aca="false">200*J233/S233</f>
        <v>1.92521892476575</v>
      </c>
      <c r="U233" s="43" t="n">
        <f aca="false">IFERROR(INDEX(ISO_TOL,MATCH(T233,ISO_DESDE,1)),0)</f>
        <v>0.1</v>
      </c>
      <c r="V233" s="44" t="n">
        <f aca="false">IF(T233&gt;0,U233/T233,0)</f>
        <v>0.0519421447159146</v>
      </c>
    </row>
    <row r="234" customFormat="false" ht="15" hidden="false" customHeight="false" outlineLevel="2" collapsed="false">
      <c r="A234" s="35" t="n">
        <v>2</v>
      </c>
      <c r="B234" s="36" t="s">
        <v>960</v>
      </c>
      <c r="C234" s="37" t="s">
        <v>392</v>
      </c>
      <c r="D234" s="36"/>
      <c r="E234" s="36"/>
      <c r="F234" s="38" t="n">
        <v>2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1" collapsed="false">
      <c r="A235" s="25" t="n">
        <v>1</v>
      </c>
      <c r="B235" s="26" t="s">
        <v>961</v>
      </c>
      <c r="C235" s="27" t="s">
        <v>336</v>
      </c>
      <c r="D235" s="26"/>
      <c r="E235" s="26"/>
      <c r="F235" s="28" t="n">
        <v>1</v>
      </c>
      <c r="G235" s="25" t="s">
        <v>264</v>
      </c>
      <c r="H235" s="29"/>
      <c r="I235" s="30"/>
      <c r="J235" s="30"/>
      <c r="K235" s="30"/>
      <c r="L235" s="30"/>
      <c r="M235" s="30" t="str">
        <f aca="false">IF(SUMIF(A236:A239,2,M236:M239)=0,"",SUMIF(A236:A239,2,M236:M239))</f>
        <v/>
      </c>
      <c r="N235" s="30"/>
      <c r="O235" s="30" t="str">
        <f aca="false">IF(SUMIF(A236:A239,2,O236:O239)=0,"",SUMIF(A236:A239,2,O236:O239))</f>
        <v/>
      </c>
      <c r="P235" s="30" t="str">
        <f aca="false">IF(SUMIF(A236:A239,2,P236:P239)=0,"",SUMIF(A236:A239,2,P236:P239))</f>
        <v/>
      </c>
      <c r="Q235" s="29"/>
      <c r="R235" s="29"/>
      <c r="S235" s="31"/>
      <c r="T235" s="32"/>
      <c r="U235" s="33"/>
      <c r="V235" s="34"/>
    </row>
    <row r="236" customFormat="false" ht="15" hidden="false" customHeight="false" outlineLevel="2" collapsed="false">
      <c r="A236" s="35" t="n">
        <v>2</v>
      </c>
      <c r="B236" s="36" t="s">
        <v>962</v>
      </c>
      <c r="C236" s="37" t="s">
        <v>338</v>
      </c>
      <c r="D236" s="36"/>
      <c r="E236" s="36"/>
      <c r="F236" s="38" t="n">
        <v>1</v>
      </c>
      <c r="G236" s="35" t="s">
        <v>264</v>
      </c>
      <c r="H236" s="39"/>
      <c r="I236" s="40"/>
      <c r="J236" s="40"/>
      <c r="K236" s="40"/>
      <c r="L236" s="40"/>
      <c r="M236" s="40"/>
      <c r="N236" s="40"/>
      <c r="O236" s="40"/>
      <c r="P236" s="40"/>
      <c r="Q236" s="39"/>
      <c r="R236" s="39"/>
      <c r="S236" s="41"/>
      <c r="T236" s="42"/>
      <c r="U236" s="43"/>
      <c r="V236" s="44"/>
    </row>
    <row r="237" customFormat="false" ht="15" hidden="false" customHeight="false" outlineLevel="2" collapsed="false">
      <c r="A237" s="35" t="n">
        <v>2</v>
      </c>
      <c r="B237" s="36" t="s">
        <v>963</v>
      </c>
      <c r="C237" s="37" t="s">
        <v>340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2" collapsed="false">
      <c r="A238" s="35" t="n">
        <v>2</v>
      </c>
      <c r="B238" s="36" t="s">
        <v>964</v>
      </c>
      <c r="C238" s="37" t="s">
        <v>342</v>
      </c>
      <c r="D238" s="36"/>
      <c r="E238" s="36"/>
      <c r="F238" s="38" t="n">
        <v>1</v>
      </c>
      <c r="G238" s="35" t="s">
        <v>264</v>
      </c>
      <c r="H238" s="39"/>
      <c r="I238" s="40"/>
      <c r="J238" s="40"/>
      <c r="K238" s="40"/>
      <c r="L238" s="40"/>
      <c r="M238" s="40"/>
      <c r="N238" s="40"/>
      <c r="O238" s="40"/>
      <c r="P238" s="40"/>
      <c r="Q238" s="39"/>
      <c r="R238" s="39"/>
      <c r="S238" s="41"/>
      <c r="T238" s="42"/>
      <c r="U238" s="43"/>
      <c r="V238" s="44"/>
    </row>
    <row r="239" customFormat="false" ht="15" hidden="false" customHeight="false" outlineLevel="2" collapsed="false">
      <c r="A239" s="35" t="n">
        <v>2</v>
      </c>
      <c r="B239" s="36" t="s">
        <v>965</v>
      </c>
      <c r="C239" s="37" t="s">
        <v>344</v>
      </c>
      <c r="D239" s="36"/>
      <c r="E239" s="36"/>
      <c r="F239" s="38" t="n">
        <v>1</v>
      </c>
      <c r="G239" s="35" t="s">
        <v>264</v>
      </c>
      <c r="H239" s="39"/>
      <c r="I239" s="40"/>
      <c r="J239" s="40"/>
      <c r="K239" s="40"/>
      <c r="L239" s="40"/>
      <c r="M239" s="40"/>
      <c r="N239" s="40"/>
      <c r="O239" s="40"/>
      <c r="P239" s="40"/>
      <c r="Q239" s="39"/>
      <c r="R239" s="39"/>
      <c r="S239" s="41"/>
      <c r="T239" s="42"/>
      <c r="U239" s="43"/>
      <c r="V239" s="44"/>
    </row>
    <row r="240" customFormat="false" ht="15" hidden="false" customHeight="false" outlineLevel="0" collapsed="false">
      <c r="A240" s="16" t="n">
        <v>0</v>
      </c>
      <c r="B240" s="17" t="s">
        <v>225</v>
      </c>
      <c r="C240" s="17" t="s">
        <v>226</v>
      </c>
      <c r="D240" s="17"/>
      <c r="E240" s="17"/>
      <c r="F240" s="18" t="n">
        <v>1</v>
      </c>
      <c r="G240" s="16" t="s">
        <v>264</v>
      </c>
      <c r="H240" s="19"/>
      <c r="I240" s="20"/>
      <c r="J240" s="20"/>
      <c r="K240" s="20"/>
      <c r="L240" s="20"/>
      <c r="M240" s="20" t="n">
        <f aca="false">IF(SUMIF(A241:A279,1,M241:M279)=0,"",SUMIF(A241:A279,1,M241:M279))</f>
        <v>8.66493469315824</v>
      </c>
      <c r="N240" s="20"/>
      <c r="O240" s="20" t="n">
        <f aca="false">IF(SUMIF(A241:A279,1,O241:O279)=0,"",SUMIF(A241:A279,1,O241:O279))</f>
        <v>8.40431847853277</v>
      </c>
      <c r="P240" s="20" t="n">
        <f aca="false">IF(SUMIF(A241:A279,1,P241:P279)=0,"",SUMIF(A241:A279,1,P241:P279))</f>
        <v>8.82722850225992</v>
      </c>
      <c r="Q240" s="19"/>
      <c r="R240" s="19"/>
      <c r="S240" s="21"/>
      <c r="T240" s="22"/>
      <c r="U240" s="23"/>
      <c r="V240" s="24"/>
    </row>
    <row r="241" customFormat="false" ht="15" hidden="false" customHeight="false" outlineLevel="1" collapsed="false">
      <c r="A241" s="25" t="n">
        <v>1</v>
      </c>
      <c r="B241" s="26" t="s">
        <v>966</v>
      </c>
      <c r="C241" s="27" t="s">
        <v>266</v>
      </c>
      <c r="D241" s="26"/>
      <c r="E241" s="26"/>
      <c r="F241" s="28" t="n">
        <v>1</v>
      </c>
      <c r="G241" s="25" t="s">
        <v>264</v>
      </c>
      <c r="H241" s="29"/>
      <c r="I241" s="30"/>
      <c r="J241" s="30"/>
      <c r="K241" s="30"/>
      <c r="L241" s="30"/>
      <c r="M241" s="30" t="n">
        <f aca="false">IF(SUMIF(A242:A243,2,M242:M243)=0,"",SUMIF(A242:A243,2,M242:M243))</f>
        <v>5.83225575081085</v>
      </c>
      <c r="N241" s="30"/>
      <c r="O241" s="30" t="n">
        <f aca="false">IF(SUMIF(A242:A243,2,O242:O243)=0,"",SUMIF(A242:A243,2,O242:O243))</f>
        <v>5.72240108254662</v>
      </c>
      <c r="P241" s="30" t="n">
        <f aca="false">IF(SUMIF(A242:A243,2,P242:P243)=0,"",SUMIF(A242:A243,2,P242:P243))</f>
        <v>5.9428662047432</v>
      </c>
      <c r="Q241" s="29"/>
      <c r="R241" s="29"/>
      <c r="S241" s="31"/>
      <c r="T241" s="32"/>
      <c r="U241" s="33"/>
      <c r="V241" s="34"/>
    </row>
    <row r="242" customFormat="false" ht="15" hidden="false" customHeight="false" outlineLevel="2" collapsed="false">
      <c r="A242" s="35" t="n">
        <v>2</v>
      </c>
      <c r="B242" s="36" t="s">
        <v>967</v>
      </c>
      <c r="C242" s="37" t="s">
        <v>968</v>
      </c>
      <c r="D242" s="36" t="s">
        <v>10</v>
      </c>
      <c r="E242" s="36" t="str">
        <f aca="false">INDEX(REF_DATO,MATCH(D242,REF_ID,0))</f>
        <v>Acero (chapa LAC/LAF, SAE 1010/1045)</v>
      </c>
      <c r="F242" s="38" t="n">
        <v>1</v>
      </c>
      <c r="G242" s="35" t="s">
        <v>264</v>
      </c>
      <c r="H242" s="39" t="n">
        <f aca="false">INDEX(REF_VAL,MATCH(D242,REF_ID,0))</f>
        <v>7.85</v>
      </c>
      <c r="I242" s="40" t="n">
        <f aca="false">F242*J242</f>
        <v>0.734558906755096</v>
      </c>
      <c r="J242" s="40" t="n">
        <v>0.734558906755096</v>
      </c>
      <c r="K242" s="40" t="n">
        <f aca="false">I242*(1-V242)</f>
        <v>0.720898147911767</v>
      </c>
      <c r="L242" s="40" t="n">
        <f aca="false">I242*(1+V242)</f>
        <v>0.748219665598425</v>
      </c>
      <c r="M242" s="40" t="n">
        <f aca="false">F242*N242</f>
        <v>5.7662874180275</v>
      </c>
      <c r="N242" s="40" t="n">
        <f aca="false">J242*H242</f>
        <v>5.7662874180275</v>
      </c>
      <c r="O242" s="40" t="n">
        <f aca="false">K242*Q242</f>
        <v>5.65905046110737</v>
      </c>
      <c r="P242" s="40" t="n">
        <f aca="false">L242*R242</f>
        <v>5.87352437494764</v>
      </c>
      <c r="Q242" s="39" t="n">
        <f aca="false">INDEX(REF_MIN,MATCH(D242,REF_ID,0))</f>
        <v>7.85</v>
      </c>
      <c r="R242" s="39" t="n">
        <f aca="false">INDEX(REF_MAX,MATCH(D242,REF_ID,0))</f>
        <v>7.85</v>
      </c>
      <c r="S242" s="41" t="n">
        <v>27.3215176866585</v>
      </c>
      <c r="T242" s="42" t="n">
        <f aca="false">200*J242/S242</f>
        <v>5.37714570017312</v>
      </c>
      <c r="U242" s="43" t="n">
        <f aca="false">IFERROR(INDEX(ISO_TOL,MATCH(T242,ISO_DESDE,1)),0)</f>
        <v>0.1</v>
      </c>
      <c r="V242" s="44" t="n">
        <f aca="false">IF(T242&gt;0,U242/T242,0)</f>
        <v>0.0185972271491138</v>
      </c>
    </row>
    <row r="243" customFormat="false" ht="15" hidden="false" customHeight="false" outlineLevel="2" collapsed="false">
      <c r="A243" s="35" t="n">
        <v>2</v>
      </c>
      <c r="B243" s="36" t="s">
        <v>969</v>
      </c>
      <c r="C243" s="37" t="s">
        <v>970</v>
      </c>
      <c r="D243" s="36" t="s">
        <v>29</v>
      </c>
      <c r="E243" s="36" t="str">
        <f aca="false">INDEX(REF_DATO,MATCH(D243,REF_ID,0))</f>
        <v>Polietileno de alta densidad</v>
      </c>
      <c r="F243" s="38" t="n">
        <v>1</v>
      </c>
      <c r="G243" s="35" t="s">
        <v>264</v>
      </c>
      <c r="H243" s="39" t="n">
        <f aca="false">INDEX(REF_VAL,MATCH(D243,REF_ID,0))</f>
        <v>0.95</v>
      </c>
      <c r="I243" s="40" t="n">
        <f aca="false">F243*J243</f>
        <v>0.0694403502982547</v>
      </c>
      <c r="J243" s="40" t="n">
        <v>0.0694403502982547</v>
      </c>
      <c r="K243" s="40" t="n">
        <f aca="false">I243*(1-V243)</f>
        <v>0.0673942781268615</v>
      </c>
      <c r="L243" s="40" t="n">
        <f aca="false">I243*(1+V243)</f>
        <v>0.0714864224696479</v>
      </c>
      <c r="M243" s="40" t="n">
        <f aca="false">F243*N243</f>
        <v>0.065968332783342</v>
      </c>
      <c r="N243" s="40" t="n">
        <f aca="false">J243*H243</f>
        <v>0.065968332783342</v>
      </c>
      <c r="O243" s="40" t="n">
        <f aca="false">K243*Q243</f>
        <v>0.0633506214392498</v>
      </c>
      <c r="P243" s="40" t="n">
        <f aca="false">L243*R243</f>
        <v>0.0693418297955585</v>
      </c>
      <c r="Q243" s="39" t="n">
        <f aca="false">INDEX(REF_MIN,MATCH(D243,REF_ID,0))</f>
        <v>0.94</v>
      </c>
      <c r="R243" s="39" t="n">
        <f aca="false">INDEX(REF_MAX,MATCH(D243,REF_ID,0))</f>
        <v>0.97</v>
      </c>
      <c r="S243" s="41" t="n">
        <v>4.09214434278646</v>
      </c>
      <c r="T243" s="42" t="n">
        <f aca="false">200*J243/S243</f>
        <v>3.3938367995578</v>
      </c>
      <c r="U243" s="43" t="n">
        <f aca="false">IFERROR(INDEX(ISO_TOL,MATCH(T243,ISO_DESDE,1)),0)</f>
        <v>0.1</v>
      </c>
      <c r="V243" s="44" t="n">
        <f aca="false">IF(T243&gt;0,U243/T243,0)</f>
        <v>0.0294651764083145</v>
      </c>
    </row>
    <row r="244" customFormat="false" ht="15" hidden="false" customHeight="false" outlineLevel="1" collapsed="false">
      <c r="A244" s="25" t="n">
        <v>1</v>
      </c>
      <c r="B244" s="26" t="s">
        <v>971</v>
      </c>
      <c r="C244" s="27" t="s">
        <v>276</v>
      </c>
      <c r="D244" s="26"/>
      <c r="E244" s="26"/>
      <c r="F244" s="28" t="n">
        <v>1</v>
      </c>
      <c r="G244" s="25" t="s">
        <v>264</v>
      </c>
      <c r="H244" s="29"/>
      <c r="I244" s="30"/>
      <c r="J244" s="30"/>
      <c r="K244" s="30"/>
      <c r="L244" s="30"/>
      <c r="M244" s="30" t="n">
        <f aca="false">IF(SUMIF(A245:A257,2,M245:M257)=0,"",SUMIF(A245:A257,2,M245:M257))</f>
        <v>0.421283554480531</v>
      </c>
      <c r="N244" s="30"/>
      <c r="O244" s="30" t="n">
        <f aca="false">IF(SUMIF(A245:A257,2,O245:O257)=0,"",SUMIF(A245:A257,2,O245:O257))</f>
        <v>0.392234170698553</v>
      </c>
      <c r="P244" s="30" t="n">
        <f aca="false">IF(SUMIF(A245:A257,2,P245:P257)=0,"",SUMIF(A245:A257,2,P245:P257))</f>
        <v>0.450421546240645</v>
      </c>
      <c r="Q244" s="29"/>
      <c r="R244" s="29"/>
      <c r="S244" s="31"/>
      <c r="T244" s="32"/>
      <c r="U244" s="33"/>
      <c r="V244" s="34"/>
    </row>
    <row r="245" customFormat="false" ht="15" hidden="false" customHeight="false" outlineLevel="2" collapsed="false">
      <c r="A245" s="35" t="n">
        <v>2</v>
      </c>
      <c r="B245" s="36" t="s">
        <v>972</v>
      </c>
      <c r="C245" s="37" t="s">
        <v>284</v>
      </c>
      <c r="D245" s="36" t="s">
        <v>17</v>
      </c>
      <c r="E245" s="36" t="str">
        <f aca="false">INDEX(REF_DATO,MATCH(D245,REF_ID,0))</f>
        <v>Latón de forja (CuZn39Pb2 / C37700)</v>
      </c>
      <c r="F245" s="38" t="n">
        <v>1</v>
      </c>
      <c r="G245" s="35" t="s">
        <v>264</v>
      </c>
      <c r="H245" s="39" t="n">
        <f aca="false">INDEX(REF_VAL,MATCH(D245,REF_ID,0))</f>
        <v>8.45</v>
      </c>
      <c r="I245" s="40" t="n">
        <f aca="false">F245*J245</f>
        <v>0.00350149350798504</v>
      </c>
      <c r="J245" s="40" t="n">
        <v>0.00350149350798504</v>
      </c>
      <c r="K245" s="40" t="n">
        <f aca="false">I245*(1-V245)</f>
        <v>0.00338153493410037</v>
      </c>
      <c r="L245" s="40" t="n">
        <f aca="false">I245*(1+V245)</f>
        <v>0.00362145208186971</v>
      </c>
      <c r="M245" s="40" t="n">
        <f aca="false">F245*N245</f>
        <v>0.0295876201424736</v>
      </c>
      <c r="N245" s="40" t="n">
        <f aca="false">J245*H245</f>
        <v>0.0295876201424736</v>
      </c>
      <c r="O245" s="40" t="n">
        <f aca="false">K245*Q245</f>
        <v>0.0284048934464431</v>
      </c>
      <c r="P245" s="40" t="n">
        <f aca="false">L245*R245</f>
        <v>0.0307823426958926</v>
      </c>
      <c r="Q245" s="39" t="n">
        <f aca="false">INDEX(REF_MIN,MATCH(D245,REF_ID,0))</f>
        <v>8.4</v>
      </c>
      <c r="R245" s="39" t="n">
        <f aca="false">INDEX(REF_MAX,MATCH(D245,REF_ID,0))</f>
        <v>8.5</v>
      </c>
      <c r="S245" s="41" t="n">
        <v>0.239917147769345</v>
      </c>
      <c r="T245" s="42" t="n">
        <f aca="false">200*J245/S245</f>
        <v>2.91891891891892</v>
      </c>
      <c r="U245" s="43" t="n">
        <f aca="false">IFERROR(INDEX(ISO_TOL,MATCH(T245,ISO_DESDE,1)),0)</f>
        <v>0.1</v>
      </c>
      <c r="V245" s="44" t="n">
        <f aca="false">IF(T245&gt;0,U245/T245,0)</f>
        <v>0.0342592592592593</v>
      </c>
    </row>
    <row r="246" customFormat="false" ht="15" hidden="false" customHeight="false" outlineLevel="2" collapsed="false">
      <c r="A246" s="35" t="n">
        <v>2</v>
      </c>
      <c r="B246" s="36" t="s">
        <v>973</v>
      </c>
      <c r="C246" s="37" t="s">
        <v>286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0.000852047051543357</v>
      </c>
      <c r="J246" s="40" t="n">
        <v>0.000852047051543357</v>
      </c>
      <c r="K246" s="40" t="n">
        <f aca="false">I246*(1-V246)</f>
        <v>0.000799708117934551</v>
      </c>
      <c r="L246" s="40" t="n">
        <f aca="false">I246*(1+V246)</f>
        <v>0.000904385985152163</v>
      </c>
      <c r="M246" s="40" t="n">
        <f aca="false">F246*N246</f>
        <v>0.00719979758554137</v>
      </c>
      <c r="N246" s="40" t="n">
        <f aca="false">J246*H246</f>
        <v>0.00719979758554137</v>
      </c>
      <c r="O246" s="40" t="n">
        <f aca="false">K246*Q246</f>
        <v>0.00671754819065023</v>
      </c>
      <c r="P246" s="40" t="n">
        <f aca="false">L246*R246</f>
        <v>0.00768728087379339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0.104677867217612</v>
      </c>
      <c r="T246" s="42" t="n">
        <f aca="false">200*J246/S246</f>
        <v>1.62794117647059</v>
      </c>
      <c r="U246" s="43" t="n">
        <f aca="false">IFERROR(INDEX(ISO_TOL,MATCH(T246,ISO_DESDE,1)),0)</f>
        <v>0.1</v>
      </c>
      <c r="V246" s="44" t="n">
        <f aca="false">IF(T246&gt;0,U246/T246,0)</f>
        <v>0.061427280939476</v>
      </c>
    </row>
    <row r="247" customFormat="false" ht="15" hidden="false" customHeight="false" outlineLevel="2" collapsed="false">
      <c r="A247" s="35" t="n">
        <v>2</v>
      </c>
      <c r="B247" s="36" t="s">
        <v>974</v>
      </c>
      <c r="C247" s="37" t="s">
        <v>288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0.0158625495144638</v>
      </c>
      <c r="J247" s="40" t="n">
        <v>0.0158625495144638</v>
      </c>
      <c r="K247" s="40" t="n">
        <f aca="false">I247*(1-V247)</f>
        <v>0.0153478447024551</v>
      </c>
      <c r="L247" s="40" t="n">
        <f aca="false">I247*(1+V247)</f>
        <v>0.0163772543264724</v>
      </c>
      <c r="M247" s="40" t="n">
        <f aca="false">F247*N247</f>
        <v>0.134038543397219</v>
      </c>
      <c r="N247" s="40" t="n">
        <f aca="false">J247*H247</f>
        <v>0.134038543397219</v>
      </c>
      <c r="O247" s="40" t="n">
        <f aca="false">K247*Q247</f>
        <v>0.128921895500623</v>
      </c>
      <c r="P247" s="40" t="n">
        <f aca="false">L247*R247</f>
        <v>0.139206661775015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0.514704812008636</v>
      </c>
      <c r="T247" s="42" t="n">
        <f aca="false">200*J247/S247</f>
        <v>6.16374634329148</v>
      </c>
      <c r="U247" s="43" t="n">
        <f aca="false">IFERROR(INDEX(ISO_TOL,MATCH(T247,ISO_DESDE,1)),0)</f>
        <v>0.2</v>
      </c>
      <c r="V247" s="44" t="n">
        <f aca="false">IF(T247&gt;0,U247/T247,0)</f>
        <v>0.032447798605093</v>
      </c>
    </row>
    <row r="248" customFormat="false" ht="15" hidden="false" customHeight="false" outlineLevel="2" collapsed="false">
      <c r="A248" s="35" t="n">
        <v>2</v>
      </c>
      <c r="B248" s="36" t="s">
        <v>975</v>
      </c>
      <c r="C248" s="37" t="s">
        <v>976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0.00114575160920681</v>
      </c>
      <c r="J248" s="40" t="n">
        <v>0.00114575160920681</v>
      </c>
      <c r="K248" s="40" t="n">
        <f aca="false">I248*(1-V248)</f>
        <v>0.00111412103577118</v>
      </c>
      <c r="L248" s="40" t="n">
        <f aca="false">I248*(1+V248)</f>
        <v>0.00117738218264244</v>
      </c>
      <c r="M248" s="40" t="n">
        <f aca="false">F248*N248</f>
        <v>0.00968160109779753</v>
      </c>
      <c r="N248" s="40" t="n">
        <f aca="false">J248*H248</f>
        <v>0.00968160109779753</v>
      </c>
      <c r="O248" s="40" t="n">
        <f aca="false">K248*Q248</f>
        <v>0.00935861670047789</v>
      </c>
      <c r="P248" s="40" t="n">
        <f aca="false">L248*R248</f>
        <v>0.0100077485524607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0.0632611468712623</v>
      </c>
      <c r="T248" s="42" t="n">
        <f aca="false">200*J248/S248</f>
        <v>3.62229161459382</v>
      </c>
      <c r="U248" s="43" t="n">
        <f aca="false">IFERROR(INDEX(ISO_TOL,MATCH(T248,ISO_DESDE,1)),0)</f>
        <v>0.1</v>
      </c>
      <c r="V248" s="44" t="n">
        <f aca="false">IF(T248&gt;0,U248/T248,0)</f>
        <v>0.0276068330879576</v>
      </c>
    </row>
    <row r="249" customFormat="false" ht="15" hidden="false" customHeight="false" outlineLevel="2" collapsed="false">
      <c r="A249" s="35" t="n">
        <v>2</v>
      </c>
      <c r="B249" s="36" t="s">
        <v>977</v>
      </c>
      <c r="C249" s="37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0.00162231844631377</v>
      </c>
      <c r="J249" s="40" t="n">
        <v>0.00162231844631377</v>
      </c>
      <c r="K249" s="40" t="n">
        <f aca="false">I249*(1-V249)</f>
        <v>0.0015672149111698</v>
      </c>
      <c r="L249" s="40" t="n">
        <f aca="false">I249*(1+V249)</f>
        <v>0.00167742198145773</v>
      </c>
      <c r="M249" s="40" t="n">
        <f aca="false">F249*N249</f>
        <v>0.0137085908713513</v>
      </c>
      <c r="N249" s="40" t="n">
        <f aca="false">J249*H249</f>
        <v>0.0137085908713513</v>
      </c>
      <c r="O249" s="40" t="n">
        <f aca="false">K249*Q249</f>
        <v>0.0131646052538263</v>
      </c>
      <c r="P249" s="40" t="n">
        <f aca="false">L249*R249</f>
        <v>0.0142580868423907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0.11020707028793</v>
      </c>
      <c r="T249" s="42" t="n">
        <f aca="false">200*J249/S249</f>
        <v>2.94412770809578</v>
      </c>
      <c r="U249" s="43" t="n">
        <f aca="false">IFERROR(INDEX(ISO_TOL,MATCH(T249,ISO_DESDE,1)),0)</f>
        <v>0.1</v>
      </c>
      <c r="V249" s="44" t="n">
        <f aca="false">IF(T249&gt;0,U249/T249,0)</f>
        <v>0.0339659178931061</v>
      </c>
    </row>
    <row r="250" customFormat="false" ht="15" hidden="false" customHeight="false" outlineLevel="2" collapsed="false">
      <c r="A250" s="35" t="n">
        <v>2</v>
      </c>
      <c r="B250" s="36" t="s">
        <v>978</v>
      </c>
      <c r="C250" s="37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0.000611811346278937</v>
      </c>
      <c r="J250" s="40" t="n">
        <v>0.000611811346278937</v>
      </c>
      <c r="K250" s="40" t="n">
        <f aca="false">I250*(1-V250)</f>
        <v>0.000611811346278937</v>
      </c>
      <c r="L250" s="40" t="n">
        <f aca="false">I250*(1+V250)</f>
        <v>0.000611811346278937</v>
      </c>
      <c r="M250" s="40" t="n">
        <f aca="false">F250*N250</f>
        <v>0.00485166397599197</v>
      </c>
      <c r="N250" s="40" t="n">
        <f aca="false">J250*H250</f>
        <v>0.00485166397599197</v>
      </c>
      <c r="O250" s="40" t="n">
        <f aca="false">K250*Q250</f>
        <v>0.00485166397599197</v>
      </c>
      <c r="P250" s="40" t="n">
        <f aca="false">L250*R250</f>
        <v>0.00485166397599197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0.606955700673548</v>
      </c>
      <c r="T250" s="42" t="n">
        <f aca="false">200*J250/S250</f>
        <v>0.2016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2" collapsed="false">
      <c r="A251" s="35" t="n">
        <v>2</v>
      </c>
      <c r="B251" s="36" t="s">
        <v>979</v>
      </c>
      <c r="C251" s="37" t="s">
        <v>294</v>
      </c>
      <c r="D251" s="36" t="s">
        <v>14</v>
      </c>
      <c r="E251" s="36" t="str">
        <f aca="false">INDEX(REF_DATO,MATCH(D251,REF_ID,0))</f>
        <v>Acero inoxidable AISI 302 / 304</v>
      </c>
      <c r="F251" s="38" t="n">
        <v>1</v>
      </c>
      <c r="G251" s="35" t="s">
        <v>264</v>
      </c>
      <c r="H251" s="39" t="n">
        <f aca="false">INDEX(REF_VAL,MATCH(D251,REF_ID,0))</f>
        <v>7.93</v>
      </c>
      <c r="I251" s="40" t="n">
        <f aca="false">F251*J251</f>
        <v>0.000414690230273853</v>
      </c>
      <c r="J251" s="40" t="n">
        <v>0.000414690230273853</v>
      </c>
      <c r="K251" s="40" t="n">
        <f aca="false">I251*(1-V251)</f>
        <v>0.000392699081698725</v>
      </c>
      <c r="L251" s="40" t="n">
        <f aca="false">I251*(1+V251)</f>
        <v>0.000436681378848982</v>
      </c>
      <c r="M251" s="40" t="n">
        <f aca="false">F251*N251</f>
        <v>0.00328849352607166</v>
      </c>
      <c r="N251" s="40" t="n">
        <f aca="false">J251*H251</f>
        <v>0.00328849352607166</v>
      </c>
      <c r="O251" s="40" t="n">
        <f aca="false">K251*Q251</f>
        <v>0.00311410371787089</v>
      </c>
      <c r="P251" s="40" t="n">
        <f aca="false">L251*R251</f>
        <v>0.00346288333427243</v>
      </c>
      <c r="Q251" s="39" t="n">
        <f aca="false">INDEX(REF_MIN,MATCH(D251,REF_ID,0))</f>
        <v>7.93</v>
      </c>
      <c r="R251" s="39" t="n">
        <f aca="false">INDEX(REF_MAX,MATCH(D251,REF_ID,0))</f>
        <v>7.93</v>
      </c>
      <c r="S251" s="41" t="n">
        <v>0.0439822971502571</v>
      </c>
      <c r="T251" s="42" t="n">
        <f aca="false">200*J251/S251</f>
        <v>1.88571428571429</v>
      </c>
      <c r="U251" s="43" t="n">
        <f aca="false">IFERROR(INDEX(ISO_TOL,MATCH(T251,ISO_DESDE,1)),0)</f>
        <v>0.1</v>
      </c>
      <c r="V251" s="44" t="n">
        <f aca="false">IF(T251&gt;0,U251/T251,0)</f>
        <v>0.053030303030303</v>
      </c>
    </row>
    <row r="252" customFormat="false" ht="15" hidden="false" customHeight="false" outlineLevel="2" collapsed="false">
      <c r="A252" s="35" t="n">
        <v>2</v>
      </c>
      <c r="B252" s="36" t="s">
        <v>980</v>
      </c>
      <c r="C252" s="37" t="s">
        <v>296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0.000697299378581362</v>
      </c>
      <c r="J252" s="40" t="n">
        <v>0.000697299378581362</v>
      </c>
      <c r="K252" s="40" t="n">
        <f aca="false">I252*(1-V252)</f>
        <v>0.000650528229897512</v>
      </c>
      <c r="L252" s="40" t="n">
        <f aca="false">I252*(1+V252)</f>
        <v>0.000744070527265213</v>
      </c>
      <c r="M252" s="40" t="n">
        <f aca="false">F252*N252</f>
        <v>0.0055295840721502</v>
      </c>
      <c r="N252" s="40" t="n">
        <f aca="false">J252*H252</f>
        <v>0.0055295840721502</v>
      </c>
      <c r="O252" s="40" t="n">
        <f aca="false">K252*Q252</f>
        <v>0.00515868886308727</v>
      </c>
      <c r="P252" s="40" t="n">
        <f aca="false">L252*R252</f>
        <v>0.00590047928121314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0.0935422973677011</v>
      </c>
      <c r="T252" s="42" t="n">
        <f aca="false">200*J252/S252</f>
        <v>1.49087503344157</v>
      </c>
      <c r="U252" s="43" t="n">
        <f aca="false">IFERROR(INDEX(ISO_TOL,MATCH(T252,ISO_DESDE,1)),0)</f>
        <v>0.1</v>
      </c>
      <c r="V252" s="44" t="n">
        <f aca="false">IF(T252&gt;0,U252/T252,0)</f>
        <v>0.0670747029475421</v>
      </c>
    </row>
    <row r="253" customFormat="false" ht="15" hidden="false" customHeight="false" outlineLevel="2" collapsed="false">
      <c r="A253" s="35" t="n">
        <v>2</v>
      </c>
      <c r="B253" s="36" t="s">
        <v>981</v>
      </c>
      <c r="C253" s="37" t="s">
        <v>298</v>
      </c>
      <c r="D253" s="36" t="s">
        <v>10</v>
      </c>
      <c r="E253" s="36" t="str">
        <f aca="false">INDEX(REF_DATO,MATCH(D253,REF_ID,0))</f>
        <v>Acero (chapa LAC/LAF, SAE 1010/1045)</v>
      </c>
      <c r="F253" s="38" t="n">
        <v>1</v>
      </c>
      <c r="G253" s="35" t="s">
        <v>264</v>
      </c>
      <c r="H253" s="39" t="n">
        <f aca="false">INDEX(REF_VAL,MATCH(D253,REF_ID,0))</f>
        <v>7.85</v>
      </c>
      <c r="I253" s="40" t="n">
        <f aca="false">F253*J253</f>
        <v>0.0122208194772714</v>
      </c>
      <c r="J253" s="40" t="n">
        <v>0.0122208194772714</v>
      </c>
      <c r="K253" s="40" t="n">
        <f aca="false">I253*(1-V253)</f>
        <v>0.0109151420660494</v>
      </c>
      <c r="L253" s="40" t="n">
        <f aca="false">I253*(1+V253)</f>
        <v>0.0135264968884934</v>
      </c>
      <c r="M253" s="40" t="n">
        <f aca="false">F253*N253</f>
        <v>0.0959334328965803</v>
      </c>
      <c r="N253" s="40" t="n">
        <f aca="false">J253*H253</f>
        <v>0.0959334328965803</v>
      </c>
      <c r="O253" s="40" t="n">
        <f aca="false">K253*Q253</f>
        <v>0.0856838652184875</v>
      </c>
      <c r="P253" s="40" t="n">
        <f aca="false">L253*R253</f>
        <v>0.106183000574673</v>
      </c>
      <c r="Q253" s="39" t="n">
        <f aca="false">INDEX(REF_MIN,MATCH(D253,REF_ID,0))</f>
        <v>7.85</v>
      </c>
      <c r="R253" s="39" t="n">
        <f aca="false">INDEX(REF_MAX,MATCH(D253,REF_ID,0))</f>
        <v>7.85</v>
      </c>
      <c r="S253" s="41" t="n">
        <v>2.61135482244403</v>
      </c>
      <c r="T253" s="42" t="n">
        <f aca="false">200*J253/S253</f>
        <v>0.935975408032342</v>
      </c>
      <c r="U253" s="43" t="n">
        <f aca="false">IFERROR(INDEX(ISO_TOL,MATCH(T253,ISO_DESDE,1)),0)</f>
        <v>0.1</v>
      </c>
      <c r="V253" s="44" t="n">
        <f aca="false">IF(T253&gt;0,U253/T253,0)</f>
        <v>0.106840413905986</v>
      </c>
    </row>
    <row r="254" customFormat="false" ht="15" hidden="false" customHeight="false" outlineLevel="2" collapsed="false">
      <c r="A254" s="35" t="n">
        <v>2</v>
      </c>
      <c r="B254" s="36" t="s">
        <v>982</v>
      </c>
      <c r="C254" s="37" t="s">
        <v>300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0.00964038014337067</v>
      </c>
      <c r="J254" s="40" t="n">
        <v>0.00964038014337067</v>
      </c>
      <c r="K254" s="40" t="n">
        <f aca="false">I254*(1-V254)</f>
        <v>0.0086555819754406</v>
      </c>
      <c r="L254" s="40" t="n">
        <f aca="false">I254*(1+V254)</f>
        <v>0.0106251783113007</v>
      </c>
      <c r="M254" s="40" t="n">
        <f aca="false">F254*N254</f>
        <v>0.0756769841254598</v>
      </c>
      <c r="N254" s="40" t="n">
        <f aca="false">J254*H254</f>
        <v>0.0756769841254598</v>
      </c>
      <c r="O254" s="40" t="n">
        <f aca="false">K254*Q254</f>
        <v>0.0679463185072087</v>
      </c>
      <c r="P254" s="40" t="n">
        <f aca="false">L254*R254</f>
        <v>0.0834076497437108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1.96959633586015</v>
      </c>
      <c r="T254" s="42" t="n">
        <f aca="false">200*J254/S254</f>
        <v>0.978919382398282</v>
      </c>
      <c r="U254" s="43" t="n">
        <f aca="false">IFERROR(INDEX(ISO_TOL,MATCH(T254,ISO_DESDE,1)),0)</f>
        <v>0.1</v>
      </c>
      <c r="V254" s="44" t="n">
        <f aca="false">IF(T254&gt;0,U254/T254,0)</f>
        <v>0.102153457984464</v>
      </c>
    </row>
    <row r="255" customFormat="false" ht="15" hidden="false" customHeight="false" outlineLevel="2" collapsed="false">
      <c r="A255" s="35" t="n">
        <v>2</v>
      </c>
      <c r="B255" s="36" t="s">
        <v>983</v>
      </c>
      <c r="C255" s="37" t="s">
        <v>302</v>
      </c>
      <c r="D255" s="36" t="s">
        <v>20</v>
      </c>
      <c r="E255" s="36" t="str">
        <f aca="false">INDEX(REF_DATO,MATCH(D255,REF_ID,0))</f>
        <v>Aluminio</v>
      </c>
      <c r="F255" s="38" t="n">
        <v>1</v>
      </c>
      <c r="G255" s="35" t="s">
        <v>264</v>
      </c>
      <c r="H255" s="39" t="n">
        <f aca="false">INDEX(REF_VAL,MATCH(D255,REF_ID,0))</f>
        <v>2.7</v>
      </c>
      <c r="I255" s="40" t="n">
        <f aca="false">F255*J255</f>
        <v>0.0151022787445417</v>
      </c>
      <c r="J255" s="40" t="n">
        <v>0.0151022787445417</v>
      </c>
      <c r="K255" s="40" t="n">
        <f aca="false">I255*(1-V255)</f>
        <v>0.0140914546309389</v>
      </c>
      <c r="L255" s="40" t="n">
        <f aca="false">I255*(1+V255)</f>
        <v>0.0161131028581445</v>
      </c>
      <c r="M255" s="40" t="n">
        <f aca="false">F255*N255</f>
        <v>0.0407761526102626</v>
      </c>
      <c r="N255" s="40" t="n">
        <f aca="false">J255*H255</f>
        <v>0.0407761526102626</v>
      </c>
      <c r="O255" s="40" t="n">
        <f aca="false">K255*Q255</f>
        <v>0.0380469275035351</v>
      </c>
      <c r="P255" s="40" t="n">
        <f aca="false">L255*R255</f>
        <v>0.0435053777169901</v>
      </c>
      <c r="Q255" s="39" t="n">
        <f aca="false">INDEX(REF_MIN,MATCH(D255,REF_ID,0))</f>
        <v>2.7</v>
      </c>
      <c r="R255" s="39" t="n">
        <f aca="false">INDEX(REF_MAX,MATCH(D255,REF_ID,0))</f>
        <v>2.7</v>
      </c>
      <c r="S255" s="41" t="n">
        <v>2.02164822720555</v>
      </c>
      <c r="T255" s="42" t="n">
        <f aca="false">200*J255/S255</f>
        <v>1.4940560421253</v>
      </c>
      <c r="U255" s="43" t="n">
        <f aca="false">IFERROR(INDEX(ISO_TOL,MATCH(T255,ISO_DESDE,1)),0)</f>
        <v>0.1</v>
      </c>
      <c r="V255" s="44" t="n">
        <f aca="false">IF(T255&gt;0,U255/T255,0)</f>
        <v>0.0669318935705718</v>
      </c>
    </row>
    <row r="256" customFormat="false" ht="15" hidden="false" customHeight="false" outlineLevel="2" collapsed="false">
      <c r="A256" s="35" t="n">
        <v>2</v>
      </c>
      <c r="B256" s="36" t="s">
        <v>984</v>
      </c>
      <c r="C256" s="37" t="s">
        <v>280</v>
      </c>
      <c r="D256" s="36" t="s">
        <v>23</v>
      </c>
      <c r="E256" s="36" t="str">
        <f aca="false">INDEX(REF_DATO,MATCH(D256,REF_ID,0))</f>
        <v>Caucho sintético (NBR / SBR)</v>
      </c>
      <c r="F256" s="38" t="n">
        <v>1</v>
      </c>
      <c r="G256" s="35" t="s">
        <v>264</v>
      </c>
      <c r="H256" s="39" t="n">
        <f aca="false">INDEX(REF_VAL,MATCH(D256,REF_ID,0))</f>
        <v>1.2</v>
      </c>
      <c r="I256" s="40" t="n">
        <f aca="false">F256*J256</f>
        <v>0.000842575149692783</v>
      </c>
      <c r="J256" s="40" t="n">
        <v>0.000842575149692783</v>
      </c>
      <c r="K256" s="40" t="n">
        <f aca="false">I256*(1-V256)</f>
        <v>0.000786403473046597</v>
      </c>
      <c r="L256" s="40" t="n">
        <f aca="false">I256*(1+V256)</f>
        <v>0.000898746826338968</v>
      </c>
      <c r="M256" s="40" t="n">
        <f aca="false">F256*N256</f>
        <v>0.00101109017963134</v>
      </c>
      <c r="N256" s="40" t="n">
        <f aca="false">J256*H256</f>
        <v>0.00101109017963134</v>
      </c>
      <c r="O256" s="40" t="n">
        <f aca="false">K256*Q256</f>
        <v>0.000865043820351257</v>
      </c>
      <c r="P256" s="40" t="n">
        <f aca="false">L256*R256</f>
        <v>0.00116837087424066</v>
      </c>
      <c r="Q256" s="39" t="n">
        <f aca="false">INDEX(REF_MIN,MATCH(D256,REF_ID,0))</f>
        <v>1.1</v>
      </c>
      <c r="R256" s="39" t="n">
        <f aca="false">INDEX(REF_MAX,MATCH(D256,REF_ID,0))</f>
        <v>1.3</v>
      </c>
      <c r="S256" s="41" t="n">
        <v>0.112343353292371</v>
      </c>
      <c r="T256" s="42" t="n">
        <f aca="false">200*J256/S256</f>
        <v>1.5</v>
      </c>
      <c r="U256" s="43" t="n">
        <f aca="false">IFERROR(INDEX(ISO_TOL,MATCH(T256,ISO_DESDE,1)),0)</f>
        <v>0.1</v>
      </c>
      <c r="V256" s="44" t="n">
        <f aca="false">IF(T256&gt;0,U256/T256,0)</f>
        <v>0.0666666666666666</v>
      </c>
    </row>
    <row r="257" customFormat="false" ht="15" hidden="false" customHeight="false" outlineLevel="2" collapsed="false">
      <c r="A257" s="35" t="n">
        <v>2</v>
      </c>
      <c r="B257" s="36" t="s">
        <v>985</v>
      </c>
      <c r="C257" s="37" t="s">
        <v>306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1" collapsed="false">
      <c r="A258" s="25" t="n">
        <v>1</v>
      </c>
      <c r="B258" s="26" t="s">
        <v>986</v>
      </c>
      <c r="C258" s="27" t="s">
        <v>308</v>
      </c>
      <c r="D258" s="26"/>
      <c r="E258" s="26"/>
      <c r="F258" s="28" t="n">
        <v>1</v>
      </c>
      <c r="G258" s="25" t="s">
        <v>264</v>
      </c>
      <c r="H258" s="29"/>
      <c r="I258" s="30"/>
      <c r="J258" s="30"/>
      <c r="K258" s="30"/>
      <c r="L258" s="30"/>
      <c r="M258" s="30" t="n">
        <f aca="false">IF(SUMIF(A259:A261,2,M259:M261)=0,"",SUMIF(A259:A261,2,M259:M261))</f>
        <v>0.118786320085297</v>
      </c>
      <c r="N258" s="30"/>
      <c r="O258" s="30" t="n">
        <f aca="false">IF(SUMIF(A259:A261,2,O259:O261)=0,"",SUMIF(A259:A261,2,O259:O261))</f>
        <v>0.111838523230491</v>
      </c>
      <c r="P258" s="30" t="n">
        <f aca="false">IF(SUMIF(A259:A261,2,P259:P261)=0,"",SUMIF(A259:A261,2,P259:P261))</f>
        <v>0.126565256099869</v>
      </c>
      <c r="Q258" s="29"/>
      <c r="R258" s="29"/>
      <c r="S258" s="31"/>
      <c r="T258" s="32"/>
      <c r="U258" s="33"/>
      <c r="V258" s="34"/>
    </row>
    <row r="259" customFormat="false" ht="15" hidden="false" customHeight="false" outlineLevel="2" collapsed="false">
      <c r="A259" s="35" t="n">
        <v>2</v>
      </c>
      <c r="B259" s="36" t="s">
        <v>987</v>
      </c>
      <c r="C259" s="37" t="s">
        <v>988</v>
      </c>
      <c r="D259" s="36" t="s">
        <v>10</v>
      </c>
      <c r="E259" s="36" t="str">
        <f aca="false">INDEX(REF_DATO,MATCH(D259,REF_ID,0))</f>
        <v>Acero (chapa LAC/LAF, SAE 1010/1045)</v>
      </c>
      <c r="F259" s="38" t="n">
        <v>1</v>
      </c>
      <c r="G259" s="35" t="s">
        <v>264</v>
      </c>
      <c r="H259" s="39" t="n">
        <f aca="false">INDEX(REF_VAL,MATCH(D259,REF_ID,0))</f>
        <v>7.85</v>
      </c>
      <c r="I259" s="40" t="n">
        <f aca="false">F259*J259</f>
        <v>0.00610468882768832</v>
      </c>
      <c r="J259" s="40" t="n">
        <v>0.00610468882768832</v>
      </c>
      <c r="K259" s="40" t="n">
        <f aca="false">I259*(1-V259)</f>
        <v>0.00562987018816112</v>
      </c>
      <c r="L259" s="40" t="n">
        <f aca="false">I259*(1+V259)</f>
        <v>0.00657950746721553</v>
      </c>
      <c r="M259" s="40" t="n">
        <f aca="false">F259*N259</f>
        <v>0.0479218072973533</v>
      </c>
      <c r="N259" s="40" t="n">
        <f aca="false">J259*H259</f>
        <v>0.0479218072973533</v>
      </c>
      <c r="O259" s="40" t="n">
        <f aca="false">K259*Q259</f>
        <v>0.0441944809770648</v>
      </c>
      <c r="P259" s="40" t="n">
        <f aca="false">L259*R259</f>
        <v>0.0516491336176419</v>
      </c>
      <c r="Q259" s="39" t="n">
        <f aca="false">INDEX(REF_MIN,MATCH(D259,REF_ID,0))</f>
        <v>7.85</v>
      </c>
      <c r="R259" s="39" t="n">
        <f aca="false">INDEX(REF_MAX,MATCH(D259,REF_ID,0))</f>
        <v>7.85</v>
      </c>
      <c r="S259" s="41" t="n">
        <v>0.949637279054408</v>
      </c>
      <c r="T259" s="42" t="n">
        <f aca="false">200*J259/S259</f>
        <v>1.28568853863172</v>
      </c>
      <c r="U259" s="43" t="n">
        <f aca="false">IFERROR(INDEX(ISO_TOL,MATCH(T259,ISO_DESDE,1)),0)</f>
        <v>0.1</v>
      </c>
      <c r="V259" s="44" t="n">
        <f aca="false">IF(T259&gt;0,U259/T259,0)</f>
        <v>0.0777793353485315</v>
      </c>
    </row>
    <row r="260" customFormat="false" ht="15" hidden="false" customHeight="false" outlineLevel="2" collapsed="false">
      <c r="A260" s="35" t="n">
        <v>2</v>
      </c>
      <c r="B260" s="36" t="s">
        <v>989</v>
      </c>
      <c r="C260" s="37" t="s">
        <v>990</v>
      </c>
      <c r="D260" s="36" t="s">
        <v>29</v>
      </c>
      <c r="E260" s="36" t="str">
        <f aca="false">INDEX(REF_DATO,MATCH(D260,REF_ID,0))</f>
        <v>Polietileno de alta densidad</v>
      </c>
      <c r="F260" s="38" t="n">
        <v>1</v>
      </c>
      <c r="G260" s="35" t="s">
        <v>264</v>
      </c>
      <c r="H260" s="39" t="n">
        <f aca="false">INDEX(REF_VAL,MATCH(D260,REF_ID,0))</f>
        <v>0.95</v>
      </c>
      <c r="I260" s="40" t="n">
        <f aca="false">F260*J260</f>
        <v>0.059415371061017</v>
      </c>
      <c r="J260" s="40" t="n">
        <v>0.059415371061017</v>
      </c>
      <c r="K260" s="40" t="n">
        <f aca="false">I260*(1-V260)</f>
        <v>0.0569821532654561</v>
      </c>
      <c r="L260" s="40" t="n">
        <f aca="false">I260*(1+V260)</f>
        <v>0.0618485888565778</v>
      </c>
      <c r="M260" s="40" t="n">
        <f aca="false">F260*N260</f>
        <v>0.0564446025079661</v>
      </c>
      <c r="N260" s="40" t="n">
        <f aca="false">J260*H260</f>
        <v>0.0564446025079661</v>
      </c>
      <c r="O260" s="40" t="n">
        <f aca="false">K260*Q260</f>
        <v>0.0535632240695287</v>
      </c>
      <c r="P260" s="40" t="n">
        <f aca="false">L260*R260</f>
        <v>0.0599931311908805</v>
      </c>
      <c r="Q260" s="39" t="n">
        <f aca="false">INDEX(REF_MIN,MATCH(D260,REF_ID,0))</f>
        <v>0.94</v>
      </c>
      <c r="R260" s="39" t="n">
        <f aca="false">INDEX(REF_MAX,MATCH(D260,REF_ID,0))</f>
        <v>0.97</v>
      </c>
      <c r="S260" s="41" t="n">
        <v>4.86643559112179</v>
      </c>
      <c r="T260" s="42" t="n">
        <f aca="false">200*J260/S260</f>
        <v>2.44184351969696</v>
      </c>
      <c r="U260" s="43" t="n">
        <f aca="false">IFERROR(INDEX(ISO_TOL,MATCH(T260,ISO_DESDE,1)),0)</f>
        <v>0.1</v>
      </c>
      <c r="V260" s="44" t="n">
        <f aca="false">IF(T260&gt;0,U260/T260,0)</f>
        <v>0.0409526651455578</v>
      </c>
    </row>
    <row r="261" customFormat="false" ht="15" hidden="false" customHeight="false" outlineLevel="2" collapsed="false">
      <c r="A261" s="35" t="n">
        <v>2</v>
      </c>
      <c r="B261" s="36" t="s">
        <v>991</v>
      </c>
      <c r="C261" s="37" t="s">
        <v>992</v>
      </c>
      <c r="D261" s="36" t="s">
        <v>26</v>
      </c>
      <c r="E261" s="36" t="str">
        <f aca="false">INDEX(REF_DATO,MATCH(D261,REF_ID,0))</f>
        <v>Polipropileno</v>
      </c>
      <c r="F261" s="38" t="n">
        <v>1</v>
      </c>
      <c r="G261" s="35" t="s">
        <v>264</v>
      </c>
      <c r="H261" s="39" t="n">
        <f aca="false">INDEX(REF_VAL,MATCH(D261,REF_ID,0))</f>
        <v>0.9</v>
      </c>
      <c r="I261" s="40" t="n">
        <f aca="false">F261*J261</f>
        <v>0.016022122533308</v>
      </c>
      <c r="J261" s="40" t="n">
        <v>0.016022122533308</v>
      </c>
      <c r="K261" s="40" t="n">
        <f aca="false">I261*(1-V261)</f>
        <v>0.0156453535376635</v>
      </c>
      <c r="L261" s="40" t="n">
        <f aca="false">I261*(1+V261)</f>
        <v>0.0163988915289524</v>
      </c>
      <c r="M261" s="40" t="n">
        <f aca="false">F261*N261</f>
        <v>0.0144199102799772</v>
      </c>
      <c r="N261" s="40" t="n">
        <f aca="false">J261*H261</f>
        <v>0.0144199102799772</v>
      </c>
      <c r="O261" s="40" t="n">
        <f aca="false">K261*Q261</f>
        <v>0.0140808181838971</v>
      </c>
      <c r="P261" s="40" t="n">
        <f aca="false">L261*R261</f>
        <v>0.0149229912913467</v>
      </c>
      <c r="Q261" s="39" t="n">
        <f aca="false">INDEX(REF_MIN,MATCH(D261,REF_ID,0))</f>
        <v>0.9</v>
      </c>
      <c r="R261" s="39" t="n">
        <f aca="false">INDEX(REF_MAX,MATCH(D261,REF_ID,0))</f>
        <v>0.91</v>
      </c>
      <c r="S261" s="41" t="n">
        <v>0.75353799128894</v>
      </c>
      <c r="T261" s="42" t="n">
        <f aca="false">200*J261/S261</f>
        <v>4.25250557198897</v>
      </c>
      <c r="U261" s="43" t="n">
        <f aca="false">IFERROR(INDEX(ISO_TOL,MATCH(T261,ISO_DESDE,1)),0)</f>
        <v>0.1</v>
      </c>
      <c r="V261" s="44" t="n">
        <f aca="false">IF(T261&gt;0,U261/T261,0)</f>
        <v>0.0235155482590534</v>
      </c>
    </row>
    <row r="262" customFormat="false" ht="15" hidden="false" customHeight="false" outlineLevel="1" collapsed="false">
      <c r="A262" s="25" t="n">
        <v>1</v>
      </c>
      <c r="B262" s="26" t="s">
        <v>993</v>
      </c>
      <c r="C262" s="27" t="s">
        <v>312</v>
      </c>
      <c r="D262" s="26"/>
      <c r="E262" s="26"/>
      <c r="F262" s="28" t="n">
        <v>1</v>
      </c>
      <c r="G262" s="25" t="s">
        <v>264</v>
      </c>
      <c r="H262" s="29"/>
      <c r="I262" s="30"/>
      <c r="J262" s="30"/>
      <c r="K262" s="30"/>
      <c r="L262" s="30"/>
      <c r="M262" s="30" t="n">
        <f aca="false">IF(SUMIF(A263:A263,2,M263:M263)=0,"",SUMIF(A263:A263,2,M263:M263))</f>
        <v>2</v>
      </c>
      <c r="N262" s="30"/>
      <c r="O262" s="30" t="n">
        <f aca="false">IF(SUMIF(A263:A263,2,O263:O263)=0,"",SUMIF(A263:A263,2,O263:O263))</f>
        <v>1.9</v>
      </c>
      <c r="P262" s="30" t="n">
        <f aca="false">IF(SUMIF(A263:A263,2,P263:P263)=0,"",SUMIF(A263:A263,2,P263:P263))</f>
        <v>2</v>
      </c>
      <c r="Q262" s="29"/>
      <c r="R262" s="29"/>
      <c r="S262" s="31"/>
      <c r="T262" s="32"/>
      <c r="U262" s="33"/>
      <c r="V262" s="34"/>
    </row>
    <row r="263" customFormat="false" ht="15" hidden="false" customHeight="false" outlineLevel="2" collapsed="false">
      <c r="A263" s="35" t="n">
        <v>2</v>
      </c>
      <c r="B263" s="36" t="s">
        <v>994</v>
      </c>
      <c r="C263" s="37" t="s">
        <v>995</v>
      </c>
      <c r="D263" s="36" t="s">
        <v>71</v>
      </c>
      <c r="E263" s="36" t="str">
        <f aca="false">INDEX(REF_DATO,MATCH(D263,REF_ID,0))</f>
        <v>Dióxido de carbono (IRAM 41170)</v>
      </c>
      <c r="F263" s="38" t="n">
        <f aca="false">MODELOS!$L$12</f>
        <v>2</v>
      </c>
      <c r="G263" s="35" t="s">
        <v>123</v>
      </c>
      <c r="H263" s="39" t="n">
        <f aca="false">MODELOS!$AJ$12</f>
        <v>0.675675675675676</v>
      </c>
      <c r="I263" s="40" t="n">
        <f aca="false">F263*J263</f>
        <v>2.96</v>
      </c>
      <c r="J263" s="40" t="n">
        <f aca="false">1/H263</f>
        <v>1.48</v>
      </c>
      <c r="K263" s="40" t="n">
        <f aca="false">MODELOS!$M$12/H263</f>
        <v>2.812</v>
      </c>
      <c r="L263" s="40" t="n">
        <f aca="false">MODELOS!$N$12/H263</f>
        <v>2.96</v>
      </c>
      <c r="M263" s="40" t="n">
        <f aca="false">F263</f>
        <v>2</v>
      </c>
      <c r="N263" s="40" t="n">
        <v>1</v>
      </c>
      <c r="O263" s="40" t="n">
        <f aca="false">MODELOS!$M$12</f>
        <v>1.9</v>
      </c>
      <c r="P263" s="40" t="n">
        <f aca="false">MODELOS!$N$12</f>
        <v>2</v>
      </c>
      <c r="Q263" s="39"/>
      <c r="R263" s="39"/>
      <c r="S263" s="41"/>
      <c r="T263" s="42"/>
      <c r="U263" s="43"/>
      <c r="V263" s="44"/>
    </row>
    <row r="264" customFormat="false" ht="15" hidden="false" customHeight="false" outlineLevel="1" collapsed="false">
      <c r="A264" s="25" t="n">
        <v>1</v>
      </c>
      <c r="B264" s="26" t="s">
        <v>996</v>
      </c>
      <c r="C264" s="27" t="s">
        <v>318</v>
      </c>
      <c r="D264" s="26"/>
      <c r="E264" s="26"/>
      <c r="F264" s="28" t="n">
        <v>1</v>
      </c>
      <c r="G264" s="25" t="s">
        <v>264</v>
      </c>
      <c r="H264" s="29"/>
      <c r="I264" s="30"/>
      <c r="J264" s="30"/>
      <c r="K264" s="30"/>
      <c r="L264" s="30"/>
      <c r="M264" s="30" t="n">
        <f aca="false">IF(SUMIF(A265:A271,2,M265:M271)=0,"",SUMIF(A265:A271,2,M265:M271))</f>
        <v>0.032300617163731</v>
      </c>
      <c r="N264" s="30"/>
      <c r="O264" s="30" t="n">
        <f aca="false">IF(SUMIF(A265:A271,2,O265:O271)=0,"",SUMIF(A265:A271,2,O265:O271))</f>
        <v>0.0311444991995011</v>
      </c>
      <c r="P264" s="30" t="n">
        <f aca="false">IF(SUMIF(A265:A271,2,P265:P271)=0,"",SUMIF(A265:A271,2,P265:P271))</f>
        <v>0.0334587967981398</v>
      </c>
      <c r="Q264" s="29"/>
      <c r="R264" s="29"/>
      <c r="S264" s="31"/>
      <c r="T264" s="32"/>
      <c r="U264" s="33"/>
      <c r="V264" s="34"/>
    </row>
    <row r="265" customFormat="false" ht="15" hidden="false" customHeight="false" outlineLevel="2" collapsed="false">
      <c r="A265" s="35" t="n">
        <v>2</v>
      </c>
      <c r="B265" s="36" t="s">
        <v>997</v>
      </c>
      <c r="C265" s="37" t="s">
        <v>320</v>
      </c>
      <c r="D265" s="36" t="s">
        <v>32</v>
      </c>
      <c r="E265" s="36" t="str">
        <f aca="false">INDEX(REF_DATO,MATCH(D265,REF_ID,0))</f>
        <v>PVC rígido, vinilo y papeles de identificación</v>
      </c>
      <c r="F265" s="38" t="n">
        <v>1</v>
      </c>
      <c r="G265" s="35" t="s">
        <v>264</v>
      </c>
      <c r="H265" s="39" t="n">
        <f aca="false">INDEX(REF_VAL,MATCH(D265,REF_ID,0))</f>
        <v>1.4</v>
      </c>
      <c r="I265" s="40" t="n">
        <f aca="false">F265*J265</f>
        <v>0.0187414586832761</v>
      </c>
      <c r="J265" s="40" t="n">
        <v>0.0187414586832761</v>
      </c>
      <c r="K265" s="40" t="n">
        <f aca="false">I265*(1-V265)</f>
        <v>0.0187414586832761</v>
      </c>
      <c r="L265" s="40" t="n">
        <f aca="false">I265*(1+V265)</f>
        <v>0.0187414586832761</v>
      </c>
      <c r="M265" s="40" t="n">
        <f aca="false">F265*N265</f>
        <v>0.0262380421565865</v>
      </c>
      <c r="N265" s="40" t="n">
        <f aca="false">J265*H265</f>
        <v>0.0262380421565865</v>
      </c>
      <c r="O265" s="40" t="n">
        <f aca="false">K265*Q265</f>
        <v>0.0253009692224227</v>
      </c>
      <c r="P265" s="40" t="n">
        <f aca="false">L265*R265</f>
        <v>0.0271751150907503</v>
      </c>
      <c r="Q265" s="39" t="n">
        <f aca="false">INDEX(REF_MIN,MATCH(D265,REF_ID,0))</f>
        <v>1.35</v>
      </c>
      <c r="R265" s="39" t="n">
        <f aca="false">INDEX(REF_MAX,MATCH(D265,REF_ID,0))</f>
        <v>1.45</v>
      </c>
      <c r="S265" s="41" t="n">
        <v>12.52463028172</v>
      </c>
      <c r="T265" s="42" t="n">
        <f aca="false">200*J265/S265</f>
        <v>0.299273643400551</v>
      </c>
      <c r="U265" s="43" t="n">
        <f aca="false">IFERROR(INDEX(ISO_TOL,MATCH(T265,ISO_DESDE,1)),0)</f>
        <v>0</v>
      </c>
      <c r="V265" s="44" t="n">
        <f aca="false">IF(T265&gt;0,U265/T265,0)</f>
        <v>0</v>
      </c>
    </row>
    <row r="266" customFormat="false" ht="15" hidden="false" customHeight="false" outlineLevel="2" collapsed="false">
      <c r="A266" s="35" t="n">
        <v>2</v>
      </c>
      <c r="B266" s="36" t="s">
        <v>998</v>
      </c>
      <c r="C266" s="37" t="s">
        <v>322</v>
      </c>
      <c r="D266" s="36" t="s">
        <v>32</v>
      </c>
      <c r="E266" s="36" t="str">
        <f aca="false">INDEX(REF_DATO,MATCH(D266,REF_ID,0))</f>
        <v>PVC rígido, vinilo y papeles de identificación</v>
      </c>
      <c r="F266" s="38" t="n">
        <v>1</v>
      </c>
      <c r="G266" s="35" t="s">
        <v>264</v>
      </c>
      <c r="H266" s="39" t="n">
        <f aca="false">INDEX(REF_VAL,MATCH(D266,REF_ID,0))</f>
        <v>1.4</v>
      </c>
      <c r="I266" s="40" t="n">
        <f aca="false">F266*J266</f>
        <v>0.000636470526312859</v>
      </c>
      <c r="J266" s="40" t="n">
        <v>0.000636470526312859</v>
      </c>
      <c r="K266" s="40" t="n">
        <f aca="false">I266*(1-V266)</f>
        <v>0.000636470526312859</v>
      </c>
      <c r="L266" s="40" t="n">
        <f aca="false">I266*(1+V266)</f>
        <v>0.000636470526312859</v>
      </c>
      <c r="M266" s="40" t="n">
        <f aca="false">F266*N266</f>
        <v>0.000891058736838002</v>
      </c>
      <c r="N266" s="40" t="n">
        <f aca="false">J266*H266</f>
        <v>0.000891058736838002</v>
      </c>
      <c r="O266" s="40" t="n">
        <f aca="false">K266*Q266</f>
        <v>0.00085923521052236</v>
      </c>
      <c r="P266" s="40" t="n">
        <f aca="false">L266*R266</f>
        <v>0.000922882263153645</v>
      </c>
      <c r="Q266" s="39" t="n">
        <f aca="false">INDEX(REF_MIN,MATCH(D266,REF_ID,0))</f>
        <v>1.35</v>
      </c>
      <c r="R266" s="39" t="n">
        <f aca="false">INDEX(REF_MAX,MATCH(D266,REF_ID,0))</f>
        <v>1.45</v>
      </c>
      <c r="S266" s="41" t="n">
        <v>0.429840947366455</v>
      </c>
      <c r="T266" s="42" t="n">
        <f aca="false">200*J266/S266</f>
        <v>0.296142342981691</v>
      </c>
      <c r="U266" s="43" t="n">
        <f aca="false">IFERROR(INDEX(ISO_TOL,MATCH(T266,ISO_DESDE,1)),0)</f>
        <v>0</v>
      </c>
      <c r="V266" s="44" t="n">
        <f aca="false">IF(T266&gt;0,U266/T266,0)</f>
        <v>0</v>
      </c>
    </row>
    <row r="267" customFormat="false" ht="15" hidden="false" customHeight="false" outlineLevel="2" collapsed="false">
      <c r="A267" s="35" t="n">
        <v>2</v>
      </c>
      <c r="B267" s="36" t="s">
        <v>999</v>
      </c>
      <c r="C267" s="37" t="s">
        <v>324</v>
      </c>
      <c r="D267" s="36" t="s">
        <v>32</v>
      </c>
      <c r="E267" s="36" t="str">
        <f aca="false">INDEX(REF_DATO,MATCH(D267,REF_ID,0))</f>
        <v>PVC rígido, vinilo y papeles de identificación</v>
      </c>
      <c r="F267" s="38" t="n">
        <v>1</v>
      </c>
      <c r="G267" s="35" t="s">
        <v>264</v>
      </c>
      <c r="H267" s="39" t="n">
        <f aca="false">INDEX(REF_VAL,MATCH(D267,REF_ID,0))</f>
        <v>1.4</v>
      </c>
      <c r="I267" s="40" t="n">
        <f aca="false">F267*J267</f>
        <v>0.000721894736838774</v>
      </c>
      <c r="J267" s="40" t="n">
        <v>0.000721894736838774</v>
      </c>
      <c r="K267" s="40" t="n">
        <f aca="false">I267*(1-V267)</f>
        <v>0.000721894736838774</v>
      </c>
      <c r="L267" s="40" t="n">
        <f aca="false">I267*(1+V267)</f>
        <v>0.000721894736838774</v>
      </c>
      <c r="M267" s="40" t="n">
        <f aca="false">F267*N267</f>
        <v>0.00101065263157428</v>
      </c>
      <c r="N267" s="40" t="n">
        <f aca="false">J267*H267</f>
        <v>0.00101065263157428</v>
      </c>
      <c r="O267" s="40" t="n">
        <f aca="false">K267*Q267</f>
        <v>0.000974557894732346</v>
      </c>
      <c r="P267" s="40" t="n">
        <f aca="false">L267*R267</f>
        <v>0.00104674736841622</v>
      </c>
      <c r="Q267" s="39" t="n">
        <f aca="false">INDEX(REF_MIN,MATCH(D267,REF_ID,0))</f>
        <v>1.35</v>
      </c>
      <c r="R267" s="39" t="n">
        <f aca="false">INDEX(REF_MAX,MATCH(D267,REF_ID,0))</f>
        <v>1.45</v>
      </c>
      <c r="S267" s="41" t="n">
        <v>0.487272631576715</v>
      </c>
      <c r="T267" s="42" t="n">
        <f aca="false">200*J267/S267</f>
        <v>0.296300136743929</v>
      </c>
      <c r="U267" s="43" t="n">
        <f aca="false">IFERROR(INDEX(ISO_TOL,MATCH(T267,ISO_DESDE,1)),0)</f>
        <v>0</v>
      </c>
      <c r="V267" s="44" t="n">
        <f aca="false">IF(T267&gt;0,U267/T267,0)</f>
        <v>0</v>
      </c>
    </row>
    <row r="268" customFormat="false" ht="15" hidden="false" customHeight="false" outlineLevel="2" collapsed="false">
      <c r="A268" s="35" t="n">
        <v>2</v>
      </c>
      <c r="B268" s="36" t="s">
        <v>1000</v>
      </c>
      <c r="C268" s="37" t="s">
        <v>384</v>
      </c>
      <c r="D268" s="36" t="s">
        <v>32</v>
      </c>
      <c r="E268" s="36" t="str">
        <f aca="false">INDEX(REF_DATO,MATCH(D268,REF_ID,0))</f>
        <v>PVC rígido, vinilo y papeles de identificación</v>
      </c>
      <c r="F268" s="38" t="n">
        <v>1</v>
      </c>
      <c r="G268" s="35" t="s">
        <v>264</v>
      </c>
      <c r="H268" s="39" t="n">
        <f aca="false">INDEX(REF_VAL,MATCH(D268,REF_ID,0))</f>
        <v>1.4</v>
      </c>
      <c r="I268" s="40" t="n">
        <f aca="false">F268*J268</f>
        <v>0.00231607894735773</v>
      </c>
      <c r="J268" s="40" t="n">
        <v>0.00231607894735773</v>
      </c>
      <c r="K268" s="40" t="n">
        <f aca="false">I268*(1-V268)</f>
        <v>0.00231607894735773</v>
      </c>
      <c r="L268" s="40" t="n">
        <f aca="false">I268*(1+V268)</f>
        <v>0.00231607894735773</v>
      </c>
      <c r="M268" s="40" t="n">
        <f aca="false">F268*N268</f>
        <v>0.00324251052630082</v>
      </c>
      <c r="N268" s="40" t="n">
        <f aca="false">J268*H268</f>
        <v>0.00324251052630082</v>
      </c>
      <c r="O268" s="40" t="n">
        <f aca="false">K268*Q268</f>
        <v>0.00312670657893294</v>
      </c>
      <c r="P268" s="40" t="n">
        <f aca="false">L268*R268</f>
        <v>0.00335831447366871</v>
      </c>
      <c r="Q268" s="39" t="n">
        <f aca="false">INDEX(REF_MIN,MATCH(D268,REF_ID,0))</f>
        <v>1.35</v>
      </c>
      <c r="R268" s="39" t="n">
        <f aca="false">INDEX(REF_MAX,MATCH(D268,REF_ID,0))</f>
        <v>1.45</v>
      </c>
      <c r="S268" s="41" t="n">
        <v>1.55577473683496</v>
      </c>
      <c r="T268" s="42" t="n">
        <f aca="false">200*J268/S268</f>
        <v>0.297739626762358</v>
      </c>
      <c r="U268" s="43" t="n">
        <f aca="false">IFERROR(INDEX(ISO_TOL,MATCH(T268,ISO_DESDE,1)),0)</f>
        <v>0</v>
      </c>
      <c r="V268" s="44" t="n">
        <f aca="false">IF(T268&gt;0,U268/T268,0)</f>
        <v>0</v>
      </c>
    </row>
    <row r="269" customFormat="false" ht="15" hidden="false" customHeight="false" outlineLevel="2" collapsed="false">
      <c r="A269" s="35" t="n">
        <v>2</v>
      </c>
      <c r="B269" s="36" t="s">
        <v>1001</v>
      </c>
      <c r="C269" s="37" t="s">
        <v>326</v>
      </c>
      <c r="D269" s="36" t="s">
        <v>32</v>
      </c>
      <c r="E269" s="36" t="str">
        <f aca="false">INDEX(REF_DATO,MATCH(D269,REF_ID,0))</f>
        <v>PVC rígido, vinilo y papeles de identificación</v>
      </c>
      <c r="F269" s="38" t="n">
        <v>1</v>
      </c>
      <c r="G269" s="35" t="s">
        <v>264</v>
      </c>
      <c r="H269" s="39" t="n">
        <f aca="false">INDEX(REF_VAL,MATCH(D269,REF_ID,0))</f>
        <v>1.4</v>
      </c>
      <c r="I269" s="40" t="n">
        <f aca="false">F269*J269</f>
        <v>0.000338388157893173</v>
      </c>
      <c r="J269" s="40" t="n">
        <v>0.000338388157893173</v>
      </c>
      <c r="K269" s="40" t="n">
        <f aca="false">I269*(1-V269)</f>
        <v>0.000338388157893173</v>
      </c>
      <c r="L269" s="40" t="n">
        <f aca="false">I269*(1+V269)</f>
        <v>0.000338388157893173</v>
      </c>
      <c r="M269" s="40" t="n">
        <f aca="false">F269*N269</f>
        <v>0.000473743421050442</v>
      </c>
      <c r="N269" s="40" t="n">
        <f aca="false">J269*H269</f>
        <v>0.000473743421050442</v>
      </c>
      <c r="O269" s="40" t="n">
        <f aca="false">K269*Q269</f>
        <v>0.000456824013155783</v>
      </c>
      <c r="P269" s="40" t="n">
        <f aca="false">L269*R269</f>
        <v>0.000490662828945101</v>
      </c>
      <c r="Q269" s="39" t="n">
        <f aca="false">INDEX(REF_MIN,MATCH(D269,REF_ID,0))</f>
        <v>1.35</v>
      </c>
      <c r="R269" s="39" t="n">
        <f aca="false">INDEX(REF_MAX,MATCH(D269,REF_ID,0))</f>
        <v>1.45</v>
      </c>
      <c r="S269" s="41" t="n">
        <v>0.229799210525265</v>
      </c>
      <c r="T269" s="42" t="n">
        <f aca="false">200*J269/S269</f>
        <v>0.294507676610116</v>
      </c>
      <c r="U269" s="43" t="n">
        <f aca="false">IFERROR(INDEX(ISO_TOL,MATCH(T269,ISO_DESDE,1)),0)</f>
        <v>0</v>
      </c>
      <c r="V269" s="44" t="n">
        <f aca="false">IF(T269&gt;0,U269/T269,0)</f>
        <v>0</v>
      </c>
    </row>
    <row r="270" customFormat="false" ht="15" hidden="false" customHeight="false" outlineLevel="2" collapsed="false">
      <c r="A270" s="35" t="n">
        <v>2</v>
      </c>
      <c r="B270" s="36" t="s">
        <v>1002</v>
      </c>
      <c r="C270" s="37" t="s">
        <v>328</v>
      </c>
      <c r="D270" s="36" t="s">
        <v>32</v>
      </c>
      <c r="E270" s="36" t="str">
        <f aca="false">INDEX(REF_DATO,MATCH(D270,REF_ID,0))</f>
        <v>PVC rígido, vinilo y papeles de identificación</v>
      </c>
      <c r="F270" s="38" t="n">
        <v>1</v>
      </c>
      <c r="G270" s="35" t="s">
        <v>264</v>
      </c>
      <c r="H270" s="39" t="n">
        <f aca="false">INDEX(REF_VAL,MATCH(D270,REF_ID,0))</f>
        <v>1.4</v>
      </c>
      <c r="I270" s="40" t="n">
        <f aca="false">F270*J270</f>
        <v>0.00019135364615462</v>
      </c>
      <c r="J270" s="40" t="n">
        <v>0.00019135364615462</v>
      </c>
      <c r="K270" s="40" t="n">
        <f aca="false">I270*(1-V270)</f>
        <v>0.00019135364615462</v>
      </c>
      <c r="L270" s="40" t="n">
        <f aca="false">I270*(1+V270)</f>
        <v>0.00019135364615462</v>
      </c>
      <c r="M270" s="40" t="n">
        <f aca="false">F270*N270</f>
        <v>0.000267895104616468</v>
      </c>
      <c r="N270" s="40" t="n">
        <f aca="false">J270*H270</f>
        <v>0.000267895104616468</v>
      </c>
      <c r="O270" s="40" t="n">
        <f aca="false">K270*Q270</f>
        <v>0.000258327422308737</v>
      </c>
      <c r="P270" s="40" t="n">
        <f aca="false">L270*R270</f>
        <v>0.000277462786924199</v>
      </c>
      <c r="Q270" s="39" t="n">
        <f aca="false">INDEX(REF_MIN,MATCH(D270,REF_ID,0))</f>
        <v>1.35</v>
      </c>
      <c r="R270" s="39" t="n">
        <f aca="false">INDEX(REF_MAX,MATCH(D270,REF_ID,0))</f>
        <v>1.45</v>
      </c>
      <c r="S270" s="41" t="n">
        <v>0.193829337128985</v>
      </c>
      <c r="T270" s="42" t="n">
        <f aca="false">200*J270/S270</f>
        <v>0.197445494050556</v>
      </c>
      <c r="U270" s="43" t="n">
        <f aca="false">IFERROR(INDEX(ISO_TOL,MATCH(T270,ISO_DESDE,1)),0)</f>
        <v>0</v>
      </c>
      <c r="V270" s="44" t="n">
        <f aca="false">IF(T270&gt;0,U270/T270,0)</f>
        <v>0</v>
      </c>
    </row>
    <row r="271" customFormat="false" ht="15" hidden="false" customHeight="false" outlineLevel="2" collapsed="false">
      <c r="A271" s="35" t="n">
        <v>2</v>
      </c>
      <c r="B271" s="36" t="s">
        <v>1003</v>
      </c>
      <c r="C271" s="37" t="s">
        <v>330</v>
      </c>
      <c r="D271" s="36" t="s">
        <v>26</v>
      </c>
      <c r="E271" s="36" t="str">
        <f aca="false">INDEX(REF_DATO,MATCH(D271,REF_ID,0))</f>
        <v>Polipropileno</v>
      </c>
      <c r="F271" s="38" t="n">
        <v>1</v>
      </c>
      <c r="G271" s="35" t="s">
        <v>264</v>
      </c>
      <c r="H271" s="39" t="n">
        <f aca="false">INDEX(REF_VAL,MATCH(D271,REF_ID,0))</f>
        <v>0.9</v>
      </c>
      <c r="I271" s="40" t="n">
        <f aca="false">F271*J271</f>
        <v>0.000196349540849362</v>
      </c>
      <c r="J271" s="40" t="n">
        <v>0.000196349540849362</v>
      </c>
      <c r="K271" s="40" t="n">
        <f aca="false">I271*(1-V271)</f>
        <v>0.000186532063806894</v>
      </c>
      <c r="L271" s="40" t="n">
        <f aca="false">I271*(1+V271)</f>
        <v>0.00020616701789183</v>
      </c>
      <c r="M271" s="40" t="n">
        <f aca="false">F271*N271</f>
        <v>0.000176714586764426</v>
      </c>
      <c r="N271" s="40" t="n">
        <f aca="false">J271*H271</f>
        <v>0.000176714586764426</v>
      </c>
      <c r="O271" s="40" t="n">
        <f aca="false">K271*Q271</f>
        <v>0.000167878857426205</v>
      </c>
      <c r="P271" s="40" t="n">
        <f aca="false">L271*R271</f>
        <v>0.000187611986281566</v>
      </c>
      <c r="Q271" s="39" t="n">
        <f aca="false">INDEX(REF_MIN,MATCH(D271,REF_ID,0))</f>
        <v>0.9</v>
      </c>
      <c r="R271" s="39" t="n">
        <f aca="false">INDEX(REF_MAX,MATCH(D271,REF_ID,0))</f>
        <v>0.91</v>
      </c>
      <c r="S271" s="41" t="n">
        <v>0.0196349540849362</v>
      </c>
      <c r="T271" s="42" t="n">
        <f aca="false">200*J271/S271</f>
        <v>2</v>
      </c>
      <c r="U271" s="43" t="n">
        <f aca="false">IFERROR(INDEX(ISO_TOL,MATCH(T271,ISO_DESDE,1)),0)</f>
        <v>0.1</v>
      </c>
      <c r="V271" s="44" t="n">
        <f aca="false">IF(T271&gt;0,U271/T271,0)</f>
        <v>0.05</v>
      </c>
    </row>
    <row r="272" customFormat="false" ht="15" hidden="false" customHeight="false" outlineLevel="1" collapsed="false">
      <c r="A272" s="25" t="n">
        <v>1</v>
      </c>
      <c r="B272" s="26" t="s">
        <v>1004</v>
      </c>
      <c r="C272" s="27" t="s">
        <v>332</v>
      </c>
      <c r="D272" s="26"/>
      <c r="E272" s="26"/>
      <c r="F272" s="28" t="n">
        <v>1</v>
      </c>
      <c r="G272" s="25" t="s">
        <v>264</v>
      </c>
      <c r="H272" s="29"/>
      <c r="I272" s="30"/>
      <c r="J272" s="30"/>
      <c r="K272" s="30"/>
      <c r="L272" s="30"/>
      <c r="M272" s="30" t="n">
        <f aca="false">IF(SUMIF(A273:A274,2,M273:M274)=0,"",SUMIF(A273:A274,2,M273:M274))</f>
        <v>0.260308450617837</v>
      </c>
      <c r="N272" s="30"/>
      <c r="O272" s="30" t="n">
        <f aca="false">IF(SUMIF(A273:A274,2,O273:O274)=0,"",SUMIF(A273:A274,2,O273:O274))</f>
        <v>0.246700202857605</v>
      </c>
      <c r="P272" s="30" t="n">
        <f aca="false">IF(SUMIF(A273:A274,2,P273:P274)=0,"",SUMIF(A273:A274,2,P273:P274))</f>
        <v>0.27391669837807</v>
      </c>
      <c r="Q272" s="29"/>
      <c r="R272" s="29"/>
      <c r="S272" s="31"/>
      <c r="T272" s="32"/>
      <c r="U272" s="33"/>
      <c r="V272" s="34"/>
    </row>
    <row r="273" customFormat="false" ht="15" hidden="false" customHeight="false" outlineLevel="2" collapsed="false">
      <c r="A273" s="35" t="n">
        <v>2</v>
      </c>
      <c r="B273" s="36" t="s">
        <v>1005</v>
      </c>
      <c r="C273" s="37" t="s">
        <v>390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0.0331603121806162</v>
      </c>
      <c r="J273" s="40" t="n">
        <v>0.0331603121806162</v>
      </c>
      <c r="K273" s="40" t="n">
        <f aca="false">I273*(1-V273)</f>
        <v>0.0314267774340898</v>
      </c>
      <c r="L273" s="40" t="n">
        <f aca="false">I273*(1+V273)</f>
        <v>0.0348938469271427</v>
      </c>
      <c r="M273" s="40" t="n">
        <f aca="false">F273*N273</f>
        <v>0.260308450617837</v>
      </c>
      <c r="N273" s="40" t="n">
        <f aca="false">J273*H273</f>
        <v>0.260308450617837</v>
      </c>
      <c r="O273" s="40" t="n">
        <f aca="false">K273*Q273</f>
        <v>0.246700202857605</v>
      </c>
      <c r="P273" s="40" t="n">
        <f aca="false">L273*R273</f>
        <v>0.27391669837807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3.46706949305289</v>
      </c>
      <c r="T273" s="42" t="n">
        <f aca="false">200*J273/S273</f>
        <v>1.912872657849</v>
      </c>
      <c r="U273" s="43" t="n">
        <f aca="false">IFERROR(INDEX(ISO_TOL,MATCH(T273,ISO_DESDE,1)),0)</f>
        <v>0.1</v>
      </c>
      <c r="V273" s="44" t="n">
        <f aca="false">IF(T273&gt;0,U273/T273,0)</f>
        <v>0.0522773952514167</v>
      </c>
    </row>
    <row r="274" customFormat="false" ht="15" hidden="false" customHeight="false" outlineLevel="2" collapsed="false">
      <c r="A274" s="35" t="n">
        <v>2</v>
      </c>
      <c r="B274" s="36" t="s">
        <v>1006</v>
      </c>
      <c r="C274" s="37" t="s">
        <v>392</v>
      </c>
      <c r="D274" s="36"/>
      <c r="E274" s="36"/>
      <c r="F274" s="38" t="n">
        <v>2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1" collapsed="false">
      <c r="A275" s="25" t="n">
        <v>1</v>
      </c>
      <c r="B275" s="26" t="s">
        <v>1007</v>
      </c>
      <c r="C275" s="27" t="s">
        <v>336</v>
      </c>
      <c r="D275" s="26"/>
      <c r="E275" s="26"/>
      <c r="F275" s="28" t="n">
        <v>1</v>
      </c>
      <c r="G275" s="25" t="s">
        <v>264</v>
      </c>
      <c r="H275" s="29"/>
      <c r="I275" s="30"/>
      <c r="J275" s="30"/>
      <c r="K275" s="30"/>
      <c r="L275" s="30"/>
      <c r="M275" s="30" t="str">
        <f aca="false">IF(SUMIF(A276:A279,2,M276:M279)=0,"",SUMIF(A276:A279,2,M276:M279))</f>
        <v/>
      </c>
      <c r="N275" s="30"/>
      <c r="O275" s="30" t="str">
        <f aca="false">IF(SUMIF(A276:A279,2,O276:O279)=0,"",SUMIF(A276:A279,2,O276:O279))</f>
        <v/>
      </c>
      <c r="P275" s="30" t="str">
        <f aca="false">IF(SUMIF(A276:A279,2,P276:P279)=0,"",SUMIF(A276:A279,2,P276:P279))</f>
        <v/>
      </c>
      <c r="Q275" s="29"/>
      <c r="R275" s="29"/>
      <c r="S275" s="31"/>
      <c r="T275" s="32"/>
      <c r="U275" s="33"/>
      <c r="V275" s="34"/>
    </row>
    <row r="276" customFormat="false" ht="15" hidden="false" customHeight="false" outlineLevel="2" collapsed="false">
      <c r="A276" s="35" t="n">
        <v>2</v>
      </c>
      <c r="B276" s="36" t="s">
        <v>1008</v>
      </c>
      <c r="C276" s="37" t="s">
        <v>338</v>
      </c>
      <c r="D276" s="36"/>
      <c r="E276" s="36"/>
      <c r="F276" s="38" t="n">
        <v>1</v>
      </c>
      <c r="G276" s="35" t="s">
        <v>264</v>
      </c>
      <c r="H276" s="39"/>
      <c r="I276" s="40"/>
      <c r="J276" s="40"/>
      <c r="K276" s="40"/>
      <c r="L276" s="40"/>
      <c r="M276" s="40"/>
      <c r="N276" s="40"/>
      <c r="O276" s="40"/>
      <c r="P276" s="40"/>
      <c r="Q276" s="39"/>
      <c r="R276" s="39"/>
      <c r="S276" s="41"/>
      <c r="T276" s="42"/>
      <c r="U276" s="43"/>
      <c r="V276" s="44"/>
    </row>
    <row r="277" customFormat="false" ht="15" hidden="false" customHeight="false" outlineLevel="2" collapsed="false">
      <c r="A277" s="35" t="n">
        <v>2</v>
      </c>
      <c r="B277" s="36" t="s">
        <v>1009</v>
      </c>
      <c r="C277" s="37" t="s">
        <v>340</v>
      </c>
      <c r="D277" s="36"/>
      <c r="E277" s="36"/>
      <c r="F277" s="38" t="n">
        <v>1</v>
      </c>
      <c r="G277" s="35" t="s">
        <v>264</v>
      </c>
      <c r="H277" s="39"/>
      <c r="I277" s="40"/>
      <c r="J277" s="40"/>
      <c r="K277" s="40"/>
      <c r="L277" s="40"/>
      <c r="M277" s="40"/>
      <c r="N277" s="40"/>
      <c r="O277" s="40"/>
      <c r="P277" s="40"/>
      <c r="Q277" s="39"/>
      <c r="R277" s="39"/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1010</v>
      </c>
      <c r="C278" s="37" t="s">
        <v>342</v>
      </c>
      <c r="D278" s="36"/>
      <c r="E278" s="36"/>
      <c r="F278" s="38" t="n">
        <v>1</v>
      </c>
      <c r="G278" s="35" t="s">
        <v>264</v>
      </c>
      <c r="H278" s="39"/>
      <c r="I278" s="40"/>
      <c r="J278" s="40"/>
      <c r="K278" s="40"/>
      <c r="L278" s="40"/>
      <c r="M278" s="40"/>
      <c r="N278" s="40"/>
      <c r="O278" s="40"/>
      <c r="P278" s="40"/>
      <c r="Q278" s="39"/>
      <c r="R278" s="39"/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1011</v>
      </c>
      <c r="C279" s="37" t="s">
        <v>344</v>
      </c>
      <c r="D279" s="36"/>
      <c r="E279" s="36"/>
      <c r="F279" s="38" t="n">
        <v>1</v>
      </c>
      <c r="G279" s="35" t="s">
        <v>264</v>
      </c>
      <c r="H279" s="39"/>
      <c r="I279" s="40"/>
      <c r="J279" s="40"/>
      <c r="K279" s="40"/>
      <c r="L279" s="40"/>
      <c r="M279" s="40"/>
      <c r="N279" s="40"/>
      <c r="O279" s="40"/>
      <c r="P279" s="40"/>
      <c r="Q279" s="39"/>
      <c r="R279" s="39"/>
      <c r="S279" s="41"/>
      <c r="T279" s="42"/>
      <c r="U279" s="43"/>
      <c r="V279" s="44"/>
    </row>
    <row r="280" customFormat="false" ht="15" hidden="false" customHeight="false" outlineLevel="0" collapsed="false">
      <c r="A280" s="16" t="n">
        <v>0</v>
      </c>
      <c r="B280" s="17" t="s">
        <v>228</v>
      </c>
      <c r="C280" s="17" t="s">
        <v>229</v>
      </c>
      <c r="D280" s="17"/>
      <c r="E280" s="17"/>
      <c r="F280" s="18" t="n">
        <v>1</v>
      </c>
      <c r="G280" s="16" t="s">
        <v>264</v>
      </c>
      <c r="H280" s="19"/>
      <c r="I280" s="20"/>
      <c r="J280" s="20"/>
      <c r="K280" s="20"/>
      <c r="L280" s="20"/>
      <c r="M280" s="20" t="n">
        <f aca="false">IF(SUMIF(A281:A321,1,M281:M321)=0,"",SUMIF(A281:A321,1,M281:M321))</f>
        <v>19.4331348751283</v>
      </c>
      <c r="N280" s="20"/>
      <c r="O280" s="20" t="n">
        <f aca="false">IF(SUMIF(A281:A321,1,O281:O321)=0,"",SUMIF(A281:A321,1,O281:O321))</f>
        <v>18.8916151010773</v>
      </c>
      <c r="P280" s="20" t="n">
        <f aca="false">IF(SUMIF(A281:A321,1,P281:P321)=0,"",SUMIF(A281:A321,1,P281:P321))</f>
        <v>19.7275916823292</v>
      </c>
      <c r="Q280" s="19"/>
      <c r="R280" s="19"/>
      <c r="S280" s="21"/>
      <c r="T280" s="22"/>
      <c r="U280" s="23"/>
      <c r="V280" s="24"/>
    </row>
    <row r="281" customFormat="false" ht="15" hidden="false" customHeight="false" outlineLevel="1" collapsed="false">
      <c r="A281" s="25" t="n">
        <v>1</v>
      </c>
      <c r="B281" s="26" t="s">
        <v>1012</v>
      </c>
      <c r="C281" s="27" t="s">
        <v>266</v>
      </c>
      <c r="D281" s="26"/>
      <c r="E281" s="26"/>
      <c r="F281" s="28" t="n">
        <v>1</v>
      </c>
      <c r="G281" s="25" t="s">
        <v>264</v>
      </c>
      <c r="H281" s="29"/>
      <c r="I281" s="30"/>
      <c r="J281" s="30"/>
      <c r="K281" s="30"/>
      <c r="L281" s="30"/>
      <c r="M281" s="30" t="n">
        <f aca="false">IF(SUMIF(A282:A283,2,M282:M283)=0,"",SUMIF(A282:A283,2,M282:M283))</f>
        <v>13.359913661707</v>
      </c>
      <c r="N281" s="30"/>
      <c r="O281" s="30" t="n">
        <f aca="false">IF(SUMIF(A282:A283,2,O282:O283)=0,"",SUMIF(A282:A283,2,O282:O283))</f>
        <v>13.1342078634641</v>
      </c>
      <c r="P281" s="30" t="n">
        <f aca="false">IF(SUMIF(A282:A283,2,P282:P283)=0,"",SUMIF(A282:A283,2,P282:P283))</f>
        <v>13.5867740408032</v>
      </c>
      <c r="Q281" s="29"/>
      <c r="R281" s="29"/>
      <c r="S281" s="31"/>
      <c r="T281" s="32"/>
      <c r="U281" s="33"/>
      <c r="V281" s="34"/>
    </row>
    <row r="282" customFormat="false" ht="15" hidden="false" customHeight="false" outlineLevel="2" collapsed="false">
      <c r="A282" s="35" t="n">
        <v>2</v>
      </c>
      <c r="B282" s="36" t="s">
        <v>1013</v>
      </c>
      <c r="C282" s="37" t="s">
        <v>968</v>
      </c>
      <c r="D282" s="36" t="s">
        <v>10</v>
      </c>
      <c r="E282" s="36" t="str">
        <f aca="false">INDEX(REF_DATO,MATCH(D282,REF_ID,0))</f>
        <v>Acero (chapa LAC/LAF, SAE 1010/1045)</v>
      </c>
      <c r="F282" s="38" t="n">
        <v>1</v>
      </c>
      <c r="G282" s="35" t="s">
        <v>264</v>
      </c>
      <c r="H282" s="39" t="n">
        <f aca="false">INDEX(REF_VAL,MATCH(D282,REF_ID,0))</f>
        <v>7.85</v>
      </c>
      <c r="I282" s="40" t="n">
        <f aca="false">F282*J282</f>
        <v>1.68905710880473</v>
      </c>
      <c r="J282" s="40" t="n">
        <v>1.68905710880473</v>
      </c>
      <c r="K282" s="40" t="n">
        <f aca="false">I282*(1-V282)</f>
        <v>1.66081263768168</v>
      </c>
      <c r="L282" s="40" t="n">
        <f aca="false">I282*(1+V282)</f>
        <v>1.71730157992778</v>
      </c>
      <c r="M282" s="40" t="n">
        <f aca="false">F282*N282</f>
        <v>13.2590983041171</v>
      </c>
      <c r="N282" s="40" t="n">
        <f aca="false">J282*H282</f>
        <v>13.2590983041171</v>
      </c>
      <c r="O282" s="40" t="n">
        <f aca="false">K282*Q282</f>
        <v>13.0373792058012</v>
      </c>
      <c r="P282" s="40" t="n">
        <f aca="false">L282*R282</f>
        <v>13.4808174024331</v>
      </c>
      <c r="Q282" s="39" t="n">
        <f aca="false">INDEX(REF_MIN,MATCH(D282,REF_ID,0))</f>
        <v>7.85</v>
      </c>
      <c r="R282" s="39" t="n">
        <f aca="false">INDEX(REF_MAX,MATCH(D282,REF_ID,0))</f>
        <v>7.85</v>
      </c>
      <c r="S282" s="41" t="n">
        <v>56.4889422461014</v>
      </c>
      <c r="T282" s="42" t="n">
        <f aca="false">200*J282/S282</f>
        <v>5.98013360365692</v>
      </c>
      <c r="U282" s="43" t="n">
        <f aca="false">IFERROR(INDEX(ISO_TOL,MATCH(T282,ISO_DESDE,1)),0)</f>
        <v>0.1</v>
      </c>
      <c r="V282" s="44" t="n">
        <f aca="false">IF(T282&gt;0,U282/T282,0)</f>
        <v>0.0167220344272658</v>
      </c>
    </row>
    <row r="283" customFormat="false" ht="15" hidden="false" customHeight="false" outlineLevel="2" collapsed="false">
      <c r="A283" s="35" t="n">
        <v>2</v>
      </c>
      <c r="B283" s="36" t="s">
        <v>1014</v>
      </c>
      <c r="C283" s="37" t="s">
        <v>970</v>
      </c>
      <c r="D283" s="36" t="s">
        <v>29</v>
      </c>
      <c r="E283" s="36" t="str">
        <f aca="false">INDEX(REF_DATO,MATCH(D283,REF_ID,0))</f>
        <v>Polietileno de alta densidad</v>
      </c>
      <c r="F283" s="38" t="n">
        <v>1</v>
      </c>
      <c r="G283" s="35" t="s">
        <v>264</v>
      </c>
      <c r="H283" s="39" t="n">
        <f aca="false">INDEX(REF_VAL,MATCH(D283,REF_ID,0))</f>
        <v>0.95</v>
      </c>
      <c r="I283" s="40" t="n">
        <f aca="false">F283*J283</f>
        <v>0.106121429041936</v>
      </c>
      <c r="J283" s="40" t="n">
        <v>0.106121429041936</v>
      </c>
      <c r="K283" s="40" t="n">
        <f aca="false">I283*(1-V283)</f>
        <v>0.103009210279658</v>
      </c>
      <c r="L283" s="40" t="n">
        <f aca="false">I283*(1+V283)</f>
        <v>0.109233647804215</v>
      </c>
      <c r="M283" s="40" t="n">
        <f aca="false">F283*N283</f>
        <v>0.100815357589839</v>
      </c>
      <c r="N283" s="40" t="n">
        <f aca="false">J283*H283</f>
        <v>0.100815357589839</v>
      </c>
      <c r="O283" s="40" t="n">
        <f aca="false">K283*Q283</f>
        <v>0.0968286576628781</v>
      </c>
      <c r="P283" s="40" t="n">
        <f aca="false">L283*R283</f>
        <v>0.105956638370089</v>
      </c>
      <c r="Q283" s="39" t="n">
        <f aca="false">INDEX(REF_MIN,MATCH(D283,REF_ID,0))</f>
        <v>0.94</v>
      </c>
      <c r="R283" s="39" t="n">
        <f aca="false">INDEX(REF_MAX,MATCH(D283,REF_ID,0))</f>
        <v>0.97</v>
      </c>
      <c r="S283" s="41" t="n">
        <v>6.22443752455746</v>
      </c>
      <c r="T283" s="42" t="n">
        <f aca="false">200*J283/S283</f>
        <v>3.40983192853177</v>
      </c>
      <c r="U283" s="43" t="n">
        <f aca="false">IFERROR(INDEX(ISO_TOL,MATCH(T283,ISO_DESDE,1)),0)</f>
        <v>0.1</v>
      </c>
      <c r="V283" s="44" t="n">
        <f aca="false">IF(T283&gt;0,U283/T283,0)</f>
        <v>0.0293269586583579</v>
      </c>
    </row>
    <row r="284" customFormat="false" ht="15" hidden="false" customHeight="false" outlineLevel="1" collapsed="false">
      <c r="A284" s="25" t="n">
        <v>1</v>
      </c>
      <c r="B284" s="26" t="s">
        <v>1015</v>
      </c>
      <c r="C284" s="27" t="s">
        <v>276</v>
      </c>
      <c r="D284" s="26"/>
      <c r="E284" s="26"/>
      <c r="F284" s="28" t="n">
        <v>1</v>
      </c>
      <c r="G284" s="25" t="s">
        <v>264</v>
      </c>
      <c r="H284" s="29"/>
      <c r="I284" s="30"/>
      <c r="J284" s="30"/>
      <c r="K284" s="30"/>
      <c r="L284" s="30"/>
      <c r="M284" s="30" t="n">
        <f aca="false">IF(SUMIF(A285:A297,2,M285:M297)=0,"",SUMIF(A285:A297,2,M285:M297))</f>
        <v>0.450434722269006</v>
      </c>
      <c r="N284" s="30"/>
      <c r="O284" s="30" t="n">
        <f aca="false">IF(SUMIF(A285:A297,2,O285:O297)=0,"",SUMIF(A285:A297,2,O285:O297))</f>
        <v>0.419441927304236</v>
      </c>
      <c r="P284" s="30" t="n">
        <f aca="false">IF(SUMIF(A285:A297,2,P285:P297)=0,"",SUMIF(A285:A297,2,P285:P297))</f>
        <v>0.481516125211914</v>
      </c>
      <c r="Q284" s="29"/>
      <c r="R284" s="29"/>
      <c r="S284" s="31"/>
      <c r="T284" s="32"/>
      <c r="U284" s="33"/>
      <c r="V284" s="34"/>
    </row>
    <row r="285" customFormat="false" ht="15" hidden="false" customHeight="false" outlineLevel="2" collapsed="false">
      <c r="A285" s="35" t="n">
        <v>2</v>
      </c>
      <c r="B285" s="36" t="s">
        <v>1016</v>
      </c>
      <c r="C285" s="37" t="s">
        <v>284</v>
      </c>
      <c r="D285" s="36" t="s">
        <v>17</v>
      </c>
      <c r="E285" s="36" t="str">
        <f aca="false">INDEX(REF_DATO,MATCH(D285,REF_ID,0))</f>
        <v>Latón de forja (CuZn39Pb2 / C37700)</v>
      </c>
      <c r="F285" s="38" t="n">
        <v>1</v>
      </c>
      <c r="G285" s="35" t="s">
        <v>264</v>
      </c>
      <c r="H285" s="39" t="n">
        <f aca="false">INDEX(REF_VAL,MATCH(D285,REF_ID,0))</f>
        <v>8.45</v>
      </c>
      <c r="I285" s="40" t="n">
        <f aca="false">F285*J285</f>
        <v>0.00350149350798503</v>
      </c>
      <c r="J285" s="40" t="n">
        <v>0.00350149350798503</v>
      </c>
      <c r="K285" s="40" t="n">
        <f aca="false">I285*(1-V285)</f>
        <v>0.00338153493410036</v>
      </c>
      <c r="L285" s="40" t="n">
        <f aca="false">I285*(1+V285)</f>
        <v>0.00362145208186971</v>
      </c>
      <c r="M285" s="40" t="n">
        <f aca="false">F285*N285</f>
        <v>0.0295876201424735</v>
      </c>
      <c r="N285" s="40" t="n">
        <f aca="false">J285*H285</f>
        <v>0.0295876201424735</v>
      </c>
      <c r="O285" s="40" t="n">
        <f aca="false">K285*Q285</f>
        <v>0.028404893446443</v>
      </c>
      <c r="P285" s="40" t="n">
        <f aca="false">L285*R285</f>
        <v>0.0307823426958925</v>
      </c>
      <c r="Q285" s="39" t="n">
        <f aca="false">INDEX(REF_MIN,MATCH(D285,REF_ID,0))</f>
        <v>8.4</v>
      </c>
      <c r="R285" s="39" t="n">
        <f aca="false">INDEX(REF_MAX,MATCH(D285,REF_ID,0))</f>
        <v>8.5</v>
      </c>
      <c r="S285" s="41" t="n">
        <v>0.239917147769345</v>
      </c>
      <c r="T285" s="42" t="n">
        <f aca="false">200*J285/S285</f>
        <v>2.91891891891891</v>
      </c>
      <c r="U285" s="43" t="n">
        <f aca="false">IFERROR(INDEX(ISO_TOL,MATCH(T285,ISO_DESDE,1)),0)</f>
        <v>0.1</v>
      </c>
      <c r="V285" s="44" t="n">
        <f aca="false">IF(T285&gt;0,U285/T285,0)</f>
        <v>0.0342592592592593</v>
      </c>
    </row>
    <row r="286" customFormat="false" ht="15" hidden="false" customHeight="false" outlineLevel="2" collapsed="false">
      <c r="A286" s="35" t="n">
        <v>2</v>
      </c>
      <c r="B286" s="36" t="s">
        <v>1017</v>
      </c>
      <c r="C286" s="37" t="s">
        <v>286</v>
      </c>
      <c r="D286" s="36" t="s">
        <v>17</v>
      </c>
      <c r="E286" s="36" t="str">
        <f aca="false">INDEX(REF_DATO,MATCH(D286,REF_ID,0))</f>
        <v>Latón de forja (CuZn39Pb2 / C37700)</v>
      </c>
      <c r="F286" s="38" t="n">
        <v>1</v>
      </c>
      <c r="G286" s="35" t="s">
        <v>264</v>
      </c>
      <c r="H286" s="39" t="n">
        <f aca="false">INDEX(REF_VAL,MATCH(D286,REF_ID,0))</f>
        <v>8.45</v>
      </c>
      <c r="I286" s="40" t="n">
        <f aca="false">F286*J286</f>
        <v>0.000852047051543358</v>
      </c>
      <c r="J286" s="40" t="n">
        <v>0.000852047051543358</v>
      </c>
      <c r="K286" s="40" t="n">
        <f aca="false">I286*(1-V286)</f>
        <v>0.000799708117934552</v>
      </c>
      <c r="L286" s="40" t="n">
        <f aca="false">I286*(1+V286)</f>
        <v>0.000904385985152164</v>
      </c>
      <c r="M286" s="40" t="n">
        <f aca="false">F286*N286</f>
        <v>0.00719979758554137</v>
      </c>
      <c r="N286" s="40" t="n">
        <f aca="false">J286*H286</f>
        <v>0.00719979758554137</v>
      </c>
      <c r="O286" s="40" t="n">
        <f aca="false">K286*Q286</f>
        <v>0.00671754819065023</v>
      </c>
      <c r="P286" s="40" t="n">
        <f aca="false">L286*R286</f>
        <v>0.00768728087379339</v>
      </c>
      <c r="Q286" s="39" t="n">
        <f aca="false">INDEX(REF_MIN,MATCH(D286,REF_ID,0))</f>
        <v>8.4</v>
      </c>
      <c r="R286" s="39" t="n">
        <f aca="false">INDEX(REF_MAX,MATCH(D286,REF_ID,0))</f>
        <v>8.5</v>
      </c>
      <c r="S286" s="41" t="n">
        <v>0.104677867217612</v>
      </c>
      <c r="T286" s="42" t="n">
        <f aca="false">200*J286/S286</f>
        <v>1.62794117647059</v>
      </c>
      <c r="U286" s="43" t="n">
        <f aca="false">IFERROR(INDEX(ISO_TOL,MATCH(T286,ISO_DESDE,1)),0)</f>
        <v>0.1</v>
      </c>
      <c r="V286" s="44" t="n">
        <f aca="false">IF(T286&gt;0,U286/T286,0)</f>
        <v>0.0614272809394759</v>
      </c>
    </row>
    <row r="287" customFormat="false" ht="15" hidden="false" customHeight="false" outlineLevel="2" collapsed="false">
      <c r="A287" s="35" t="n">
        <v>2</v>
      </c>
      <c r="B287" s="36" t="s">
        <v>1018</v>
      </c>
      <c r="C287" s="37" t="s">
        <v>288</v>
      </c>
      <c r="D287" s="36" t="s">
        <v>17</v>
      </c>
      <c r="E287" s="36" t="str">
        <f aca="false">INDEX(REF_DATO,MATCH(D287,REF_ID,0))</f>
        <v>Latón de forja (CuZn39Pb2 / C37700)</v>
      </c>
      <c r="F287" s="38" t="n">
        <v>1</v>
      </c>
      <c r="G287" s="35" t="s">
        <v>264</v>
      </c>
      <c r="H287" s="39" t="n">
        <f aca="false">INDEX(REF_VAL,MATCH(D287,REF_ID,0))</f>
        <v>8.45</v>
      </c>
      <c r="I287" s="40" t="n">
        <f aca="false">F287*J287</f>
        <v>0.0158625495144635</v>
      </c>
      <c r="J287" s="40" t="n">
        <v>0.0158625495144635</v>
      </c>
      <c r="K287" s="40" t="n">
        <f aca="false">I287*(1-V287)</f>
        <v>0.0153478447024548</v>
      </c>
      <c r="L287" s="40" t="n">
        <f aca="false">I287*(1+V287)</f>
        <v>0.0163772543264721</v>
      </c>
      <c r="M287" s="40" t="n">
        <f aca="false">F287*N287</f>
        <v>0.134038543397216</v>
      </c>
      <c r="N287" s="40" t="n">
        <f aca="false">J287*H287</f>
        <v>0.134038543397216</v>
      </c>
      <c r="O287" s="40" t="n">
        <f aca="false">K287*Q287</f>
        <v>0.128921895500621</v>
      </c>
      <c r="P287" s="40" t="n">
        <f aca="false">L287*R287</f>
        <v>0.139206661775013</v>
      </c>
      <c r="Q287" s="39" t="n">
        <f aca="false">INDEX(REF_MIN,MATCH(D287,REF_ID,0))</f>
        <v>8.4</v>
      </c>
      <c r="R287" s="39" t="n">
        <f aca="false">INDEX(REF_MAX,MATCH(D287,REF_ID,0))</f>
        <v>8.5</v>
      </c>
      <c r="S287" s="41" t="n">
        <v>0.514704812008628</v>
      </c>
      <c r="T287" s="42" t="n">
        <f aca="false">200*J287/S287</f>
        <v>6.16374634329145</v>
      </c>
      <c r="U287" s="43" t="n">
        <f aca="false">IFERROR(INDEX(ISO_TOL,MATCH(T287,ISO_DESDE,1)),0)</f>
        <v>0.2</v>
      </c>
      <c r="V287" s="44" t="n">
        <f aca="false">IF(T287&gt;0,U287/T287,0)</f>
        <v>0.0324477986050931</v>
      </c>
    </row>
    <row r="288" customFormat="false" ht="15" hidden="false" customHeight="false" outlineLevel="2" collapsed="false">
      <c r="A288" s="35" t="n">
        <v>2</v>
      </c>
      <c r="B288" s="36" t="s">
        <v>1019</v>
      </c>
      <c r="C288" s="37" t="s">
        <v>976</v>
      </c>
      <c r="D288" s="36" t="s">
        <v>17</v>
      </c>
      <c r="E288" s="36" t="str">
        <f aca="false">INDEX(REF_DATO,MATCH(D288,REF_ID,0))</f>
        <v>Latón de forja (CuZn39Pb2 / C37700)</v>
      </c>
      <c r="F288" s="38" t="n">
        <v>1</v>
      </c>
      <c r="G288" s="35" t="s">
        <v>264</v>
      </c>
      <c r="H288" s="39" t="n">
        <f aca="false">INDEX(REF_VAL,MATCH(D288,REF_ID,0))</f>
        <v>8.45</v>
      </c>
      <c r="I288" s="40" t="n">
        <f aca="false">F288*J288</f>
        <v>0.00114575160920681</v>
      </c>
      <c r="J288" s="40" t="n">
        <v>0.00114575160920681</v>
      </c>
      <c r="K288" s="40" t="n">
        <f aca="false">I288*(1-V288)</f>
        <v>0.00111412103577118</v>
      </c>
      <c r="L288" s="40" t="n">
        <f aca="false">I288*(1+V288)</f>
        <v>0.00117738218264244</v>
      </c>
      <c r="M288" s="40" t="n">
        <f aca="false">F288*N288</f>
        <v>0.00968160109779753</v>
      </c>
      <c r="N288" s="40" t="n">
        <f aca="false">J288*H288</f>
        <v>0.00968160109779753</v>
      </c>
      <c r="O288" s="40" t="n">
        <f aca="false">K288*Q288</f>
        <v>0.00935861670047789</v>
      </c>
      <c r="P288" s="40" t="n">
        <f aca="false">L288*R288</f>
        <v>0.0100077485524607</v>
      </c>
      <c r="Q288" s="39" t="n">
        <f aca="false">INDEX(REF_MIN,MATCH(D288,REF_ID,0))</f>
        <v>8.4</v>
      </c>
      <c r="R288" s="39" t="n">
        <f aca="false">INDEX(REF_MAX,MATCH(D288,REF_ID,0))</f>
        <v>8.5</v>
      </c>
      <c r="S288" s="41" t="n">
        <v>0.0632611468712623</v>
      </c>
      <c r="T288" s="42" t="n">
        <f aca="false">200*J288/S288</f>
        <v>3.62229161459382</v>
      </c>
      <c r="U288" s="43" t="n">
        <f aca="false">IFERROR(INDEX(ISO_TOL,MATCH(T288,ISO_DESDE,1)),0)</f>
        <v>0.1</v>
      </c>
      <c r="V288" s="44" t="n">
        <f aca="false">IF(T288&gt;0,U288/T288,0)</f>
        <v>0.0276068330879576</v>
      </c>
    </row>
    <row r="289" customFormat="false" ht="15" hidden="false" customHeight="false" outlineLevel="2" collapsed="false">
      <c r="A289" s="35" t="n">
        <v>2</v>
      </c>
      <c r="B289" s="36" t="s">
        <v>1020</v>
      </c>
      <c r="C289" s="37" t="s">
        <v>290</v>
      </c>
      <c r="D289" s="36" t="s">
        <v>17</v>
      </c>
      <c r="E289" s="36" t="str">
        <f aca="false">INDEX(REF_DATO,MATCH(D289,REF_ID,0))</f>
        <v>Latón de forja (CuZn39Pb2 / C37700)</v>
      </c>
      <c r="F289" s="38" t="n">
        <v>1</v>
      </c>
      <c r="G289" s="35" t="s">
        <v>264</v>
      </c>
      <c r="H289" s="39" t="n">
        <f aca="false">INDEX(REF_VAL,MATCH(D289,REF_ID,0))</f>
        <v>8.45</v>
      </c>
      <c r="I289" s="40" t="n">
        <f aca="false">F289*J289</f>
        <v>0.00162231844631377</v>
      </c>
      <c r="J289" s="40" t="n">
        <v>0.00162231844631377</v>
      </c>
      <c r="K289" s="40" t="n">
        <f aca="false">I289*(1-V289)</f>
        <v>0.0015672149111698</v>
      </c>
      <c r="L289" s="40" t="n">
        <f aca="false">I289*(1+V289)</f>
        <v>0.00167742198145773</v>
      </c>
      <c r="M289" s="40" t="n">
        <f aca="false">F289*N289</f>
        <v>0.0137085908713513</v>
      </c>
      <c r="N289" s="40" t="n">
        <f aca="false">J289*H289</f>
        <v>0.0137085908713513</v>
      </c>
      <c r="O289" s="40" t="n">
        <f aca="false">K289*Q289</f>
        <v>0.0131646052538263</v>
      </c>
      <c r="P289" s="40" t="n">
        <f aca="false">L289*R289</f>
        <v>0.0142580868423907</v>
      </c>
      <c r="Q289" s="39" t="n">
        <f aca="false">INDEX(REF_MIN,MATCH(D289,REF_ID,0))</f>
        <v>8.4</v>
      </c>
      <c r="R289" s="39" t="n">
        <f aca="false">INDEX(REF_MAX,MATCH(D289,REF_ID,0))</f>
        <v>8.5</v>
      </c>
      <c r="S289" s="41" t="n">
        <v>0.11020707028793</v>
      </c>
      <c r="T289" s="42" t="n">
        <f aca="false">200*J289/S289</f>
        <v>2.94412770809578</v>
      </c>
      <c r="U289" s="43" t="n">
        <f aca="false">IFERROR(INDEX(ISO_TOL,MATCH(T289,ISO_DESDE,1)),0)</f>
        <v>0.1</v>
      </c>
      <c r="V289" s="44" t="n">
        <f aca="false">IF(T289&gt;0,U289/T289,0)</f>
        <v>0.0339659178931061</v>
      </c>
    </row>
    <row r="290" customFormat="false" ht="15" hidden="false" customHeight="false" outlineLevel="2" collapsed="false">
      <c r="A290" s="35" t="n">
        <v>2</v>
      </c>
      <c r="B290" s="36" t="s">
        <v>1021</v>
      </c>
      <c r="C290" s="37" t="s">
        <v>292</v>
      </c>
      <c r="D290" s="36" t="s">
        <v>14</v>
      </c>
      <c r="E290" s="36" t="str">
        <f aca="false">INDEX(REF_DATO,MATCH(D290,REF_ID,0))</f>
        <v>Acero inoxidable AISI 302 / 304</v>
      </c>
      <c r="F290" s="38" t="n">
        <v>1</v>
      </c>
      <c r="G290" s="35" t="s">
        <v>264</v>
      </c>
      <c r="H290" s="39" t="n">
        <f aca="false">INDEX(REF_VAL,MATCH(D290,REF_ID,0))</f>
        <v>7.93</v>
      </c>
      <c r="I290" s="40" t="n">
        <f aca="false">F290*J290</f>
        <v>0.000611811346278937</v>
      </c>
      <c r="J290" s="40" t="n">
        <v>0.000611811346278937</v>
      </c>
      <c r="K290" s="40" t="n">
        <f aca="false">I290*(1-V290)</f>
        <v>0.000611811346278937</v>
      </c>
      <c r="L290" s="40" t="n">
        <f aca="false">I290*(1+V290)</f>
        <v>0.000611811346278937</v>
      </c>
      <c r="M290" s="40" t="n">
        <f aca="false">F290*N290</f>
        <v>0.00485166397599197</v>
      </c>
      <c r="N290" s="40" t="n">
        <f aca="false">J290*H290</f>
        <v>0.00485166397599197</v>
      </c>
      <c r="O290" s="40" t="n">
        <f aca="false">K290*Q290</f>
        <v>0.00485166397599197</v>
      </c>
      <c r="P290" s="40" t="n">
        <f aca="false">L290*R290</f>
        <v>0.00485166397599197</v>
      </c>
      <c r="Q290" s="39" t="n">
        <f aca="false">INDEX(REF_MIN,MATCH(D290,REF_ID,0))</f>
        <v>7.93</v>
      </c>
      <c r="R290" s="39" t="n">
        <f aca="false">INDEX(REF_MAX,MATCH(D290,REF_ID,0))</f>
        <v>7.93</v>
      </c>
      <c r="S290" s="41" t="n">
        <v>0.606955700673548</v>
      </c>
      <c r="T290" s="42" t="n">
        <f aca="false">200*J290/S290</f>
        <v>0.2016</v>
      </c>
      <c r="U290" s="43" t="n">
        <f aca="false">IFERROR(INDEX(ISO_TOL,MATCH(T290,ISO_DESDE,1)),0)</f>
        <v>0</v>
      </c>
      <c r="V290" s="44" t="n">
        <f aca="false">IF(T290&gt;0,U290/T290,0)</f>
        <v>0</v>
      </c>
    </row>
    <row r="291" customFormat="false" ht="15" hidden="false" customHeight="false" outlineLevel="2" collapsed="false">
      <c r="A291" s="35" t="n">
        <v>2</v>
      </c>
      <c r="B291" s="36" t="s">
        <v>1022</v>
      </c>
      <c r="C291" s="37" t="s">
        <v>294</v>
      </c>
      <c r="D291" s="36" t="s">
        <v>14</v>
      </c>
      <c r="E291" s="36" t="str">
        <f aca="false">INDEX(REF_DATO,MATCH(D291,REF_ID,0))</f>
        <v>Acero inoxidable AISI 302 / 304</v>
      </c>
      <c r="F291" s="38" t="n">
        <v>1</v>
      </c>
      <c r="G291" s="35" t="s">
        <v>264</v>
      </c>
      <c r="H291" s="39" t="n">
        <f aca="false">INDEX(REF_VAL,MATCH(D291,REF_ID,0))</f>
        <v>7.93</v>
      </c>
      <c r="I291" s="40" t="n">
        <f aca="false">F291*J291</f>
        <v>0.000414690230273852</v>
      </c>
      <c r="J291" s="40" t="n">
        <v>0.000414690230273852</v>
      </c>
      <c r="K291" s="40" t="n">
        <f aca="false">I291*(1-V291)</f>
        <v>0.000392699081698723</v>
      </c>
      <c r="L291" s="40" t="n">
        <f aca="false">I291*(1+V291)</f>
        <v>0.00043668137884898</v>
      </c>
      <c r="M291" s="40" t="n">
        <f aca="false">F291*N291</f>
        <v>0.00328849352607164</v>
      </c>
      <c r="N291" s="40" t="n">
        <f aca="false">J291*H291</f>
        <v>0.00328849352607164</v>
      </c>
      <c r="O291" s="40" t="n">
        <f aca="false">K291*Q291</f>
        <v>0.00311410371787087</v>
      </c>
      <c r="P291" s="40" t="n">
        <f aca="false">L291*R291</f>
        <v>0.00346288333427241</v>
      </c>
      <c r="Q291" s="39" t="n">
        <f aca="false">INDEX(REF_MIN,MATCH(D291,REF_ID,0))</f>
        <v>7.93</v>
      </c>
      <c r="R291" s="39" t="n">
        <f aca="false">INDEX(REF_MAX,MATCH(D291,REF_ID,0))</f>
        <v>7.93</v>
      </c>
      <c r="S291" s="41" t="n">
        <v>0.0439822971502571</v>
      </c>
      <c r="T291" s="42" t="n">
        <f aca="false">200*J291/S291</f>
        <v>1.88571428571428</v>
      </c>
      <c r="U291" s="43" t="n">
        <f aca="false">IFERROR(INDEX(ISO_TOL,MATCH(T291,ISO_DESDE,1)),0)</f>
        <v>0.1</v>
      </c>
      <c r="V291" s="44" t="n">
        <f aca="false">IF(T291&gt;0,U291/T291,0)</f>
        <v>0.0530303030303032</v>
      </c>
    </row>
    <row r="292" customFormat="false" ht="15" hidden="false" customHeight="false" outlineLevel="2" collapsed="false">
      <c r="A292" s="35" t="n">
        <v>2</v>
      </c>
      <c r="B292" s="36" t="s">
        <v>1023</v>
      </c>
      <c r="C292" s="37" t="s">
        <v>296</v>
      </c>
      <c r="D292" s="36" t="s">
        <v>14</v>
      </c>
      <c r="E292" s="36" t="str">
        <f aca="false">INDEX(REF_DATO,MATCH(D292,REF_ID,0))</f>
        <v>Acero inoxidable AISI 302 / 304</v>
      </c>
      <c r="F292" s="38" t="n">
        <v>1</v>
      </c>
      <c r="G292" s="35" t="s">
        <v>264</v>
      </c>
      <c r="H292" s="39" t="n">
        <f aca="false">INDEX(REF_VAL,MATCH(D292,REF_ID,0))</f>
        <v>7.93</v>
      </c>
      <c r="I292" s="40" t="n">
        <f aca="false">F292*J292</f>
        <v>0.000697299383997894</v>
      </c>
      <c r="J292" s="40" t="n">
        <v>0.000697299383997894</v>
      </c>
      <c r="K292" s="40" t="n">
        <f aca="false">I292*(1-V292)</f>
        <v>0.000650528235344715</v>
      </c>
      <c r="L292" s="40" t="n">
        <f aca="false">I292*(1+V292)</f>
        <v>0.000744070532651072</v>
      </c>
      <c r="M292" s="40" t="n">
        <f aca="false">F292*N292</f>
        <v>0.0055295841151033</v>
      </c>
      <c r="N292" s="40" t="n">
        <f aca="false">J292*H292</f>
        <v>0.0055295841151033</v>
      </c>
      <c r="O292" s="40" t="n">
        <f aca="false">K292*Q292</f>
        <v>0.00515868890628359</v>
      </c>
      <c r="P292" s="40" t="n">
        <f aca="false">L292*R292</f>
        <v>0.005900479323923</v>
      </c>
      <c r="Q292" s="39" t="n">
        <f aca="false">INDEX(REF_MIN,MATCH(D292,REF_ID,0))</f>
        <v>7.93</v>
      </c>
      <c r="R292" s="39" t="n">
        <f aca="false">INDEX(REF_MAX,MATCH(D292,REF_ID,0))</f>
        <v>7.93</v>
      </c>
      <c r="S292" s="41" t="n">
        <v>0.0935422973063579</v>
      </c>
      <c r="T292" s="42" t="n">
        <f aca="false">200*J292/S292</f>
        <v>1.49087504600018</v>
      </c>
      <c r="U292" s="43" t="n">
        <f aca="false">IFERROR(INDEX(ISO_TOL,MATCH(T292,ISO_DESDE,1)),0)</f>
        <v>0.1</v>
      </c>
      <c r="V292" s="44" t="n">
        <f aca="false">IF(T292&gt;0,U292/T292,0)</f>
        <v>0.0670747023825282</v>
      </c>
    </row>
    <row r="293" customFormat="false" ht="15" hidden="false" customHeight="false" outlineLevel="2" collapsed="false">
      <c r="A293" s="35" t="n">
        <v>2</v>
      </c>
      <c r="B293" s="36" t="s">
        <v>1024</v>
      </c>
      <c r="C293" s="37" t="s">
        <v>298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0.0122208194772706</v>
      </c>
      <c r="J293" s="40" t="n">
        <v>0.0122208194772706</v>
      </c>
      <c r="K293" s="40" t="n">
        <f aca="false">I293*(1-V293)</f>
        <v>0.0109151420660484</v>
      </c>
      <c r="L293" s="40" t="n">
        <f aca="false">I293*(1+V293)</f>
        <v>0.0135264968884928</v>
      </c>
      <c r="M293" s="40" t="n">
        <f aca="false">F293*N293</f>
        <v>0.0959334328965741</v>
      </c>
      <c r="N293" s="40" t="n">
        <f aca="false">J293*H293</f>
        <v>0.0959334328965741</v>
      </c>
      <c r="O293" s="40" t="n">
        <f aca="false">K293*Q293</f>
        <v>0.0856838652184798</v>
      </c>
      <c r="P293" s="40" t="n">
        <f aca="false">L293*R293</f>
        <v>0.106183000574668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2.61135482244439</v>
      </c>
      <c r="T293" s="42" t="n">
        <f aca="false">200*J293/S293</f>
        <v>0.935975408032154</v>
      </c>
      <c r="U293" s="43" t="n">
        <f aca="false">IFERROR(INDEX(ISO_TOL,MATCH(T293,ISO_DESDE,1)),0)</f>
        <v>0.1</v>
      </c>
      <c r="V293" s="44" t="n">
        <f aca="false">IF(T293&gt;0,U293/T293,0)</f>
        <v>0.106840413906008</v>
      </c>
    </row>
    <row r="294" customFormat="false" ht="15" hidden="false" customHeight="false" outlineLevel="2" collapsed="false">
      <c r="A294" s="35" t="n">
        <v>2</v>
      </c>
      <c r="B294" s="36" t="s">
        <v>1025</v>
      </c>
      <c r="C294" s="37" t="s">
        <v>300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0.00964038014337058</v>
      </c>
      <c r="J294" s="40" t="n">
        <v>0.00964038014337058</v>
      </c>
      <c r="K294" s="40" t="n">
        <f aca="false">I294*(1-V294)</f>
        <v>0.00865558197544052</v>
      </c>
      <c r="L294" s="40" t="n">
        <f aca="false">I294*(1+V294)</f>
        <v>0.0106251783113007</v>
      </c>
      <c r="M294" s="40" t="n">
        <f aca="false">F294*N294</f>
        <v>0.0756769841254591</v>
      </c>
      <c r="N294" s="40" t="n">
        <f aca="false">J294*H294</f>
        <v>0.0756769841254591</v>
      </c>
      <c r="O294" s="40" t="n">
        <f aca="false">K294*Q294</f>
        <v>0.0679463185072081</v>
      </c>
      <c r="P294" s="40" t="n">
        <f aca="false">L294*R294</f>
        <v>0.0834076497437101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1.96959633586014</v>
      </c>
      <c r="T294" s="42" t="n">
        <f aca="false">200*J294/S294</f>
        <v>0.978919382398279</v>
      </c>
      <c r="U294" s="43" t="n">
        <f aca="false">IFERROR(INDEX(ISO_TOL,MATCH(T294,ISO_DESDE,1)),0)</f>
        <v>0.1</v>
      </c>
      <c r="V294" s="44" t="n">
        <f aca="false">IF(T294&gt;0,U294/T294,0)</f>
        <v>0.102153457984464</v>
      </c>
    </row>
    <row r="295" customFormat="false" ht="15" hidden="false" customHeight="false" outlineLevel="2" collapsed="false">
      <c r="A295" s="35" t="n">
        <v>2</v>
      </c>
      <c r="B295" s="36" t="s">
        <v>1026</v>
      </c>
      <c r="C295" s="37" t="s">
        <v>302</v>
      </c>
      <c r="D295" s="36" t="s">
        <v>20</v>
      </c>
      <c r="E295" s="36" t="str">
        <f aca="false">INDEX(REF_DATO,MATCH(D295,REF_ID,0))</f>
        <v>Aluminio</v>
      </c>
      <c r="F295" s="38" t="n">
        <v>1</v>
      </c>
      <c r="G295" s="35" t="s">
        <v>264</v>
      </c>
      <c r="H295" s="39" t="n">
        <f aca="false">INDEX(REF_VAL,MATCH(D295,REF_ID,0))</f>
        <v>2.7</v>
      </c>
      <c r="I295" s="40" t="n">
        <f aca="false">F295*J295</f>
        <v>0.0258990075391833</v>
      </c>
      <c r="J295" s="40" t="n">
        <v>0.0258990075391833</v>
      </c>
      <c r="K295" s="40" t="n">
        <f aca="false">I295*(1-V295)</f>
        <v>0.0241684015059378</v>
      </c>
      <c r="L295" s="40" t="n">
        <f aca="false">I295*(1+V295)</f>
        <v>0.0276296135724289</v>
      </c>
      <c r="M295" s="40" t="n">
        <f aca="false">F295*N295</f>
        <v>0.069927320355795</v>
      </c>
      <c r="N295" s="40" t="n">
        <f aca="false">J295*H295</f>
        <v>0.069927320355795</v>
      </c>
      <c r="O295" s="40" t="n">
        <f aca="false">K295*Q295</f>
        <v>0.065254684066032</v>
      </c>
      <c r="P295" s="40" t="n">
        <f aca="false">L295*R295</f>
        <v>0.074599956645558</v>
      </c>
      <c r="Q295" s="39" t="n">
        <f aca="false">INDEX(REF_MIN,MATCH(D295,REF_ID,0))</f>
        <v>2.7</v>
      </c>
      <c r="R295" s="39" t="n">
        <f aca="false">INDEX(REF_MAX,MATCH(D295,REF_ID,0))</f>
        <v>2.7</v>
      </c>
      <c r="S295" s="41" t="n">
        <v>3.4612120664911</v>
      </c>
      <c r="T295" s="42" t="n">
        <f aca="false">200*J295/S295</f>
        <v>1.49652821275636</v>
      </c>
      <c r="U295" s="43" t="n">
        <f aca="false">IFERROR(INDEX(ISO_TOL,MATCH(T295,ISO_DESDE,1)),0)</f>
        <v>0.1</v>
      </c>
      <c r="V295" s="44" t="n">
        <f aca="false">IF(T295&gt;0,U295/T295,0)</f>
        <v>0.0668213262854674</v>
      </c>
    </row>
    <row r="296" customFormat="false" ht="15" hidden="false" customHeight="false" outlineLevel="2" collapsed="false">
      <c r="A296" s="35" t="n">
        <v>2</v>
      </c>
      <c r="B296" s="36" t="s">
        <v>1027</v>
      </c>
      <c r="C296" s="37" t="s">
        <v>280</v>
      </c>
      <c r="D296" s="36" t="s">
        <v>23</v>
      </c>
      <c r="E296" s="36" t="str">
        <f aca="false">INDEX(REF_DATO,MATCH(D296,REF_ID,0))</f>
        <v>Caucho sintético (NBR / SBR)</v>
      </c>
      <c r="F296" s="38" t="n">
        <v>1</v>
      </c>
      <c r="G296" s="35" t="s">
        <v>264</v>
      </c>
      <c r="H296" s="39" t="n">
        <f aca="false">INDEX(REF_VAL,MATCH(D296,REF_ID,0))</f>
        <v>1.2</v>
      </c>
      <c r="I296" s="40" t="n">
        <f aca="false">F296*J296</f>
        <v>0.000842575149692783</v>
      </c>
      <c r="J296" s="40" t="n">
        <v>0.000842575149692783</v>
      </c>
      <c r="K296" s="40" t="n">
        <f aca="false">I296*(1-V296)</f>
        <v>0.000786403473046597</v>
      </c>
      <c r="L296" s="40" t="n">
        <f aca="false">I296*(1+V296)</f>
        <v>0.000898746826338968</v>
      </c>
      <c r="M296" s="40" t="n">
        <f aca="false">F296*N296</f>
        <v>0.00101109017963134</v>
      </c>
      <c r="N296" s="40" t="n">
        <f aca="false">J296*H296</f>
        <v>0.00101109017963134</v>
      </c>
      <c r="O296" s="40" t="n">
        <f aca="false">K296*Q296</f>
        <v>0.000865043820351257</v>
      </c>
      <c r="P296" s="40" t="n">
        <f aca="false">L296*R296</f>
        <v>0.00116837087424066</v>
      </c>
      <c r="Q296" s="39" t="n">
        <f aca="false">INDEX(REF_MIN,MATCH(D296,REF_ID,0))</f>
        <v>1.1</v>
      </c>
      <c r="R296" s="39" t="n">
        <f aca="false">INDEX(REF_MAX,MATCH(D296,REF_ID,0))</f>
        <v>1.3</v>
      </c>
      <c r="S296" s="41" t="n">
        <v>0.112343353292371</v>
      </c>
      <c r="T296" s="42" t="n">
        <f aca="false">200*J296/S296</f>
        <v>1.5</v>
      </c>
      <c r="U296" s="43" t="n">
        <f aca="false">IFERROR(INDEX(ISO_TOL,MATCH(T296,ISO_DESDE,1)),0)</f>
        <v>0.1</v>
      </c>
      <c r="V296" s="44" t="n">
        <f aca="false">IF(T296&gt;0,U296/T296,0)</f>
        <v>0.0666666666666666</v>
      </c>
    </row>
    <row r="297" customFormat="false" ht="15" hidden="false" customHeight="false" outlineLevel="2" collapsed="false">
      <c r="A297" s="35" t="n">
        <v>2</v>
      </c>
      <c r="B297" s="36" t="s">
        <v>1028</v>
      </c>
      <c r="C297" s="37" t="s">
        <v>306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1" collapsed="false">
      <c r="A298" s="25" t="n">
        <v>1</v>
      </c>
      <c r="B298" s="26" t="s">
        <v>1029</v>
      </c>
      <c r="C298" s="27" t="s">
        <v>308</v>
      </c>
      <c r="D298" s="26"/>
      <c r="E298" s="26"/>
      <c r="F298" s="28" t="n">
        <v>1</v>
      </c>
      <c r="G298" s="25" t="s">
        <v>264</v>
      </c>
      <c r="H298" s="29"/>
      <c r="I298" s="30"/>
      <c r="J298" s="30"/>
      <c r="K298" s="30"/>
      <c r="L298" s="30"/>
      <c r="M298" s="30" t="n">
        <f aca="false">IF(SUMIF(A299:A303,2,M299:M303)=0,"",SUMIF(A299:A303,2,M299:M303))</f>
        <v>0.307381103286121</v>
      </c>
      <c r="N298" s="30"/>
      <c r="O298" s="30" t="n">
        <f aca="false">IF(SUMIF(A299:A303,2,O299:O303)=0,"",SUMIF(A299:A303,2,O299:O303))</f>
        <v>0.288481570192522</v>
      </c>
      <c r="P298" s="30" t="n">
        <f aca="false">IF(SUMIF(A299:A303,2,P299:P303)=0,"",SUMIF(A299:A303,2,P299:P303))</f>
        <v>0.327972419028065</v>
      </c>
      <c r="Q298" s="29"/>
      <c r="R298" s="29"/>
      <c r="S298" s="31"/>
      <c r="T298" s="32"/>
      <c r="U298" s="33"/>
      <c r="V298" s="34"/>
    </row>
    <row r="299" customFormat="false" ht="15" hidden="false" customHeight="false" outlineLevel="2" collapsed="false">
      <c r="A299" s="35" t="n">
        <v>2</v>
      </c>
      <c r="B299" s="36" t="s">
        <v>1030</v>
      </c>
      <c r="C299" s="37" t="s">
        <v>369</v>
      </c>
      <c r="D299" s="36" t="s">
        <v>17</v>
      </c>
      <c r="E299" s="36" t="str">
        <f aca="false">INDEX(REF_DATO,MATCH(D299,REF_ID,0))</f>
        <v>Latón de forja (CuZn39Pb2 / C37700)</v>
      </c>
      <c r="F299" s="38" t="n">
        <v>1</v>
      </c>
      <c r="G299" s="35" t="s">
        <v>264</v>
      </c>
      <c r="H299" s="39" t="n">
        <f aca="false">INDEX(REF_VAL,MATCH(D299,REF_ID,0))</f>
        <v>8.45</v>
      </c>
      <c r="I299" s="40" t="n">
        <f aca="false">F299*J299</f>
        <v>0.00305362805928928</v>
      </c>
      <c r="J299" s="40" t="n">
        <v>0.00305362805928928</v>
      </c>
      <c r="K299" s="40" t="n">
        <f aca="false">I299*(1-V299)</f>
        <v>0.00299425195813643</v>
      </c>
      <c r="L299" s="40" t="n">
        <f aca="false">I299*(1+V299)</f>
        <v>0.00311300416044213</v>
      </c>
      <c r="M299" s="40" t="n">
        <f aca="false">F299*N299</f>
        <v>0.0258031571009944</v>
      </c>
      <c r="N299" s="40" t="n">
        <f aca="false">J299*H299</f>
        <v>0.0258031571009944</v>
      </c>
      <c r="O299" s="40" t="n">
        <f aca="false">K299*Q299</f>
        <v>0.025151716448346</v>
      </c>
      <c r="P299" s="40" t="n">
        <f aca="false">L299*R299</f>
        <v>0.0264605353637581</v>
      </c>
      <c r="Q299" s="39" t="n">
        <f aca="false">INDEX(REF_MIN,MATCH(D299,REF_ID,0))</f>
        <v>8.4</v>
      </c>
      <c r="R299" s="39" t="n">
        <f aca="false">INDEX(REF_MAX,MATCH(D299,REF_ID,0))</f>
        <v>8.5</v>
      </c>
      <c r="S299" s="41" t="n">
        <v>0.118752202305694</v>
      </c>
      <c r="T299" s="42" t="n">
        <f aca="false">200*J299/S299</f>
        <v>5.14285714285715</v>
      </c>
      <c r="U299" s="43" t="n">
        <f aca="false">IFERROR(INDEX(ISO_TOL,MATCH(T299,ISO_DESDE,1)),0)</f>
        <v>0.1</v>
      </c>
      <c r="V299" s="44" t="n">
        <f aca="false">IF(T299&gt;0,U299/T299,0)</f>
        <v>0.0194444444444444</v>
      </c>
    </row>
    <row r="300" customFormat="false" ht="15" hidden="false" customHeight="false" outlineLevel="2" collapsed="false">
      <c r="A300" s="35" t="n">
        <v>2</v>
      </c>
      <c r="B300" s="36" t="s">
        <v>1031</v>
      </c>
      <c r="C300" s="37" t="s">
        <v>371</v>
      </c>
      <c r="D300" s="36" t="s">
        <v>23</v>
      </c>
      <c r="E300" s="36" t="str">
        <f aca="false">INDEX(REF_DATO,MATCH(D300,REF_ID,0))</f>
        <v>Caucho sintético (NBR / SBR)</v>
      </c>
      <c r="F300" s="38" t="n">
        <v>1</v>
      </c>
      <c r="G300" s="35" t="s">
        <v>264</v>
      </c>
      <c r="H300" s="39" t="n">
        <f aca="false">INDEX(REF_VAL,MATCH(D300,REF_ID,0))</f>
        <v>1.2</v>
      </c>
      <c r="I300" s="40" t="n">
        <f aca="false">F300*J300</f>
        <v>0.0366754834285809</v>
      </c>
      <c r="J300" s="40" t="n">
        <v>0.0366754834285809</v>
      </c>
      <c r="K300" s="40" t="n">
        <f aca="false">I300*(1-V300)</f>
        <v>0.0350073974532283</v>
      </c>
      <c r="L300" s="40" t="n">
        <f aca="false">I300*(1+V300)</f>
        <v>0.0383435694039334</v>
      </c>
      <c r="M300" s="40" t="n">
        <f aca="false">F300*N300</f>
        <v>0.044010580114297</v>
      </c>
      <c r="N300" s="40" t="n">
        <f aca="false">J300*H300</f>
        <v>0.044010580114297</v>
      </c>
      <c r="O300" s="40" t="n">
        <f aca="false">K300*Q300</f>
        <v>0.0385081371985512</v>
      </c>
      <c r="P300" s="40" t="n">
        <f aca="false">L300*R300</f>
        <v>0.0498466402251134</v>
      </c>
      <c r="Q300" s="39" t="n">
        <f aca="false">INDEX(REF_MIN,MATCH(D300,REF_ID,0))</f>
        <v>1.1</v>
      </c>
      <c r="R300" s="39" t="n">
        <f aca="false">INDEX(REF_MAX,MATCH(D300,REF_ID,0))</f>
        <v>1.3</v>
      </c>
      <c r="S300" s="41" t="n">
        <v>3.33617195070508</v>
      </c>
      <c r="T300" s="42" t="n">
        <f aca="false">200*J300/S300</f>
        <v>2.19865666221609</v>
      </c>
      <c r="U300" s="43" t="n">
        <f aca="false">IFERROR(INDEX(ISO_TOL,MATCH(T300,ISO_DESDE,1)),0)</f>
        <v>0.1</v>
      </c>
      <c r="V300" s="44" t="n">
        <f aca="false">IF(T300&gt;0,U300/T300,0)</f>
        <v>0.0454823173251649</v>
      </c>
    </row>
    <row r="301" customFormat="false" ht="15" hidden="false" customHeight="false" outlineLevel="2" collapsed="false">
      <c r="A301" s="35" t="n">
        <v>2</v>
      </c>
      <c r="B301" s="36" t="s">
        <v>1032</v>
      </c>
      <c r="C301" s="37" t="s">
        <v>990</v>
      </c>
      <c r="D301" s="36" t="s">
        <v>29</v>
      </c>
      <c r="E301" s="36" t="str">
        <f aca="false">INDEX(REF_DATO,MATCH(D301,REF_ID,0))</f>
        <v>Polietileno de alta densidad</v>
      </c>
      <c r="F301" s="38" t="n">
        <v>1</v>
      </c>
      <c r="G301" s="35" t="s">
        <v>264</v>
      </c>
      <c r="H301" s="39" t="n">
        <f aca="false">INDEX(REF_VAL,MATCH(D301,REF_ID,0))</f>
        <v>0.95</v>
      </c>
      <c r="I301" s="40" t="n">
        <f aca="false">F301*J301</f>
        <v>0.0993109797677293</v>
      </c>
      <c r="J301" s="40" t="n">
        <v>0.0993109797677293</v>
      </c>
      <c r="K301" s="40" t="n">
        <f aca="false">I301*(1-V301)</f>
        <v>0.0949239305428045</v>
      </c>
      <c r="L301" s="40" t="n">
        <f aca="false">I301*(1+V301)</f>
        <v>0.103698028992654</v>
      </c>
      <c r="M301" s="40" t="n">
        <f aca="false">F301*N301</f>
        <v>0.0943454307793428</v>
      </c>
      <c r="N301" s="40" t="n">
        <f aca="false">J301*H301</f>
        <v>0.0943454307793428</v>
      </c>
      <c r="O301" s="40" t="n">
        <f aca="false">K301*Q301</f>
        <v>0.0892284947102363</v>
      </c>
      <c r="P301" s="40" t="n">
        <f aca="false">L301*R301</f>
        <v>0.100587088122874</v>
      </c>
      <c r="Q301" s="39" t="n">
        <f aca="false">INDEX(REF_MIN,MATCH(D301,REF_ID,0))</f>
        <v>0.94</v>
      </c>
      <c r="R301" s="39" t="n">
        <f aca="false">INDEX(REF_MAX,MATCH(D301,REF_ID,0))</f>
        <v>0.97</v>
      </c>
      <c r="S301" s="41" t="n">
        <v>8.77409844984951</v>
      </c>
      <c r="T301" s="42" t="n">
        <f aca="false">200*J301/S301</f>
        <v>2.26373069177113</v>
      </c>
      <c r="U301" s="43" t="n">
        <f aca="false">IFERROR(INDEX(ISO_TOL,MATCH(T301,ISO_DESDE,1)),0)</f>
        <v>0.1</v>
      </c>
      <c r="V301" s="44" t="n">
        <f aca="false">IF(T301&gt;0,U301/T301,0)</f>
        <v>0.0441748660136601</v>
      </c>
    </row>
    <row r="302" customFormat="false" ht="15" hidden="false" customHeight="false" outlineLevel="2" collapsed="false">
      <c r="A302" s="35" t="n">
        <v>2</v>
      </c>
      <c r="B302" s="36" t="s">
        <v>1033</v>
      </c>
      <c r="C302" s="37" t="s">
        <v>992</v>
      </c>
      <c r="D302" s="36" t="s">
        <v>26</v>
      </c>
      <c r="E302" s="36" t="str">
        <f aca="false">INDEX(REF_DATO,MATCH(D302,REF_ID,0))</f>
        <v>Polipropileno</v>
      </c>
      <c r="F302" s="38" t="n">
        <v>1</v>
      </c>
      <c r="G302" s="35" t="s">
        <v>264</v>
      </c>
      <c r="H302" s="39" t="n">
        <f aca="false">INDEX(REF_VAL,MATCH(D302,REF_ID,0))</f>
        <v>0.9</v>
      </c>
      <c r="I302" s="40" t="n">
        <f aca="false">F302*J302</f>
        <v>0.0223166175740405</v>
      </c>
      <c r="J302" s="40" t="n">
        <v>0.0223166175740405</v>
      </c>
      <c r="K302" s="40" t="n">
        <f aca="false">I302*(1-V302)</f>
        <v>0.0218825782746131</v>
      </c>
      <c r="L302" s="40" t="n">
        <f aca="false">I302*(1+V302)</f>
        <v>0.0227506568734678</v>
      </c>
      <c r="M302" s="40" t="n">
        <f aca="false">F302*N302</f>
        <v>0.0200849558166364</v>
      </c>
      <c r="N302" s="40" t="n">
        <f aca="false">J302*H302</f>
        <v>0.0200849558166364</v>
      </c>
      <c r="O302" s="40" t="n">
        <f aca="false">K302*Q302</f>
        <v>0.0196943204471518</v>
      </c>
      <c r="P302" s="40" t="n">
        <f aca="false">L302*R302</f>
        <v>0.0207030977548557</v>
      </c>
      <c r="Q302" s="39" t="n">
        <f aca="false">INDEX(REF_MIN,MATCH(D302,REF_ID,0))</f>
        <v>0.9</v>
      </c>
      <c r="R302" s="39" t="n">
        <f aca="false">INDEX(REF_MAX,MATCH(D302,REF_ID,0))</f>
        <v>0.91</v>
      </c>
      <c r="S302" s="41" t="n">
        <v>0.868078598854625</v>
      </c>
      <c r="T302" s="42" t="n">
        <f aca="false">200*J302/S302</f>
        <v>5.14161220043573</v>
      </c>
      <c r="U302" s="43" t="n">
        <f aca="false">IFERROR(INDEX(ISO_TOL,MATCH(T302,ISO_DESDE,1)),0)</f>
        <v>0.1</v>
      </c>
      <c r="V302" s="44" t="n">
        <f aca="false">IF(T302&gt;0,U302/T302,0)</f>
        <v>0.0194491525423729</v>
      </c>
    </row>
    <row r="303" customFormat="false" ht="15" hidden="false" customHeight="false" outlineLevel="2" collapsed="false">
      <c r="A303" s="35" t="n">
        <v>2</v>
      </c>
      <c r="B303" s="36" t="s">
        <v>1034</v>
      </c>
      <c r="C303" s="37" t="s">
        <v>1035</v>
      </c>
      <c r="D303" s="36" t="s">
        <v>10</v>
      </c>
      <c r="E303" s="36" t="str">
        <f aca="false">INDEX(REF_DATO,MATCH(D303,REF_ID,0))</f>
        <v>Acero (chapa LAC/LAF, SAE 1010/1045)</v>
      </c>
      <c r="F303" s="38" t="n">
        <v>1</v>
      </c>
      <c r="G303" s="35" t="s">
        <v>264</v>
      </c>
      <c r="H303" s="39" t="n">
        <f aca="false">INDEX(REF_VAL,MATCH(D303,REF_ID,0))</f>
        <v>7.85</v>
      </c>
      <c r="I303" s="40" t="n">
        <f aca="false">F303*J303</f>
        <v>0.0156862394235478</v>
      </c>
      <c r="J303" s="40" t="n">
        <v>0.0156862394235478</v>
      </c>
      <c r="K303" s="40" t="n">
        <f aca="false">I303*(1-V303)</f>
        <v>0.014764191259648</v>
      </c>
      <c r="L303" s="40" t="n">
        <f aca="false">I303*(1+V303)</f>
        <v>0.0166082875874476</v>
      </c>
      <c r="M303" s="40" t="n">
        <f aca="false">F303*N303</f>
        <v>0.12313697947485</v>
      </c>
      <c r="N303" s="40" t="n">
        <f aca="false">J303*H303</f>
        <v>0.12313697947485</v>
      </c>
      <c r="O303" s="40" t="n">
        <f aca="false">K303*Q303</f>
        <v>0.115898901388237</v>
      </c>
      <c r="P303" s="40" t="n">
        <f aca="false">L303*R303</f>
        <v>0.130375057561463</v>
      </c>
      <c r="Q303" s="39" t="n">
        <f aca="false">INDEX(REF_MIN,MATCH(D303,REF_ID,0))</f>
        <v>7.85</v>
      </c>
      <c r="R303" s="39" t="n">
        <f aca="false">INDEX(REF_MAX,MATCH(D303,REF_ID,0))</f>
        <v>7.85</v>
      </c>
      <c r="S303" s="41" t="n">
        <v>1.84409632779952</v>
      </c>
      <c r="T303" s="42" t="n">
        <f aca="false">200*J303/S303</f>
        <v>1.70123861612647</v>
      </c>
      <c r="U303" s="43" t="n">
        <f aca="false">IFERROR(INDEX(ISO_TOL,MATCH(T303,ISO_DESDE,1)),0)</f>
        <v>0.1</v>
      </c>
      <c r="V303" s="44" t="n">
        <f aca="false">IF(T303&gt;0,U303/T303,0)</f>
        <v>0.0587807019262759</v>
      </c>
    </row>
    <row r="304" customFormat="false" ht="15" hidden="false" customHeight="false" outlineLevel="1" collapsed="false">
      <c r="A304" s="25" t="n">
        <v>1</v>
      </c>
      <c r="B304" s="26" t="s">
        <v>1036</v>
      </c>
      <c r="C304" s="27" t="s">
        <v>312</v>
      </c>
      <c r="D304" s="26"/>
      <c r="E304" s="26"/>
      <c r="F304" s="28" t="n">
        <v>1</v>
      </c>
      <c r="G304" s="25" t="s">
        <v>264</v>
      </c>
      <c r="H304" s="29"/>
      <c r="I304" s="30"/>
      <c r="J304" s="30"/>
      <c r="K304" s="30"/>
      <c r="L304" s="30"/>
      <c r="M304" s="30" t="n">
        <f aca="false">IF(SUMIF(A305:A305,2,M305:M305)=0,"",SUMIF(A305:A305,2,M305:M305))</f>
        <v>5</v>
      </c>
      <c r="N304" s="30"/>
      <c r="O304" s="30" t="n">
        <f aca="false">IF(SUMIF(A305:A305,2,O305:O305)=0,"",SUMIF(A305:A305,2,O305:O305))</f>
        <v>4.75</v>
      </c>
      <c r="P304" s="30" t="n">
        <f aca="false">IF(SUMIF(A305:A305,2,P305:P305)=0,"",SUMIF(A305:A305,2,P305:P305))</f>
        <v>5</v>
      </c>
      <c r="Q304" s="29"/>
      <c r="R304" s="29"/>
      <c r="S304" s="31"/>
      <c r="T304" s="32"/>
      <c r="U304" s="33"/>
      <c r="V304" s="34"/>
    </row>
    <row r="305" customFormat="false" ht="15" hidden="false" customHeight="false" outlineLevel="2" collapsed="false">
      <c r="A305" s="35" t="n">
        <v>2</v>
      </c>
      <c r="B305" s="36" t="s">
        <v>1037</v>
      </c>
      <c r="C305" s="37" t="s">
        <v>995</v>
      </c>
      <c r="D305" s="36" t="s">
        <v>71</v>
      </c>
      <c r="E305" s="36" t="str">
        <f aca="false">INDEX(REF_DATO,MATCH(D305,REF_ID,0))</f>
        <v>Dióxido de carbono (IRAM 41170)</v>
      </c>
      <c r="F305" s="38" t="n">
        <f aca="false">MODELOS!$L$13</f>
        <v>5</v>
      </c>
      <c r="G305" s="35" t="s">
        <v>123</v>
      </c>
      <c r="H305" s="39" t="n">
        <f aca="false">MODELOS!$AJ$13</f>
        <v>0.631313131313131</v>
      </c>
      <c r="I305" s="40" t="n">
        <f aca="false">F305*J305</f>
        <v>7.92</v>
      </c>
      <c r="J305" s="40" t="n">
        <f aca="false">1/H305</f>
        <v>1.584</v>
      </c>
      <c r="K305" s="40" t="n">
        <f aca="false">MODELOS!$M$13/H305</f>
        <v>7.524</v>
      </c>
      <c r="L305" s="40" t="n">
        <f aca="false">MODELOS!$N$13/H305</f>
        <v>7.92</v>
      </c>
      <c r="M305" s="40" t="n">
        <f aca="false">F305</f>
        <v>5</v>
      </c>
      <c r="N305" s="40" t="n">
        <v>1</v>
      </c>
      <c r="O305" s="40" t="n">
        <f aca="false">MODELOS!$M$13</f>
        <v>4.75</v>
      </c>
      <c r="P305" s="40" t="n">
        <f aca="false">MODELOS!$N$13</f>
        <v>5</v>
      </c>
      <c r="Q305" s="39"/>
      <c r="R305" s="39"/>
      <c r="S305" s="41"/>
      <c r="T305" s="42"/>
      <c r="U305" s="43"/>
      <c r="V305" s="44"/>
    </row>
    <row r="306" customFormat="false" ht="15" hidden="false" customHeight="false" outlineLevel="1" collapsed="false">
      <c r="A306" s="25" t="n">
        <v>1</v>
      </c>
      <c r="B306" s="26" t="s">
        <v>1038</v>
      </c>
      <c r="C306" s="27" t="s">
        <v>318</v>
      </c>
      <c r="D306" s="26"/>
      <c r="E306" s="26"/>
      <c r="F306" s="28" t="n">
        <v>1</v>
      </c>
      <c r="G306" s="25" t="s">
        <v>264</v>
      </c>
      <c r="H306" s="29"/>
      <c r="I306" s="30"/>
      <c r="J306" s="30"/>
      <c r="K306" s="30"/>
      <c r="L306" s="30"/>
      <c r="M306" s="30" t="n">
        <f aca="false">IF(SUMIF(A307:A313,2,M307:M313)=0,"",SUMIF(A307:A313,2,M307:M313))</f>
        <v>0.0320463934983475</v>
      </c>
      <c r="N306" s="30"/>
      <c r="O306" s="30" t="n">
        <f aca="false">IF(SUMIF(A307:A313,2,O307:O313)=0,"",SUMIF(A307:A313,2,O307:O313))</f>
        <v>0.0308993549507385</v>
      </c>
      <c r="P306" s="30" t="n">
        <f aca="false">IF(SUMIF(A307:A313,2,P307:P313)=0,"",SUMIF(A307:A313,2,P307:P313))</f>
        <v>0.0331954937161355</v>
      </c>
      <c r="Q306" s="29"/>
      <c r="R306" s="29"/>
      <c r="S306" s="31"/>
      <c r="T306" s="32"/>
      <c r="U306" s="33"/>
      <c r="V306" s="34"/>
    </row>
    <row r="307" customFormat="false" ht="15" hidden="false" customHeight="false" outlineLevel="2" collapsed="false">
      <c r="A307" s="35" t="n">
        <v>2</v>
      </c>
      <c r="B307" s="36" t="s">
        <v>1039</v>
      </c>
      <c r="C307" s="37" t="s">
        <v>320</v>
      </c>
      <c r="D307" s="36" t="s">
        <v>32</v>
      </c>
      <c r="E307" s="36" t="str">
        <f aca="false">INDEX(REF_DATO,MATCH(D307,REF_ID,0))</f>
        <v>PVC rígido, vinilo y papeles de identificación</v>
      </c>
      <c r="F307" s="38" t="n">
        <v>1</v>
      </c>
      <c r="G307" s="35" t="s">
        <v>264</v>
      </c>
      <c r="H307" s="39" t="n">
        <f aca="false">INDEX(REF_VAL,MATCH(D307,REF_ID,0))</f>
        <v>1.4</v>
      </c>
      <c r="I307" s="40" t="n">
        <f aca="false">F307*J307</f>
        <v>0.0185618263621312</v>
      </c>
      <c r="J307" s="40" t="n">
        <v>0.0185618263621312</v>
      </c>
      <c r="K307" s="40" t="n">
        <f aca="false">I307*(1-V307)</f>
        <v>0.0185618263621312</v>
      </c>
      <c r="L307" s="40" t="n">
        <f aca="false">I307*(1+V307)</f>
        <v>0.0185618263621312</v>
      </c>
      <c r="M307" s="40" t="n">
        <f aca="false">F307*N307</f>
        <v>0.0259865569069836</v>
      </c>
      <c r="N307" s="40" t="n">
        <f aca="false">J307*H307</f>
        <v>0.0259865569069836</v>
      </c>
      <c r="O307" s="40" t="n">
        <f aca="false">K307*Q307</f>
        <v>0.0250584655888771</v>
      </c>
      <c r="P307" s="40" t="n">
        <f aca="false">L307*R307</f>
        <v>0.0269146482250902</v>
      </c>
      <c r="Q307" s="39" t="n">
        <f aca="false">INDEX(REF_MIN,MATCH(D307,REF_ID,0))</f>
        <v>1.35</v>
      </c>
      <c r="R307" s="39" t="n">
        <f aca="false">INDEX(REF_MAX,MATCH(D307,REF_ID,0))</f>
        <v>1.45</v>
      </c>
      <c r="S307" s="41" t="n">
        <v>12.4044560333709</v>
      </c>
      <c r="T307" s="42" t="n">
        <f aca="false">200*J307/S307</f>
        <v>0.299276748810193</v>
      </c>
      <c r="U307" s="43" t="n">
        <f aca="false">IFERROR(INDEX(ISO_TOL,MATCH(T307,ISO_DESDE,1)),0)</f>
        <v>0</v>
      </c>
      <c r="V307" s="44" t="n">
        <f aca="false">IF(T307&gt;0,U307/T307,0)</f>
        <v>0</v>
      </c>
    </row>
    <row r="308" customFormat="false" ht="15" hidden="false" customHeight="false" outlineLevel="2" collapsed="false">
      <c r="A308" s="35" t="n">
        <v>2</v>
      </c>
      <c r="B308" s="36" t="s">
        <v>1040</v>
      </c>
      <c r="C308" s="37" t="s">
        <v>322</v>
      </c>
      <c r="D308" s="36" t="s">
        <v>32</v>
      </c>
      <c r="E308" s="36" t="str">
        <f aca="false">INDEX(REF_DATO,MATCH(D308,REF_ID,0))</f>
        <v>PVC rígido, vinilo y papeles de identificación</v>
      </c>
      <c r="F308" s="38" t="n">
        <v>1</v>
      </c>
      <c r="G308" s="35" t="s">
        <v>264</v>
      </c>
      <c r="H308" s="39" t="n">
        <f aca="false">INDEX(REF_VAL,MATCH(D308,REF_ID,0))</f>
        <v>1.4</v>
      </c>
      <c r="I308" s="40" t="n">
        <f aca="false">F308*J308</f>
        <v>0.000636160285712345</v>
      </c>
      <c r="J308" s="40" t="n">
        <v>0.000636160285712345</v>
      </c>
      <c r="K308" s="40" t="n">
        <f aca="false">I308*(1-V308)</f>
        <v>0.000636160285712345</v>
      </c>
      <c r="L308" s="40" t="n">
        <f aca="false">I308*(1+V308)</f>
        <v>0.000636160285712345</v>
      </c>
      <c r="M308" s="40" t="n">
        <f aca="false">F308*N308</f>
        <v>0.000890624399997283</v>
      </c>
      <c r="N308" s="40" t="n">
        <f aca="false">J308*H308</f>
        <v>0.000890624399997283</v>
      </c>
      <c r="O308" s="40" t="n">
        <f aca="false">K308*Q308</f>
        <v>0.000858816385711666</v>
      </c>
      <c r="P308" s="40" t="n">
        <f aca="false">L308*R308</f>
        <v>0.0009224324142829</v>
      </c>
      <c r="Q308" s="39" t="n">
        <f aca="false">INDEX(REF_MIN,MATCH(D308,REF_ID,0))</f>
        <v>1.35</v>
      </c>
      <c r="R308" s="39" t="n">
        <f aca="false">INDEX(REF_MAX,MATCH(D308,REF_ID,0))</f>
        <v>1.45</v>
      </c>
      <c r="S308" s="41" t="n">
        <v>0.429632771427268</v>
      </c>
      <c r="T308" s="42" t="n">
        <f aca="false">200*J308/S308</f>
        <v>0.296141415655505</v>
      </c>
      <c r="U308" s="43" t="n">
        <f aca="false">IFERROR(INDEX(ISO_TOL,MATCH(T308,ISO_DESDE,1)),0)</f>
        <v>0</v>
      </c>
      <c r="V308" s="44" t="n">
        <f aca="false">IF(T308&gt;0,U308/T308,0)</f>
        <v>0</v>
      </c>
    </row>
    <row r="309" customFormat="false" ht="15" hidden="false" customHeight="false" outlineLevel="2" collapsed="false">
      <c r="A309" s="35" t="n">
        <v>2</v>
      </c>
      <c r="B309" s="36" t="s">
        <v>1041</v>
      </c>
      <c r="C309" s="37" t="s">
        <v>324</v>
      </c>
      <c r="D309" s="36" t="s">
        <v>32</v>
      </c>
      <c r="E309" s="36" t="str">
        <f aca="false">INDEX(REF_DATO,MATCH(D309,REF_ID,0))</f>
        <v>PVC rígido, vinilo y papeles de identificación</v>
      </c>
      <c r="F309" s="38" t="n">
        <v>1</v>
      </c>
      <c r="G309" s="35" t="s">
        <v>264</v>
      </c>
      <c r="H309" s="39" t="n">
        <f aca="false">INDEX(REF_VAL,MATCH(D309,REF_ID,0))</f>
        <v>1.4</v>
      </c>
      <c r="I309" s="40" t="n">
        <f aca="false">F309*J309</f>
        <v>0.000721542857140667</v>
      </c>
      <c r="J309" s="40" t="n">
        <v>0.000721542857140667</v>
      </c>
      <c r="K309" s="40" t="n">
        <f aca="false">I309*(1-V309)</f>
        <v>0.000721542857140667</v>
      </c>
      <c r="L309" s="40" t="n">
        <f aca="false">I309*(1+V309)</f>
        <v>0.000721542857140667</v>
      </c>
      <c r="M309" s="40" t="n">
        <f aca="false">F309*N309</f>
        <v>0.00101015999999693</v>
      </c>
      <c r="N309" s="40" t="n">
        <f aca="false">J309*H309</f>
        <v>0.00101015999999693</v>
      </c>
      <c r="O309" s="40" t="n">
        <f aca="false">K309*Q309</f>
        <v>0.000974082857139901</v>
      </c>
      <c r="P309" s="40" t="n">
        <f aca="false">L309*R309</f>
        <v>0.00104623714285397</v>
      </c>
      <c r="Q309" s="39" t="n">
        <f aca="false">INDEX(REF_MIN,MATCH(D309,REF_ID,0))</f>
        <v>1.35</v>
      </c>
      <c r="R309" s="39" t="n">
        <f aca="false">INDEX(REF_MAX,MATCH(D309,REF_ID,0))</f>
        <v>1.45</v>
      </c>
      <c r="S309" s="41" t="n">
        <v>0.487036285712806</v>
      </c>
      <c r="T309" s="42" t="n">
        <f aca="false">200*J309/S309</f>
        <v>0.296299425035508</v>
      </c>
      <c r="U309" s="43" t="n">
        <f aca="false">IFERROR(INDEX(ISO_TOL,MATCH(T309,ISO_DESDE,1)),0)</f>
        <v>0</v>
      </c>
      <c r="V309" s="44" t="n">
        <f aca="false">IF(T309&gt;0,U309/T309,0)</f>
        <v>0</v>
      </c>
    </row>
    <row r="310" customFormat="false" ht="15" hidden="false" customHeight="false" outlineLevel="2" collapsed="false">
      <c r="A310" s="35" t="n">
        <v>2</v>
      </c>
      <c r="B310" s="36" t="s">
        <v>1042</v>
      </c>
      <c r="C310" s="37" t="s">
        <v>384</v>
      </c>
      <c r="D310" s="36" t="s">
        <v>32</v>
      </c>
      <c r="E310" s="36" t="str">
        <f aca="false">INDEX(REF_DATO,MATCH(D310,REF_ID,0))</f>
        <v>PVC rígido, vinilo y papeles de identificación</v>
      </c>
      <c r="F310" s="38" t="n">
        <v>1</v>
      </c>
      <c r="G310" s="35" t="s">
        <v>264</v>
      </c>
      <c r="H310" s="39" t="n">
        <f aca="false">INDEX(REF_VAL,MATCH(D310,REF_ID,0))</f>
        <v>1.4</v>
      </c>
      <c r="I310" s="40" t="n">
        <f aca="false">F310*J310</f>
        <v>0.00231494999999304</v>
      </c>
      <c r="J310" s="40" t="n">
        <v>0.00231494999999304</v>
      </c>
      <c r="K310" s="40" t="n">
        <f aca="false">I310*(1-V310)</f>
        <v>0.00231494999999304</v>
      </c>
      <c r="L310" s="40" t="n">
        <f aca="false">I310*(1+V310)</f>
        <v>0.00231494999999304</v>
      </c>
      <c r="M310" s="40" t="n">
        <f aca="false">F310*N310</f>
        <v>0.00324092999999026</v>
      </c>
      <c r="N310" s="40" t="n">
        <f aca="false">J310*H310</f>
        <v>0.00324092999999026</v>
      </c>
      <c r="O310" s="40" t="n">
        <f aca="false">K310*Q310</f>
        <v>0.00312518249999061</v>
      </c>
      <c r="P310" s="40" t="n">
        <f aca="false">L310*R310</f>
        <v>0.00335667749998991</v>
      </c>
      <c r="Q310" s="39" t="n">
        <f aca="false">INDEX(REF_MIN,MATCH(D310,REF_ID,0))</f>
        <v>1.35</v>
      </c>
      <c r="R310" s="39" t="n">
        <f aca="false">INDEX(REF_MAX,MATCH(D310,REF_ID,0))</f>
        <v>1.45</v>
      </c>
      <c r="S310" s="41" t="n">
        <v>1.55501799999526</v>
      </c>
      <c r="T310" s="42" t="n">
        <f aca="false">200*J310/S310</f>
        <v>0.297739318773171</v>
      </c>
      <c r="U310" s="43" t="n">
        <f aca="false">IFERROR(INDEX(ISO_TOL,MATCH(T310,ISO_DESDE,1)),0)</f>
        <v>0</v>
      </c>
      <c r="V310" s="44" t="n">
        <f aca="false">IF(T310&gt;0,U310/T310,0)</f>
        <v>0</v>
      </c>
    </row>
    <row r="311" customFormat="false" ht="15" hidden="false" customHeight="false" outlineLevel="2" collapsed="false">
      <c r="A311" s="35" t="n">
        <v>2</v>
      </c>
      <c r="B311" s="36" t="s">
        <v>1043</v>
      </c>
      <c r="C311" s="37" t="s">
        <v>326</v>
      </c>
      <c r="D311" s="36" t="s">
        <v>32</v>
      </c>
      <c r="E311" s="36" t="str">
        <f aca="false">INDEX(REF_DATO,MATCH(D311,REF_ID,0))</f>
        <v>PVC rígido, vinilo y papeles de identificación</v>
      </c>
      <c r="F311" s="38" t="n">
        <v>1</v>
      </c>
      <c r="G311" s="35" t="s">
        <v>264</v>
      </c>
      <c r="H311" s="39" t="n">
        <f aca="false">INDEX(REF_VAL,MATCH(D311,REF_ID,0))</f>
        <v>1.4</v>
      </c>
      <c r="I311" s="40" t="n">
        <f aca="false">F311*J311</f>
        <v>0.000338223214284676</v>
      </c>
      <c r="J311" s="40" t="n">
        <v>0.000338223214284676</v>
      </c>
      <c r="K311" s="40" t="n">
        <f aca="false">I311*(1-V311)</f>
        <v>0.000338223214284676</v>
      </c>
      <c r="L311" s="40" t="n">
        <f aca="false">I311*(1+V311)</f>
        <v>0.000338223214284676</v>
      </c>
      <c r="M311" s="40" t="n">
        <f aca="false">F311*N311</f>
        <v>0.000473512499998547</v>
      </c>
      <c r="N311" s="40" t="n">
        <f aca="false">J311*H311</f>
        <v>0.000473512499998547</v>
      </c>
      <c r="O311" s="40" t="n">
        <f aca="false">K311*Q311</f>
        <v>0.000456601339284313</v>
      </c>
      <c r="P311" s="40" t="n">
        <f aca="false">L311*R311</f>
        <v>0.00049042366071278</v>
      </c>
      <c r="Q311" s="39" t="n">
        <f aca="false">INDEX(REF_MIN,MATCH(D311,REF_ID,0))</f>
        <v>1.35</v>
      </c>
      <c r="R311" s="39" t="n">
        <f aca="false">INDEX(REF_MAX,MATCH(D311,REF_ID,0))</f>
        <v>1.45</v>
      </c>
      <c r="S311" s="41" t="n">
        <v>0.229687928570732</v>
      </c>
      <c r="T311" s="42" t="n">
        <f aca="false">200*J311/S311</f>
        <v>0.29450673911278</v>
      </c>
      <c r="U311" s="43" t="n">
        <f aca="false">IFERROR(INDEX(ISO_TOL,MATCH(T311,ISO_DESDE,1)),0)</f>
        <v>0</v>
      </c>
      <c r="V311" s="44" t="n">
        <f aca="false">IF(T311&gt;0,U311/T311,0)</f>
        <v>0</v>
      </c>
    </row>
    <row r="312" customFormat="false" ht="15" hidden="false" customHeight="false" outlineLevel="2" collapsed="false">
      <c r="A312" s="35" t="n">
        <v>2</v>
      </c>
      <c r="B312" s="36" t="s">
        <v>1044</v>
      </c>
      <c r="C312" s="37" t="s">
        <v>328</v>
      </c>
      <c r="D312" s="36" t="s">
        <v>32</v>
      </c>
      <c r="E312" s="36" t="str">
        <f aca="false">INDEX(REF_DATO,MATCH(D312,REF_ID,0))</f>
        <v>PVC rígido, vinilo y papeles de identificación</v>
      </c>
      <c r="F312" s="38" t="n">
        <v>1</v>
      </c>
      <c r="G312" s="35" t="s">
        <v>264</v>
      </c>
      <c r="H312" s="39" t="n">
        <f aca="false">INDEX(REF_VAL,MATCH(D312,REF_ID,0))</f>
        <v>1.4</v>
      </c>
      <c r="I312" s="40" t="n">
        <f aca="false">F312*J312</f>
        <v>0.000191353646154619</v>
      </c>
      <c r="J312" s="40" t="n">
        <v>0.000191353646154619</v>
      </c>
      <c r="K312" s="40" t="n">
        <f aca="false">I312*(1-V312)</f>
        <v>0.000191353646154619</v>
      </c>
      <c r="L312" s="40" t="n">
        <f aca="false">I312*(1+V312)</f>
        <v>0.000191353646154619</v>
      </c>
      <c r="M312" s="40" t="n">
        <f aca="false">F312*N312</f>
        <v>0.000267895104616466</v>
      </c>
      <c r="N312" s="40" t="n">
        <f aca="false">J312*H312</f>
        <v>0.000267895104616466</v>
      </c>
      <c r="O312" s="40" t="n">
        <f aca="false">K312*Q312</f>
        <v>0.000258327422308736</v>
      </c>
      <c r="P312" s="40" t="n">
        <f aca="false">L312*R312</f>
        <v>0.000277462786924197</v>
      </c>
      <c r="Q312" s="39" t="n">
        <f aca="false">INDEX(REF_MIN,MATCH(D312,REF_ID,0))</f>
        <v>1.35</v>
      </c>
      <c r="R312" s="39" t="n">
        <f aca="false">INDEX(REF_MAX,MATCH(D312,REF_ID,0))</f>
        <v>1.45</v>
      </c>
      <c r="S312" s="41" t="n">
        <v>0.193829337128985</v>
      </c>
      <c r="T312" s="42" t="n">
        <f aca="false">200*J312/S312</f>
        <v>0.197445494050554</v>
      </c>
      <c r="U312" s="43" t="n">
        <f aca="false">IFERROR(INDEX(ISO_TOL,MATCH(T312,ISO_DESDE,1)),0)</f>
        <v>0</v>
      </c>
      <c r="V312" s="44" t="n">
        <f aca="false">IF(T312&gt;0,U312/T312,0)</f>
        <v>0</v>
      </c>
    </row>
    <row r="313" customFormat="false" ht="15" hidden="false" customHeight="false" outlineLevel="2" collapsed="false">
      <c r="A313" s="35" t="n">
        <v>2</v>
      </c>
      <c r="B313" s="36" t="s">
        <v>1045</v>
      </c>
      <c r="C313" s="37" t="s">
        <v>330</v>
      </c>
      <c r="D313" s="36" t="s">
        <v>26</v>
      </c>
      <c r="E313" s="36" t="str">
        <f aca="false">INDEX(REF_DATO,MATCH(D313,REF_ID,0))</f>
        <v>Polipropileno</v>
      </c>
      <c r="F313" s="38" t="n">
        <v>1</v>
      </c>
      <c r="G313" s="35" t="s">
        <v>264</v>
      </c>
      <c r="H313" s="39" t="n">
        <f aca="false">INDEX(REF_VAL,MATCH(D313,REF_ID,0))</f>
        <v>0.9</v>
      </c>
      <c r="I313" s="40" t="n">
        <f aca="false">F313*J313</f>
        <v>0.000196349540849362</v>
      </c>
      <c r="J313" s="40" t="n">
        <v>0.000196349540849362</v>
      </c>
      <c r="K313" s="40" t="n">
        <f aca="false">I313*(1-V313)</f>
        <v>0.000186532063806894</v>
      </c>
      <c r="L313" s="40" t="n">
        <f aca="false">I313*(1+V313)</f>
        <v>0.00020616701789183</v>
      </c>
      <c r="M313" s="40" t="n">
        <f aca="false">F313*N313</f>
        <v>0.000176714586764426</v>
      </c>
      <c r="N313" s="40" t="n">
        <f aca="false">J313*H313</f>
        <v>0.000176714586764426</v>
      </c>
      <c r="O313" s="40" t="n">
        <f aca="false">K313*Q313</f>
        <v>0.000167878857426205</v>
      </c>
      <c r="P313" s="40" t="n">
        <f aca="false">L313*R313</f>
        <v>0.000187611986281566</v>
      </c>
      <c r="Q313" s="39" t="n">
        <f aca="false">INDEX(REF_MIN,MATCH(D313,REF_ID,0))</f>
        <v>0.9</v>
      </c>
      <c r="R313" s="39" t="n">
        <f aca="false">INDEX(REF_MAX,MATCH(D313,REF_ID,0))</f>
        <v>0.91</v>
      </c>
      <c r="S313" s="41" t="n">
        <v>0.0196349540849362</v>
      </c>
      <c r="T313" s="42" t="n">
        <f aca="false">200*J313/S313</f>
        <v>2</v>
      </c>
      <c r="U313" s="43" t="n">
        <f aca="false">IFERROR(INDEX(ISO_TOL,MATCH(T313,ISO_DESDE,1)),0)</f>
        <v>0.1</v>
      </c>
      <c r="V313" s="44" t="n">
        <f aca="false">IF(T313&gt;0,U313/T313,0)</f>
        <v>0.05</v>
      </c>
    </row>
    <row r="314" customFormat="false" ht="15" hidden="false" customHeight="false" outlineLevel="1" collapsed="false">
      <c r="A314" s="25" t="n">
        <v>1</v>
      </c>
      <c r="B314" s="26" t="s">
        <v>1046</v>
      </c>
      <c r="C314" s="27" t="s">
        <v>332</v>
      </c>
      <c r="D314" s="26"/>
      <c r="E314" s="26"/>
      <c r="F314" s="28" t="n">
        <v>1</v>
      </c>
      <c r="G314" s="25" t="s">
        <v>264</v>
      </c>
      <c r="H314" s="29"/>
      <c r="I314" s="30"/>
      <c r="J314" s="30"/>
      <c r="K314" s="30"/>
      <c r="L314" s="30"/>
      <c r="M314" s="30" t="n">
        <f aca="false">IF(SUMIF(A315:A316,2,M315:M316)=0,"",SUMIF(A315:A316,2,M315:M316))</f>
        <v>0.283358994367838</v>
      </c>
      <c r="N314" s="30"/>
      <c r="O314" s="30" t="n">
        <f aca="false">IF(SUMIF(A315:A316,2,O315:O316)=0,"",SUMIF(A315:A316,2,O315:O316))</f>
        <v>0.268584385165761</v>
      </c>
      <c r="P314" s="30" t="n">
        <f aca="false">IF(SUMIF(A315:A316,2,P315:P316)=0,"",SUMIF(A315:A316,2,P315:P316))</f>
        <v>0.298133603569915</v>
      </c>
      <c r="Q314" s="29"/>
      <c r="R314" s="29"/>
      <c r="S314" s="31"/>
      <c r="T314" s="32"/>
      <c r="U314" s="33"/>
      <c r="V314" s="34"/>
    </row>
    <row r="315" customFormat="false" ht="15" hidden="false" customHeight="false" outlineLevel="2" collapsed="false">
      <c r="A315" s="35" t="n">
        <v>2</v>
      </c>
      <c r="B315" s="36" t="s">
        <v>1047</v>
      </c>
      <c r="C315" s="37" t="s">
        <v>390</v>
      </c>
      <c r="D315" s="36" t="s">
        <v>10</v>
      </c>
      <c r="E315" s="36" t="str">
        <f aca="false">INDEX(REF_DATO,MATCH(D315,REF_ID,0))</f>
        <v>Acero (chapa LAC/LAF, SAE 1010/1045)</v>
      </c>
      <c r="F315" s="38" t="n">
        <v>1</v>
      </c>
      <c r="G315" s="35" t="s">
        <v>264</v>
      </c>
      <c r="H315" s="39" t="n">
        <f aca="false">INDEX(REF_VAL,MATCH(D315,REF_ID,0))</f>
        <v>7.85</v>
      </c>
      <c r="I315" s="40" t="n">
        <f aca="false">F315*J315</f>
        <v>0.0360966871806163</v>
      </c>
      <c r="J315" s="40" t="n">
        <v>0.0360966871806163</v>
      </c>
      <c r="K315" s="40" t="n">
        <f aca="false">I315*(1-V315)</f>
        <v>0.0342145713586957</v>
      </c>
      <c r="L315" s="40" t="n">
        <f aca="false">I315*(1+V315)</f>
        <v>0.037978803002537</v>
      </c>
      <c r="M315" s="40" t="n">
        <f aca="false">F315*N315</f>
        <v>0.283358994367838</v>
      </c>
      <c r="N315" s="40" t="n">
        <f aca="false">J315*H315</f>
        <v>0.283358994367838</v>
      </c>
      <c r="O315" s="40" t="n">
        <f aca="false">K315*Q315</f>
        <v>0.268584385165761</v>
      </c>
      <c r="P315" s="40" t="n">
        <f aca="false">L315*R315</f>
        <v>0.298133603569915</v>
      </c>
      <c r="Q315" s="39" t="n">
        <f aca="false">INDEX(REF_MIN,MATCH(D315,REF_ID,0))</f>
        <v>7.85</v>
      </c>
      <c r="R315" s="39" t="n">
        <f aca="false">INDEX(REF_MAX,MATCH(D315,REF_ID,0))</f>
        <v>7.85</v>
      </c>
      <c r="S315" s="41" t="n">
        <v>3.76423164384127</v>
      </c>
      <c r="T315" s="42" t="n">
        <f aca="false">200*J315/S315</f>
        <v>1.91787810081639</v>
      </c>
      <c r="U315" s="43" t="n">
        <f aca="false">IFERROR(INDEX(ISO_TOL,MATCH(T315,ISO_DESDE,1)),0)</f>
        <v>0.1</v>
      </c>
      <c r="V315" s="44" t="n">
        <f aca="false">IF(T315&gt;0,U315/T315,0)</f>
        <v>0.0521409572159109</v>
      </c>
    </row>
    <row r="316" customFormat="false" ht="15" hidden="false" customHeight="false" outlineLevel="2" collapsed="false">
      <c r="A316" s="35" t="n">
        <v>2</v>
      </c>
      <c r="B316" s="36" t="s">
        <v>1048</v>
      </c>
      <c r="C316" s="37" t="s">
        <v>392</v>
      </c>
      <c r="D316" s="36"/>
      <c r="E316" s="36"/>
      <c r="F316" s="38" t="n">
        <v>2</v>
      </c>
      <c r="G316" s="35" t="s">
        <v>264</v>
      </c>
      <c r="H316" s="39"/>
      <c r="I316" s="40"/>
      <c r="J316" s="40"/>
      <c r="K316" s="40"/>
      <c r="L316" s="40"/>
      <c r="M316" s="40"/>
      <c r="N316" s="40"/>
      <c r="O316" s="40"/>
      <c r="P316" s="40"/>
      <c r="Q316" s="39"/>
      <c r="R316" s="39"/>
      <c r="S316" s="41"/>
      <c r="T316" s="42"/>
      <c r="U316" s="43"/>
      <c r="V316" s="44"/>
    </row>
    <row r="317" customFormat="false" ht="15" hidden="false" customHeight="false" outlineLevel="1" collapsed="false">
      <c r="A317" s="25" t="n">
        <v>1</v>
      </c>
      <c r="B317" s="26" t="s">
        <v>1049</v>
      </c>
      <c r="C317" s="27" t="s">
        <v>336</v>
      </c>
      <c r="D317" s="26"/>
      <c r="E317" s="26"/>
      <c r="F317" s="28" t="n">
        <v>1</v>
      </c>
      <c r="G317" s="25" t="s">
        <v>264</v>
      </c>
      <c r="H317" s="29"/>
      <c r="I317" s="30"/>
      <c r="J317" s="30"/>
      <c r="K317" s="30"/>
      <c r="L317" s="30"/>
      <c r="M317" s="30" t="str">
        <f aca="false">IF(SUMIF(A318:A321,2,M318:M321)=0,"",SUMIF(A318:A321,2,M318:M321))</f>
        <v/>
      </c>
      <c r="N317" s="30"/>
      <c r="O317" s="30" t="str">
        <f aca="false">IF(SUMIF(A318:A321,2,O318:O321)=0,"",SUMIF(A318:A321,2,O318:O321))</f>
        <v/>
      </c>
      <c r="P317" s="30" t="str">
        <f aca="false">IF(SUMIF(A318:A321,2,P318:P321)=0,"",SUMIF(A318:A321,2,P318:P321))</f>
        <v/>
      </c>
      <c r="Q317" s="29"/>
      <c r="R317" s="29"/>
      <c r="S317" s="31"/>
      <c r="T317" s="32"/>
      <c r="U317" s="33"/>
      <c r="V317" s="34"/>
    </row>
    <row r="318" customFormat="false" ht="15" hidden="false" customHeight="false" outlineLevel="2" collapsed="false">
      <c r="A318" s="35" t="n">
        <v>2</v>
      </c>
      <c r="B318" s="36" t="s">
        <v>1050</v>
      </c>
      <c r="C318" s="37" t="s">
        <v>338</v>
      </c>
      <c r="D318" s="36"/>
      <c r="E318" s="36"/>
      <c r="F318" s="38" t="n">
        <v>1</v>
      </c>
      <c r="G318" s="35" t="s">
        <v>264</v>
      </c>
      <c r="H318" s="39"/>
      <c r="I318" s="40"/>
      <c r="J318" s="40"/>
      <c r="K318" s="40"/>
      <c r="L318" s="40"/>
      <c r="M318" s="40"/>
      <c r="N318" s="40"/>
      <c r="O318" s="40"/>
      <c r="P318" s="40"/>
      <c r="Q318" s="39"/>
      <c r="R318" s="39"/>
      <c r="S318" s="41"/>
      <c r="T318" s="42"/>
      <c r="U318" s="43"/>
      <c r="V318" s="44"/>
    </row>
    <row r="319" customFormat="false" ht="15" hidden="false" customHeight="false" outlineLevel="2" collapsed="false">
      <c r="A319" s="35" t="n">
        <v>2</v>
      </c>
      <c r="B319" s="36" t="s">
        <v>1051</v>
      </c>
      <c r="C319" s="37" t="s">
        <v>340</v>
      </c>
      <c r="D319" s="36"/>
      <c r="E319" s="36"/>
      <c r="F319" s="38" t="n">
        <v>1</v>
      </c>
      <c r="G319" s="35" t="s">
        <v>264</v>
      </c>
      <c r="H319" s="39"/>
      <c r="I319" s="40"/>
      <c r="J319" s="40"/>
      <c r="K319" s="40"/>
      <c r="L319" s="40"/>
      <c r="M319" s="40"/>
      <c r="N319" s="40"/>
      <c r="O319" s="40"/>
      <c r="P319" s="40"/>
      <c r="Q319" s="39"/>
      <c r="R319" s="39"/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1052</v>
      </c>
      <c r="C320" s="37" t="s">
        <v>342</v>
      </c>
      <c r="D320" s="36"/>
      <c r="E320" s="36"/>
      <c r="F320" s="38" t="n">
        <v>1</v>
      </c>
      <c r="G320" s="35" t="s">
        <v>264</v>
      </c>
      <c r="H320" s="39"/>
      <c r="I320" s="40"/>
      <c r="J320" s="40"/>
      <c r="K320" s="40"/>
      <c r="L320" s="40"/>
      <c r="M320" s="40"/>
      <c r="N320" s="40"/>
      <c r="O320" s="40"/>
      <c r="P320" s="40"/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1053</v>
      </c>
      <c r="C321" s="37" t="s">
        <v>344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0" collapsed="false">
      <c r="A322" s="16" t="n">
        <v>0</v>
      </c>
      <c r="B322" s="17" t="s">
        <v>230</v>
      </c>
      <c r="C322" s="17" t="s">
        <v>231</v>
      </c>
      <c r="D322" s="17"/>
      <c r="E322" s="17"/>
      <c r="F322" s="18" t="n">
        <v>1</v>
      </c>
      <c r="G322" s="16" t="s">
        <v>264</v>
      </c>
      <c r="H322" s="19"/>
      <c r="I322" s="20"/>
      <c r="J322" s="20"/>
      <c r="K322" s="20"/>
      <c r="L322" s="20"/>
      <c r="M322" s="20" t="n">
        <f aca="false">IF(SUMIF(A323:A366,1,M323:M366)=0,"",SUMIF(A323:A366,1,M323:M366))</f>
        <v>8.65452139814677</v>
      </c>
      <c r="N322" s="20"/>
      <c r="O322" s="20" t="n">
        <f aca="false">IF(SUMIF(A323:A366,1,O323:O366)=0,"",SUMIF(A323:A366,1,O323:O366))</f>
        <v>8.2768000157473</v>
      </c>
      <c r="P322" s="20" t="n">
        <f aca="false">IF(SUMIF(A323:A366,1,P323:P366)=0,"",SUMIF(A323:A366,1,P323:P366))</f>
        <v>8.88442438698816</v>
      </c>
      <c r="Q322" s="19"/>
      <c r="R322" s="19"/>
      <c r="S322" s="21"/>
      <c r="T322" s="22"/>
      <c r="U322" s="23"/>
      <c r="V322" s="24"/>
    </row>
    <row r="323" customFormat="false" ht="15" hidden="false" customHeight="false" outlineLevel="1" collapsed="false">
      <c r="A323" s="25" t="n">
        <v>1</v>
      </c>
      <c r="B323" s="26" t="s">
        <v>1054</v>
      </c>
      <c r="C323" s="27" t="s">
        <v>266</v>
      </c>
      <c r="D323" s="26"/>
      <c r="E323" s="26"/>
      <c r="F323" s="28" t="n">
        <v>1</v>
      </c>
      <c r="G323" s="25" t="s">
        <v>264</v>
      </c>
      <c r="H323" s="29"/>
      <c r="I323" s="30"/>
      <c r="J323" s="30"/>
      <c r="K323" s="30"/>
      <c r="L323" s="30"/>
      <c r="M323" s="30" t="n">
        <f aca="false">IF(SUMIF(A324:A327,2,M324:M327)=0,"",SUMIF(A324:A327,2,M324:M327))</f>
        <v>2.69106540062604</v>
      </c>
      <c r="N323" s="30"/>
      <c r="O323" s="30" t="n">
        <f aca="false">IF(SUMIF(A324:A327,2,O324:O327)=0,"",SUMIF(A324:A327,2,O324:O327))</f>
        <v>2.52518629857663</v>
      </c>
      <c r="P323" s="30" t="n">
        <f aca="false">IF(SUMIF(A324:A327,2,P324:P327)=0,"",SUMIF(A324:A327,2,P324:P327))</f>
        <v>2.85694450267545</v>
      </c>
      <c r="Q323" s="29"/>
      <c r="R323" s="29"/>
      <c r="S323" s="31"/>
      <c r="T323" s="32"/>
      <c r="U323" s="33"/>
      <c r="V323" s="34"/>
    </row>
    <row r="324" customFormat="false" ht="15" hidden="false" customHeight="false" outlineLevel="2" collapsed="false">
      <c r="A324" s="35" t="n">
        <v>2</v>
      </c>
      <c r="B324" s="36" t="s">
        <v>1055</v>
      </c>
      <c r="C324" s="37" t="s">
        <v>268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0.24893432097772</v>
      </c>
      <c r="J324" s="40" t="n">
        <v>0.24893432097772</v>
      </c>
      <c r="K324" s="40" t="n">
        <f aca="false">I324*(1-V324)</f>
        <v>0.233288874164672</v>
      </c>
      <c r="L324" s="40" t="n">
        <f aca="false">I324*(1+V324)</f>
        <v>0.264579767790769</v>
      </c>
      <c r="M324" s="40" t="n">
        <f aca="false">F324*N324</f>
        <v>1.95413441967511</v>
      </c>
      <c r="N324" s="40" t="n">
        <f aca="false">J324*H324</f>
        <v>1.95413441967511</v>
      </c>
      <c r="O324" s="40" t="n">
        <f aca="false">K324*Q324</f>
        <v>1.83131766219267</v>
      </c>
      <c r="P324" s="40" t="n">
        <f aca="false">L324*R324</f>
        <v>2.07695117715754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31.2908936260973</v>
      </c>
      <c r="T324" s="42" t="n">
        <f aca="false">200*J324/S324</f>
        <v>1.5910975503116</v>
      </c>
      <c r="U324" s="43" t="n">
        <f aca="false">IFERROR(INDEX(ISO_TOL,MATCH(T324,ISO_DESDE,1)),0)</f>
        <v>0.1</v>
      </c>
      <c r="V324" s="44" t="n">
        <f aca="false">IF(T324&gt;0,U324/T324,0)</f>
        <v>0.0628496976696472</v>
      </c>
    </row>
    <row r="325" customFormat="false" ht="15" hidden="false" customHeight="false" outlineLevel="2" collapsed="false">
      <c r="A325" s="35" t="n">
        <v>2</v>
      </c>
      <c r="B325" s="36" t="s">
        <v>1056</v>
      </c>
      <c r="C325" s="37" t="s">
        <v>270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0.0459583713072003</v>
      </c>
      <c r="J325" s="40" t="n">
        <v>0.0459583713072003</v>
      </c>
      <c r="K325" s="40" t="n">
        <f aca="false">I325*(1-V325)</f>
        <v>0.0429667063861364</v>
      </c>
      <c r="L325" s="40" t="n">
        <f aca="false">I325*(1+V325)</f>
        <v>0.0489500362282642</v>
      </c>
      <c r="M325" s="40" t="n">
        <f aca="false">F325*N325</f>
        <v>0.360773214761522</v>
      </c>
      <c r="N325" s="40" t="n">
        <f aca="false">J325*H325</f>
        <v>0.360773214761522</v>
      </c>
      <c r="O325" s="40" t="n">
        <f aca="false">K325*Q325</f>
        <v>0.33728864513117</v>
      </c>
      <c r="P325" s="40" t="n">
        <f aca="false">L325*R325</f>
        <v>0.384257784391874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5.98332984212788</v>
      </c>
      <c r="T325" s="42" t="n">
        <f aca="false">200*J325/S325</f>
        <v>1.53621386484874</v>
      </c>
      <c r="U325" s="43" t="n">
        <f aca="false">IFERROR(INDEX(ISO_TOL,MATCH(T325,ISO_DESDE,1)),0)</f>
        <v>0.1</v>
      </c>
      <c r="V325" s="44" t="n">
        <f aca="false">IF(T325&gt;0,U325/T325,0)</f>
        <v>0.0650951031546942</v>
      </c>
    </row>
    <row r="326" customFormat="false" ht="15" hidden="false" customHeight="false" outlineLevel="2" collapsed="false">
      <c r="A326" s="35" t="n">
        <v>2</v>
      </c>
      <c r="B326" s="36" t="s">
        <v>1057</v>
      </c>
      <c r="C326" s="37" t="s">
        <v>272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0.0404159140887371</v>
      </c>
      <c r="J326" s="40" t="n">
        <v>0.0404159140887371</v>
      </c>
      <c r="K326" s="40" t="n">
        <f aca="false">I326*(1-V326)</f>
        <v>0.0381466534782765</v>
      </c>
      <c r="L326" s="40" t="n">
        <f aca="false">I326*(1+V326)</f>
        <v>0.0426851746991976</v>
      </c>
      <c r="M326" s="40" t="n">
        <f aca="false">F326*N326</f>
        <v>0.317264925596586</v>
      </c>
      <c r="N326" s="40" t="n">
        <f aca="false">J326*H326</f>
        <v>0.317264925596586</v>
      </c>
      <c r="O326" s="40" t="n">
        <f aca="false">K326*Q326</f>
        <v>0.29945122980447</v>
      </c>
      <c r="P326" s="40" t="n">
        <f aca="false">L326*R326</f>
        <v>0.335078621388701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4.53852122092116</v>
      </c>
      <c r="T326" s="42" t="n">
        <f aca="false">200*J326/S326</f>
        <v>1.78101686084147</v>
      </c>
      <c r="U326" s="43" t="n">
        <f aca="false">IFERROR(INDEX(ISO_TOL,MATCH(T326,ISO_DESDE,1)),0)</f>
        <v>0.1</v>
      </c>
      <c r="V326" s="44" t="n">
        <f aca="false">IF(T326&gt;0,U326/T326,0)</f>
        <v>0.0561476997768305</v>
      </c>
    </row>
    <row r="327" customFormat="false" ht="15" hidden="false" customHeight="false" outlineLevel="2" collapsed="false">
      <c r="A327" s="35" t="n">
        <v>2</v>
      </c>
      <c r="B327" s="36" t="s">
        <v>1058</v>
      </c>
      <c r="C327" s="37" t="s">
        <v>274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0.00750227268698458</v>
      </c>
      <c r="J327" s="40" t="n">
        <v>0.00750227268698458</v>
      </c>
      <c r="K327" s="40" t="n">
        <f aca="false">I327*(1-V327)</f>
        <v>0.00727754922908514</v>
      </c>
      <c r="L327" s="40" t="n">
        <f aca="false">I327*(1+V327)</f>
        <v>0.00772699614488401</v>
      </c>
      <c r="M327" s="40" t="n">
        <f aca="false">F327*N327</f>
        <v>0.0588928405928289</v>
      </c>
      <c r="N327" s="40" t="n">
        <f aca="false">J327*H327</f>
        <v>0.0588928405928289</v>
      </c>
      <c r="O327" s="40" t="n">
        <f aca="false">K327*Q327</f>
        <v>0.0571287614483184</v>
      </c>
      <c r="P327" s="40" t="n">
        <f aca="false">L327*R327</f>
        <v>0.0606569197373395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0.449446915798867</v>
      </c>
      <c r="T327" s="42" t="n">
        <f aca="false">200*J327/S327</f>
        <v>3.33844662106523</v>
      </c>
      <c r="U327" s="43" t="n">
        <f aca="false">IFERROR(INDEX(ISO_TOL,MATCH(T327,ISO_DESDE,1)),0)</f>
        <v>0.1</v>
      </c>
      <c r="V327" s="44" t="n">
        <f aca="false">IF(T327&gt;0,U327/T327,0)</f>
        <v>0.0299540508957103</v>
      </c>
    </row>
    <row r="328" customFormat="false" ht="15" hidden="false" customHeight="false" outlineLevel="1" collapsed="false">
      <c r="A328" s="25" t="n">
        <v>1</v>
      </c>
      <c r="B328" s="26" t="s">
        <v>1059</v>
      </c>
      <c r="C328" s="27" t="s">
        <v>276</v>
      </c>
      <c r="D328" s="26"/>
      <c r="E328" s="26"/>
      <c r="F328" s="28" t="n">
        <v>1</v>
      </c>
      <c r="G328" s="25" t="s">
        <v>264</v>
      </c>
      <c r="H328" s="29"/>
      <c r="I328" s="30"/>
      <c r="J328" s="30"/>
      <c r="K328" s="30"/>
      <c r="L328" s="30"/>
      <c r="M328" s="30" t="n">
        <f aca="false">IF(SUMIF(A329:A342,2,M329:M342)=0,"",SUMIF(A329:A342,2,M329:M342))</f>
        <v>0.408780674701619</v>
      </c>
      <c r="N328" s="30"/>
      <c r="O328" s="30" t="n">
        <f aca="false">IF(SUMIF(A329:A342,2,O329:O342)=0,"",SUMIF(A329:A342,2,O329:O342))</f>
        <v>0.380385780826064</v>
      </c>
      <c r="P328" s="30" t="n">
        <f aca="false">IF(SUMIF(A329:A342,2,P329:P342)=0,"",SUMIF(A329:A342,2,P329:P342))</f>
        <v>0.43745588474233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1060</v>
      </c>
      <c r="C329" s="37" t="s">
        <v>284</v>
      </c>
      <c r="D329" s="36" t="s">
        <v>17</v>
      </c>
      <c r="E329" s="36" t="str">
        <f aca="false">INDEX(REF_DATO,MATCH(D329,REF_ID,0))</f>
        <v>Latón de forja (CuZn39Pb2 / C37700)</v>
      </c>
      <c r="F329" s="38" t="n">
        <v>1</v>
      </c>
      <c r="G329" s="35" t="s">
        <v>264</v>
      </c>
      <c r="H329" s="39" t="n">
        <f aca="false">INDEX(REF_VAL,MATCH(D329,REF_ID,0))</f>
        <v>8.45</v>
      </c>
      <c r="I329" s="40" t="n">
        <f aca="false">F329*J329</f>
        <v>0.00289757599381457</v>
      </c>
      <c r="J329" s="40" t="n">
        <v>0.00289757599381457</v>
      </c>
      <c r="K329" s="40" t="n">
        <f aca="false">I329*(1-V329)</f>
        <v>0.0027805356277529</v>
      </c>
      <c r="L329" s="40" t="n">
        <f aca="false">I329*(1+V329)</f>
        <v>0.00301461635987624</v>
      </c>
      <c r="M329" s="40" t="n">
        <f aca="false">F329*N329</f>
        <v>0.0244845171477331</v>
      </c>
      <c r="N329" s="40" t="n">
        <f aca="false">J329*H329</f>
        <v>0.0244845171477331</v>
      </c>
      <c r="O329" s="40" t="n">
        <f aca="false">K329*Q329</f>
        <v>0.0233564992731243</v>
      </c>
      <c r="P329" s="40" t="n">
        <f aca="false">L329*R329</f>
        <v>0.0256242390589481</v>
      </c>
      <c r="Q329" s="39" t="n">
        <f aca="false">INDEX(REF_MIN,MATCH(D329,REF_ID,0))</f>
        <v>8.4</v>
      </c>
      <c r="R329" s="39" t="n">
        <f aca="false">INDEX(REF_MAX,MATCH(D329,REF_ID,0))</f>
        <v>8.5</v>
      </c>
      <c r="S329" s="41" t="n">
        <v>0.234080732123344</v>
      </c>
      <c r="T329" s="42" t="n">
        <f aca="false">200*J329/S329</f>
        <v>2.47570653725378</v>
      </c>
      <c r="U329" s="43" t="n">
        <f aca="false">IFERROR(INDEX(ISO_TOL,MATCH(T329,ISO_DESDE,1)),0)</f>
        <v>0.1</v>
      </c>
      <c r="V329" s="44" t="n">
        <f aca="false">IF(T329&gt;0,U329/T329,0)</f>
        <v>0.0403925095705918</v>
      </c>
    </row>
    <row r="330" customFormat="false" ht="15" hidden="false" customHeight="false" outlineLevel="2" collapsed="false">
      <c r="A330" s="35" t="n">
        <v>2</v>
      </c>
      <c r="B330" s="36" t="s">
        <v>1061</v>
      </c>
      <c r="C330" s="37" t="s">
        <v>286</v>
      </c>
      <c r="D330" s="36" t="s">
        <v>17</v>
      </c>
      <c r="E330" s="36" t="str">
        <f aca="false">INDEX(REF_DATO,MATCH(D330,REF_ID,0))</f>
        <v>Latón de forja (CuZn39Pb2 / C37700)</v>
      </c>
      <c r="F330" s="38" t="n">
        <v>1</v>
      </c>
      <c r="G330" s="35" t="s">
        <v>264</v>
      </c>
      <c r="H330" s="39" t="n">
        <f aca="false">INDEX(REF_VAL,MATCH(D330,REF_ID,0))</f>
        <v>8.45</v>
      </c>
      <c r="I330" s="40" t="n">
        <f aca="false">F330*J330</f>
        <v>0.000622782069311974</v>
      </c>
      <c r="J330" s="40" t="n">
        <v>0.000622782069311974</v>
      </c>
      <c r="K330" s="40" t="n">
        <f aca="false">I330*(1-V330)</f>
        <v>0.000575019978783558</v>
      </c>
      <c r="L330" s="40" t="n">
        <f aca="false">I330*(1+V330)</f>
        <v>0.00067054415984039</v>
      </c>
      <c r="M330" s="40" t="n">
        <f aca="false">F330*N330</f>
        <v>0.00526250848568618</v>
      </c>
      <c r="N330" s="40" t="n">
        <f aca="false">J330*H330</f>
        <v>0.00526250848568618</v>
      </c>
      <c r="O330" s="40" t="n">
        <f aca="false">K330*Q330</f>
        <v>0.00483016782178189</v>
      </c>
      <c r="P330" s="40" t="n">
        <f aca="false">L330*R330</f>
        <v>0.00569962535864332</v>
      </c>
      <c r="Q330" s="39" t="n">
        <f aca="false">INDEX(REF_MIN,MATCH(D330,REF_ID,0))</f>
        <v>8.4</v>
      </c>
      <c r="R330" s="39" t="n">
        <f aca="false">INDEX(REF_MAX,MATCH(D330,REF_ID,0))</f>
        <v>8.5</v>
      </c>
      <c r="S330" s="41" t="n">
        <v>0.095524181056832</v>
      </c>
      <c r="T330" s="42" t="n">
        <f aca="false">200*J330/S330</f>
        <v>1.3039254823686</v>
      </c>
      <c r="U330" s="43" t="n">
        <f aca="false">IFERROR(INDEX(ISO_TOL,MATCH(T330,ISO_DESDE,1)),0)</f>
        <v>0.1</v>
      </c>
      <c r="V330" s="44" t="n">
        <f aca="false">IF(T330&gt;0,U330/T330,0)</f>
        <v>0.0766914991325645</v>
      </c>
    </row>
    <row r="331" customFormat="false" ht="15" hidden="false" customHeight="false" outlineLevel="2" collapsed="false">
      <c r="A331" s="35" t="n">
        <v>2</v>
      </c>
      <c r="B331" s="36" t="s">
        <v>1062</v>
      </c>
      <c r="C331" s="37" t="s">
        <v>288</v>
      </c>
      <c r="D331" s="36" t="s">
        <v>17</v>
      </c>
      <c r="E331" s="36" t="str">
        <f aca="false">INDEX(REF_DATO,MATCH(D331,REF_ID,0))</f>
        <v>Latón de forja (CuZn39Pb2 / C37700)</v>
      </c>
      <c r="F331" s="38" t="n">
        <v>1</v>
      </c>
      <c r="G331" s="35" t="s">
        <v>264</v>
      </c>
      <c r="H331" s="39" t="n">
        <f aca="false">INDEX(REF_VAL,MATCH(D331,REF_ID,0))</f>
        <v>8.45</v>
      </c>
      <c r="I331" s="40" t="n">
        <f aca="false">F331*J331</f>
        <v>0.015721177845052</v>
      </c>
      <c r="J331" s="40" t="n">
        <v>0.015721177845052</v>
      </c>
      <c r="K331" s="40" t="n">
        <f aca="false">I331*(1-V331)</f>
        <v>0.0154591130500673</v>
      </c>
      <c r="L331" s="40" t="n">
        <f aca="false">I331*(1+V331)</f>
        <v>0.0159832426400367</v>
      </c>
      <c r="M331" s="40" t="n">
        <f aca="false">F331*N331</f>
        <v>0.132843952790689</v>
      </c>
      <c r="N331" s="40" t="n">
        <f aca="false">J331*H331</f>
        <v>0.132843952790689</v>
      </c>
      <c r="O331" s="40" t="n">
        <f aca="false">K331*Q331</f>
        <v>0.129856549620565</v>
      </c>
      <c r="P331" s="40" t="n">
        <f aca="false">L331*R331</f>
        <v>0.135857562440312</v>
      </c>
      <c r="Q331" s="39" t="n">
        <f aca="false">INDEX(REF_MIN,MATCH(D331,REF_ID,0))</f>
        <v>8.4</v>
      </c>
      <c r="R331" s="39" t="n">
        <f aca="false">INDEX(REF_MAX,MATCH(D331,REF_ID,0))</f>
        <v>8.5</v>
      </c>
      <c r="S331" s="41" t="n">
        <v>0.524129589969398</v>
      </c>
      <c r="T331" s="42" t="n">
        <f aca="false">200*J331/S331</f>
        <v>5.99896596029615</v>
      </c>
      <c r="U331" s="43" t="n">
        <f aca="false">IFERROR(INDEX(ISO_TOL,MATCH(T331,ISO_DESDE,1)),0)</f>
        <v>0.1</v>
      </c>
      <c r="V331" s="44" t="n">
        <f aca="false">IF(T331&gt;0,U331/T331,0)</f>
        <v>0.0166695394942803</v>
      </c>
    </row>
    <row r="332" customFormat="false" ht="15" hidden="false" customHeight="false" outlineLevel="2" collapsed="false">
      <c r="A332" s="35" t="n">
        <v>2</v>
      </c>
      <c r="B332" s="36" t="s">
        <v>1063</v>
      </c>
      <c r="C332" s="37" t="s">
        <v>278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1064</v>
      </c>
      <c r="C333" s="37" t="s">
        <v>290</v>
      </c>
      <c r="D333" s="36" t="s">
        <v>17</v>
      </c>
      <c r="E333" s="36" t="str">
        <f aca="false">INDEX(REF_DATO,MATCH(D333,REF_ID,0))</f>
        <v>Latón de forja (CuZn39Pb2 / C37700)</v>
      </c>
      <c r="F333" s="38" t="n">
        <v>1</v>
      </c>
      <c r="G333" s="35" t="s">
        <v>264</v>
      </c>
      <c r="H333" s="39" t="n">
        <f aca="false">INDEX(REF_VAL,MATCH(D333,REF_ID,0))</f>
        <v>8.45</v>
      </c>
      <c r="I333" s="40" t="n">
        <f aca="false">F333*J333</f>
        <v>0.00162231844631377</v>
      </c>
      <c r="J333" s="40" t="n">
        <v>0.00162231844631377</v>
      </c>
      <c r="K333" s="40" t="n">
        <f aca="false">I333*(1-V333)</f>
        <v>0.0015672149111698</v>
      </c>
      <c r="L333" s="40" t="n">
        <f aca="false">I333*(1+V333)</f>
        <v>0.00167742198145773</v>
      </c>
      <c r="M333" s="40" t="n">
        <f aca="false">F333*N333</f>
        <v>0.0137085908713513</v>
      </c>
      <c r="N333" s="40" t="n">
        <f aca="false">J333*H333</f>
        <v>0.0137085908713513</v>
      </c>
      <c r="O333" s="40" t="n">
        <f aca="false">K333*Q333</f>
        <v>0.0131646052538263</v>
      </c>
      <c r="P333" s="40" t="n">
        <f aca="false">L333*R333</f>
        <v>0.0142580868423907</v>
      </c>
      <c r="Q333" s="39" t="n">
        <f aca="false">INDEX(REF_MIN,MATCH(D333,REF_ID,0))</f>
        <v>8.4</v>
      </c>
      <c r="R333" s="39" t="n">
        <f aca="false">INDEX(REF_MAX,MATCH(D333,REF_ID,0))</f>
        <v>8.5</v>
      </c>
      <c r="S333" s="41" t="n">
        <v>0.11020707028793</v>
      </c>
      <c r="T333" s="42" t="n">
        <f aca="false">200*J333/S333</f>
        <v>2.94412770809578</v>
      </c>
      <c r="U333" s="43" t="n">
        <f aca="false">IFERROR(INDEX(ISO_TOL,MATCH(T333,ISO_DESDE,1)),0)</f>
        <v>0.1</v>
      </c>
      <c r="V333" s="44" t="n">
        <f aca="false">IF(T333&gt;0,U333/T333,0)</f>
        <v>0.0339659178931061</v>
      </c>
    </row>
    <row r="334" customFormat="false" ht="15" hidden="false" customHeight="false" outlineLevel="2" collapsed="false">
      <c r="A334" s="35" t="n">
        <v>2</v>
      </c>
      <c r="B334" s="36" t="s">
        <v>1065</v>
      </c>
      <c r="C334" s="37" t="s">
        <v>292</v>
      </c>
      <c r="D334" s="36" t="s">
        <v>14</v>
      </c>
      <c r="E334" s="36" t="str">
        <f aca="false">INDEX(REF_DATO,MATCH(D334,REF_ID,0))</f>
        <v>Acero inoxidable AISI 302 / 304</v>
      </c>
      <c r="F334" s="38" t="n">
        <v>1</v>
      </c>
      <c r="G334" s="35" t="s">
        <v>264</v>
      </c>
      <c r="H334" s="39" t="n">
        <f aca="false">INDEX(REF_VAL,MATCH(D334,REF_ID,0))</f>
        <v>7.93</v>
      </c>
      <c r="I334" s="40" t="n">
        <f aca="false">F334*J334</f>
        <v>0.000611811346278937</v>
      </c>
      <c r="J334" s="40" t="n">
        <v>0.000611811346278937</v>
      </c>
      <c r="K334" s="40" t="n">
        <f aca="false">I334*(1-V334)</f>
        <v>0.000611811346278937</v>
      </c>
      <c r="L334" s="40" t="n">
        <f aca="false">I334*(1+V334)</f>
        <v>0.000611811346278937</v>
      </c>
      <c r="M334" s="40" t="n">
        <f aca="false">F334*N334</f>
        <v>0.00485166397599197</v>
      </c>
      <c r="N334" s="40" t="n">
        <f aca="false">J334*H334</f>
        <v>0.00485166397599197</v>
      </c>
      <c r="O334" s="40" t="n">
        <f aca="false">K334*Q334</f>
        <v>0.00485166397599197</v>
      </c>
      <c r="P334" s="40" t="n">
        <f aca="false">L334*R334</f>
        <v>0.00485166397599197</v>
      </c>
      <c r="Q334" s="39" t="n">
        <f aca="false">INDEX(REF_MIN,MATCH(D334,REF_ID,0))</f>
        <v>7.93</v>
      </c>
      <c r="R334" s="39" t="n">
        <f aca="false">INDEX(REF_MAX,MATCH(D334,REF_ID,0))</f>
        <v>7.93</v>
      </c>
      <c r="S334" s="41" t="n">
        <v>0.606955700673548</v>
      </c>
      <c r="T334" s="42" t="n">
        <f aca="false">200*J334/S334</f>
        <v>0.2016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1066</v>
      </c>
      <c r="C335" s="37" t="s">
        <v>294</v>
      </c>
      <c r="D335" s="36" t="s">
        <v>14</v>
      </c>
      <c r="E335" s="36" t="str">
        <f aca="false">INDEX(REF_DATO,MATCH(D335,REF_ID,0))</f>
        <v>Acero inoxidable AISI 302 / 304</v>
      </c>
      <c r="F335" s="38" t="n">
        <v>1</v>
      </c>
      <c r="G335" s="35" t="s">
        <v>264</v>
      </c>
      <c r="H335" s="39" t="n">
        <f aca="false">INDEX(REF_VAL,MATCH(D335,REF_ID,0))</f>
        <v>7.93</v>
      </c>
      <c r="I335" s="40" t="n">
        <f aca="false">F335*J335</f>
        <v>0.000414690230273853</v>
      </c>
      <c r="J335" s="40" t="n">
        <v>0.000414690230273853</v>
      </c>
      <c r="K335" s="40" t="n">
        <f aca="false">I335*(1-V335)</f>
        <v>0.000392699081698725</v>
      </c>
      <c r="L335" s="40" t="n">
        <f aca="false">I335*(1+V335)</f>
        <v>0.000436681378848982</v>
      </c>
      <c r="M335" s="40" t="n">
        <f aca="false">F335*N335</f>
        <v>0.00328849352607166</v>
      </c>
      <c r="N335" s="40" t="n">
        <f aca="false">J335*H335</f>
        <v>0.00328849352607166</v>
      </c>
      <c r="O335" s="40" t="n">
        <f aca="false">K335*Q335</f>
        <v>0.00311410371787089</v>
      </c>
      <c r="P335" s="40" t="n">
        <f aca="false">L335*R335</f>
        <v>0.00346288333427243</v>
      </c>
      <c r="Q335" s="39" t="n">
        <f aca="false">INDEX(REF_MIN,MATCH(D335,REF_ID,0))</f>
        <v>7.93</v>
      </c>
      <c r="R335" s="39" t="n">
        <f aca="false">INDEX(REF_MAX,MATCH(D335,REF_ID,0))</f>
        <v>7.93</v>
      </c>
      <c r="S335" s="41" t="n">
        <v>0.0439822971502571</v>
      </c>
      <c r="T335" s="42" t="n">
        <f aca="false">200*J335/S335</f>
        <v>1.88571428571429</v>
      </c>
      <c r="U335" s="43" t="n">
        <f aca="false">IFERROR(INDEX(ISO_TOL,MATCH(T335,ISO_DESDE,1)),0)</f>
        <v>0.1</v>
      </c>
      <c r="V335" s="44" t="n">
        <f aca="false">IF(T335&gt;0,U335/T335,0)</f>
        <v>0.053030303030303</v>
      </c>
    </row>
    <row r="336" customFormat="false" ht="15" hidden="false" customHeight="false" outlineLevel="2" collapsed="false">
      <c r="A336" s="35" t="n">
        <v>2</v>
      </c>
      <c r="B336" s="36" t="s">
        <v>1067</v>
      </c>
      <c r="C336" s="37" t="s">
        <v>296</v>
      </c>
      <c r="D336" s="36" t="s">
        <v>14</v>
      </c>
      <c r="E336" s="36" t="str">
        <f aca="false">INDEX(REF_DATO,MATCH(D336,REF_ID,0))</f>
        <v>Acero inoxidable AISI 302 / 304</v>
      </c>
      <c r="F336" s="38" t="n">
        <v>1</v>
      </c>
      <c r="G336" s="35" t="s">
        <v>264</v>
      </c>
      <c r="H336" s="39" t="n">
        <f aca="false">INDEX(REF_VAL,MATCH(D336,REF_ID,0))</f>
        <v>7.93</v>
      </c>
      <c r="I336" s="40" t="n">
        <f aca="false">F336*J336</f>
        <v>0.0006972993812865</v>
      </c>
      <c r="J336" s="40" t="n">
        <v>0.0006972993812865</v>
      </c>
      <c r="K336" s="40" t="n">
        <f aca="false">I336*(1-V336)</f>
        <v>0.000650528232618022</v>
      </c>
      <c r="L336" s="40" t="n">
        <f aca="false">I336*(1+V336)</f>
        <v>0.000744070529954977</v>
      </c>
      <c r="M336" s="40" t="n">
        <f aca="false">F336*N336</f>
        <v>0.00552958409360194</v>
      </c>
      <c r="N336" s="40" t="n">
        <f aca="false">J336*H336</f>
        <v>0.00552958409360194</v>
      </c>
      <c r="O336" s="40" t="n">
        <f aca="false">K336*Q336</f>
        <v>0.00515868888466092</v>
      </c>
      <c r="P336" s="40" t="n">
        <f aca="false">L336*R336</f>
        <v>0.00590047930254296</v>
      </c>
      <c r="Q336" s="39" t="n">
        <f aca="false">INDEX(REF_MIN,MATCH(D336,REF_ID,0))</f>
        <v>7.93</v>
      </c>
      <c r="R336" s="39" t="n">
        <f aca="false">INDEX(REF_MAX,MATCH(D336,REF_ID,0))</f>
        <v>7.93</v>
      </c>
      <c r="S336" s="41" t="n">
        <v>0.0935422973369542</v>
      </c>
      <c r="T336" s="42" t="n">
        <f aca="false">200*J336/S336</f>
        <v>1.49087503971539</v>
      </c>
      <c r="U336" s="43" t="n">
        <f aca="false">IFERROR(INDEX(ISO_TOL,MATCH(T336,ISO_DESDE,1)),0)</f>
        <v>0.1</v>
      </c>
      <c r="V336" s="44" t="n">
        <f aca="false">IF(T336&gt;0,U336/T336,0)</f>
        <v>0.067074702665282</v>
      </c>
    </row>
    <row r="337" customFormat="false" ht="15" hidden="false" customHeight="false" outlineLevel="2" collapsed="false">
      <c r="A337" s="35" t="n">
        <v>2</v>
      </c>
      <c r="B337" s="36" t="s">
        <v>1068</v>
      </c>
      <c r="C337" s="37" t="s">
        <v>298</v>
      </c>
      <c r="D337" s="36" t="s">
        <v>10</v>
      </c>
      <c r="E337" s="36" t="str">
        <f aca="false">INDEX(REF_DATO,MATCH(D337,REF_ID,0))</f>
        <v>Acero (chapa LAC/LAF, SAE 1010/1045)</v>
      </c>
      <c r="F337" s="38" t="n">
        <v>1</v>
      </c>
      <c r="G337" s="35" t="s">
        <v>264</v>
      </c>
      <c r="H337" s="39" t="n">
        <f aca="false">INDEX(REF_VAL,MATCH(D337,REF_ID,0))</f>
        <v>7.85</v>
      </c>
      <c r="I337" s="40" t="n">
        <f aca="false">F337*J337</f>
        <v>0.0122208194772713</v>
      </c>
      <c r="J337" s="40" t="n">
        <v>0.0122208194772713</v>
      </c>
      <c r="K337" s="40" t="n">
        <f aca="false">I337*(1-V337)</f>
        <v>0.0109151420660492</v>
      </c>
      <c r="L337" s="40" t="n">
        <f aca="false">I337*(1+V337)</f>
        <v>0.0135264968884933</v>
      </c>
      <c r="M337" s="40" t="n">
        <f aca="false">F337*N337</f>
        <v>0.0959334328965793</v>
      </c>
      <c r="N337" s="40" t="n">
        <f aca="false">J337*H337</f>
        <v>0.0959334328965793</v>
      </c>
      <c r="O337" s="40" t="n">
        <f aca="false">K337*Q337</f>
        <v>0.0856838652184865</v>
      </c>
      <c r="P337" s="40" t="n">
        <f aca="false">L337*R337</f>
        <v>0.106183000574672</v>
      </c>
      <c r="Q337" s="39" t="n">
        <f aca="false">INDEX(REF_MIN,MATCH(D337,REF_ID,0))</f>
        <v>7.85</v>
      </c>
      <c r="R337" s="39" t="n">
        <f aca="false">INDEX(REF_MAX,MATCH(D337,REF_ID,0))</f>
        <v>7.85</v>
      </c>
      <c r="S337" s="41" t="n">
        <v>2.61135482244402</v>
      </c>
      <c r="T337" s="42" t="n">
        <f aca="false">200*J337/S337</f>
        <v>0.935975408032335</v>
      </c>
      <c r="U337" s="43" t="n">
        <f aca="false">IFERROR(INDEX(ISO_TOL,MATCH(T337,ISO_DESDE,1)),0)</f>
        <v>0.1</v>
      </c>
      <c r="V337" s="44" t="n">
        <f aca="false">IF(T337&gt;0,U337/T337,0)</f>
        <v>0.106840413905987</v>
      </c>
    </row>
    <row r="338" customFormat="false" ht="15" hidden="false" customHeight="false" outlineLevel="2" collapsed="false">
      <c r="A338" s="35" t="n">
        <v>2</v>
      </c>
      <c r="B338" s="36" t="s">
        <v>1069</v>
      </c>
      <c r="C338" s="37" t="s">
        <v>300</v>
      </c>
      <c r="D338" s="36" t="s">
        <v>10</v>
      </c>
      <c r="E338" s="36" t="str">
        <f aca="false">INDEX(REF_DATO,MATCH(D338,REF_ID,0))</f>
        <v>Acero (chapa LAC/LAF, SAE 1010/1045)</v>
      </c>
      <c r="F338" s="38" t="n">
        <v>1</v>
      </c>
      <c r="G338" s="35" t="s">
        <v>264</v>
      </c>
      <c r="H338" s="39" t="n">
        <f aca="false">INDEX(REF_VAL,MATCH(D338,REF_ID,0))</f>
        <v>7.85</v>
      </c>
      <c r="I338" s="40" t="n">
        <f aca="false">F338*J338</f>
        <v>0.0096403801433707</v>
      </c>
      <c r="J338" s="40" t="n">
        <v>0.0096403801433707</v>
      </c>
      <c r="K338" s="40" t="n">
        <f aca="false">I338*(1-V338)</f>
        <v>0.00865558197544062</v>
      </c>
      <c r="L338" s="40" t="n">
        <f aca="false">I338*(1+V338)</f>
        <v>0.0106251783113008</v>
      </c>
      <c r="M338" s="40" t="n">
        <f aca="false">F338*N338</f>
        <v>0.07567698412546</v>
      </c>
      <c r="N338" s="40" t="n">
        <f aca="false">J338*H338</f>
        <v>0.07567698412546</v>
      </c>
      <c r="O338" s="40" t="n">
        <f aca="false">K338*Q338</f>
        <v>0.0679463185072089</v>
      </c>
      <c r="P338" s="40" t="n">
        <f aca="false">L338*R338</f>
        <v>0.0834076497437111</v>
      </c>
      <c r="Q338" s="39" t="n">
        <f aca="false">INDEX(REF_MIN,MATCH(D338,REF_ID,0))</f>
        <v>7.85</v>
      </c>
      <c r="R338" s="39" t="n">
        <f aca="false">INDEX(REF_MAX,MATCH(D338,REF_ID,0))</f>
        <v>7.85</v>
      </c>
      <c r="S338" s="41" t="n">
        <v>1.96959633586015</v>
      </c>
      <c r="T338" s="42" t="n">
        <f aca="false">200*J338/S338</f>
        <v>0.978919382398283</v>
      </c>
      <c r="U338" s="43" t="n">
        <f aca="false">IFERROR(INDEX(ISO_TOL,MATCH(T338,ISO_DESDE,1)),0)</f>
        <v>0.1</v>
      </c>
      <c r="V338" s="44" t="n">
        <f aca="false">IF(T338&gt;0,U338/T338,0)</f>
        <v>0.102153457984464</v>
      </c>
    </row>
    <row r="339" customFormat="false" ht="15" hidden="false" customHeight="false" outlineLevel="2" collapsed="false">
      <c r="A339" s="35" t="n">
        <v>2</v>
      </c>
      <c r="B339" s="36" t="s">
        <v>1070</v>
      </c>
      <c r="C339" s="37" t="s">
        <v>302</v>
      </c>
      <c r="D339" s="36" t="s">
        <v>32</v>
      </c>
      <c r="E339" s="36" t="str">
        <f aca="false">INDEX(REF_DATO,MATCH(D339,REF_ID,0))</f>
        <v>PVC rígido, vinilo y papeles de identificación</v>
      </c>
      <c r="F339" s="38" t="n">
        <v>1</v>
      </c>
      <c r="G339" s="35" t="s">
        <v>264</v>
      </c>
      <c r="H339" s="39" t="n">
        <f aca="false">INDEX(REF_VAL,MATCH(D339,REF_ID,0))</f>
        <v>1.4</v>
      </c>
      <c r="I339" s="40" t="n">
        <f aca="false">F339*J339</f>
        <v>0.0329927547205877</v>
      </c>
      <c r="J339" s="40" t="n">
        <v>0.0329927547205877</v>
      </c>
      <c r="K339" s="40" t="n">
        <f aca="false">I339*(1-V339)</f>
        <v>0.0307839072090341</v>
      </c>
      <c r="L339" s="40" t="n">
        <f aca="false">I339*(1+V339)</f>
        <v>0.0352016022321414</v>
      </c>
      <c r="M339" s="40" t="n">
        <f aca="false">F339*N339</f>
        <v>0.0461898566088228</v>
      </c>
      <c r="N339" s="40" t="n">
        <f aca="false">J339*H339</f>
        <v>0.0461898566088228</v>
      </c>
      <c r="O339" s="40" t="n">
        <f aca="false">K339*Q339</f>
        <v>0.041558274732196</v>
      </c>
      <c r="P339" s="40" t="n">
        <f aca="false">L339*R339</f>
        <v>0.0510423232366051</v>
      </c>
      <c r="Q339" s="39" t="n">
        <f aca="false">INDEX(REF_MIN,MATCH(D339,REF_ID,0))</f>
        <v>1.35</v>
      </c>
      <c r="R339" s="39" t="n">
        <f aca="false">INDEX(REF_MAX,MATCH(D339,REF_ID,0))</f>
        <v>1.45</v>
      </c>
      <c r="S339" s="41" t="n">
        <v>4.41769502310735</v>
      </c>
      <c r="T339" s="42" t="n">
        <f aca="false">200*J339/S339</f>
        <v>1.49366375668826</v>
      </c>
      <c r="U339" s="43" t="n">
        <f aca="false">IFERROR(INDEX(ISO_TOL,MATCH(T339,ISO_DESDE,1)),0)</f>
        <v>0.1</v>
      </c>
      <c r="V339" s="44" t="n">
        <f aca="false">IF(T339&gt;0,U339/T339,0)</f>
        <v>0.0669494720965309</v>
      </c>
    </row>
    <row r="340" customFormat="false" ht="15" hidden="false" customHeight="false" outlineLevel="2" collapsed="false">
      <c r="A340" s="35" t="n">
        <v>2</v>
      </c>
      <c r="B340" s="36" t="s">
        <v>1071</v>
      </c>
      <c r="C340" s="37" t="s">
        <v>280</v>
      </c>
      <c r="D340" s="36" t="s">
        <v>23</v>
      </c>
      <c r="E340" s="36" t="str">
        <f aca="false">INDEX(REF_DATO,MATCH(D340,REF_ID,0))</f>
        <v>Caucho sintético (NBR / SBR)</v>
      </c>
      <c r="F340" s="38" t="n">
        <v>1</v>
      </c>
      <c r="G340" s="35" t="s">
        <v>264</v>
      </c>
      <c r="H340" s="39" t="n">
        <f aca="false">INDEX(REF_VAL,MATCH(D340,REF_ID,0))</f>
        <v>1.2</v>
      </c>
      <c r="I340" s="40" t="n">
        <f aca="false">F340*J340</f>
        <v>0.000842575149692783</v>
      </c>
      <c r="J340" s="40" t="n">
        <v>0.000842575149692783</v>
      </c>
      <c r="K340" s="40" t="n">
        <f aca="false">I340*(1-V340)</f>
        <v>0.000786403473046597</v>
      </c>
      <c r="L340" s="40" t="n">
        <f aca="false">I340*(1+V340)</f>
        <v>0.000898746826338968</v>
      </c>
      <c r="M340" s="40" t="n">
        <f aca="false">F340*N340</f>
        <v>0.00101109017963134</v>
      </c>
      <c r="N340" s="40" t="n">
        <f aca="false">J340*H340</f>
        <v>0.00101109017963134</v>
      </c>
      <c r="O340" s="40" t="n">
        <f aca="false">K340*Q340</f>
        <v>0.000865043820351257</v>
      </c>
      <c r="P340" s="40" t="n">
        <f aca="false">L340*R340</f>
        <v>0.00116837087424066</v>
      </c>
      <c r="Q340" s="39" t="n">
        <f aca="false">INDEX(REF_MIN,MATCH(D340,REF_ID,0))</f>
        <v>1.1</v>
      </c>
      <c r="R340" s="39" t="n">
        <f aca="false">INDEX(REF_MAX,MATCH(D340,REF_ID,0))</f>
        <v>1.3</v>
      </c>
      <c r="S340" s="41" t="n">
        <v>0.112343353292371</v>
      </c>
      <c r="T340" s="42" t="n">
        <f aca="false">200*J340/S340</f>
        <v>1.5</v>
      </c>
      <c r="U340" s="43" t="n">
        <f aca="false">IFERROR(INDEX(ISO_TOL,MATCH(T340,ISO_DESDE,1)),0)</f>
        <v>0.1</v>
      </c>
      <c r="V340" s="44" t="n">
        <f aca="false">IF(T340&gt;0,U340/T340,0)</f>
        <v>0.0666666666666666</v>
      </c>
    </row>
    <row r="341" customFormat="false" ht="15" hidden="false" customHeight="false" outlineLevel="2" collapsed="false">
      <c r="A341" s="35" t="n">
        <v>2</v>
      </c>
      <c r="B341" s="36" t="s">
        <v>1072</v>
      </c>
      <c r="C341" s="37" t="s">
        <v>304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1073</v>
      </c>
      <c r="C342" s="37" t="s">
        <v>306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1074</v>
      </c>
      <c r="C343" s="27" t="s">
        <v>308</v>
      </c>
      <c r="D343" s="26"/>
      <c r="E343" s="26"/>
      <c r="F343" s="28" t="n">
        <v>1</v>
      </c>
      <c r="G343" s="25" t="s">
        <v>264</v>
      </c>
      <c r="H343" s="29"/>
      <c r="I343" s="30"/>
      <c r="J343" s="30"/>
      <c r="K343" s="30"/>
      <c r="L343" s="30"/>
      <c r="M343" s="30" t="n">
        <f aca="false">IF(SUMIF(A344:A347,2,M344:M347)=0,"",SUMIF(A344:A347,2,M344:M347))</f>
        <v>0.201643092188796</v>
      </c>
      <c r="N343" s="30"/>
      <c r="O343" s="30" t="n">
        <f aca="false">IF(SUMIF(A344:A347,2,O344:O347)=0,"",SUMIF(A344:A347,2,O344:O347))</f>
        <v>0.188166264800703</v>
      </c>
      <c r="P343" s="30" t="n">
        <f aca="false">IF(SUMIF(A344:A347,2,P344:P347)=0,"",SUMIF(A344:A347,2,P344:P347))</f>
        <v>0.215632736620764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1075</v>
      </c>
      <c r="C344" s="37" t="s">
        <v>369</v>
      </c>
      <c r="D344" s="36" t="s">
        <v>17</v>
      </c>
      <c r="E344" s="36" t="str">
        <f aca="false">INDEX(REF_DATO,MATCH(D344,REF_ID,0))</f>
        <v>Latón de forja (CuZn39Pb2 / C37700)</v>
      </c>
      <c r="F344" s="38" t="n">
        <v>1</v>
      </c>
      <c r="G344" s="35" t="s">
        <v>264</v>
      </c>
      <c r="H344" s="39" t="n">
        <f aca="false">INDEX(REF_VAL,MATCH(D344,REF_ID,0))</f>
        <v>8.45</v>
      </c>
      <c r="I344" s="40" t="n">
        <f aca="false">F344*J344</f>
        <v>0.00466607483608731</v>
      </c>
      <c r="J344" s="40" t="n">
        <v>0.00466607483608731</v>
      </c>
      <c r="K344" s="40" t="n">
        <f aca="false">I344*(1-V344)</f>
        <v>0.00458505473234755</v>
      </c>
      <c r="L344" s="40" t="n">
        <f aca="false">I344*(1+V344)</f>
        <v>0.00474709493982706</v>
      </c>
      <c r="M344" s="40" t="n">
        <f aca="false">F344*N344</f>
        <v>0.0394283323649377</v>
      </c>
      <c r="N344" s="40" t="n">
        <f aca="false">J344*H344</f>
        <v>0.0394283323649377</v>
      </c>
      <c r="O344" s="40" t="n">
        <f aca="false">K344*Q344</f>
        <v>0.0385144597517194</v>
      </c>
      <c r="P344" s="40" t="n">
        <f aca="false">L344*R344</f>
        <v>0.04035030698853</v>
      </c>
      <c r="Q344" s="39" t="n">
        <f aca="false">INDEX(REF_MIN,MATCH(D344,REF_ID,0))</f>
        <v>8.4</v>
      </c>
      <c r="R344" s="39" t="n">
        <f aca="false">INDEX(REF_MAX,MATCH(D344,REF_ID,0))</f>
        <v>8.5</v>
      </c>
      <c r="S344" s="41" t="n">
        <v>0.162040207479508</v>
      </c>
      <c r="T344" s="42" t="n">
        <f aca="false">200*J344/S344</f>
        <v>5.75915682739099</v>
      </c>
      <c r="U344" s="43" t="n">
        <f aca="false">IFERROR(INDEX(ISO_TOL,MATCH(T344,ISO_DESDE,1)),0)</f>
        <v>0.1</v>
      </c>
      <c r="V344" s="44" t="n">
        <f aca="false">IF(T344&gt;0,U344/T344,0)</f>
        <v>0.0173636528743917</v>
      </c>
    </row>
    <row r="345" customFormat="false" ht="15" hidden="false" customHeight="false" outlineLevel="2" collapsed="false">
      <c r="A345" s="35" t="n">
        <v>2</v>
      </c>
      <c r="B345" s="36" t="s">
        <v>1076</v>
      </c>
      <c r="C345" s="37" t="s">
        <v>371</v>
      </c>
      <c r="D345" s="36" t="s">
        <v>23</v>
      </c>
      <c r="E345" s="36" t="str">
        <f aca="false">INDEX(REF_DATO,MATCH(D345,REF_ID,0))</f>
        <v>Caucho sintético (NBR / SBR)</v>
      </c>
      <c r="F345" s="38" t="n">
        <v>1</v>
      </c>
      <c r="G345" s="35" t="s">
        <v>264</v>
      </c>
      <c r="H345" s="39" t="n">
        <f aca="false">INDEX(REF_VAL,MATCH(D345,REF_ID,0))</f>
        <v>1.2</v>
      </c>
      <c r="I345" s="40" t="n">
        <f aca="false">F345*J345</f>
        <v>0.0423956379600814</v>
      </c>
      <c r="J345" s="40" t="n">
        <v>0.0423956379600814</v>
      </c>
      <c r="K345" s="40" t="n">
        <f aca="false">I345*(1-V345)</f>
        <v>0.0408252487072126</v>
      </c>
      <c r="L345" s="40" t="n">
        <f aca="false">I345*(1+V345)</f>
        <v>0.0439660272129502</v>
      </c>
      <c r="M345" s="40" t="n">
        <f aca="false">F345*N345</f>
        <v>0.0508747655520977</v>
      </c>
      <c r="N345" s="40" t="n">
        <f aca="false">J345*H345</f>
        <v>0.0508747655520977</v>
      </c>
      <c r="O345" s="40" t="n">
        <f aca="false">K345*Q345</f>
        <v>0.0449077735779339</v>
      </c>
      <c r="P345" s="40" t="n">
        <f aca="false">L345*R345</f>
        <v>0.0571558353768353</v>
      </c>
      <c r="Q345" s="39" t="n">
        <f aca="false">INDEX(REF_MIN,MATCH(D345,REF_ID,0))</f>
        <v>1.1</v>
      </c>
      <c r="R345" s="39" t="n">
        <f aca="false">INDEX(REF_MAX,MATCH(D345,REF_ID,0))</f>
        <v>1.3</v>
      </c>
      <c r="S345" s="41" t="n">
        <v>3.14077850573766</v>
      </c>
      <c r="T345" s="42" t="n">
        <f aca="false">200*J345/S345</f>
        <v>2.69968976689263</v>
      </c>
      <c r="U345" s="43" t="n">
        <f aca="false">IFERROR(INDEX(ISO_TOL,MATCH(T345,ISO_DESDE,1)),0)</f>
        <v>0.1</v>
      </c>
      <c r="V345" s="44" t="n">
        <f aca="false">IF(T345&gt;0,U345/T345,0)</f>
        <v>0.037041293124247</v>
      </c>
    </row>
    <row r="346" customFormat="false" ht="15" hidden="false" customHeight="false" outlineLevel="2" collapsed="false">
      <c r="A346" s="35" t="n">
        <v>2</v>
      </c>
      <c r="B346" s="36" t="s">
        <v>1077</v>
      </c>
      <c r="C346" s="37" t="s">
        <v>373</v>
      </c>
      <c r="D346" s="36" t="s">
        <v>26</v>
      </c>
      <c r="E346" s="36" t="str">
        <f aca="false">INDEX(REF_DATO,MATCH(D346,REF_ID,0))</f>
        <v>Polipropileno</v>
      </c>
      <c r="F346" s="38" t="n">
        <v>1</v>
      </c>
      <c r="G346" s="35" t="s">
        <v>264</v>
      </c>
      <c r="H346" s="39" t="n">
        <f aca="false">INDEX(REF_VAL,MATCH(D346,REF_ID,0))</f>
        <v>0.9</v>
      </c>
      <c r="I346" s="40" t="n">
        <f aca="false">F346*J346</f>
        <v>0.0187178422933425</v>
      </c>
      <c r="J346" s="40" t="n">
        <v>0.0187178422933425</v>
      </c>
      <c r="K346" s="40" t="n">
        <f aca="false">I346*(1-V346)</f>
        <v>0.0183719662939511</v>
      </c>
      <c r="L346" s="40" t="n">
        <f aca="false">I346*(1+V346)</f>
        <v>0.019063718292734</v>
      </c>
      <c r="M346" s="40" t="n">
        <f aca="false">F346*N346</f>
        <v>0.0168460580640083</v>
      </c>
      <c r="N346" s="40" t="n">
        <f aca="false">J346*H346</f>
        <v>0.0168460580640083</v>
      </c>
      <c r="O346" s="40" t="n">
        <f aca="false">K346*Q346</f>
        <v>0.0165347696645559</v>
      </c>
      <c r="P346" s="40" t="n">
        <f aca="false">L346*R346</f>
        <v>0.0173479836463879</v>
      </c>
      <c r="Q346" s="39" t="n">
        <f aca="false">INDEX(REF_MIN,MATCH(D346,REF_ID,0))</f>
        <v>0.9</v>
      </c>
      <c r="R346" s="39" t="n">
        <f aca="false">INDEX(REF_MAX,MATCH(D346,REF_ID,0))</f>
        <v>0.91</v>
      </c>
      <c r="S346" s="41" t="n">
        <v>0.691751998782917</v>
      </c>
      <c r="T346" s="42" t="n">
        <f aca="false">200*J346/S346</f>
        <v>5.41172047967337</v>
      </c>
      <c r="U346" s="43" t="n">
        <f aca="false">IFERROR(INDEX(ISO_TOL,MATCH(T346,ISO_DESDE,1)),0)</f>
        <v>0.1</v>
      </c>
      <c r="V346" s="44" t="n">
        <f aca="false">IF(T346&gt;0,U346/T346,0)</f>
        <v>0.018478411879476</v>
      </c>
    </row>
    <row r="347" customFormat="false" ht="15" hidden="false" customHeight="false" outlineLevel="2" collapsed="false">
      <c r="A347" s="35" t="n">
        <v>2</v>
      </c>
      <c r="B347" s="36" t="s">
        <v>1078</v>
      </c>
      <c r="C347" s="37" t="s">
        <v>375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0.0120374441028983</v>
      </c>
      <c r="J347" s="40" t="n">
        <v>0.0120374441028983</v>
      </c>
      <c r="K347" s="40" t="n">
        <f aca="false">I347*(1-V347)</f>
        <v>0.0112368486377699</v>
      </c>
      <c r="L347" s="40" t="n">
        <f aca="false">I347*(1+V347)</f>
        <v>0.0128380395680268</v>
      </c>
      <c r="M347" s="40" t="n">
        <f aca="false">F347*N347</f>
        <v>0.094493936207752</v>
      </c>
      <c r="N347" s="40" t="n">
        <f aca="false">J347*H347</f>
        <v>0.094493936207752</v>
      </c>
      <c r="O347" s="40" t="n">
        <f aca="false">K347*Q347</f>
        <v>0.0882092618064935</v>
      </c>
      <c r="P347" s="40" t="n">
        <f aca="false">L347*R347</f>
        <v>0.10077861060901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1.60119093025693</v>
      </c>
      <c r="T347" s="42" t="n">
        <f aca="false">200*J347/S347</f>
        <v>1.50356136491065</v>
      </c>
      <c r="U347" s="43" t="n">
        <f aca="false">IFERROR(INDEX(ISO_TOL,MATCH(T347,ISO_DESDE,1)),0)</f>
        <v>0.1</v>
      </c>
      <c r="V347" s="44" t="n">
        <f aca="false">IF(T347&gt;0,U347/T347,0)</f>
        <v>0.0665087586936915</v>
      </c>
    </row>
    <row r="348" customFormat="false" ht="15" hidden="false" customHeight="false" outlineLevel="1" collapsed="false">
      <c r="A348" s="25" t="n">
        <v>1</v>
      </c>
      <c r="B348" s="26" t="s">
        <v>1079</v>
      </c>
      <c r="C348" s="27" t="s">
        <v>312</v>
      </c>
      <c r="D348" s="26"/>
      <c r="E348" s="26"/>
      <c r="F348" s="28" t="n">
        <v>1</v>
      </c>
      <c r="G348" s="25" t="s">
        <v>264</v>
      </c>
      <c r="H348" s="29"/>
      <c r="I348" s="30"/>
      <c r="J348" s="30"/>
      <c r="K348" s="30"/>
      <c r="L348" s="30"/>
      <c r="M348" s="30" t="n">
        <f aca="false">IF(SUMIF(A349:A350,2,M349:M350)=0,"",SUMIF(A349:A350,2,M349:M350))</f>
        <v>5.03878032997297</v>
      </c>
      <c r="N348" s="30"/>
      <c r="O348" s="30" t="n">
        <f aca="false">IF(SUMIF(A349:A350,2,O349:O350)=0,"",SUMIF(A349:A350,2,O349:O350))</f>
        <v>4.88479110752564</v>
      </c>
      <c r="P348" s="30" t="n">
        <f aca="false">IF(SUMIF(A349:A350,2,P349:P350)=0,"",SUMIF(A349:A350,2,P349:P350))</f>
        <v>5.04415596398301</v>
      </c>
      <c r="Q348" s="29"/>
      <c r="R348" s="29"/>
      <c r="S348" s="31"/>
      <c r="T348" s="32"/>
      <c r="U348" s="33"/>
      <c r="V348" s="34"/>
    </row>
    <row r="349" customFormat="false" ht="15" hidden="false" customHeight="false" outlineLevel="2" collapsed="false">
      <c r="A349" s="35" t="n">
        <v>2</v>
      </c>
      <c r="B349" s="36" t="s">
        <v>1080</v>
      </c>
      <c r="C349" s="37" t="s">
        <v>1081</v>
      </c>
      <c r="D349" s="36" t="s">
        <v>52</v>
      </c>
      <c r="E349" s="36" t="str">
        <f aca="false">INDEX(REF_DATO,MATCH(D349,REF_ID,0))</f>
        <v>HCFC Mezcla B (agente limpio)</v>
      </c>
      <c r="F349" s="38" t="n">
        <f aca="false">MODELOS!$L$14</f>
        <v>5</v>
      </c>
      <c r="G349" s="35" t="s">
        <v>123</v>
      </c>
      <c r="H349" s="39" t="n">
        <f aca="false">INDEX(REF_VAL,MATCH(D349,REF_ID,0))</f>
        <v>1.48</v>
      </c>
      <c r="I349" s="40" t="n">
        <f aca="false">F349*J349</f>
        <v>3.37837837837838</v>
      </c>
      <c r="J349" s="40" t="n">
        <f aca="false">1/H349</f>
        <v>0.675675675675676</v>
      </c>
      <c r="K349" s="40" t="n">
        <f aca="false">MODELOS!$M$14/R349</f>
        <v>3.27702702702703</v>
      </c>
      <c r="L349" s="40" t="n">
        <f aca="false">MODELOS!$N$14/Q349</f>
        <v>3.40136054421769</v>
      </c>
      <c r="M349" s="40" t="n">
        <f aca="false">F349</f>
        <v>5</v>
      </c>
      <c r="N349" s="40" t="n">
        <v>1</v>
      </c>
      <c r="O349" s="40" t="n">
        <f aca="false">MODELOS!$M$14</f>
        <v>4.85</v>
      </c>
      <c r="P349" s="40" t="n">
        <f aca="false">MODELOS!$N$14</f>
        <v>5</v>
      </c>
      <c r="Q349" s="39" t="n">
        <f aca="false">INDEX(REF_MIN,MATCH(D349,REF_ID,0))</f>
        <v>1.47</v>
      </c>
      <c r="R349" s="39" t="n">
        <f aca="false">INDEX(REF_MAX,MATCH(D349,REF_ID,0))</f>
        <v>1.48</v>
      </c>
      <c r="S349" s="41"/>
      <c r="T349" s="42"/>
      <c r="U349" s="43"/>
      <c r="V349" s="44"/>
    </row>
    <row r="350" customFormat="false" ht="15" hidden="false" customHeight="false" outlineLevel="2" collapsed="false">
      <c r="A350" s="35" t="n">
        <v>2</v>
      </c>
      <c r="B350" s="36" t="s">
        <v>1082</v>
      </c>
      <c r="C350" s="37" t="s">
        <v>1083</v>
      </c>
      <c r="D350" s="36" t="s">
        <v>85</v>
      </c>
      <c r="E350" s="36" t="str">
        <f aca="false">INDEX(REF_DATO,MATCH(D350,REF_ID,0))</f>
        <v>Argón (densidad normal)</v>
      </c>
      <c r="F350" s="38" t="n">
        <f aca="false">MODELOS!$AF$14</f>
        <v>0.0387803299729701</v>
      </c>
      <c r="G350" s="35" t="s">
        <v>123</v>
      </c>
      <c r="H350" s="39" t="n">
        <f aca="false">INDEX(REF_VAL,MATCH(D350,REF_ID,0))</f>
        <v>0.00178459891139466</v>
      </c>
      <c r="I350" s="40" t="n">
        <f aca="false">F350*J350</f>
        <v>21.7305579003538</v>
      </c>
      <c r="J350" s="40" t="n">
        <f aca="false">1/H350</f>
        <v>560.35</v>
      </c>
      <c r="K350" s="40" t="n">
        <f aca="false">MODELOS!$AG$14/H350</f>
        <v>19.4951971019948</v>
      </c>
      <c r="L350" s="40" t="n">
        <f aca="false">MODELOS!$AH$14/H350</f>
        <v>24.7427944178783</v>
      </c>
      <c r="M350" s="40" t="n">
        <f aca="false">F350</f>
        <v>0.0387803299729701</v>
      </c>
      <c r="N350" s="40" t="n">
        <v>1</v>
      </c>
      <c r="O350" s="40" t="n">
        <f aca="false">MODELOS!$AG$14</f>
        <v>0.0347911075256444</v>
      </c>
      <c r="P350" s="40" t="n">
        <f aca="false">MODELOS!$AH$14</f>
        <v>0.0441559639830076</v>
      </c>
      <c r="Q350" s="39"/>
      <c r="R350" s="39"/>
      <c r="S350" s="41"/>
      <c r="T350" s="42"/>
      <c r="U350" s="43"/>
      <c r="V350" s="44"/>
    </row>
    <row r="351" customFormat="false" ht="15" hidden="false" customHeight="false" outlineLevel="1" collapsed="false">
      <c r="A351" s="25" t="n">
        <v>1</v>
      </c>
      <c r="B351" s="26" t="s">
        <v>1084</v>
      </c>
      <c r="C351" s="27" t="s">
        <v>318</v>
      </c>
      <c r="D351" s="26"/>
      <c r="E351" s="26"/>
      <c r="F351" s="28" t="n">
        <v>1</v>
      </c>
      <c r="G351" s="25" t="s">
        <v>264</v>
      </c>
      <c r="H351" s="29"/>
      <c r="I351" s="30"/>
      <c r="J351" s="30"/>
      <c r="K351" s="30"/>
      <c r="L351" s="30"/>
      <c r="M351" s="30" t="n">
        <f aca="false">IF(SUMIF(A352:A358,2,M352:M358)=0,"",SUMIF(A352:A358,2,M352:M358))</f>
        <v>0.0243797951330084</v>
      </c>
      <c r="N351" s="30"/>
      <c r="O351" s="30" t="n">
        <f aca="false">IF(SUMIF(A352:A358,2,O352:O358)=0,"",SUMIF(A352:A358,2,O352:O358))</f>
        <v>0.0235065636698757</v>
      </c>
      <c r="P351" s="30" t="n">
        <f aca="false">IF(SUMIF(A352:A358,2,P352:P358)=0,"",SUMIF(A352:A358,2,P352:P358))</f>
        <v>0.02525508826632</v>
      </c>
      <c r="Q351" s="29"/>
      <c r="R351" s="29"/>
      <c r="S351" s="31"/>
      <c r="T351" s="32"/>
      <c r="U351" s="33"/>
      <c r="V351" s="34"/>
    </row>
    <row r="352" customFormat="false" ht="15" hidden="false" customHeight="false" outlineLevel="2" collapsed="false">
      <c r="A352" s="35" t="n">
        <v>2</v>
      </c>
      <c r="B352" s="36" t="s">
        <v>1085</v>
      </c>
      <c r="C352" s="37" t="s">
        <v>320</v>
      </c>
      <c r="D352" s="36" t="s">
        <v>32</v>
      </c>
      <c r="E352" s="36" t="str">
        <f aca="false">INDEX(REF_DATO,MATCH(D352,REF_ID,0))</f>
        <v>PVC rígido, vinilo y papeles de identificación</v>
      </c>
      <c r="F352" s="38" t="n">
        <v>1</v>
      </c>
      <c r="G352" s="35" t="s">
        <v>264</v>
      </c>
      <c r="H352" s="39" t="n">
        <f aca="false">INDEX(REF_VAL,MATCH(D352,REF_ID,0))</f>
        <v>1.4</v>
      </c>
      <c r="I352" s="40" t="n">
        <f aca="false">F352*J352</f>
        <v>0.013174249211346</v>
      </c>
      <c r="J352" s="40" t="n">
        <v>0.013174249211346</v>
      </c>
      <c r="K352" s="40" t="n">
        <f aca="false">I352*(1-V352)</f>
        <v>0.013174249211346</v>
      </c>
      <c r="L352" s="40" t="n">
        <f aca="false">I352*(1+V352)</f>
        <v>0.013174249211346</v>
      </c>
      <c r="M352" s="40" t="n">
        <f aca="false">F352*N352</f>
        <v>0.0184439488958844</v>
      </c>
      <c r="N352" s="40" t="n">
        <f aca="false">J352*H352</f>
        <v>0.0184439488958844</v>
      </c>
      <c r="O352" s="40" t="n">
        <f aca="false">K352*Q352</f>
        <v>0.0177852364353171</v>
      </c>
      <c r="P352" s="40" t="n">
        <f aca="false">L352*R352</f>
        <v>0.0191026613564517</v>
      </c>
      <c r="Q352" s="39" t="n">
        <f aca="false">INDEX(REF_MIN,MATCH(D352,REF_ID,0))</f>
        <v>1.35</v>
      </c>
      <c r="R352" s="39" t="n">
        <f aca="false">INDEX(REF_MAX,MATCH(D352,REF_ID,0))</f>
        <v>1.45</v>
      </c>
      <c r="S352" s="41" t="n">
        <v>8.80928890213196</v>
      </c>
      <c r="T352" s="42" t="n">
        <f aca="false">200*J352/S352</f>
        <v>0.299099038701244</v>
      </c>
      <c r="U352" s="43" t="n">
        <f aca="false">IFERROR(INDEX(ISO_TOL,MATCH(T352,ISO_DESDE,1)),0)</f>
        <v>0</v>
      </c>
      <c r="V352" s="44" t="n">
        <f aca="false">IF(T352&gt;0,U352/T352,0)</f>
        <v>0</v>
      </c>
    </row>
    <row r="353" customFormat="false" ht="15" hidden="false" customHeight="false" outlineLevel="2" collapsed="false">
      <c r="A353" s="35" t="n">
        <v>2</v>
      </c>
      <c r="B353" s="36" t="s">
        <v>1086</v>
      </c>
      <c r="C353" s="37" t="s">
        <v>322</v>
      </c>
      <c r="D353" s="36" t="s">
        <v>32</v>
      </c>
      <c r="E353" s="36" t="str">
        <f aca="false">INDEX(REF_DATO,MATCH(D353,REF_ID,0))</f>
        <v>PVC rígido, vinilo y papeles de identificación</v>
      </c>
      <c r="F353" s="38" t="n">
        <v>1</v>
      </c>
      <c r="G353" s="35" t="s">
        <v>264</v>
      </c>
      <c r="H353" s="39" t="n">
        <f aca="false">INDEX(REF_VAL,MATCH(D353,REF_ID,0))</f>
        <v>1.4</v>
      </c>
      <c r="I353" s="40" t="n">
        <f aca="false">F353*J353</f>
        <v>0.000636044705882347</v>
      </c>
      <c r="J353" s="40" t="n">
        <v>0.000636044705882347</v>
      </c>
      <c r="K353" s="40" t="n">
        <f aca="false">I353*(1-V353)</f>
        <v>0.000636044705882347</v>
      </c>
      <c r="L353" s="40" t="n">
        <f aca="false">I353*(1+V353)</f>
        <v>0.000636044705882347</v>
      </c>
      <c r="M353" s="40" t="n">
        <f aca="false">F353*N353</f>
        <v>0.000890462588235286</v>
      </c>
      <c r="N353" s="40" t="n">
        <f aca="false">J353*H353</f>
        <v>0.000890462588235286</v>
      </c>
      <c r="O353" s="40" t="n">
        <f aca="false">K353*Q353</f>
        <v>0.000858660352941169</v>
      </c>
      <c r="P353" s="40" t="n">
        <f aca="false">L353*R353</f>
        <v>0.000922264823529404</v>
      </c>
      <c r="Q353" s="39" t="n">
        <f aca="false">INDEX(REF_MIN,MATCH(D353,REF_ID,0))</f>
        <v>1.35</v>
      </c>
      <c r="R353" s="39" t="n">
        <f aca="false">INDEX(REF_MAX,MATCH(D353,REF_ID,0))</f>
        <v>1.45</v>
      </c>
      <c r="S353" s="41" t="n">
        <v>0.429555215686275</v>
      </c>
      <c r="T353" s="42" t="n">
        <f aca="false">200*J353/S353</f>
        <v>0.296141069951241</v>
      </c>
      <c r="U353" s="43" t="n">
        <f aca="false">IFERROR(INDEX(ISO_TOL,MATCH(T353,ISO_DESDE,1)),0)</f>
        <v>0</v>
      </c>
      <c r="V353" s="44" t="n">
        <f aca="false">IF(T353&gt;0,U353/T353,0)</f>
        <v>0</v>
      </c>
    </row>
    <row r="354" customFormat="false" ht="15" hidden="false" customHeight="false" outlineLevel="2" collapsed="false">
      <c r="A354" s="35" t="n">
        <v>2</v>
      </c>
      <c r="B354" s="36" t="s">
        <v>1087</v>
      </c>
      <c r="C354" s="37" t="s">
        <v>324</v>
      </c>
      <c r="D354" s="36" t="s">
        <v>32</v>
      </c>
      <c r="E354" s="36" t="str">
        <f aca="false">INDEX(REF_DATO,MATCH(D354,REF_ID,0))</f>
        <v>PVC rígido, vinilo y papeles de identificación</v>
      </c>
      <c r="F354" s="38" t="n">
        <v>1</v>
      </c>
      <c r="G354" s="35" t="s">
        <v>264</v>
      </c>
      <c r="H354" s="39" t="n">
        <f aca="false">INDEX(REF_VAL,MATCH(D354,REF_ID,0))</f>
        <v>1.4</v>
      </c>
      <c r="I354" s="40" t="n">
        <f aca="false">F354*J354</f>
        <v>0.000721411764705912</v>
      </c>
      <c r="J354" s="40" t="n">
        <v>0.000721411764705912</v>
      </c>
      <c r="K354" s="40" t="n">
        <f aca="false">I354*(1-V354)</f>
        <v>0.000721411764705912</v>
      </c>
      <c r="L354" s="40" t="n">
        <f aca="false">I354*(1+V354)</f>
        <v>0.000721411764705912</v>
      </c>
      <c r="M354" s="40" t="n">
        <f aca="false">F354*N354</f>
        <v>0.00100997647058828</v>
      </c>
      <c r="N354" s="40" t="n">
        <f aca="false">J354*H354</f>
        <v>0.00100997647058828</v>
      </c>
      <c r="O354" s="40" t="n">
        <f aca="false">K354*Q354</f>
        <v>0.000973905882352981</v>
      </c>
      <c r="P354" s="40" t="n">
        <f aca="false">L354*R354</f>
        <v>0.00104604705882357</v>
      </c>
      <c r="Q354" s="39" t="n">
        <f aca="false">INDEX(REF_MIN,MATCH(D354,REF_ID,0))</f>
        <v>1.35</v>
      </c>
      <c r="R354" s="39" t="n">
        <f aca="false">INDEX(REF_MAX,MATCH(D354,REF_ID,0))</f>
        <v>1.45</v>
      </c>
      <c r="S354" s="41" t="n">
        <v>0.486948235294118</v>
      </c>
      <c r="T354" s="42" t="n">
        <f aca="false">200*J354/S354</f>
        <v>0.296299159712604</v>
      </c>
      <c r="U354" s="43" t="n">
        <f aca="false">IFERROR(INDEX(ISO_TOL,MATCH(T354,ISO_DESDE,1)),0)</f>
        <v>0</v>
      </c>
      <c r="V354" s="44" t="n">
        <f aca="false">IF(T354&gt;0,U354/T354,0)</f>
        <v>0</v>
      </c>
    </row>
    <row r="355" customFormat="false" ht="15" hidden="false" customHeight="false" outlineLevel="2" collapsed="false">
      <c r="A355" s="35" t="n">
        <v>2</v>
      </c>
      <c r="B355" s="36" t="s">
        <v>1088</v>
      </c>
      <c r="C355" s="37" t="s">
        <v>384</v>
      </c>
      <c r="D355" s="36" t="s">
        <v>32</v>
      </c>
      <c r="E355" s="36" t="str">
        <f aca="false">INDEX(REF_DATO,MATCH(D355,REF_ID,0))</f>
        <v>PVC rígido, vinilo y papeles de identificación</v>
      </c>
      <c r="F355" s="38" t="n">
        <v>1</v>
      </c>
      <c r="G355" s="35" t="s">
        <v>264</v>
      </c>
      <c r="H355" s="39" t="n">
        <f aca="false">INDEX(REF_VAL,MATCH(D355,REF_ID,0))</f>
        <v>1.4</v>
      </c>
      <c r="I355" s="40" t="n">
        <f aca="false">F355*J355</f>
        <v>0.00231452941176487</v>
      </c>
      <c r="J355" s="40" t="n">
        <v>0.00231452941176487</v>
      </c>
      <c r="K355" s="40" t="n">
        <f aca="false">I355*(1-V355)</f>
        <v>0.00231452941176487</v>
      </c>
      <c r="L355" s="40" t="n">
        <f aca="false">I355*(1+V355)</f>
        <v>0.00231452941176487</v>
      </c>
      <c r="M355" s="40" t="n">
        <f aca="false">F355*N355</f>
        <v>0.00324034117647082</v>
      </c>
      <c r="N355" s="40" t="n">
        <f aca="false">J355*H355</f>
        <v>0.00324034117647082</v>
      </c>
      <c r="O355" s="40" t="n">
        <f aca="false">K355*Q355</f>
        <v>0.00312461470588258</v>
      </c>
      <c r="P355" s="40" t="n">
        <f aca="false">L355*R355</f>
        <v>0.00335606764705907</v>
      </c>
      <c r="Q355" s="39" t="n">
        <f aca="false">INDEX(REF_MIN,MATCH(D355,REF_ID,0))</f>
        <v>1.35</v>
      </c>
      <c r="R355" s="39" t="n">
        <f aca="false">INDEX(REF_MAX,MATCH(D355,REF_ID,0))</f>
        <v>1.45</v>
      </c>
      <c r="S355" s="41" t="n">
        <v>1.55473607843137</v>
      </c>
      <c r="T355" s="42" t="n">
        <f aca="false">200*J355/S355</f>
        <v>0.29773920395545</v>
      </c>
      <c r="U355" s="43" t="n">
        <f aca="false">IFERROR(INDEX(ISO_TOL,MATCH(T355,ISO_DESDE,1)),0)</f>
        <v>0</v>
      </c>
      <c r="V355" s="44" t="n">
        <f aca="false">IF(T355&gt;0,U355/T355,0)</f>
        <v>0</v>
      </c>
    </row>
    <row r="356" customFormat="false" ht="15" hidden="false" customHeight="false" outlineLevel="2" collapsed="false">
      <c r="A356" s="35" t="n">
        <v>2</v>
      </c>
      <c r="B356" s="36" t="s">
        <v>1089</v>
      </c>
      <c r="C356" s="37" t="s">
        <v>326</v>
      </c>
      <c r="D356" s="36" t="s">
        <v>32</v>
      </c>
      <c r="E356" s="36" t="str">
        <f aca="false">INDEX(REF_DATO,MATCH(D356,REF_ID,0))</f>
        <v>PVC rígido, vinilo y papeles de identificación</v>
      </c>
      <c r="F356" s="38" t="n">
        <v>1</v>
      </c>
      <c r="G356" s="35" t="s">
        <v>264</v>
      </c>
      <c r="H356" s="39" t="n">
        <f aca="false">INDEX(REF_VAL,MATCH(D356,REF_ID,0))</f>
        <v>1.4</v>
      </c>
      <c r="I356" s="40" t="n">
        <f aca="false">F356*J356</f>
        <v>0.000338161764705884</v>
      </c>
      <c r="J356" s="40" t="n">
        <v>0.000338161764705884</v>
      </c>
      <c r="K356" s="40" t="n">
        <f aca="false">I356*(1-V356)</f>
        <v>0.000338161764705884</v>
      </c>
      <c r="L356" s="40" t="n">
        <f aca="false">I356*(1+V356)</f>
        <v>0.000338161764705884</v>
      </c>
      <c r="M356" s="40" t="n">
        <f aca="false">F356*N356</f>
        <v>0.000473426470588238</v>
      </c>
      <c r="N356" s="40" t="n">
        <f aca="false">J356*H356</f>
        <v>0.000473426470588238</v>
      </c>
      <c r="O356" s="40" t="n">
        <f aca="false">K356*Q356</f>
        <v>0.000456518382352944</v>
      </c>
      <c r="P356" s="40" t="n">
        <f aca="false">L356*R356</f>
        <v>0.000490334558823532</v>
      </c>
      <c r="Q356" s="39" t="n">
        <f aca="false">INDEX(REF_MIN,MATCH(D356,REF_ID,0))</f>
        <v>1.35</v>
      </c>
      <c r="R356" s="39" t="n">
        <f aca="false">INDEX(REF_MAX,MATCH(D356,REF_ID,0))</f>
        <v>1.45</v>
      </c>
      <c r="S356" s="41" t="n">
        <v>0.229646470588236</v>
      </c>
      <c r="T356" s="42" t="n">
        <f aca="false">200*J356/S356</f>
        <v>0.294506389616778</v>
      </c>
      <c r="U356" s="43" t="n">
        <f aca="false">IFERROR(INDEX(ISO_TOL,MATCH(T356,ISO_DESDE,1)),0)</f>
        <v>0</v>
      </c>
      <c r="V356" s="44" t="n">
        <f aca="false">IF(T356&gt;0,U356/T356,0)</f>
        <v>0</v>
      </c>
    </row>
    <row r="357" customFormat="false" ht="15" hidden="false" customHeight="false" outlineLevel="2" collapsed="false">
      <c r="A357" s="35" t="n">
        <v>2</v>
      </c>
      <c r="B357" s="36" t="s">
        <v>1090</v>
      </c>
      <c r="C357" s="37" t="s">
        <v>328</v>
      </c>
      <c r="D357" s="36" t="s">
        <v>32</v>
      </c>
      <c r="E357" s="36" t="str">
        <f aca="false">INDEX(REF_DATO,MATCH(D357,REF_ID,0))</f>
        <v>PVC rígido, vinilo y papeles de identificación</v>
      </c>
      <c r="F357" s="38" t="n">
        <v>1</v>
      </c>
      <c r="G357" s="35" t="s">
        <v>264</v>
      </c>
      <c r="H357" s="39" t="n">
        <f aca="false">INDEX(REF_VAL,MATCH(D357,REF_ID,0))</f>
        <v>1.4</v>
      </c>
      <c r="I357" s="40" t="n">
        <f aca="false">F357*J357</f>
        <v>0.000103517817483494</v>
      </c>
      <c r="J357" s="40" t="n">
        <v>0.000103517817483494</v>
      </c>
      <c r="K357" s="40" t="n">
        <f aca="false">I357*(1-V357)</f>
        <v>0.000103517817483494</v>
      </c>
      <c r="L357" s="40" t="n">
        <f aca="false">I357*(1+V357)</f>
        <v>0.000103517817483494</v>
      </c>
      <c r="M357" s="40" t="n">
        <f aca="false">F357*N357</f>
        <v>0.000144924944476891</v>
      </c>
      <c r="N357" s="40" t="n">
        <f aca="false">J357*H357</f>
        <v>0.000144924944476891</v>
      </c>
      <c r="O357" s="40" t="n">
        <f aca="false">K357*Q357</f>
        <v>0.000139749053602717</v>
      </c>
      <c r="P357" s="40" t="n">
        <f aca="false">L357*R357</f>
        <v>0.000150100835351066</v>
      </c>
      <c r="Q357" s="39" t="n">
        <f aca="false">INDEX(REF_MIN,MATCH(D357,REF_ID,0))</f>
        <v>1.35</v>
      </c>
      <c r="R357" s="39" t="n">
        <f aca="false">INDEX(REF_MAX,MATCH(D357,REF_ID,0))</f>
        <v>1.45</v>
      </c>
      <c r="S357" s="41" t="n">
        <v>0.105338410433796</v>
      </c>
      <c r="T357" s="42" t="n">
        <f aca="false">200*J357/S357</f>
        <v>0.196543344554366</v>
      </c>
      <c r="U357" s="43" t="n">
        <f aca="false">IFERROR(INDEX(ISO_TOL,MATCH(T357,ISO_DESDE,1)),0)</f>
        <v>0</v>
      </c>
      <c r="V357" s="44" t="n">
        <f aca="false">IF(T357&gt;0,U357/T357,0)</f>
        <v>0</v>
      </c>
    </row>
    <row r="358" customFormat="false" ht="15" hidden="false" customHeight="false" outlineLevel="2" collapsed="false">
      <c r="A358" s="35" t="n">
        <v>2</v>
      </c>
      <c r="B358" s="36" t="s">
        <v>1091</v>
      </c>
      <c r="C358" s="37" t="s">
        <v>330</v>
      </c>
      <c r="D358" s="36" t="s">
        <v>26</v>
      </c>
      <c r="E358" s="36" t="str">
        <f aca="false">INDEX(REF_DATO,MATCH(D358,REF_ID,0))</f>
        <v>Polipropileno</v>
      </c>
      <c r="F358" s="38" t="n">
        <v>1</v>
      </c>
      <c r="G358" s="35" t="s">
        <v>264</v>
      </c>
      <c r="H358" s="39" t="n">
        <f aca="false">INDEX(REF_VAL,MATCH(D358,REF_ID,0))</f>
        <v>0.9</v>
      </c>
      <c r="I358" s="40" t="n">
        <f aca="false">F358*J358</f>
        <v>0.000196349540849362</v>
      </c>
      <c r="J358" s="40" t="n">
        <v>0.000196349540849362</v>
      </c>
      <c r="K358" s="40" t="n">
        <f aca="false">I358*(1-V358)</f>
        <v>0.000186532063806894</v>
      </c>
      <c r="L358" s="40" t="n">
        <f aca="false">I358*(1+V358)</f>
        <v>0.00020616701789183</v>
      </c>
      <c r="M358" s="40" t="n">
        <f aca="false">F358*N358</f>
        <v>0.000176714586764426</v>
      </c>
      <c r="N358" s="40" t="n">
        <f aca="false">J358*H358</f>
        <v>0.000176714586764426</v>
      </c>
      <c r="O358" s="40" t="n">
        <f aca="false">K358*Q358</f>
        <v>0.000167878857426205</v>
      </c>
      <c r="P358" s="40" t="n">
        <f aca="false">L358*R358</f>
        <v>0.000187611986281566</v>
      </c>
      <c r="Q358" s="39" t="n">
        <f aca="false">INDEX(REF_MIN,MATCH(D358,REF_ID,0))</f>
        <v>0.9</v>
      </c>
      <c r="R358" s="39" t="n">
        <f aca="false">INDEX(REF_MAX,MATCH(D358,REF_ID,0))</f>
        <v>0.91</v>
      </c>
      <c r="S358" s="41" t="n">
        <v>0.0196349540849362</v>
      </c>
      <c r="T358" s="42" t="n">
        <f aca="false">200*J358/S358</f>
        <v>2</v>
      </c>
      <c r="U358" s="43" t="n">
        <f aca="false">IFERROR(INDEX(ISO_TOL,MATCH(T358,ISO_DESDE,1)),0)</f>
        <v>0.1</v>
      </c>
      <c r="V358" s="44" t="n">
        <f aca="false">IF(T358&gt;0,U358/T358,0)</f>
        <v>0.05</v>
      </c>
    </row>
    <row r="359" customFormat="false" ht="15" hidden="false" customHeight="false" outlineLevel="1" collapsed="false">
      <c r="A359" s="25" t="n">
        <v>1</v>
      </c>
      <c r="B359" s="26" t="s">
        <v>1092</v>
      </c>
      <c r="C359" s="27" t="s">
        <v>332</v>
      </c>
      <c r="D359" s="26"/>
      <c r="E359" s="26"/>
      <c r="F359" s="28" t="n">
        <v>1</v>
      </c>
      <c r="G359" s="25" t="s">
        <v>264</v>
      </c>
      <c r="H359" s="29"/>
      <c r="I359" s="30"/>
      <c r="J359" s="30"/>
      <c r="K359" s="30"/>
      <c r="L359" s="30"/>
      <c r="M359" s="30" t="n">
        <f aca="false">IF(SUMIF(A360:A361,2,M360:M361)=0,"",SUMIF(A360:A361,2,M360:M361))</f>
        <v>0.289872105524336</v>
      </c>
      <c r="N359" s="30"/>
      <c r="O359" s="30" t="n">
        <f aca="false">IF(SUMIF(A360:A361,2,O360:O361)=0,"",SUMIF(A360:A361,2,O360:O361))</f>
        <v>0.274764000348385</v>
      </c>
      <c r="P359" s="30" t="n">
        <f aca="false">IF(SUMIF(A360:A361,2,P360:P361)=0,"",SUMIF(A360:A361,2,P360:P361))</f>
        <v>0.304980210700288</v>
      </c>
      <c r="Q359" s="29"/>
      <c r="R359" s="29"/>
      <c r="S359" s="31"/>
      <c r="T359" s="32"/>
      <c r="U359" s="33"/>
      <c r="V359" s="34"/>
    </row>
    <row r="360" customFormat="false" ht="15" hidden="false" customHeight="false" outlineLevel="2" collapsed="false">
      <c r="A360" s="35" t="n">
        <v>2</v>
      </c>
      <c r="B360" s="36" t="s">
        <v>1093</v>
      </c>
      <c r="C360" s="37" t="s">
        <v>390</v>
      </c>
      <c r="D360" s="36" t="s">
        <v>10</v>
      </c>
      <c r="E360" s="36" t="str">
        <f aca="false">INDEX(REF_DATO,MATCH(D360,REF_ID,0))</f>
        <v>Acero (chapa LAC/LAF, SAE 1010/1045)</v>
      </c>
      <c r="F360" s="38" t="n">
        <v>1</v>
      </c>
      <c r="G360" s="35" t="s">
        <v>264</v>
      </c>
      <c r="H360" s="39" t="n">
        <f aca="false">INDEX(REF_VAL,MATCH(D360,REF_ID,0))</f>
        <v>7.85</v>
      </c>
      <c r="I360" s="40" t="n">
        <f aca="false">F360*J360</f>
        <v>0.0369263828693422</v>
      </c>
      <c r="J360" s="40" t="n">
        <v>0.0369263828693422</v>
      </c>
      <c r="K360" s="40" t="n">
        <f aca="false">I360*(1-V360)</f>
        <v>0.0350017834838707</v>
      </c>
      <c r="L360" s="40" t="n">
        <f aca="false">I360*(1+V360)</f>
        <v>0.0388509822548137</v>
      </c>
      <c r="M360" s="40" t="n">
        <f aca="false">F360*N360</f>
        <v>0.289872105524336</v>
      </c>
      <c r="N360" s="40" t="n">
        <f aca="false">J360*H360</f>
        <v>0.289872105524336</v>
      </c>
      <c r="O360" s="40" t="n">
        <f aca="false">K360*Q360</f>
        <v>0.274764000348385</v>
      </c>
      <c r="P360" s="40" t="n">
        <f aca="false">L360*R360</f>
        <v>0.304980210700288</v>
      </c>
      <c r="Q360" s="39" t="n">
        <f aca="false">INDEX(REF_MIN,MATCH(D360,REF_ID,0))</f>
        <v>7.85</v>
      </c>
      <c r="R360" s="39" t="n">
        <f aca="false">INDEX(REF_MAX,MATCH(D360,REF_ID,0))</f>
        <v>7.85</v>
      </c>
      <c r="S360" s="41" t="n">
        <v>3.849198770943</v>
      </c>
      <c r="T360" s="42" t="n">
        <f aca="false">200*J360/S360</f>
        <v>1.91865294918484</v>
      </c>
      <c r="U360" s="43" t="n">
        <f aca="false">IFERROR(INDEX(ISO_TOL,MATCH(T360,ISO_DESDE,1)),0)</f>
        <v>0.1</v>
      </c>
      <c r="V360" s="44" t="n">
        <f aca="false">IF(T360&gt;0,U360/T360,0)</f>
        <v>0.0521199000801505</v>
      </c>
    </row>
    <row r="361" customFormat="false" ht="15" hidden="false" customHeight="false" outlineLevel="2" collapsed="false">
      <c r="A361" s="35" t="n">
        <v>2</v>
      </c>
      <c r="B361" s="36" t="s">
        <v>1094</v>
      </c>
      <c r="C361" s="37" t="s">
        <v>392</v>
      </c>
      <c r="D361" s="36"/>
      <c r="E361" s="36"/>
      <c r="F361" s="38" t="n">
        <v>2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1" collapsed="false">
      <c r="A362" s="25" t="n">
        <v>1</v>
      </c>
      <c r="B362" s="26" t="s">
        <v>1095</v>
      </c>
      <c r="C362" s="27" t="s">
        <v>336</v>
      </c>
      <c r="D362" s="26"/>
      <c r="E362" s="26"/>
      <c r="F362" s="28" t="n">
        <v>1</v>
      </c>
      <c r="G362" s="25" t="s">
        <v>264</v>
      </c>
      <c r="H362" s="29"/>
      <c r="I362" s="30"/>
      <c r="J362" s="30"/>
      <c r="K362" s="30"/>
      <c r="L362" s="30"/>
      <c r="M362" s="30" t="str">
        <f aca="false">IF(SUMIF(A363:A366,2,M363:M366)=0,"",SUMIF(A363:A366,2,M363:M366))</f>
        <v/>
      </c>
      <c r="N362" s="30"/>
      <c r="O362" s="30" t="str">
        <f aca="false">IF(SUMIF(A363:A366,2,O363:O366)=0,"",SUMIF(A363:A366,2,O363:O366))</f>
        <v/>
      </c>
      <c r="P362" s="30" t="str">
        <f aca="false">IF(SUMIF(A363:A366,2,P363:P366)=0,"",SUMIF(A363:A366,2,P363:P366))</f>
        <v/>
      </c>
      <c r="Q362" s="29"/>
      <c r="R362" s="29"/>
      <c r="S362" s="31"/>
      <c r="T362" s="32"/>
      <c r="U362" s="33"/>
      <c r="V362" s="34"/>
    </row>
    <row r="363" customFormat="false" ht="15" hidden="false" customHeight="false" outlineLevel="2" collapsed="false">
      <c r="A363" s="35" t="n">
        <v>2</v>
      </c>
      <c r="B363" s="36" t="s">
        <v>1096</v>
      </c>
      <c r="C363" s="37" t="s">
        <v>338</v>
      </c>
      <c r="D363" s="36"/>
      <c r="E363" s="36"/>
      <c r="F363" s="38" t="n">
        <v>1</v>
      </c>
      <c r="G363" s="35" t="s">
        <v>264</v>
      </c>
      <c r="H363" s="39"/>
      <c r="I363" s="40"/>
      <c r="J363" s="40"/>
      <c r="K363" s="40"/>
      <c r="L363" s="40"/>
      <c r="M363" s="40"/>
      <c r="N363" s="40"/>
      <c r="O363" s="40"/>
      <c r="P363" s="40"/>
      <c r="Q363" s="39"/>
      <c r="R363" s="39"/>
      <c r="S363" s="41"/>
      <c r="T363" s="42"/>
      <c r="U363" s="43"/>
      <c r="V363" s="44"/>
    </row>
    <row r="364" customFormat="false" ht="15" hidden="false" customHeight="false" outlineLevel="2" collapsed="false">
      <c r="A364" s="35" t="n">
        <v>2</v>
      </c>
      <c r="B364" s="36" t="s">
        <v>1097</v>
      </c>
      <c r="C364" s="37" t="s">
        <v>340</v>
      </c>
      <c r="D364" s="36"/>
      <c r="E364" s="36"/>
      <c r="F364" s="38" t="n">
        <v>1</v>
      </c>
      <c r="G364" s="35" t="s">
        <v>264</v>
      </c>
      <c r="H364" s="39"/>
      <c r="I364" s="40"/>
      <c r="J364" s="40"/>
      <c r="K364" s="40"/>
      <c r="L364" s="40"/>
      <c r="M364" s="40"/>
      <c r="N364" s="40"/>
      <c r="O364" s="40"/>
      <c r="P364" s="40"/>
      <c r="Q364" s="39"/>
      <c r="R364" s="39"/>
      <c r="S364" s="41"/>
      <c r="T364" s="42"/>
      <c r="U364" s="43"/>
      <c r="V364" s="44"/>
    </row>
    <row r="365" customFormat="false" ht="15" hidden="false" customHeight="false" outlineLevel="2" collapsed="false">
      <c r="A365" s="35" t="n">
        <v>2</v>
      </c>
      <c r="B365" s="36" t="s">
        <v>1098</v>
      </c>
      <c r="C365" s="37" t="s">
        <v>342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2" collapsed="false">
      <c r="A366" s="35" t="n">
        <v>2</v>
      </c>
      <c r="B366" s="36" t="s">
        <v>1099</v>
      </c>
      <c r="C366" s="37" t="s">
        <v>344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0" collapsed="false">
      <c r="A367" s="16" t="n">
        <v>0</v>
      </c>
      <c r="B367" s="17" t="s">
        <v>233</v>
      </c>
      <c r="C367" s="17" t="s">
        <v>234</v>
      </c>
      <c r="D367" s="17"/>
      <c r="E367" s="17"/>
      <c r="F367" s="18" t="n">
        <v>1</v>
      </c>
      <c r="G367" s="16" t="s">
        <v>264</v>
      </c>
      <c r="H367" s="19"/>
      <c r="I367" s="20"/>
      <c r="J367" s="20"/>
      <c r="K367" s="20"/>
      <c r="L367" s="20"/>
      <c r="M367" s="20" t="n">
        <f aca="false">IF(SUMIF(A368:A412,1,M368:M412)=0,"",SUMIF(A368:A412,1,M368:M412))</f>
        <v>15.7684135304019</v>
      </c>
      <c r="N367" s="20"/>
      <c r="O367" s="20" t="n">
        <f aca="false">IF(SUMIF(A368:A412,1,O368:O412)=0,"",SUMIF(A368:A412,1,O368:O412))</f>
        <v>15.2389854203077</v>
      </c>
      <c r="P367" s="20" t="n">
        <f aca="false">IF(SUMIF(A368:A412,1,P368:P412)=0,"",SUMIF(A368:A412,1,P368:P412))</f>
        <v>16.3022801909014</v>
      </c>
      <c r="Q367" s="19"/>
      <c r="R367" s="19"/>
      <c r="S367" s="21"/>
      <c r="T367" s="22"/>
      <c r="U367" s="23"/>
      <c r="V367" s="24"/>
    </row>
    <row r="368" customFormat="false" ht="15" hidden="false" customHeight="false" outlineLevel="1" collapsed="false">
      <c r="A368" s="25" t="n">
        <v>1</v>
      </c>
      <c r="B368" s="26" t="s">
        <v>1100</v>
      </c>
      <c r="C368" s="27" t="s">
        <v>266</v>
      </c>
      <c r="D368" s="26"/>
      <c r="E368" s="26"/>
      <c r="F368" s="28" t="n">
        <v>1</v>
      </c>
      <c r="G368" s="25" t="s">
        <v>264</v>
      </c>
      <c r="H368" s="29"/>
      <c r="I368" s="30"/>
      <c r="J368" s="30"/>
      <c r="K368" s="30"/>
      <c r="L368" s="30"/>
      <c r="M368" s="30" t="n">
        <f aca="false">IF(SUMIF(A369:A372,2,M369:M372)=0,"",SUMIF(A369:A372,2,M369:M372))</f>
        <v>5.42712703192002</v>
      </c>
      <c r="N368" s="30"/>
      <c r="O368" s="30" t="n">
        <f aca="false">IF(SUMIF(A369:A372,2,O369:O372)=0,"",SUMIF(A369:A372,2,O369:O372))</f>
        <v>5.14995483413667</v>
      </c>
      <c r="P368" s="30" t="n">
        <f aca="false">IF(SUMIF(A369:A372,2,P369:P372)=0,"",SUMIF(A369:A372,2,P369:P372))</f>
        <v>5.70429922970337</v>
      </c>
      <c r="Q368" s="29"/>
      <c r="R368" s="29"/>
      <c r="S368" s="31"/>
      <c r="T368" s="32"/>
      <c r="U368" s="33"/>
      <c r="V368" s="34"/>
    </row>
    <row r="369" customFormat="false" ht="15" hidden="false" customHeight="false" outlineLevel="2" collapsed="false">
      <c r="A369" s="35" t="n">
        <v>2</v>
      </c>
      <c r="B369" s="36" t="s">
        <v>1101</v>
      </c>
      <c r="C369" s="37" t="s">
        <v>268</v>
      </c>
      <c r="D369" s="36" t="s">
        <v>10</v>
      </c>
      <c r="E369" s="36" t="str">
        <f aca="false">INDEX(REF_DATO,MATCH(D369,REF_ID,0))</f>
        <v>Acero (chapa LAC/LAF, SAE 1010/1045)</v>
      </c>
      <c r="F369" s="38" t="n">
        <v>1</v>
      </c>
      <c r="G369" s="35" t="s">
        <v>264</v>
      </c>
      <c r="H369" s="39" t="n">
        <f aca="false">INDEX(REF_VAL,MATCH(D369,REF_ID,0))</f>
        <v>7.85</v>
      </c>
      <c r="I369" s="40" t="n">
        <f aca="false">F369*J369</f>
        <v>0.555875624715548</v>
      </c>
      <c r="J369" s="40" t="n">
        <v>0.555875624715548</v>
      </c>
      <c r="K369" s="40" t="n">
        <f aca="false">I369*(1-V369)</f>
        <v>0.527948838891586</v>
      </c>
      <c r="L369" s="40" t="n">
        <f aca="false">I369*(1+V369)</f>
        <v>0.583802410539509</v>
      </c>
      <c r="M369" s="40" t="n">
        <f aca="false">F369*N369</f>
        <v>4.36362365401705</v>
      </c>
      <c r="N369" s="40" t="n">
        <f aca="false">J369*H369</f>
        <v>4.36362365401705</v>
      </c>
      <c r="O369" s="40" t="n">
        <f aca="false">K369*Q369</f>
        <v>4.14439838529895</v>
      </c>
      <c r="P369" s="40" t="n">
        <f aca="false">L369*R369</f>
        <v>4.58284892273514</v>
      </c>
      <c r="Q369" s="39" t="n">
        <f aca="false">INDEX(REF_MIN,MATCH(D369,REF_ID,0))</f>
        <v>7.85</v>
      </c>
      <c r="R369" s="39" t="n">
        <f aca="false">INDEX(REF_MAX,MATCH(D369,REF_ID,0))</f>
        <v>7.85</v>
      </c>
      <c r="S369" s="41" t="n">
        <v>55.8535716479224</v>
      </c>
      <c r="T369" s="42" t="n">
        <f aca="false">200*J369/S369</f>
        <v>1.9904747657663</v>
      </c>
      <c r="U369" s="43" t="n">
        <f aca="false">IFERROR(INDEX(ISO_TOL,MATCH(T369,ISO_DESDE,1)),0)</f>
        <v>0.1</v>
      </c>
      <c r="V369" s="44" t="n">
        <f aca="false">IF(T369&gt;0,U369/T369,0)</f>
        <v>0.0502392704091889</v>
      </c>
    </row>
    <row r="370" customFormat="false" ht="15" hidden="false" customHeight="false" outlineLevel="2" collapsed="false">
      <c r="A370" s="35" t="n">
        <v>2</v>
      </c>
      <c r="B370" s="36" t="s">
        <v>1102</v>
      </c>
      <c r="C370" s="37" t="s">
        <v>270</v>
      </c>
      <c r="D370" s="36" t="s">
        <v>10</v>
      </c>
      <c r="E370" s="36" t="str">
        <f aca="false">INDEX(REF_DATO,MATCH(D370,REF_ID,0))</f>
        <v>Acero (chapa LAC/LAF, SAE 1010/1045)</v>
      </c>
      <c r="F370" s="38" t="n">
        <v>1</v>
      </c>
      <c r="G370" s="35" t="s">
        <v>264</v>
      </c>
      <c r="H370" s="39" t="n">
        <f aca="false">INDEX(REF_VAL,MATCH(D370,REF_ID,0))</f>
        <v>7.85</v>
      </c>
      <c r="I370" s="40" t="n">
        <f aca="false">F370*J370</f>
        <v>0.0638201333707663</v>
      </c>
      <c r="J370" s="40" t="n">
        <v>0.0638201333707663</v>
      </c>
      <c r="K370" s="40" t="n">
        <f aca="false">I370*(1-V370)</f>
        <v>0.059665016985105</v>
      </c>
      <c r="L370" s="40" t="n">
        <f aca="false">I370*(1+V370)</f>
        <v>0.0679752497564276</v>
      </c>
      <c r="M370" s="40" t="n">
        <f aca="false">F370*N370</f>
        <v>0.500988046960515</v>
      </c>
      <c r="N370" s="40" t="n">
        <f aca="false">J370*H370</f>
        <v>0.500988046960515</v>
      </c>
      <c r="O370" s="40" t="n">
        <f aca="false">K370*Q370</f>
        <v>0.468370383333074</v>
      </c>
      <c r="P370" s="40" t="n">
        <f aca="false">L370*R370</f>
        <v>0.533605710587957</v>
      </c>
      <c r="Q370" s="39" t="n">
        <f aca="false">INDEX(REF_MIN,MATCH(D370,REF_ID,0))</f>
        <v>7.85</v>
      </c>
      <c r="R370" s="39" t="n">
        <f aca="false">INDEX(REF_MAX,MATCH(D370,REF_ID,0))</f>
        <v>7.85</v>
      </c>
      <c r="S370" s="41" t="n">
        <v>8.31023277132263</v>
      </c>
      <c r="T370" s="42" t="n">
        <f aca="false">200*J370/S370</f>
        <v>1.5359409327498</v>
      </c>
      <c r="U370" s="43" t="n">
        <f aca="false">IFERROR(INDEX(ISO_TOL,MATCH(T370,ISO_DESDE,1)),0)</f>
        <v>0.1</v>
      </c>
      <c r="V370" s="44" t="n">
        <f aca="false">IF(T370&gt;0,U370/T370,0)</f>
        <v>0.065106670359367</v>
      </c>
    </row>
    <row r="371" customFormat="false" ht="15" hidden="false" customHeight="false" outlineLevel="2" collapsed="false">
      <c r="A371" s="35" t="n">
        <v>2</v>
      </c>
      <c r="B371" s="36" t="s">
        <v>1103</v>
      </c>
      <c r="C371" s="37" t="s">
        <v>272</v>
      </c>
      <c r="D371" s="36" t="s">
        <v>10</v>
      </c>
      <c r="E371" s="36" t="str">
        <f aca="false">INDEX(REF_DATO,MATCH(D371,REF_ID,0))</f>
        <v>Acero (chapa LAC/LAF, SAE 1010/1045)</v>
      </c>
      <c r="F371" s="38" t="n">
        <v>1</v>
      </c>
      <c r="G371" s="35" t="s">
        <v>264</v>
      </c>
      <c r="H371" s="39" t="n">
        <f aca="false">INDEX(REF_VAL,MATCH(D371,REF_ID,0))</f>
        <v>7.85</v>
      </c>
      <c r="I371" s="40" t="n">
        <f aca="false">F371*J371</f>
        <v>0.0647622839221063</v>
      </c>
      <c r="J371" s="40" t="n">
        <v>0.0647622839221063</v>
      </c>
      <c r="K371" s="40" t="n">
        <f aca="false">I371*(1-V371)</f>
        <v>0.0617484374058981</v>
      </c>
      <c r="L371" s="40" t="n">
        <f aca="false">I371*(1+V371)</f>
        <v>0.0677761304383145</v>
      </c>
      <c r="M371" s="40" t="n">
        <f aca="false">F371*N371</f>
        <v>0.508383928788534</v>
      </c>
      <c r="N371" s="40" t="n">
        <f aca="false">J371*H371</f>
        <v>0.508383928788534</v>
      </c>
      <c r="O371" s="40" t="n">
        <f aca="false">K371*Q371</f>
        <v>0.4847252336363</v>
      </c>
      <c r="P371" s="40" t="n">
        <f aca="false">L371*R371</f>
        <v>0.532042623940769</v>
      </c>
      <c r="Q371" s="39" t="n">
        <f aca="false">INDEX(REF_MIN,MATCH(D371,REF_ID,0))</f>
        <v>7.85</v>
      </c>
      <c r="R371" s="39" t="n">
        <f aca="false">INDEX(REF_MAX,MATCH(D371,REF_ID,0))</f>
        <v>7.85</v>
      </c>
      <c r="S371" s="41" t="n">
        <v>6.02769303241639</v>
      </c>
      <c r="T371" s="42" t="n">
        <f aca="false">200*J371/S371</f>
        <v>2.14882488453943</v>
      </c>
      <c r="U371" s="43" t="n">
        <f aca="false">IFERROR(INDEX(ISO_TOL,MATCH(T371,ISO_DESDE,1)),0)</f>
        <v>0.1</v>
      </c>
      <c r="V371" s="44" t="n">
        <f aca="false">IF(T371&gt;0,U371/T371,0)</f>
        <v>0.0465370634524431</v>
      </c>
    </row>
    <row r="372" customFormat="false" ht="15" hidden="false" customHeight="false" outlineLevel="2" collapsed="false">
      <c r="A372" s="35" t="n">
        <v>2</v>
      </c>
      <c r="B372" s="36" t="s">
        <v>1104</v>
      </c>
      <c r="C372" s="37" t="s">
        <v>274</v>
      </c>
      <c r="D372" s="36" t="s">
        <v>10</v>
      </c>
      <c r="E372" s="36" t="str">
        <f aca="false">INDEX(REF_DATO,MATCH(D372,REF_ID,0))</f>
        <v>Acero (chapa LAC/LAF, SAE 1010/1045)</v>
      </c>
      <c r="F372" s="38" t="n">
        <v>1</v>
      </c>
      <c r="G372" s="35" t="s">
        <v>264</v>
      </c>
      <c r="H372" s="39" t="n">
        <f aca="false">INDEX(REF_VAL,MATCH(D372,REF_ID,0))</f>
        <v>7.85</v>
      </c>
      <c r="I372" s="40" t="n">
        <f aca="false">F372*J372</f>
        <v>0.00689572001960729</v>
      </c>
      <c r="J372" s="40" t="n">
        <v>0.00689572001960729</v>
      </c>
      <c r="K372" s="40" t="n">
        <f aca="false">I372*(1-V372)</f>
        <v>0.00668290851825968</v>
      </c>
      <c r="L372" s="40" t="n">
        <f aca="false">I372*(1+V372)</f>
        <v>0.0071085315209549</v>
      </c>
      <c r="M372" s="40" t="n">
        <f aca="false">F372*N372</f>
        <v>0.0541314021539172</v>
      </c>
      <c r="N372" s="40" t="n">
        <f aca="false">J372*H372</f>
        <v>0.0541314021539172</v>
      </c>
      <c r="O372" s="40" t="n">
        <f aca="false">K372*Q372</f>
        <v>0.0524608318683385</v>
      </c>
      <c r="P372" s="40" t="n">
        <f aca="false">L372*R372</f>
        <v>0.055801972439496</v>
      </c>
      <c r="Q372" s="39" t="n">
        <f aca="false">INDEX(REF_MIN,MATCH(D372,REF_ID,0))</f>
        <v>7.85</v>
      </c>
      <c r="R372" s="39" t="n">
        <f aca="false">INDEX(REF_MAX,MATCH(D372,REF_ID,0))</f>
        <v>7.85</v>
      </c>
      <c r="S372" s="41" t="n">
        <v>0.425623002695221</v>
      </c>
      <c r="T372" s="42" t="n">
        <f aca="false">200*J372/S372</f>
        <v>3.24029480358944</v>
      </c>
      <c r="U372" s="43" t="n">
        <f aca="false">IFERROR(INDEX(ISO_TOL,MATCH(T372,ISO_DESDE,1)),0)</f>
        <v>0.1</v>
      </c>
      <c r="V372" s="44" t="n">
        <f aca="false">IF(T372&gt;0,U372/T372,0)</f>
        <v>0.0308613894912355</v>
      </c>
    </row>
    <row r="373" customFormat="false" ht="15" hidden="false" customHeight="false" outlineLevel="1" collapsed="false">
      <c r="A373" s="25" t="n">
        <v>1</v>
      </c>
      <c r="B373" s="26" t="s">
        <v>1105</v>
      </c>
      <c r="C373" s="27" t="s">
        <v>276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IF(SUMIF(A374:A387,2,M374:M387)=0,"",SUMIF(A374:A387,2,M374:M387))</f>
        <v>0.431418407048649</v>
      </c>
      <c r="N373" s="30"/>
      <c r="O373" s="30" t="n">
        <f aca="false">IF(SUMIF(A374:A387,2,O374:O387)=0,"",SUMIF(A374:A387,2,O374:O387))</f>
        <v>0.400759739940661</v>
      </c>
      <c r="P373" s="30" t="n">
        <f aca="false">IF(SUMIF(A374:A387,2,P374:P387)=0,"",SUMIF(A374:A387,2,P374:P387))</f>
        <v>0.462465189047154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1106</v>
      </c>
      <c r="C374" s="37" t="s">
        <v>284</v>
      </c>
      <c r="D374" s="36" t="s">
        <v>17</v>
      </c>
      <c r="E374" s="36" t="str">
        <f aca="false">INDEX(REF_DATO,MATCH(D374,REF_ID,0))</f>
        <v>Latón de forja (CuZn39Pb2 / C37700)</v>
      </c>
      <c r="F374" s="38" t="n">
        <v>1</v>
      </c>
      <c r="G374" s="35" t="s">
        <v>264</v>
      </c>
      <c r="H374" s="39" t="n">
        <f aca="false">INDEX(REF_VAL,MATCH(D374,REF_ID,0))</f>
        <v>8.45</v>
      </c>
      <c r="I374" s="40" t="n">
        <f aca="false">F374*J374</f>
        <v>0.00289757599381457</v>
      </c>
      <c r="J374" s="40" t="n">
        <v>0.00289757599381457</v>
      </c>
      <c r="K374" s="40" t="n">
        <f aca="false">I374*(1-V374)</f>
        <v>0.00278053562775289</v>
      </c>
      <c r="L374" s="40" t="n">
        <f aca="false">I374*(1+V374)</f>
        <v>0.00301461635987624</v>
      </c>
      <c r="M374" s="40" t="n">
        <f aca="false">F374*N374</f>
        <v>0.0244845171477331</v>
      </c>
      <c r="N374" s="40" t="n">
        <f aca="false">J374*H374</f>
        <v>0.0244845171477331</v>
      </c>
      <c r="O374" s="40" t="n">
        <f aca="false">K374*Q374</f>
        <v>0.0233564992731243</v>
      </c>
      <c r="P374" s="40" t="n">
        <f aca="false">L374*R374</f>
        <v>0.025624239058948</v>
      </c>
      <c r="Q374" s="39" t="n">
        <f aca="false">INDEX(REF_MIN,MATCH(D374,REF_ID,0))</f>
        <v>8.4</v>
      </c>
      <c r="R374" s="39" t="n">
        <f aca="false">INDEX(REF_MAX,MATCH(D374,REF_ID,0))</f>
        <v>8.5</v>
      </c>
      <c r="S374" s="41" t="n">
        <v>0.234080732123344</v>
      </c>
      <c r="T374" s="42" t="n">
        <f aca="false">200*J374/S374</f>
        <v>2.47570653725378</v>
      </c>
      <c r="U374" s="43" t="n">
        <f aca="false">IFERROR(INDEX(ISO_TOL,MATCH(T374,ISO_DESDE,1)),0)</f>
        <v>0.1</v>
      </c>
      <c r="V374" s="44" t="n">
        <f aca="false">IF(T374&gt;0,U374/T374,0)</f>
        <v>0.0403925095705918</v>
      </c>
    </row>
    <row r="375" customFormat="false" ht="15" hidden="false" customHeight="false" outlineLevel="2" collapsed="false">
      <c r="A375" s="35" t="n">
        <v>2</v>
      </c>
      <c r="B375" s="36" t="s">
        <v>1107</v>
      </c>
      <c r="C375" s="37" t="s">
        <v>286</v>
      </c>
      <c r="D375" s="36" t="s">
        <v>17</v>
      </c>
      <c r="E375" s="36" t="str">
        <f aca="false">INDEX(REF_DATO,MATCH(D375,REF_ID,0))</f>
        <v>Latón de forja (CuZn39Pb2 / C37700)</v>
      </c>
      <c r="F375" s="38" t="n">
        <v>1</v>
      </c>
      <c r="G375" s="35" t="s">
        <v>264</v>
      </c>
      <c r="H375" s="39" t="n">
        <f aca="false">INDEX(REF_VAL,MATCH(D375,REF_ID,0))</f>
        <v>8.45</v>
      </c>
      <c r="I375" s="40" t="n">
        <f aca="false">F375*J375</f>
        <v>0.000622782069311974</v>
      </c>
      <c r="J375" s="40" t="n">
        <v>0.000622782069311974</v>
      </c>
      <c r="K375" s="40" t="n">
        <f aca="false">I375*(1-V375)</f>
        <v>0.000575019978783558</v>
      </c>
      <c r="L375" s="40" t="n">
        <f aca="false">I375*(1+V375)</f>
        <v>0.00067054415984039</v>
      </c>
      <c r="M375" s="40" t="n">
        <f aca="false">F375*N375</f>
        <v>0.00526250848568618</v>
      </c>
      <c r="N375" s="40" t="n">
        <f aca="false">J375*H375</f>
        <v>0.00526250848568618</v>
      </c>
      <c r="O375" s="40" t="n">
        <f aca="false">K375*Q375</f>
        <v>0.00483016782178189</v>
      </c>
      <c r="P375" s="40" t="n">
        <f aca="false">L375*R375</f>
        <v>0.00569962535864331</v>
      </c>
      <c r="Q375" s="39" t="n">
        <f aca="false">INDEX(REF_MIN,MATCH(D375,REF_ID,0))</f>
        <v>8.4</v>
      </c>
      <c r="R375" s="39" t="n">
        <f aca="false">INDEX(REF_MAX,MATCH(D375,REF_ID,0))</f>
        <v>8.5</v>
      </c>
      <c r="S375" s="41" t="n">
        <v>0.095524181056832</v>
      </c>
      <c r="T375" s="42" t="n">
        <f aca="false">200*J375/S375</f>
        <v>1.3039254823686</v>
      </c>
      <c r="U375" s="43" t="n">
        <f aca="false">IFERROR(INDEX(ISO_TOL,MATCH(T375,ISO_DESDE,1)),0)</f>
        <v>0.1</v>
      </c>
      <c r="V375" s="44" t="n">
        <f aca="false">IF(T375&gt;0,U375/T375,0)</f>
        <v>0.0766914991325645</v>
      </c>
    </row>
    <row r="376" customFormat="false" ht="15" hidden="false" customHeight="false" outlineLevel="2" collapsed="false">
      <c r="A376" s="35" t="n">
        <v>2</v>
      </c>
      <c r="B376" s="36" t="s">
        <v>1108</v>
      </c>
      <c r="C376" s="37" t="s">
        <v>288</v>
      </c>
      <c r="D376" s="36" t="s">
        <v>17</v>
      </c>
      <c r="E376" s="36" t="str">
        <f aca="false">INDEX(REF_DATO,MATCH(D376,REF_ID,0))</f>
        <v>Latón de forja (CuZn39Pb2 / C37700)</v>
      </c>
      <c r="F376" s="38" t="n">
        <v>1</v>
      </c>
      <c r="G376" s="35" t="s">
        <v>264</v>
      </c>
      <c r="H376" s="39" t="n">
        <f aca="false">INDEX(REF_VAL,MATCH(D376,REF_ID,0))</f>
        <v>8.45</v>
      </c>
      <c r="I376" s="40" t="n">
        <f aca="false">F376*J376</f>
        <v>0.0157211778450519</v>
      </c>
      <c r="J376" s="40" t="n">
        <v>0.0157211778450519</v>
      </c>
      <c r="K376" s="40" t="n">
        <f aca="false">I376*(1-V376)</f>
        <v>0.0154591130500672</v>
      </c>
      <c r="L376" s="40" t="n">
        <f aca="false">I376*(1+V376)</f>
        <v>0.0159832426400366</v>
      </c>
      <c r="M376" s="40" t="n">
        <f aca="false">F376*N376</f>
        <v>0.132843952790689</v>
      </c>
      <c r="N376" s="40" t="n">
        <f aca="false">J376*H376</f>
        <v>0.132843952790689</v>
      </c>
      <c r="O376" s="40" t="n">
        <f aca="false">K376*Q376</f>
        <v>0.129856549620565</v>
      </c>
      <c r="P376" s="40" t="n">
        <f aca="false">L376*R376</f>
        <v>0.135857562440311</v>
      </c>
      <c r="Q376" s="39" t="n">
        <f aca="false">INDEX(REF_MIN,MATCH(D376,REF_ID,0))</f>
        <v>8.4</v>
      </c>
      <c r="R376" s="39" t="n">
        <f aca="false">INDEX(REF_MAX,MATCH(D376,REF_ID,0))</f>
        <v>8.5</v>
      </c>
      <c r="S376" s="41" t="n">
        <v>0.524129589969397</v>
      </c>
      <c r="T376" s="42" t="n">
        <f aca="false">200*J376/S376</f>
        <v>5.99896596029613</v>
      </c>
      <c r="U376" s="43" t="n">
        <f aca="false">IFERROR(INDEX(ISO_TOL,MATCH(T376,ISO_DESDE,1)),0)</f>
        <v>0.1</v>
      </c>
      <c r="V376" s="44" t="n">
        <f aca="false">IF(T376&gt;0,U376/T376,0)</f>
        <v>0.0166695394942804</v>
      </c>
    </row>
    <row r="377" customFormat="false" ht="15" hidden="false" customHeight="false" outlineLevel="2" collapsed="false">
      <c r="A377" s="35" t="n">
        <v>2</v>
      </c>
      <c r="B377" s="36" t="s">
        <v>1109</v>
      </c>
      <c r="C377" s="37" t="s">
        <v>278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1110</v>
      </c>
      <c r="C378" s="37" t="s">
        <v>290</v>
      </c>
      <c r="D378" s="36" t="s">
        <v>17</v>
      </c>
      <c r="E378" s="36" t="str">
        <f aca="false">INDEX(REF_DATO,MATCH(D378,REF_ID,0))</f>
        <v>Latón de forja (CuZn39Pb2 / C37700)</v>
      </c>
      <c r="F378" s="38" t="n">
        <v>1</v>
      </c>
      <c r="G378" s="35" t="s">
        <v>264</v>
      </c>
      <c r="H378" s="39" t="n">
        <f aca="false">INDEX(REF_VAL,MATCH(D378,REF_ID,0))</f>
        <v>8.45</v>
      </c>
      <c r="I378" s="40" t="n">
        <f aca="false">F378*J378</f>
        <v>0.00162231844631377</v>
      </c>
      <c r="J378" s="40" t="n">
        <v>0.00162231844631377</v>
      </c>
      <c r="K378" s="40" t="n">
        <f aca="false">I378*(1-V378)</f>
        <v>0.0015672149111698</v>
      </c>
      <c r="L378" s="40" t="n">
        <f aca="false">I378*(1+V378)</f>
        <v>0.00167742198145773</v>
      </c>
      <c r="M378" s="40" t="n">
        <f aca="false">F378*N378</f>
        <v>0.0137085908713513</v>
      </c>
      <c r="N378" s="40" t="n">
        <f aca="false">J378*H378</f>
        <v>0.0137085908713513</v>
      </c>
      <c r="O378" s="40" t="n">
        <f aca="false">K378*Q378</f>
        <v>0.0131646052538263</v>
      </c>
      <c r="P378" s="40" t="n">
        <f aca="false">L378*R378</f>
        <v>0.0142580868423907</v>
      </c>
      <c r="Q378" s="39" t="n">
        <f aca="false">INDEX(REF_MIN,MATCH(D378,REF_ID,0))</f>
        <v>8.4</v>
      </c>
      <c r="R378" s="39" t="n">
        <f aca="false">INDEX(REF_MAX,MATCH(D378,REF_ID,0))</f>
        <v>8.5</v>
      </c>
      <c r="S378" s="41" t="n">
        <v>0.11020707028793</v>
      </c>
      <c r="T378" s="42" t="n">
        <f aca="false">200*J378/S378</f>
        <v>2.94412770809578</v>
      </c>
      <c r="U378" s="43" t="n">
        <f aca="false">IFERROR(INDEX(ISO_TOL,MATCH(T378,ISO_DESDE,1)),0)</f>
        <v>0.1</v>
      </c>
      <c r="V378" s="44" t="n">
        <f aca="false">IF(T378&gt;0,U378/T378,0)</f>
        <v>0.0339659178931061</v>
      </c>
    </row>
    <row r="379" customFormat="false" ht="15" hidden="false" customHeight="false" outlineLevel="2" collapsed="false">
      <c r="A379" s="35" t="n">
        <v>2</v>
      </c>
      <c r="B379" s="36" t="s">
        <v>1111</v>
      </c>
      <c r="C379" s="37" t="s">
        <v>292</v>
      </c>
      <c r="D379" s="36" t="s">
        <v>14</v>
      </c>
      <c r="E379" s="36" t="str">
        <f aca="false">INDEX(REF_DATO,MATCH(D379,REF_ID,0))</f>
        <v>Acero inoxidable AISI 302 / 304</v>
      </c>
      <c r="F379" s="38" t="n">
        <v>1</v>
      </c>
      <c r="G379" s="35" t="s">
        <v>264</v>
      </c>
      <c r="H379" s="39" t="n">
        <f aca="false">INDEX(REF_VAL,MATCH(D379,REF_ID,0))</f>
        <v>7.93</v>
      </c>
      <c r="I379" s="40" t="n">
        <f aca="false">F379*J379</f>
        <v>0.000611811346278937</v>
      </c>
      <c r="J379" s="40" t="n">
        <v>0.000611811346278937</v>
      </c>
      <c r="K379" s="40" t="n">
        <f aca="false">I379*(1-V379)</f>
        <v>0.000611811346278937</v>
      </c>
      <c r="L379" s="40" t="n">
        <f aca="false">I379*(1+V379)</f>
        <v>0.000611811346278937</v>
      </c>
      <c r="M379" s="40" t="n">
        <f aca="false">F379*N379</f>
        <v>0.00485166397599197</v>
      </c>
      <c r="N379" s="40" t="n">
        <f aca="false">J379*H379</f>
        <v>0.00485166397599197</v>
      </c>
      <c r="O379" s="40" t="n">
        <f aca="false">K379*Q379</f>
        <v>0.00485166397599197</v>
      </c>
      <c r="P379" s="40" t="n">
        <f aca="false">L379*R379</f>
        <v>0.00485166397599197</v>
      </c>
      <c r="Q379" s="39" t="n">
        <f aca="false">INDEX(REF_MIN,MATCH(D379,REF_ID,0))</f>
        <v>7.93</v>
      </c>
      <c r="R379" s="39" t="n">
        <f aca="false">INDEX(REF_MAX,MATCH(D379,REF_ID,0))</f>
        <v>7.93</v>
      </c>
      <c r="S379" s="41" t="n">
        <v>0.606955700673548</v>
      </c>
      <c r="T379" s="42" t="n">
        <f aca="false">200*J379/S379</f>
        <v>0.2016</v>
      </c>
      <c r="U379" s="43" t="n">
        <f aca="false">IFERROR(INDEX(ISO_TOL,MATCH(T379,ISO_DESDE,1)),0)</f>
        <v>0</v>
      </c>
      <c r="V379" s="44" t="n">
        <f aca="false">IF(T379&gt;0,U379/T379,0)</f>
        <v>0</v>
      </c>
    </row>
    <row r="380" customFormat="false" ht="15" hidden="false" customHeight="false" outlineLevel="2" collapsed="false">
      <c r="A380" s="35" t="n">
        <v>2</v>
      </c>
      <c r="B380" s="36" t="s">
        <v>1112</v>
      </c>
      <c r="C380" s="37" t="s">
        <v>294</v>
      </c>
      <c r="D380" s="36" t="s">
        <v>14</v>
      </c>
      <c r="E380" s="36" t="str">
        <f aca="false">INDEX(REF_DATO,MATCH(D380,REF_ID,0))</f>
        <v>Acero inoxidable AISI 302 / 304</v>
      </c>
      <c r="F380" s="38" t="n">
        <v>1</v>
      </c>
      <c r="G380" s="35" t="s">
        <v>264</v>
      </c>
      <c r="H380" s="39" t="n">
        <f aca="false">INDEX(REF_VAL,MATCH(D380,REF_ID,0))</f>
        <v>7.93</v>
      </c>
      <c r="I380" s="40" t="n">
        <f aca="false">F380*J380</f>
        <v>0.000414690230273852</v>
      </c>
      <c r="J380" s="40" t="n">
        <v>0.000414690230273852</v>
      </c>
      <c r="K380" s="40" t="n">
        <f aca="false">I380*(1-V380)</f>
        <v>0.000392699081698723</v>
      </c>
      <c r="L380" s="40" t="n">
        <f aca="false">I380*(1+V380)</f>
        <v>0.00043668137884898</v>
      </c>
      <c r="M380" s="40" t="n">
        <f aca="false">F380*N380</f>
        <v>0.00328849352607164</v>
      </c>
      <c r="N380" s="40" t="n">
        <f aca="false">J380*H380</f>
        <v>0.00328849352607164</v>
      </c>
      <c r="O380" s="40" t="n">
        <f aca="false">K380*Q380</f>
        <v>0.00311410371787087</v>
      </c>
      <c r="P380" s="40" t="n">
        <f aca="false">L380*R380</f>
        <v>0.00346288333427241</v>
      </c>
      <c r="Q380" s="39" t="n">
        <f aca="false">INDEX(REF_MIN,MATCH(D380,REF_ID,0))</f>
        <v>7.93</v>
      </c>
      <c r="R380" s="39" t="n">
        <f aca="false">INDEX(REF_MAX,MATCH(D380,REF_ID,0))</f>
        <v>7.93</v>
      </c>
      <c r="S380" s="41" t="n">
        <v>0.0439822971502571</v>
      </c>
      <c r="T380" s="42" t="n">
        <f aca="false">200*J380/S380</f>
        <v>1.88571428571428</v>
      </c>
      <c r="U380" s="43" t="n">
        <f aca="false">IFERROR(INDEX(ISO_TOL,MATCH(T380,ISO_DESDE,1)),0)</f>
        <v>0.1</v>
      </c>
      <c r="V380" s="44" t="n">
        <f aca="false">IF(T380&gt;0,U380/T380,0)</f>
        <v>0.0530303030303032</v>
      </c>
    </row>
    <row r="381" customFormat="false" ht="15" hidden="false" customHeight="false" outlineLevel="2" collapsed="false">
      <c r="A381" s="35" t="n">
        <v>2</v>
      </c>
      <c r="B381" s="36" t="s">
        <v>1113</v>
      </c>
      <c r="C381" s="37" t="s">
        <v>296</v>
      </c>
      <c r="D381" s="36" t="s">
        <v>14</v>
      </c>
      <c r="E381" s="36" t="str">
        <f aca="false">INDEX(REF_DATO,MATCH(D381,REF_ID,0))</f>
        <v>Acero inoxidable AISI 302 / 304</v>
      </c>
      <c r="F381" s="38" t="n">
        <v>1</v>
      </c>
      <c r="G381" s="35" t="s">
        <v>264</v>
      </c>
      <c r="H381" s="39" t="n">
        <f aca="false">INDEX(REF_VAL,MATCH(D381,REF_ID,0))</f>
        <v>7.93</v>
      </c>
      <c r="I381" s="40" t="n">
        <f aca="false">F381*J381</f>
        <v>0.000697299383997888</v>
      </c>
      <c r="J381" s="40" t="n">
        <v>0.000697299383997888</v>
      </c>
      <c r="K381" s="40" t="n">
        <f aca="false">I381*(1-V381)</f>
        <v>0.000650528235344709</v>
      </c>
      <c r="L381" s="40" t="n">
        <f aca="false">I381*(1+V381)</f>
        <v>0.000744070532651067</v>
      </c>
      <c r="M381" s="40" t="n">
        <f aca="false">F381*N381</f>
        <v>0.00552958411510325</v>
      </c>
      <c r="N381" s="40" t="n">
        <f aca="false">J381*H381</f>
        <v>0.00552958411510325</v>
      </c>
      <c r="O381" s="40" t="n">
        <f aca="false">K381*Q381</f>
        <v>0.00515868890628354</v>
      </c>
      <c r="P381" s="40" t="n">
        <f aca="false">L381*R381</f>
        <v>0.00590047932392296</v>
      </c>
      <c r="Q381" s="39" t="n">
        <f aca="false">INDEX(REF_MIN,MATCH(D381,REF_ID,0))</f>
        <v>7.93</v>
      </c>
      <c r="R381" s="39" t="n">
        <f aca="false">INDEX(REF_MAX,MATCH(D381,REF_ID,0))</f>
        <v>7.93</v>
      </c>
      <c r="S381" s="41" t="n">
        <v>0.0935422973063581</v>
      </c>
      <c r="T381" s="42" t="n">
        <f aca="false">200*J381/S381</f>
        <v>1.49087504600016</v>
      </c>
      <c r="U381" s="43" t="n">
        <f aca="false">IFERROR(INDEX(ISO_TOL,MATCH(T381,ISO_DESDE,1)),0)</f>
        <v>0.1</v>
      </c>
      <c r="V381" s="44" t="n">
        <f aca="false">IF(T381&gt;0,U381/T381,0)</f>
        <v>0.0670747023825289</v>
      </c>
    </row>
    <row r="382" customFormat="false" ht="15" hidden="false" customHeight="false" outlineLevel="2" collapsed="false">
      <c r="A382" s="35" t="n">
        <v>2</v>
      </c>
      <c r="B382" s="36" t="s">
        <v>1114</v>
      </c>
      <c r="C382" s="37" t="s">
        <v>298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0.0122208194772706</v>
      </c>
      <c r="J382" s="40" t="n">
        <v>0.0122208194772706</v>
      </c>
      <c r="K382" s="40" t="n">
        <f aca="false">I382*(1-V382)</f>
        <v>0.0109151420660484</v>
      </c>
      <c r="L382" s="40" t="n">
        <f aca="false">I382*(1+V382)</f>
        <v>0.0135264968884928</v>
      </c>
      <c r="M382" s="40" t="n">
        <f aca="false">F382*N382</f>
        <v>0.0959334328965742</v>
      </c>
      <c r="N382" s="40" t="n">
        <f aca="false">J382*H382</f>
        <v>0.0959334328965742</v>
      </c>
      <c r="O382" s="40" t="n">
        <f aca="false">K382*Q382</f>
        <v>0.08568386521848</v>
      </c>
      <c r="P382" s="40" t="n">
        <f aca="false">L382*R382</f>
        <v>0.106183000574668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2.61135482244438</v>
      </c>
      <c r="T382" s="42" t="n">
        <f aca="false">200*J382/S382</f>
        <v>0.935975408032158</v>
      </c>
      <c r="U382" s="43" t="n">
        <f aca="false">IFERROR(INDEX(ISO_TOL,MATCH(T382,ISO_DESDE,1)),0)</f>
        <v>0.1</v>
      </c>
      <c r="V382" s="44" t="n">
        <f aca="false">IF(T382&gt;0,U382/T382,0)</f>
        <v>0.106840413906007</v>
      </c>
    </row>
    <row r="383" customFormat="false" ht="15" hidden="false" customHeight="false" outlineLevel="2" collapsed="false">
      <c r="A383" s="35" t="n">
        <v>2</v>
      </c>
      <c r="B383" s="36" t="s">
        <v>1115</v>
      </c>
      <c r="C383" s="37" t="s">
        <v>300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0.00964038014337072</v>
      </c>
      <c r="J383" s="40" t="n">
        <v>0.00964038014337072</v>
      </c>
      <c r="K383" s="40" t="n">
        <f aca="false">I383*(1-V383)</f>
        <v>0.00865558197544065</v>
      </c>
      <c r="L383" s="40" t="n">
        <f aca="false">I383*(1+V383)</f>
        <v>0.0106251783113008</v>
      </c>
      <c r="M383" s="40" t="n">
        <f aca="false">F383*N383</f>
        <v>0.0756769841254601</v>
      </c>
      <c r="N383" s="40" t="n">
        <f aca="false">J383*H383</f>
        <v>0.0756769841254601</v>
      </c>
      <c r="O383" s="40" t="n">
        <f aca="false">K383*Q383</f>
        <v>0.0679463185072091</v>
      </c>
      <c r="P383" s="40" t="n">
        <f aca="false">L383*R383</f>
        <v>0.0834076497437112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1.96959633586015</v>
      </c>
      <c r="T383" s="42" t="n">
        <f aca="false">200*J383/S383</f>
        <v>0.978919382398286</v>
      </c>
      <c r="U383" s="43" t="n">
        <f aca="false">IFERROR(INDEX(ISO_TOL,MATCH(T383,ISO_DESDE,1)),0)</f>
        <v>0.1</v>
      </c>
      <c r="V383" s="44" t="n">
        <f aca="false">IF(T383&gt;0,U383/T383,0)</f>
        <v>0.102153457984463</v>
      </c>
    </row>
    <row r="384" customFormat="false" ht="15" hidden="false" customHeight="false" outlineLevel="2" collapsed="false">
      <c r="A384" s="35" t="n">
        <v>2</v>
      </c>
      <c r="B384" s="36" t="s">
        <v>1116</v>
      </c>
      <c r="C384" s="37" t="s">
        <v>302</v>
      </c>
      <c r="D384" s="36" t="s">
        <v>32</v>
      </c>
      <c r="E384" s="36" t="str">
        <f aca="false">INDEX(REF_DATO,MATCH(D384,REF_ID,0))</f>
        <v>PVC rígido, vinilo y papeles de identificación</v>
      </c>
      <c r="F384" s="38" t="n">
        <v>1</v>
      </c>
      <c r="G384" s="35" t="s">
        <v>264</v>
      </c>
      <c r="H384" s="39" t="n">
        <f aca="false">INDEX(REF_VAL,MATCH(D384,REF_ID,0))</f>
        <v>1.4</v>
      </c>
      <c r="I384" s="40" t="n">
        <f aca="false">F384*J384</f>
        <v>0.0491625635245409</v>
      </c>
      <c r="J384" s="40" t="n">
        <v>0.0491625635245409</v>
      </c>
      <c r="K384" s="40" t="n">
        <f aca="false">I384*(1-V384)</f>
        <v>0.0458757287593904</v>
      </c>
      <c r="L384" s="40" t="n">
        <f aca="false">I384*(1+V384)</f>
        <v>0.0524493982896915</v>
      </c>
      <c r="M384" s="40" t="n">
        <f aca="false">F384*N384</f>
        <v>0.0688275889343573</v>
      </c>
      <c r="N384" s="40" t="n">
        <f aca="false">J384*H384</f>
        <v>0.0688275889343573</v>
      </c>
      <c r="O384" s="40" t="n">
        <f aca="false">K384*Q384</f>
        <v>0.061932233825177</v>
      </c>
      <c r="P384" s="40" t="n">
        <f aca="false">L384*R384</f>
        <v>0.0760516275200527</v>
      </c>
      <c r="Q384" s="39" t="n">
        <f aca="false">INDEX(REF_MIN,MATCH(D384,REF_ID,0))</f>
        <v>1.35</v>
      </c>
      <c r="R384" s="39" t="n">
        <f aca="false">INDEX(REF_MAX,MATCH(D384,REF_ID,0))</f>
        <v>1.45</v>
      </c>
      <c r="S384" s="41" t="n">
        <v>6.57366953030112</v>
      </c>
      <c r="T384" s="42" t="n">
        <f aca="false">200*J384/S384</f>
        <v>1.49574186222559</v>
      </c>
      <c r="U384" s="43" t="n">
        <f aca="false">IFERROR(INDEX(ISO_TOL,MATCH(T384,ISO_DESDE,1)),0)</f>
        <v>0.1</v>
      </c>
      <c r="V384" s="44" t="n">
        <f aca="false">IF(T384&gt;0,U384/T384,0)</f>
        <v>0.0668564560005061</v>
      </c>
    </row>
    <row r="385" customFormat="false" ht="15" hidden="false" customHeight="false" outlineLevel="2" collapsed="false">
      <c r="A385" s="35" t="n">
        <v>2</v>
      </c>
      <c r="B385" s="36" t="s">
        <v>1117</v>
      </c>
      <c r="C385" s="37" t="s">
        <v>280</v>
      </c>
      <c r="D385" s="36" t="s">
        <v>23</v>
      </c>
      <c r="E385" s="36" t="str">
        <f aca="false">INDEX(REF_DATO,MATCH(D385,REF_ID,0))</f>
        <v>Caucho sintético (NBR / SBR)</v>
      </c>
      <c r="F385" s="38" t="n">
        <v>1</v>
      </c>
      <c r="G385" s="35" t="s">
        <v>264</v>
      </c>
      <c r="H385" s="39" t="n">
        <f aca="false">INDEX(REF_VAL,MATCH(D385,REF_ID,0))</f>
        <v>1.2</v>
      </c>
      <c r="I385" s="40" t="n">
        <f aca="false">F385*J385</f>
        <v>0.000842575149692783</v>
      </c>
      <c r="J385" s="40" t="n">
        <v>0.000842575149692783</v>
      </c>
      <c r="K385" s="40" t="n">
        <f aca="false">I385*(1-V385)</f>
        <v>0.000786403473046597</v>
      </c>
      <c r="L385" s="40" t="n">
        <f aca="false">I385*(1+V385)</f>
        <v>0.000898746826338968</v>
      </c>
      <c r="M385" s="40" t="n">
        <f aca="false">F385*N385</f>
        <v>0.00101109017963134</v>
      </c>
      <c r="N385" s="40" t="n">
        <f aca="false">J385*H385</f>
        <v>0.00101109017963134</v>
      </c>
      <c r="O385" s="40" t="n">
        <f aca="false">K385*Q385</f>
        <v>0.000865043820351257</v>
      </c>
      <c r="P385" s="40" t="n">
        <f aca="false">L385*R385</f>
        <v>0.00116837087424066</v>
      </c>
      <c r="Q385" s="39" t="n">
        <f aca="false">INDEX(REF_MIN,MATCH(D385,REF_ID,0))</f>
        <v>1.1</v>
      </c>
      <c r="R385" s="39" t="n">
        <f aca="false">INDEX(REF_MAX,MATCH(D385,REF_ID,0))</f>
        <v>1.3</v>
      </c>
      <c r="S385" s="41" t="n">
        <v>0.112343353292371</v>
      </c>
      <c r="T385" s="42" t="n">
        <f aca="false">200*J385/S385</f>
        <v>1.5</v>
      </c>
      <c r="U385" s="43" t="n">
        <f aca="false">IFERROR(INDEX(ISO_TOL,MATCH(T385,ISO_DESDE,1)),0)</f>
        <v>0.1</v>
      </c>
      <c r="V385" s="44" t="n">
        <f aca="false">IF(T385&gt;0,U385/T385,0)</f>
        <v>0.0666666666666666</v>
      </c>
    </row>
    <row r="386" customFormat="false" ht="15" hidden="false" customHeight="false" outlineLevel="2" collapsed="false">
      <c r="A386" s="35" t="n">
        <v>2</v>
      </c>
      <c r="B386" s="36" t="s">
        <v>1118</v>
      </c>
      <c r="C386" s="37" t="s">
        <v>304</v>
      </c>
      <c r="D386" s="36"/>
      <c r="E386" s="36"/>
      <c r="F386" s="38" t="n">
        <v>1</v>
      </c>
      <c r="G386" s="35" t="s">
        <v>264</v>
      </c>
      <c r="H386" s="39"/>
      <c r="I386" s="40"/>
      <c r="J386" s="40"/>
      <c r="K386" s="40"/>
      <c r="L386" s="40"/>
      <c r="M386" s="40"/>
      <c r="N386" s="40"/>
      <c r="O386" s="40"/>
      <c r="P386" s="40"/>
      <c r="Q386" s="39"/>
      <c r="R386" s="39"/>
      <c r="S386" s="41"/>
      <c r="T386" s="42"/>
      <c r="U386" s="43"/>
      <c r="V386" s="44"/>
    </row>
    <row r="387" customFormat="false" ht="15" hidden="false" customHeight="false" outlineLevel="2" collapsed="false">
      <c r="A387" s="35" t="n">
        <v>2</v>
      </c>
      <c r="B387" s="36" t="s">
        <v>1119</v>
      </c>
      <c r="C387" s="37" t="s">
        <v>306</v>
      </c>
      <c r="D387" s="36"/>
      <c r="E387" s="36"/>
      <c r="F387" s="38" t="n">
        <v>1</v>
      </c>
      <c r="G387" s="35" t="s">
        <v>264</v>
      </c>
      <c r="H387" s="39"/>
      <c r="I387" s="40"/>
      <c r="J387" s="40"/>
      <c r="K387" s="40"/>
      <c r="L387" s="40"/>
      <c r="M387" s="40"/>
      <c r="N387" s="40"/>
      <c r="O387" s="40"/>
      <c r="P387" s="40"/>
      <c r="Q387" s="39"/>
      <c r="R387" s="39"/>
      <c r="S387" s="41"/>
      <c r="T387" s="42"/>
      <c r="U387" s="43"/>
      <c r="V387" s="44"/>
    </row>
    <row r="388" customFormat="false" ht="15" hidden="false" customHeight="false" outlineLevel="1" collapsed="false">
      <c r="A388" s="25" t="n">
        <v>1</v>
      </c>
      <c r="B388" s="26" t="s">
        <v>1120</v>
      </c>
      <c r="C388" s="27" t="s">
        <v>308</v>
      </c>
      <c r="D388" s="26"/>
      <c r="E388" s="26"/>
      <c r="F388" s="28" t="n">
        <v>1</v>
      </c>
      <c r="G388" s="25" t="s">
        <v>264</v>
      </c>
      <c r="H388" s="29"/>
      <c r="I388" s="30"/>
      <c r="J388" s="30"/>
      <c r="K388" s="30"/>
      <c r="L388" s="30"/>
      <c r="M388" s="30" t="n">
        <f aca="false">IF(SUMIF(A389:A393,2,M389:M393)=0,"",SUMIF(A389:A393,2,M389:M393))</f>
        <v>0.343314369587162</v>
      </c>
      <c r="N388" s="30"/>
      <c r="O388" s="30" t="n">
        <f aca="false">IF(SUMIF(A389:A393,2,O389:O393)=0,"",SUMIF(A389:A393,2,O389:O393))</f>
        <v>0.323288606292855</v>
      </c>
      <c r="P388" s="30" t="n">
        <f aca="false">IF(SUMIF(A389:A393,2,P389:P393)=0,"",SUMIF(A389:A393,2,P389:P393))</f>
        <v>0.363806352377973</v>
      </c>
      <c r="Q388" s="29"/>
      <c r="R388" s="29"/>
      <c r="S388" s="31"/>
      <c r="T388" s="32"/>
      <c r="U388" s="33"/>
      <c r="V388" s="34"/>
    </row>
    <row r="389" customFormat="false" ht="15" hidden="false" customHeight="false" outlineLevel="2" collapsed="false">
      <c r="A389" s="35" t="n">
        <v>2</v>
      </c>
      <c r="B389" s="36" t="s">
        <v>1121</v>
      </c>
      <c r="C389" s="37" t="s">
        <v>369</v>
      </c>
      <c r="D389" s="36" t="s">
        <v>17</v>
      </c>
      <c r="E389" s="36" t="str">
        <f aca="false">INDEX(REF_DATO,MATCH(D389,REF_ID,0))</f>
        <v>Latón de forja (CuZn39Pb2 / C37700)</v>
      </c>
      <c r="F389" s="38" t="n">
        <v>1</v>
      </c>
      <c r="G389" s="35" t="s">
        <v>264</v>
      </c>
      <c r="H389" s="39" t="n">
        <f aca="false">INDEX(REF_VAL,MATCH(D389,REF_ID,0))</f>
        <v>8.45</v>
      </c>
      <c r="I389" s="40" t="n">
        <f aca="false">F389*J389</f>
        <v>0.00305362805928928</v>
      </c>
      <c r="J389" s="40" t="n">
        <v>0.00305362805928928</v>
      </c>
      <c r="K389" s="40" t="n">
        <f aca="false">I389*(1-V389)</f>
        <v>0.00299425195813643</v>
      </c>
      <c r="L389" s="40" t="n">
        <f aca="false">I389*(1+V389)</f>
        <v>0.00311300416044213</v>
      </c>
      <c r="M389" s="40" t="n">
        <f aca="false">F389*N389</f>
        <v>0.0258031571009944</v>
      </c>
      <c r="N389" s="40" t="n">
        <f aca="false">J389*H389</f>
        <v>0.0258031571009944</v>
      </c>
      <c r="O389" s="40" t="n">
        <f aca="false">K389*Q389</f>
        <v>0.025151716448346</v>
      </c>
      <c r="P389" s="40" t="n">
        <f aca="false">L389*R389</f>
        <v>0.0264605353637581</v>
      </c>
      <c r="Q389" s="39" t="n">
        <f aca="false">INDEX(REF_MIN,MATCH(D389,REF_ID,0))</f>
        <v>8.4</v>
      </c>
      <c r="R389" s="39" t="n">
        <f aca="false">INDEX(REF_MAX,MATCH(D389,REF_ID,0))</f>
        <v>8.5</v>
      </c>
      <c r="S389" s="41" t="n">
        <v>0.118752202305694</v>
      </c>
      <c r="T389" s="42" t="n">
        <f aca="false">200*J389/S389</f>
        <v>5.14285714285715</v>
      </c>
      <c r="U389" s="43" t="n">
        <f aca="false">IFERROR(INDEX(ISO_TOL,MATCH(T389,ISO_DESDE,1)),0)</f>
        <v>0.1</v>
      </c>
      <c r="V389" s="44" t="n">
        <f aca="false">IF(T389&gt;0,U389/T389,0)</f>
        <v>0.0194444444444444</v>
      </c>
    </row>
    <row r="390" customFormat="false" ht="15" hidden="false" customHeight="false" outlineLevel="2" collapsed="false">
      <c r="A390" s="35" t="n">
        <v>2</v>
      </c>
      <c r="B390" s="36" t="s">
        <v>1122</v>
      </c>
      <c r="C390" s="37" t="s">
        <v>371</v>
      </c>
      <c r="D390" s="36" t="s">
        <v>23</v>
      </c>
      <c r="E390" s="36" t="str">
        <f aca="false">INDEX(REF_DATO,MATCH(D390,REF_ID,0))</f>
        <v>Caucho sintético (NBR / SBR)</v>
      </c>
      <c r="F390" s="38" t="n">
        <v>1</v>
      </c>
      <c r="G390" s="35" t="s">
        <v>264</v>
      </c>
      <c r="H390" s="39" t="n">
        <f aca="false">INDEX(REF_VAL,MATCH(D390,REF_ID,0))</f>
        <v>1.2</v>
      </c>
      <c r="I390" s="40" t="n">
        <f aca="false">F390*J390</f>
        <v>0.024765147662461</v>
      </c>
      <c r="J390" s="40" t="n">
        <v>0.024765147662461</v>
      </c>
      <c r="K390" s="40" t="n">
        <f aca="false">I390*(1-V390)</f>
        <v>0.0238280375151101</v>
      </c>
      <c r="L390" s="40" t="n">
        <f aca="false">I390*(1+V390)</f>
        <v>0.0257022578098118</v>
      </c>
      <c r="M390" s="40" t="n">
        <f aca="false">F390*N390</f>
        <v>0.0297181771949532</v>
      </c>
      <c r="N390" s="40" t="n">
        <f aca="false">J390*H390</f>
        <v>0.0297181771949532</v>
      </c>
      <c r="O390" s="40" t="n">
        <f aca="false">K390*Q390</f>
        <v>0.0262108412666211</v>
      </c>
      <c r="P390" s="40" t="n">
        <f aca="false">L390*R390</f>
        <v>0.0334129351527554</v>
      </c>
      <c r="Q390" s="39" t="n">
        <f aca="false">INDEX(REF_MIN,MATCH(D390,REF_ID,0))</f>
        <v>1.1</v>
      </c>
      <c r="R390" s="39" t="n">
        <f aca="false">INDEX(REF_MAX,MATCH(D390,REF_ID,0))</f>
        <v>1.3</v>
      </c>
      <c r="S390" s="41" t="n">
        <v>1.8742202947017</v>
      </c>
      <c r="T390" s="42" t="n">
        <f aca="false">200*J390/S390</f>
        <v>2.64271470461294</v>
      </c>
      <c r="U390" s="43" t="n">
        <f aca="false">IFERROR(INDEX(ISO_TOL,MATCH(T390,ISO_DESDE,1)),0)</f>
        <v>0.1</v>
      </c>
      <c r="V390" s="44" t="n">
        <f aca="false">IF(T390&gt;0,U390/T390,0)</f>
        <v>0.0378398772389039</v>
      </c>
    </row>
    <row r="391" customFormat="false" ht="15" hidden="false" customHeight="false" outlineLevel="2" collapsed="false">
      <c r="A391" s="35" t="n">
        <v>2</v>
      </c>
      <c r="B391" s="36" t="s">
        <v>1123</v>
      </c>
      <c r="C391" s="37" t="s">
        <v>1124</v>
      </c>
      <c r="D391" s="36" t="s">
        <v>20</v>
      </c>
      <c r="E391" s="36" t="str">
        <f aca="false">INDEX(REF_DATO,MATCH(D391,REF_ID,0))</f>
        <v>Aluminio</v>
      </c>
      <c r="F391" s="38" t="n">
        <v>1</v>
      </c>
      <c r="G391" s="35" t="s">
        <v>264</v>
      </c>
      <c r="H391" s="39" t="n">
        <f aca="false">INDEX(REF_VAL,MATCH(D391,REF_ID,0))</f>
        <v>2.7</v>
      </c>
      <c r="I391" s="40" t="n">
        <f aca="false">F391*J391</f>
        <v>0.0444849519748315</v>
      </c>
      <c r="J391" s="40" t="n">
        <v>0.0444849519748315</v>
      </c>
      <c r="K391" s="40" t="n">
        <f aca="false">I391*(1-V391)</f>
        <v>0.0422358312848289</v>
      </c>
      <c r="L391" s="40" t="n">
        <f aca="false">I391*(1+V391)</f>
        <v>0.0467340726648342</v>
      </c>
      <c r="M391" s="40" t="n">
        <f aca="false">F391*N391</f>
        <v>0.120109370332045</v>
      </c>
      <c r="N391" s="40" t="n">
        <f aca="false">J391*H391</f>
        <v>0.120109370332045</v>
      </c>
      <c r="O391" s="40" t="n">
        <f aca="false">K391*Q391</f>
        <v>0.114036744469038</v>
      </c>
      <c r="P391" s="40" t="n">
        <f aca="false">L391*R391</f>
        <v>0.126181996195052</v>
      </c>
      <c r="Q391" s="39" t="n">
        <f aca="false">INDEX(REF_MIN,MATCH(D391,REF_ID,0))</f>
        <v>2.7</v>
      </c>
      <c r="R391" s="39" t="n">
        <f aca="false">INDEX(REF_MAX,MATCH(D391,REF_ID,0))</f>
        <v>2.7</v>
      </c>
      <c r="S391" s="41" t="n">
        <v>4.49824138000529</v>
      </c>
      <c r="T391" s="42" t="n">
        <f aca="false">200*J391/S391</f>
        <v>1.97788194171026</v>
      </c>
      <c r="U391" s="43" t="n">
        <f aca="false">IFERROR(INDEX(ISO_TOL,MATCH(T391,ISO_DESDE,1)),0)</f>
        <v>0.1</v>
      </c>
      <c r="V391" s="44" t="n">
        <f aca="false">IF(T391&gt;0,U391/T391,0)</f>
        <v>0.0505591349469174</v>
      </c>
    </row>
    <row r="392" customFormat="false" ht="15" hidden="false" customHeight="false" outlineLevel="2" collapsed="false">
      <c r="A392" s="35" t="n">
        <v>2</v>
      </c>
      <c r="B392" s="36" t="s">
        <v>1125</v>
      </c>
      <c r="C392" s="37" t="s">
        <v>992</v>
      </c>
      <c r="D392" s="36" t="s">
        <v>26</v>
      </c>
      <c r="E392" s="36" t="str">
        <f aca="false">INDEX(REF_DATO,MATCH(D392,REF_ID,0))</f>
        <v>Polipropileno</v>
      </c>
      <c r="F392" s="38" t="n">
        <v>1</v>
      </c>
      <c r="G392" s="35" t="s">
        <v>264</v>
      </c>
      <c r="H392" s="39" t="n">
        <f aca="false">INDEX(REF_VAL,MATCH(D392,REF_ID,0))</f>
        <v>0.9</v>
      </c>
      <c r="I392" s="40" t="n">
        <f aca="false">F392*J392</f>
        <v>0.0265750464159815</v>
      </c>
      <c r="J392" s="40" t="n">
        <v>0.0265750464159815</v>
      </c>
      <c r="K392" s="40" t="n">
        <f aca="false">I392*(1-V392)</f>
        <v>0.0258641071400667</v>
      </c>
      <c r="L392" s="40" t="n">
        <f aca="false">I392*(1+V392)</f>
        <v>0.0272859856918962</v>
      </c>
      <c r="M392" s="40" t="n">
        <f aca="false">F392*N392</f>
        <v>0.0239175417743833</v>
      </c>
      <c r="N392" s="40" t="n">
        <f aca="false">J392*H392</f>
        <v>0.0239175417743833</v>
      </c>
      <c r="O392" s="40" t="n">
        <f aca="false">K392*Q392</f>
        <v>0.0232776964260601</v>
      </c>
      <c r="P392" s="40" t="n">
        <f aca="false">L392*R392</f>
        <v>0.0248302469796255</v>
      </c>
      <c r="Q392" s="39" t="n">
        <f aca="false">INDEX(REF_MIN,MATCH(D392,REF_ID,0))</f>
        <v>0.9</v>
      </c>
      <c r="R392" s="39" t="n">
        <f aca="false">INDEX(REF_MAX,MATCH(D392,REF_ID,0))</f>
        <v>0.91</v>
      </c>
      <c r="S392" s="41" t="n">
        <v>1.42187855182943</v>
      </c>
      <c r="T392" s="42" t="n">
        <f aca="false">200*J392/S392</f>
        <v>3.73801916932908</v>
      </c>
      <c r="U392" s="43" t="n">
        <f aca="false">IFERROR(INDEX(ISO_TOL,MATCH(T392,ISO_DESDE,1)),0)</f>
        <v>0.1</v>
      </c>
      <c r="V392" s="44" t="n">
        <f aca="false">IF(T392&gt;0,U392/T392,0)</f>
        <v>0.0267521367521367</v>
      </c>
    </row>
    <row r="393" customFormat="false" ht="15" hidden="false" customHeight="false" outlineLevel="2" collapsed="false">
      <c r="A393" s="35" t="n">
        <v>2</v>
      </c>
      <c r="B393" s="36" t="s">
        <v>1126</v>
      </c>
      <c r="C393" s="37" t="s">
        <v>375</v>
      </c>
      <c r="D393" s="36" t="s">
        <v>10</v>
      </c>
      <c r="E393" s="36" t="str">
        <f aca="false">INDEX(REF_DATO,MATCH(D393,REF_ID,0))</f>
        <v>Acero (chapa LAC/LAF, SAE 1010/1045)</v>
      </c>
      <c r="F393" s="38" t="n">
        <v>1</v>
      </c>
      <c r="G393" s="35" t="s">
        <v>264</v>
      </c>
      <c r="H393" s="39" t="n">
        <f aca="false">INDEX(REF_VAL,MATCH(D393,REF_ID,0))</f>
        <v>7.85</v>
      </c>
      <c r="I393" s="40" t="n">
        <f aca="false">F393*J393</f>
        <v>0.0183141558197179</v>
      </c>
      <c r="J393" s="40" t="n">
        <v>0.0183141558197179</v>
      </c>
      <c r="K393" s="40" t="n">
        <f aca="false">I393*(1-V393)</f>
        <v>0.0171479755009924</v>
      </c>
      <c r="L393" s="40" t="n">
        <f aca="false">I393*(1+V393)</f>
        <v>0.0194803361384435</v>
      </c>
      <c r="M393" s="40" t="n">
        <f aca="false">F393*N393</f>
        <v>0.143766123184786</v>
      </c>
      <c r="N393" s="40" t="n">
        <f aca="false">J393*H393</f>
        <v>0.143766123184786</v>
      </c>
      <c r="O393" s="40" t="n">
        <f aca="false">K393*Q393</f>
        <v>0.13461160768279</v>
      </c>
      <c r="P393" s="40" t="n">
        <f aca="false">L393*R393</f>
        <v>0.152920638686781</v>
      </c>
      <c r="Q393" s="39" t="n">
        <f aca="false">INDEX(REF_MIN,MATCH(D393,REF_ID,0))</f>
        <v>7.85</v>
      </c>
      <c r="R393" s="39" t="n">
        <f aca="false">INDEX(REF_MAX,MATCH(D393,REF_ID,0))</f>
        <v>7.85</v>
      </c>
      <c r="S393" s="41" t="n">
        <v>2.33236063745112</v>
      </c>
      <c r="T393" s="42" t="n">
        <f aca="false">200*J393/S393</f>
        <v>1.5704394531141</v>
      </c>
      <c r="U393" s="43" t="n">
        <f aca="false">IFERROR(INDEX(ISO_TOL,MATCH(T393,ISO_DESDE,1)),0)</f>
        <v>0.1</v>
      </c>
      <c r="V393" s="44" t="n">
        <f aca="false">IF(T393&gt;0,U393/T393,0)</f>
        <v>0.0636764440690184</v>
      </c>
    </row>
    <row r="394" customFormat="false" ht="15" hidden="false" customHeight="false" outlineLevel="1" collapsed="false">
      <c r="A394" s="25" t="n">
        <v>1</v>
      </c>
      <c r="B394" s="26" t="s">
        <v>1127</v>
      </c>
      <c r="C394" s="27" t="s">
        <v>312</v>
      </c>
      <c r="D394" s="26"/>
      <c r="E394" s="26"/>
      <c r="F394" s="28" t="n">
        <v>1</v>
      </c>
      <c r="G394" s="25" t="s">
        <v>264</v>
      </c>
      <c r="H394" s="29"/>
      <c r="I394" s="30"/>
      <c r="J394" s="30"/>
      <c r="K394" s="30"/>
      <c r="L394" s="30"/>
      <c r="M394" s="30" t="n">
        <f aca="false">IF(SUMIF(A395:A396,2,M395:M396)=0,"",SUMIF(A395:A396,2,M395:M396))</f>
        <v>9.20778001313038</v>
      </c>
      <c r="N394" s="30"/>
      <c r="O394" s="30" t="n">
        <f aca="false">IF(SUMIF(A395:A396,2,O395:O396)=0,"",SUMIF(A395:A396,2,O395:O396))</f>
        <v>9.02421385828693</v>
      </c>
      <c r="P394" s="30" t="n">
        <f aca="false">IF(SUMIF(A395:A396,2,P395:P396)=0,"",SUMIF(A395:A396,2,P395:P396))</f>
        <v>9.3949283223219</v>
      </c>
      <c r="Q394" s="29"/>
      <c r="R394" s="29"/>
      <c r="S394" s="31"/>
      <c r="T394" s="32"/>
      <c r="U394" s="33"/>
      <c r="V394" s="34"/>
    </row>
    <row r="395" customFormat="false" ht="15" hidden="false" customHeight="false" outlineLevel="2" collapsed="false">
      <c r="A395" s="35" t="n">
        <v>2</v>
      </c>
      <c r="B395" s="36" t="s">
        <v>1128</v>
      </c>
      <c r="C395" s="37" t="s">
        <v>1129</v>
      </c>
      <c r="D395" s="36" t="s">
        <v>49</v>
      </c>
      <c r="E395" s="36" t="str">
        <f aca="false">INDEX(REF_DATO,MATCH(D395,REF_ID,0))</f>
        <v>Polvo clase D (cloruro de sodio)</v>
      </c>
      <c r="F395" s="38" t="n">
        <f aca="false">MODELOS!$L$15</f>
        <v>9.15</v>
      </c>
      <c r="G395" s="35" t="s">
        <v>123</v>
      </c>
      <c r="H395" s="39" t="n">
        <f aca="false">INDEX(REF_VAL,MATCH(D395,REF_ID,0))</f>
        <v>1</v>
      </c>
      <c r="I395" s="40" t="n">
        <f aca="false">F395*J395</f>
        <v>9.15</v>
      </c>
      <c r="J395" s="40" t="n">
        <f aca="false">1/H395</f>
        <v>1</v>
      </c>
      <c r="K395" s="40" t="n">
        <f aca="false">MODELOS!$M$15/R395</f>
        <v>7.5</v>
      </c>
      <c r="L395" s="40" t="n">
        <f aca="false">MODELOS!$N$15/Q395</f>
        <v>10.9411764705882</v>
      </c>
      <c r="M395" s="40" t="n">
        <f aca="false">F395</f>
        <v>9.15</v>
      </c>
      <c r="N395" s="40" t="n">
        <v>1</v>
      </c>
      <c r="O395" s="40" t="n">
        <f aca="false">MODELOS!$M$15</f>
        <v>9</v>
      </c>
      <c r="P395" s="40" t="n">
        <f aca="false">MODELOS!$N$15</f>
        <v>9.3</v>
      </c>
      <c r="Q395" s="39" t="n">
        <f aca="false">INDEX(REF_MIN,MATCH(D395,REF_ID,0))</f>
        <v>0.85</v>
      </c>
      <c r="R395" s="39" t="n">
        <f aca="false">INDEX(REF_MAX,MATCH(D395,REF_ID,0))</f>
        <v>1.2</v>
      </c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1130</v>
      </c>
      <c r="C396" s="37" t="s">
        <v>316</v>
      </c>
      <c r="D396" s="36" t="s">
        <v>78</v>
      </c>
      <c r="E396" s="36" t="str">
        <f aca="false">INDEX(REF_DATO,MATCH(D396,REF_ID,0))</f>
        <v>Nitrógeno seco (densidad normal)</v>
      </c>
      <c r="F396" s="38" t="n">
        <f aca="false">MODELOS!$AF$15</f>
        <v>0.0577800131303772</v>
      </c>
      <c r="G396" s="35" t="s">
        <v>123</v>
      </c>
      <c r="H396" s="39" t="n">
        <f aca="false">INDEX(REF_VAL,MATCH(D396,REF_ID,0))</f>
        <v>0.00124921923797626</v>
      </c>
      <c r="I396" s="40" t="n">
        <f aca="false">F396*J396</f>
        <v>46.2529005108669</v>
      </c>
      <c r="J396" s="40" t="n">
        <f aca="false">1/H396</f>
        <v>800.5</v>
      </c>
      <c r="K396" s="40" t="n">
        <f aca="false">MODELOS!$AG$15/H396</f>
        <v>19.3831935586869</v>
      </c>
      <c r="L396" s="40" t="n">
        <f aca="false">MODELOS!$AH$15/H396</f>
        <v>75.9901220186836</v>
      </c>
      <c r="M396" s="40" t="n">
        <f aca="false">F396</f>
        <v>0.0577800131303772</v>
      </c>
      <c r="N396" s="40" t="n">
        <v>1</v>
      </c>
      <c r="O396" s="40" t="n">
        <f aca="false">MODELOS!$AG$15</f>
        <v>0.0242138582869293</v>
      </c>
      <c r="P396" s="40" t="n">
        <f aca="false">MODELOS!$AH$15</f>
        <v>0.0949283223219033</v>
      </c>
      <c r="Q396" s="39"/>
      <c r="R396" s="39"/>
      <c r="S396" s="41"/>
      <c r="T396" s="42"/>
      <c r="U396" s="43"/>
      <c r="V396" s="44"/>
    </row>
    <row r="397" customFormat="false" ht="15" hidden="false" customHeight="false" outlineLevel="1" collapsed="false">
      <c r="A397" s="25" t="n">
        <v>1</v>
      </c>
      <c r="B397" s="26" t="s">
        <v>1131</v>
      </c>
      <c r="C397" s="27" t="s">
        <v>318</v>
      </c>
      <c r="D397" s="26"/>
      <c r="E397" s="26"/>
      <c r="F397" s="28" t="n">
        <v>1</v>
      </c>
      <c r="G397" s="25" t="s">
        <v>264</v>
      </c>
      <c r="H397" s="29"/>
      <c r="I397" s="30"/>
      <c r="J397" s="30"/>
      <c r="K397" s="30"/>
      <c r="L397" s="30"/>
      <c r="M397" s="30" t="n">
        <f aca="false">IF(SUMIF(A398:A404,2,M398:M404)=0,"",SUMIF(A398:A404,2,M398:M404))</f>
        <v>0.0397203275470513</v>
      </c>
      <c r="N397" s="30"/>
      <c r="O397" s="30" t="n">
        <f aca="false">IF(SUMIF(A398:A404,2,O398:O404)=0,"",SUMIF(A398:A404,2,O398:O404))</f>
        <v>0.0382992199262743</v>
      </c>
      <c r="P397" s="30" t="n">
        <f aca="false">IF(SUMIF(A398:A404,2,P398:P404)=0,"",SUMIF(A398:A404,2,P398:P404))</f>
        <v>0.0411434968380073</v>
      </c>
      <c r="Q397" s="29"/>
      <c r="R397" s="29"/>
      <c r="S397" s="31"/>
      <c r="T397" s="32"/>
      <c r="U397" s="33"/>
      <c r="V397" s="34"/>
    </row>
    <row r="398" customFormat="false" ht="15" hidden="false" customHeight="false" outlineLevel="2" collapsed="false">
      <c r="A398" s="35" t="n">
        <v>2</v>
      </c>
      <c r="B398" s="36" t="s">
        <v>1132</v>
      </c>
      <c r="C398" s="37" t="s">
        <v>320</v>
      </c>
      <c r="D398" s="36" t="s">
        <v>32</v>
      </c>
      <c r="E398" s="36" t="str">
        <f aca="false">INDEX(REF_DATO,MATCH(D398,REF_ID,0))</f>
        <v>PVC rígido, vinilo y papeles de identificación</v>
      </c>
      <c r="F398" s="38" t="n">
        <v>1</v>
      </c>
      <c r="G398" s="35" t="s">
        <v>264</v>
      </c>
      <c r="H398" s="39" t="n">
        <f aca="false">INDEX(REF_VAL,MATCH(D398,REF_ID,0))</f>
        <v>1.4</v>
      </c>
      <c r="I398" s="40" t="n">
        <f aca="false">F398*J398</f>
        <v>0.0241380007617362</v>
      </c>
      <c r="J398" s="40" t="n">
        <v>0.0241380007617362</v>
      </c>
      <c r="K398" s="40" t="n">
        <f aca="false">I398*(1-V398)</f>
        <v>0.0241380007617362</v>
      </c>
      <c r="L398" s="40" t="n">
        <f aca="false">I398*(1+V398)</f>
        <v>0.0241380007617362</v>
      </c>
      <c r="M398" s="40" t="n">
        <f aca="false">F398*N398</f>
        <v>0.0337932010664307</v>
      </c>
      <c r="N398" s="40" t="n">
        <f aca="false">J398*H398</f>
        <v>0.0337932010664307</v>
      </c>
      <c r="O398" s="40" t="n">
        <f aca="false">K398*Q398</f>
        <v>0.0325863010283438</v>
      </c>
      <c r="P398" s="40" t="n">
        <f aca="false">L398*R398</f>
        <v>0.0350001011045175</v>
      </c>
      <c r="Q398" s="39" t="n">
        <f aca="false">INDEX(REF_MIN,MATCH(D398,REF_ID,0))</f>
        <v>1.35</v>
      </c>
      <c r="R398" s="39" t="n">
        <f aca="false">INDEX(REF_MAX,MATCH(D398,REF_ID,0))</f>
        <v>1.45</v>
      </c>
      <c r="S398" s="41" t="n">
        <v>16.1266491800186</v>
      </c>
      <c r="T398" s="42" t="n">
        <f aca="false">200*J398/S398</f>
        <v>0.299355439462822</v>
      </c>
      <c r="U398" s="43" t="n">
        <f aca="false">IFERROR(INDEX(ISO_TOL,MATCH(T398,ISO_DESDE,1)),0)</f>
        <v>0</v>
      </c>
      <c r="V398" s="44" t="n">
        <f aca="false">IF(T398&gt;0,U398/T398,0)</f>
        <v>0</v>
      </c>
    </row>
    <row r="399" customFormat="false" ht="15" hidden="false" customHeight="false" outlineLevel="2" collapsed="false">
      <c r="A399" s="35" t="n">
        <v>2</v>
      </c>
      <c r="B399" s="36" t="s">
        <v>1133</v>
      </c>
      <c r="C399" s="37" t="s">
        <v>322</v>
      </c>
      <c r="D399" s="36" t="s">
        <v>32</v>
      </c>
      <c r="E399" s="36" t="str">
        <f aca="false">INDEX(REF_DATO,MATCH(D399,REF_ID,0))</f>
        <v>PVC rígido, vinilo y papeles de identificación</v>
      </c>
      <c r="F399" s="38" t="n">
        <v>1</v>
      </c>
      <c r="G399" s="35" t="s">
        <v>264</v>
      </c>
      <c r="H399" s="39" t="n">
        <f aca="false">INDEX(REF_VAL,MATCH(D399,REF_ID,0))</f>
        <v>1.4</v>
      </c>
      <c r="I399" s="40" t="n">
        <f aca="false">F399*J399</f>
        <v>0.000635849256198346</v>
      </c>
      <c r="J399" s="40" t="n">
        <v>0.000635849256198346</v>
      </c>
      <c r="K399" s="40" t="n">
        <f aca="false">I399*(1-V399)</f>
        <v>0.000635849256198346</v>
      </c>
      <c r="L399" s="40" t="n">
        <f aca="false">I399*(1+V399)</f>
        <v>0.000635849256198346</v>
      </c>
      <c r="M399" s="40" t="n">
        <f aca="false">F399*N399</f>
        <v>0.000890188958677684</v>
      </c>
      <c r="N399" s="40" t="n">
        <f aca="false">J399*H399</f>
        <v>0.000890188958677684</v>
      </c>
      <c r="O399" s="40" t="n">
        <f aca="false">K399*Q399</f>
        <v>0.000858396495867767</v>
      </c>
      <c r="P399" s="40" t="n">
        <f aca="false">L399*R399</f>
        <v>0.000921981421487601</v>
      </c>
      <c r="Q399" s="39" t="n">
        <f aca="false">INDEX(REF_MIN,MATCH(D399,REF_ID,0))</f>
        <v>1.35</v>
      </c>
      <c r="R399" s="39" t="n">
        <f aca="false">INDEX(REF_MAX,MATCH(D399,REF_ID,0))</f>
        <v>1.45</v>
      </c>
      <c r="S399" s="41" t="n">
        <v>0.429424066115703</v>
      </c>
      <c r="T399" s="42" t="n">
        <f aca="false">200*J399/S399</f>
        <v>0.29614048506868</v>
      </c>
      <c r="U399" s="43" t="n">
        <f aca="false">IFERROR(INDEX(ISO_TOL,MATCH(T399,ISO_DESDE,1)),0)</f>
        <v>0</v>
      </c>
      <c r="V399" s="44" t="n">
        <f aca="false">IF(T399&gt;0,U399/T399,0)</f>
        <v>0</v>
      </c>
    </row>
    <row r="400" customFormat="false" ht="15" hidden="false" customHeight="false" outlineLevel="2" collapsed="false">
      <c r="A400" s="35" t="n">
        <v>2</v>
      </c>
      <c r="B400" s="36" t="s">
        <v>1134</v>
      </c>
      <c r="C400" s="37" t="s">
        <v>324</v>
      </c>
      <c r="D400" s="36" t="s">
        <v>32</v>
      </c>
      <c r="E400" s="36" t="str">
        <f aca="false">INDEX(REF_DATO,MATCH(D400,REF_ID,0))</f>
        <v>PVC rígido, vinilo y papeles de identificación</v>
      </c>
      <c r="F400" s="38" t="n">
        <v>1</v>
      </c>
      <c r="G400" s="35" t="s">
        <v>264</v>
      </c>
      <c r="H400" s="39" t="n">
        <f aca="false">INDEX(REF_VAL,MATCH(D400,REF_ID,0))</f>
        <v>1.4</v>
      </c>
      <c r="I400" s="40" t="n">
        <f aca="false">F400*J400</f>
        <v>0.000721190082644635</v>
      </c>
      <c r="J400" s="40" t="n">
        <v>0.000721190082644635</v>
      </c>
      <c r="K400" s="40" t="n">
        <f aca="false">I400*(1-V400)</f>
        <v>0.000721190082644635</v>
      </c>
      <c r="L400" s="40" t="n">
        <f aca="false">I400*(1+V400)</f>
        <v>0.000721190082644635</v>
      </c>
      <c r="M400" s="40" t="n">
        <f aca="false">F400*N400</f>
        <v>0.00100966611570249</v>
      </c>
      <c r="N400" s="40" t="n">
        <f aca="false">J400*H400</f>
        <v>0.00100966611570249</v>
      </c>
      <c r="O400" s="40" t="n">
        <f aca="false">K400*Q400</f>
        <v>0.000973606611570258</v>
      </c>
      <c r="P400" s="40" t="n">
        <f aca="false">L400*R400</f>
        <v>0.00104572561983472</v>
      </c>
      <c r="Q400" s="39" t="n">
        <f aca="false">INDEX(REF_MIN,MATCH(D400,REF_ID,0))</f>
        <v>1.35</v>
      </c>
      <c r="R400" s="39" t="n">
        <f aca="false">INDEX(REF_MAX,MATCH(D400,REF_ID,0))</f>
        <v>1.45</v>
      </c>
      <c r="S400" s="41" t="n">
        <v>0.486799338842976</v>
      </c>
      <c r="T400" s="42" t="n">
        <f aca="false">200*J400/S400</f>
        <v>0.296298710823544</v>
      </c>
      <c r="U400" s="43" t="n">
        <f aca="false">IFERROR(INDEX(ISO_TOL,MATCH(T400,ISO_DESDE,1)),0)</f>
        <v>0</v>
      </c>
      <c r="V400" s="44" t="n">
        <f aca="false">IF(T400&gt;0,U400/T400,0)</f>
        <v>0</v>
      </c>
    </row>
    <row r="401" customFormat="false" ht="15" hidden="false" customHeight="false" outlineLevel="2" collapsed="false">
      <c r="A401" s="35" t="n">
        <v>2</v>
      </c>
      <c r="B401" s="36" t="s">
        <v>1135</v>
      </c>
      <c r="C401" s="37" t="s">
        <v>384</v>
      </c>
      <c r="D401" s="36" t="s">
        <v>32</v>
      </c>
      <c r="E401" s="36" t="str">
        <f aca="false">INDEX(REF_DATO,MATCH(D401,REF_ID,0))</f>
        <v>PVC rígido, vinilo y papeles de identificación</v>
      </c>
      <c r="F401" s="38" t="n">
        <v>1</v>
      </c>
      <c r="G401" s="35" t="s">
        <v>264</v>
      </c>
      <c r="H401" s="39" t="n">
        <f aca="false">INDEX(REF_VAL,MATCH(D401,REF_ID,0))</f>
        <v>1.4</v>
      </c>
      <c r="I401" s="40" t="n">
        <f aca="false">F401*J401</f>
        <v>0.00231381818181816</v>
      </c>
      <c r="J401" s="40" t="n">
        <v>0.00231381818181816</v>
      </c>
      <c r="K401" s="40" t="n">
        <f aca="false">I401*(1-V401)</f>
        <v>0.00231381818181816</v>
      </c>
      <c r="L401" s="40" t="n">
        <f aca="false">I401*(1+V401)</f>
        <v>0.00231381818181816</v>
      </c>
      <c r="M401" s="40" t="n">
        <f aca="false">F401*N401</f>
        <v>0.00323934545454543</v>
      </c>
      <c r="N401" s="40" t="n">
        <f aca="false">J401*H401</f>
        <v>0.00323934545454543</v>
      </c>
      <c r="O401" s="40" t="n">
        <f aca="false">K401*Q401</f>
        <v>0.00312365454545452</v>
      </c>
      <c r="P401" s="40" t="n">
        <f aca="false">L401*R401</f>
        <v>0.00335503636363634</v>
      </c>
      <c r="Q401" s="39" t="n">
        <f aca="false">INDEX(REF_MIN,MATCH(D401,REF_ID,0))</f>
        <v>1.35</v>
      </c>
      <c r="R401" s="39" t="n">
        <f aca="false">INDEX(REF_MAX,MATCH(D401,REF_ID,0))</f>
        <v>1.45</v>
      </c>
      <c r="S401" s="41" t="n">
        <v>1.55425933884298</v>
      </c>
      <c r="T401" s="42" t="n">
        <f aca="false">200*J401/S401</f>
        <v>0.297739009699709</v>
      </c>
      <c r="U401" s="43" t="n">
        <f aca="false">IFERROR(INDEX(ISO_TOL,MATCH(T401,ISO_DESDE,1)),0)</f>
        <v>0</v>
      </c>
      <c r="V401" s="44" t="n">
        <f aca="false">IF(T401&gt;0,U401/T401,0)</f>
        <v>0</v>
      </c>
    </row>
    <row r="402" customFormat="false" ht="15" hidden="false" customHeight="false" outlineLevel="2" collapsed="false">
      <c r="A402" s="35" t="n">
        <v>2</v>
      </c>
      <c r="B402" s="36" t="s">
        <v>1136</v>
      </c>
      <c r="C402" s="37" t="s">
        <v>326</v>
      </c>
      <c r="D402" s="36" t="s">
        <v>32</v>
      </c>
      <c r="E402" s="36" t="str">
        <f aca="false">INDEX(REF_DATO,MATCH(D402,REF_ID,0))</f>
        <v>PVC rígido, vinilo y papeles de identificación</v>
      </c>
      <c r="F402" s="38" t="n">
        <v>1</v>
      </c>
      <c r="G402" s="35" t="s">
        <v>264</v>
      </c>
      <c r="H402" s="39" t="n">
        <f aca="false">INDEX(REF_VAL,MATCH(D402,REF_ID,0))</f>
        <v>1.4</v>
      </c>
      <c r="I402" s="40" t="n">
        <f aca="false">F402*J402</f>
        <v>0.000338057851239653</v>
      </c>
      <c r="J402" s="40" t="n">
        <v>0.000338057851239653</v>
      </c>
      <c r="K402" s="40" t="n">
        <f aca="false">I402*(1-V402)</f>
        <v>0.000338057851239653</v>
      </c>
      <c r="L402" s="40" t="n">
        <f aca="false">I402*(1+V402)</f>
        <v>0.000338057851239653</v>
      </c>
      <c r="M402" s="40" t="n">
        <f aca="false">F402*N402</f>
        <v>0.000473280991735514</v>
      </c>
      <c r="N402" s="40" t="n">
        <f aca="false">J402*H402</f>
        <v>0.000473280991735514</v>
      </c>
      <c r="O402" s="40" t="n">
        <f aca="false">K402*Q402</f>
        <v>0.000456378099173531</v>
      </c>
      <c r="P402" s="40" t="n">
        <f aca="false">L402*R402</f>
        <v>0.000490183884297497</v>
      </c>
      <c r="Q402" s="39" t="n">
        <f aca="false">INDEX(REF_MIN,MATCH(D402,REF_ID,0))</f>
        <v>1.35</v>
      </c>
      <c r="R402" s="39" t="n">
        <f aca="false">INDEX(REF_MAX,MATCH(D402,REF_ID,0))</f>
        <v>1.45</v>
      </c>
      <c r="S402" s="41" t="n">
        <v>0.229576363636363</v>
      </c>
      <c r="T402" s="42" t="n">
        <f aca="false">200*J402/S402</f>
        <v>0.294505798319132</v>
      </c>
      <c r="U402" s="43" t="n">
        <f aca="false">IFERROR(INDEX(ISO_TOL,MATCH(T402,ISO_DESDE,1)),0)</f>
        <v>0</v>
      </c>
      <c r="V402" s="44" t="n">
        <f aca="false">IF(T402&gt;0,U402/T402,0)</f>
        <v>0</v>
      </c>
    </row>
    <row r="403" customFormat="false" ht="15" hidden="false" customHeight="false" outlineLevel="2" collapsed="false">
      <c r="A403" s="35" t="n">
        <v>2</v>
      </c>
      <c r="B403" s="36" t="s">
        <v>1137</v>
      </c>
      <c r="C403" s="37" t="s">
        <v>328</v>
      </c>
      <c r="D403" s="36" t="s">
        <v>32</v>
      </c>
      <c r="E403" s="36" t="str">
        <f aca="false">INDEX(REF_DATO,MATCH(D403,REF_ID,0))</f>
        <v>PVC rígido, vinilo y papeles de identificación</v>
      </c>
      <c r="F403" s="38" t="n">
        <v>1</v>
      </c>
      <c r="G403" s="35" t="s">
        <v>264</v>
      </c>
      <c r="H403" s="39" t="n">
        <f aca="false">INDEX(REF_VAL,MATCH(D403,REF_ID,0))</f>
        <v>1.4</v>
      </c>
      <c r="I403" s="40" t="n">
        <f aca="false">F403*J403</f>
        <v>9.85216951393564E-005</v>
      </c>
      <c r="J403" s="40" t="n">
        <v>9.85216951393564E-005</v>
      </c>
      <c r="K403" s="40" t="n">
        <f aca="false">I403*(1-V403)</f>
        <v>9.85216951393564E-005</v>
      </c>
      <c r="L403" s="40" t="n">
        <f aca="false">I403*(1+V403)</f>
        <v>9.85216951393564E-005</v>
      </c>
      <c r="M403" s="40" t="n">
        <f aca="false">F403*N403</f>
        <v>0.000137930373195099</v>
      </c>
      <c r="N403" s="40" t="n">
        <f aca="false">J403*H403</f>
        <v>0.000137930373195099</v>
      </c>
      <c r="O403" s="40" t="n">
        <f aca="false">K403*Q403</f>
        <v>0.000133004288438131</v>
      </c>
      <c r="P403" s="40" t="n">
        <f aca="false">L403*R403</f>
        <v>0.000142856457952067</v>
      </c>
      <c r="Q403" s="39" t="n">
        <f aca="false">INDEX(REF_MIN,MATCH(D403,REF_ID,0))</f>
        <v>1.35</v>
      </c>
      <c r="R403" s="39" t="n">
        <f aca="false">INDEX(REF_MAX,MATCH(D403,REF_ID,0))</f>
        <v>1.45</v>
      </c>
      <c r="S403" s="41" t="n">
        <v>0.100297301798228</v>
      </c>
      <c r="T403" s="42" t="n">
        <f aca="false">200*J403/S403</f>
        <v>0.19645931320776</v>
      </c>
      <c r="U403" s="43" t="n">
        <f aca="false">IFERROR(INDEX(ISO_TOL,MATCH(T403,ISO_DESDE,1)),0)</f>
        <v>0</v>
      </c>
      <c r="V403" s="44" t="n">
        <f aca="false">IF(T403&gt;0,U403/T403,0)</f>
        <v>0</v>
      </c>
    </row>
    <row r="404" customFormat="false" ht="15" hidden="false" customHeight="false" outlineLevel="2" collapsed="false">
      <c r="A404" s="35" t="n">
        <v>2</v>
      </c>
      <c r="B404" s="36" t="s">
        <v>1138</v>
      </c>
      <c r="C404" s="37" t="s">
        <v>330</v>
      </c>
      <c r="D404" s="36" t="s">
        <v>26</v>
      </c>
      <c r="E404" s="36" t="str">
        <f aca="false">INDEX(REF_DATO,MATCH(D404,REF_ID,0))</f>
        <v>Polipropileno</v>
      </c>
      <c r="F404" s="38" t="n">
        <v>1</v>
      </c>
      <c r="G404" s="35" t="s">
        <v>264</v>
      </c>
      <c r="H404" s="39" t="n">
        <f aca="false">INDEX(REF_VAL,MATCH(D404,REF_ID,0))</f>
        <v>0.9</v>
      </c>
      <c r="I404" s="40" t="n">
        <f aca="false">F404*J404</f>
        <v>0.000196349540849362</v>
      </c>
      <c r="J404" s="40" t="n">
        <v>0.000196349540849362</v>
      </c>
      <c r="K404" s="40" t="n">
        <f aca="false">I404*(1-V404)</f>
        <v>0.000186532063806894</v>
      </c>
      <c r="L404" s="40" t="n">
        <f aca="false">I404*(1+V404)</f>
        <v>0.00020616701789183</v>
      </c>
      <c r="M404" s="40" t="n">
        <f aca="false">F404*N404</f>
        <v>0.000176714586764426</v>
      </c>
      <c r="N404" s="40" t="n">
        <f aca="false">J404*H404</f>
        <v>0.000176714586764426</v>
      </c>
      <c r="O404" s="40" t="n">
        <f aca="false">K404*Q404</f>
        <v>0.000167878857426205</v>
      </c>
      <c r="P404" s="40" t="n">
        <f aca="false">L404*R404</f>
        <v>0.000187611986281566</v>
      </c>
      <c r="Q404" s="39" t="n">
        <f aca="false">INDEX(REF_MIN,MATCH(D404,REF_ID,0))</f>
        <v>0.9</v>
      </c>
      <c r="R404" s="39" t="n">
        <f aca="false">INDEX(REF_MAX,MATCH(D404,REF_ID,0))</f>
        <v>0.91</v>
      </c>
      <c r="S404" s="41" t="n">
        <v>0.0196349540849362</v>
      </c>
      <c r="T404" s="42" t="n">
        <f aca="false">200*J404/S404</f>
        <v>2</v>
      </c>
      <c r="U404" s="43" t="n">
        <f aca="false">IFERROR(INDEX(ISO_TOL,MATCH(T404,ISO_DESDE,1)),0)</f>
        <v>0.1</v>
      </c>
      <c r="V404" s="44" t="n">
        <f aca="false">IF(T404&gt;0,U404/T404,0)</f>
        <v>0.05</v>
      </c>
    </row>
    <row r="405" customFormat="false" ht="15" hidden="false" customHeight="false" outlineLevel="1" collapsed="false">
      <c r="A405" s="25" t="n">
        <v>1</v>
      </c>
      <c r="B405" s="26" t="s">
        <v>1139</v>
      </c>
      <c r="C405" s="27" t="s">
        <v>332</v>
      </c>
      <c r="D405" s="26"/>
      <c r="E405" s="26"/>
      <c r="F405" s="28" t="n">
        <v>1</v>
      </c>
      <c r="G405" s="25" t="s">
        <v>264</v>
      </c>
      <c r="H405" s="29"/>
      <c r="I405" s="30"/>
      <c r="J405" s="30"/>
      <c r="K405" s="30"/>
      <c r="L405" s="30"/>
      <c r="M405" s="30" t="n">
        <f aca="false">IF(SUMIF(A406:A407,2,M406:M407)=0,"",SUMIF(A406:A407,2,M406:M407))</f>
        <v>0.319053381168636</v>
      </c>
      <c r="N405" s="30"/>
      <c r="O405" s="30" t="n">
        <f aca="false">IF(SUMIF(A406:A407,2,O406:O407)=0,"",SUMIF(A406:A407,2,O406:O407))</f>
        <v>0.302469161724327</v>
      </c>
      <c r="P405" s="30" t="n">
        <f aca="false">IF(SUMIF(A406:A407,2,P406:P407)=0,"",SUMIF(A406:A407,2,P406:P407))</f>
        <v>0.335637600612946</v>
      </c>
      <c r="Q405" s="29"/>
      <c r="R405" s="29"/>
      <c r="S405" s="31"/>
      <c r="T405" s="32"/>
      <c r="U405" s="33"/>
      <c r="V405" s="34"/>
    </row>
    <row r="406" customFormat="false" ht="15" hidden="false" customHeight="false" outlineLevel="2" collapsed="false">
      <c r="A406" s="35" t="n">
        <v>2</v>
      </c>
      <c r="B406" s="36" t="s">
        <v>1140</v>
      </c>
      <c r="C406" s="37" t="s">
        <v>390</v>
      </c>
      <c r="D406" s="36" t="s">
        <v>10</v>
      </c>
      <c r="E406" s="36" t="str">
        <f aca="false">INDEX(REF_DATO,MATCH(D406,REF_ID,0))</f>
        <v>Acero (chapa LAC/LAF, SAE 1010/1045)</v>
      </c>
      <c r="F406" s="38" t="n">
        <v>1</v>
      </c>
      <c r="G406" s="35" t="s">
        <v>264</v>
      </c>
      <c r="H406" s="39" t="n">
        <f aca="false">INDEX(REF_VAL,MATCH(D406,REF_ID,0))</f>
        <v>7.85</v>
      </c>
      <c r="I406" s="40" t="n">
        <f aca="false">F406*J406</f>
        <v>0.0406437428240301</v>
      </c>
      <c r="J406" s="40" t="n">
        <v>0.0406437428240301</v>
      </c>
      <c r="K406" s="40" t="n">
        <f aca="false">I406*(1-V406)</f>
        <v>0.0385311034043728</v>
      </c>
      <c r="L406" s="40" t="n">
        <f aca="false">I406*(1+V406)</f>
        <v>0.0427563822436874</v>
      </c>
      <c r="M406" s="40" t="n">
        <f aca="false">F406*N406</f>
        <v>0.319053381168636</v>
      </c>
      <c r="N406" s="40" t="n">
        <f aca="false">J406*H406</f>
        <v>0.319053381168636</v>
      </c>
      <c r="O406" s="40" t="n">
        <f aca="false">K406*Q406</f>
        <v>0.302469161724327</v>
      </c>
      <c r="P406" s="40" t="n">
        <f aca="false">L406*R406</f>
        <v>0.335637600612946</v>
      </c>
      <c r="Q406" s="39" t="n">
        <f aca="false">INDEX(REF_MIN,MATCH(D406,REF_ID,0))</f>
        <v>7.85</v>
      </c>
      <c r="R406" s="39" t="n">
        <f aca="false">INDEX(REF_MAX,MATCH(D406,REF_ID,0))</f>
        <v>7.85</v>
      </c>
      <c r="S406" s="41" t="n">
        <v>4.22527883931454</v>
      </c>
      <c r="T406" s="42" t="n">
        <f aca="false">200*J406/S406</f>
        <v>1.92383718896165</v>
      </c>
      <c r="U406" s="43" t="n">
        <f aca="false">IFERROR(INDEX(ISO_TOL,MATCH(T406,ISO_DESDE,1)),0)</f>
        <v>0.1</v>
      </c>
      <c r="V406" s="44" t="n">
        <f aca="false">IF(T406&gt;0,U406/T406,0)</f>
        <v>0.051979450534467</v>
      </c>
    </row>
    <row r="407" customFormat="false" ht="15" hidden="false" customHeight="false" outlineLevel="2" collapsed="false">
      <c r="A407" s="35" t="n">
        <v>2</v>
      </c>
      <c r="B407" s="36" t="s">
        <v>1141</v>
      </c>
      <c r="C407" s="37" t="s">
        <v>392</v>
      </c>
      <c r="D407" s="36"/>
      <c r="E407" s="36"/>
      <c r="F407" s="38" t="n">
        <v>2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1" collapsed="false">
      <c r="A408" s="25" t="n">
        <v>1</v>
      </c>
      <c r="B408" s="26" t="s">
        <v>1142</v>
      </c>
      <c r="C408" s="27" t="s">
        <v>336</v>
      </c>
      <c r="D408" s="26"/>
      <c r="E408" s="26"/>
      <c r="F408" s="28" t="n">
        <v>1</v>
      </c>
      <c r="G408" s="25" t="s">
        <v>264</v>
      </c>
      <c r="H408" s="29"/>
      <c r="I408" s="30"/>
      <c r="J408" s="30"/>
      <c r="K408" s="30"/>
      <c r="L408" s="30"/>
      <c r="M408" s="30" t="str">
        <f aca="false">IF(SUMIF(A409:A412,2,M409:M412)=0,"",SUMIF(A409:A412,2,M409:M412))</f>
        <v/>
      </c>
      <c r="N408" s="30"/>
      <c r="O408" s="30" t="str">
        <f aca="false">IF(SUMIF(A409:A412,2,O409:O412)=0,"",SUMIF(A409:A412,2,O409:O412))</f>
        <v/>
      </c>
      <c r="P408" s="30" t="str">
        <f aca="false">IF(SUMIF(A409:A412,2,P409:P412)=0,"",SUMIF(A409:A412,2,P409:P412))</f>
        <v/>
      </c>
      <c r="Q408" s="29"/>
      <c r="R408" s="29"/>
      <c r="S408" s="31"/>
      <c r="T408" s="32"/>
      <c r="U408" s="33"/>
      <c r="V408" s="34"/>
    </row>
    <row r="409" customFormat="false" ht="15" hidden="false" customHeight="false" outlineLevel="2" collapsed="false">
      <c r="A409" s="35" t="n">
        <v>2</v>
      </c>
      <c r="B409" s="36" t="s">
        <v>1143</v>
      </c>
      <c r="C409" s="37" t="s">
        <v>338</v>
      </c>
      <c r="D409" s="36"/>
      <c r="E409" s="36"/>
      <c r="F409" s="38" t="n">
        <v>1</v>
      </c>
      <c r="G409" s="35" t="s">
        <v>264</v>
      </c>
      <c r="H409" s="39"/>
      <c r="I409" s="40"/>
      <c r="J409" s="40"/>
      <c r="K409" s="40"/>
      <c r="L409" s="40"/>
      <c r="M409" s="40"/>
      <c r="N409" s="40"/>
      <c r="O409" s="40"/>
      <c r="P409" s="40"/>
      <c r="Q409" s="39"/>
      <c r="R409" s="39"/>
      <c r="S409" s="41"/>
      <c r="T409" s="42"/>
      <c r="U409" s="43"/>
      <c r="V409" s="44"/>
    </row>
    <row r="410" customFormat="false" ht="15" hidden="false" customHeight="false" outlineLevel="2" collapsed="false">
      <c r="A410" s="35" t="n">
        <v>2</v>
      </c>
      <c r="B410" s="36" t="s">
        <v>1144</v>
      </c>
      <c r="C410" s="37" t="s">
        <v>340</v>
      </c>
      <c r="D410" s="36"/>
      <c r="E410" s="36"/>
      <c r="F410" s="38" t="n">
        <v>1</v>
      </c>
      <c r="G410" s="35" t="s">
        <v>264</v>
      </c>
      <c r="H410" s="39"/>
      <c r="I410" s="40"/>
      <c r="J410" s="40"/>
      <c r="K410" s="40"/>
      <c r="L410" s="40"/>
      <c r="M410" s="40"/>
      <c r="N410" s="40"/>
      <c r="O410" s="40"/>
      <c r="P410" s="40"/>
      <c r="Q410" s="39"/>
      <c r="R410" s="39"/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1145</v>
      </c>
      <c r="C411" s="37" t="s">
        <v>342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2" collapsed="false">
      <c r="A412" s="35" t="n">
        <v>2</v>
      </c>
      <c r="B412" s="36" t="s">
        <v>1146</v>
      </c>
      <c r="C412" s="37" t="s">
        <v>344</v>
      </c>
      <c r="D412" s="36"/>
      <c r="E412" s="36"/>
      <c r="F412" s="38" t="n">
        <v>1</v>
      </c>
      <c r="G412" s="35" t="s">
        <v>264</v>
      </c>
      <c r="H412" s="39"/>
      <c r="I412" s="40"/>
      <c r="J412" s="40"/>
      <c r="K412" s="40"/>
      <c r="L412" s="40"/>
      <c r="M412" s="40"/>
      <c r="N412" s="40"/>
      <c r="O412" s="40"/>
      <c r="P412" s="40"/>
      <c r="Q412" s="39"/>
      <c r="R412" s="39"/>
      <c r="S412" s="41"/>
      <c r="T412" s="42"/>
      <c r="U412" s="43"/>
      <c r="V412" s="44"/>
    </row>
  </sheetData>
  <autoFilter ref="A1:V4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265</v>
      </c>
      <c r="C2" s="17" t="s">
        <v>1147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IF(SUMIF(A3:A9,1,M3:M9)=0,"",SUMIF(A3:A9,1,M3:M9))</f>
        <v>0.742734868108417</v>
      </c>
      <c r="N2" s="20"/>
      <c r="O2" s="20" t="n">
        <f aca="false">IF(SUMIF(A3:A9,1,O3:O9)=0,"",SUMIF(A3:A9,1,O3:O9))</f>
        <v>0.681595485823243</v>
      </c>
      <c r="P2" s="20" t="n">
        <f aca="false">IF(SUMIF(A3:A9,1,P3:P9)=0,"",SUMIF(A3:A9,1,P3:P9))</f>
        <v>0.803874250393592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1148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IF(SUMIF(A4:A9,2,M4:M9)=0,"",SUMIF(A4:A9,2,M4:M9))</f>
        <v>0.742734868108417</v>
      </c>
      <c r="N3" s="30"/>
      <c r="O3" s="30" t="n">
        <f aca="false">IF(SUMIF(A4:A9,2,O4:O9)=0,"",SUMIF(A4:A9,2,O4:O9))</f>
        <v>0.681595485823243</v>
      </c>
      <c r="P3" s="30" t="n">
        <f aca="false">IF(SUMIF(A4:A9,2,P4:P9)=0,"",SUMIF(A4:A9,2,P4:P9))</f>
        <v>0.803874250393592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0.077356167582128</v>
      </c>
      <c r="J4" s="40" t="n">
        <v>0.077356167582128</v>
      </c>
      <c r="K4" s="40" t="n">
        <f aca="false">I4*(1-V4)</f>
        <v>0.0711320973001808</v>
      </c>
      <c r="L4" s="40" t="n">
        <f aca="false">I4*(1+V4)</f>
        <v>0.0835802378640751</v>
      </c>
      <c r="M4" s="40" t="n">
        <f aca="false">F4*N4</f>
        <v>0.607245915519704</v>
      </c>
      <c r="N4" s="40" t="n">
        <f aca="false">J4*H4</f>
        <v>0.607245915519704</v>
      </c>
      <c r="O4" s="40" t="n">
        <f aca="false">K4*Q4</f>
        <v>0.558386963806419</v>
      </c>
      <c r="P4" s="40" t="n">
        <f aca="false">L4*R4</f>
        <v>0.65610486723299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12.4481405638943</v>
      </c>
      <c r="T4" s="42" t="n">
        <f aca="false">200*J4/S4</f>
        <v>1.24285498199624</v>
      </c>
      <c r="U4" s="43" t="n">
        <f aca="false">IFERROR(INDEX(ISO_TOL,MATCH(T4,ISO_DESDE,1)),0)</f>
        <v>0.1</v>
      </c>
      <c r="V4" s="44" t="n">
        <f aca="false">IF(T4&gt;0,U4/T4,0)</f>
        <v>0.08045991000445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2" collapsed="false">
      <c r="A8" s="35" t="n">
        <v>2</v>
      </c>
      <c r="B8" s="36" t="s">
        <v>1149</v>
      </c>
      <c r="C8" s="37" t="s">
        <v>1150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1151</v>
      </c>
      <c r="C9" s="37" t="s">
        <v>1152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0" collapsed="false">
      <c r="A10" s="16" t="n">
        <v>0</v>
      </c>
      <c r="B10" s="17" t="s">
        <v>345</v>
      </c>
      <c r="C10" s="17" t="s">
        <v>1153</v>
      </c>
      <c r="D10" s="17"/>
      <c r="E10" s="17"/>
      <c r="F10" s="18" t="n">
        <v>1</v>
      </c>
      <c r="G10" s="16" t="s">
        <v>264</v>
      </c>
      <c r="H10" s="19"/>
      <c r="I10" s="20"/>
      <c r="J10" s="20"/>
      <c r="K10" s="20"/>
      <c r="L10" s="20"/>
      <c r="M10" s="20" t="n">
        <f aca="false">IF(SUMIF(A11:A17,1,M11:M17)=0,"",SUMIF(A11:A17,1,M11:M17))</f>
        <v>1.40463533991433</v>
      </c>
      <c r="N10" s="20"/>
      <c r="O10" s="20" t="n">
        <f aca="false">IF(SUMIF(A11:A17,1,O11:O17)=0,"",SUMIF(A11:A17,1,O11:O17))</f>
        <v>1.29502153338809</v>
      </c>
      <c r="P10" s="20" t="n">
        <f aca="false">IF(SUMIF(A11:A17,1,P11:P17)=0,"",SUMIF(A11:A17,1,P11:P17))</f>
        <v>1.51424914644057</v>
      </c>
      <c r="Q10" s="19"/>
      <c r="R10" s="19"/>
      <c r="S10" s="21"/>
      <c r="T10" s="22"/>
      <c r="U10" s="23"/>
      <c r="V10" s="24"/>
    </row>
    <row r="11" customFormat="false" ht="15" hidden="false" customHeight="false" outlineLevel="1" collapsed="false">
      <c r="A11" s="25" t="n">
        <v>1</v>
      </c>
      <c r="B11" s="26" t="s">
        <v>1154</v>
      </c>
      <c r="C11" s="27" t="s">
        <v>266</v>
      </c>
      <c r="D11" s="26"/>
      <c r="E11" s="26"/>
      <c r="F11" s="28" t="n">
        <v>1</v>
      </c>
      <c r="G11" s="25" t="s">
        <v>264</v>
      </c>
      <c r="H11" s="29"/>
      <c r="I11" s="30"/>
      <c r="J11" s="30"/>
      <c r="K11" s="30"/>
      <c r="L11" s="30"/>
      <c r="M11" s="30" t="n">
        <f aca="false">IF(SUMIF(A12:A17,2,M12:M17)=0,"",SUMIF(A12:A17,2,M12:M17))</f>
        <v>1.40463533991433</v>
      </c>
      <c r="N11" s="30"/>
      <c r="O11" s="30" t="n">
        <f aca="false">IF(SUMIF(A12:A17,2,O12:O17)=0,"",SUMIF(A12:A17,2,O12:O17))</f>
        <v>1.29502153338809</v>
      </c>
      <c r="P11" s="30" t="n">
        <f aca="false">IF(SUMIF(A12:A17,2,P12:P17)=0,"",SUMIF(A12:A17,2,P12:P17))</f>
        <v>1.51424914644057</v>
      </c>
      <c r="Q11" s="29"/>
      <c r="R11" s="29"/>
      <c r="S11" s="31"/>
      <c r="T11" s="32"/>
      <c r="U11" s="33"/>
      <c r="V11" s="34"/>
    </row>
    <row r="12" customFormat="false" ht="15" hidden="false" customHeight="false" outlineLevel="2" collapsed="false">
      <c r="A12" s="35" t="n">
        <v>2</v>
      </c>
      <c r="B12" s="36" t="s">
        <v>346</v>
      </c>
      <c r="C12" s="37" t="s">
        <v>268</v>
      </c>
      <c r="D12" s="36" t="s">
        <v>10</v>
      </c>
      <c r="E12" s="36" t="str">
        <f aca="false">INDEX(REF_DATO,MATCH(D12,REF_ID,0))</f>
        <v>Acero (chapa LAC/LAF, SAE 1010/1045)</v>
      </c>
      <c r="F12" s="38" t="n">
        <v>1</v>
      </c>
      <c r="G12" s="35" t="s">
        <v>264</v>
      </c>
      <c r="H12" s="39" t="n">
        <f aca="false">INDEX(REF_VAL,MATCH(D12,REF_ID,0))</f>
        <v>7.85</v>
      </c>
      <c r="I12" s="40" t="n">
        <f aca="false">F12*J12</f>
        <v>0.128795305044951</v>
      </c>
      <c r="J12" s="40" t="n">
        <v>0.128795305044951</v>
      </c>
      <c r="K12" s="40" t="n">
        <f aca="false">I12*(1-V12)</f>
        <v>0.118438093971793</v>
      </c>
      <c r="L12" s="40" t="n">
        <f aca="false">I12*(1+V12)</f>
        <v>0.139152516118108</v>
      </c>
      <c r="M12" s="40" t="n">
        <f aca="false">F12*N12</f>
        <v>1.01104314460286</v>
      </c>
      <c r="N12" s="40" t="n">
        <f aca="false">J12*H12</f>
        <v>1.01104314460286</v>
      </c>
      <c r="O12" s="40" t="n">
        <f aca="false">K12*Q12</f>
        <v>0.929739037678576</v>
      </c>
      <c r="P12" s="40" t="n">
        <f aca="false">L12*R12</f>
        <v>1.09234725152715</v>
      </c>
      <c r="Q12" s="39" t="n">
        <f aca="false">INDEX(REF_MIN,MATCH(D12,REF_ID,0))</f>
        <v>7.85</v>
      </c>
      <c r="R12" s="39" t="n">
        <f aca="false">INDEX(REF_MAX,MATCH(D12,REF_ID,0))</f>
        <v>7.85</v>
      </c>
      <c r="S12" s="41" t="n">
        <v>20.7144221463151</v>
      </c>
      <c r="T12" s="42" t="n">
        <f aca="false">200*J12/S12</f>
        <v>1.24353268592493</v>
      </c>
      <c r="U12" s="43" t="n">
        <f aca="false">IFERROR(INDEX(ISO_TOL,MATCH(T12,ISO_DESDE,1)),0)</f>
        <v>0.1</v>
      </c>
      <c r="V12" s="44" t="n">
        <f aca="false">IF(T12&gt;0,U12/T12,0)</f>
        <v>0.0804160607371736</v>
      </c>
    </row>
    <row r="13" customFormat="false" ht="15" hidden="false" customHeight="false" outlineLevel="2" collapsed="false">
      <c r="A13" s="35" t="n">
        <v>2</v>
      </c>
      <c r="B13" s="36" t="s">
        <v>347</v>
      </c>
      <c r="C13" s="37" t="s">
        <v>270</v>
      </c>
      <c r="D13" s="36" t="s">
        <v>10</v>
      </c>
      <c r="E13" s="36" t="str">
        <f aca="false">INDEX(REF_DATO,MATCH(D13,REF_ID,0))</f>
        <v>Acero (chapa LAC/LAF, SAE 1010/1045)</v>
      </c>
      <c r="F13" s="38" t="n">
        <v>1</v>
      </c>
      <c r="G13" s="35" t="s">
        <v>264</v>
      </c>
      <c r="H13" s="39" t="n">
        <f aca="false">INDEX(REF_VAL,MATCH(D13,REF_ID,0))</f>
        <v>7.85</v>
      </c>
      <c r="I13" s="40" t="n">
        <f aca="false">F13*J13</f>
        <v>0.0220939211290204</v>
      </c>
      <c r="J13" s="40" t="n">
        <v>0.0220939211290204</v>
      </c>
      <c r="K13" s="40" t="n">
        <f aca="false">I13*(1-V13)</f>
        <v>0.0202462851191599</v>
      </c>
      <c r="L13" s="40" t="n">
        <f aca="false">I13*(1+V13)</f>
        <v>0.0239415571388808</v>
      </c>
      <c r="M13" s="40" t="n">
        <f aca="false">F13*N13</f>
        <v>0.17343728086281</v>
      </c>
      <c r="N13" s="40" t="n">
        <f aca="false">J13*H13</f>
        <v>0.17343728086281</v>
      </c>
      <c r="O13" s="40" t="n">
        <f aca="false">K13*Q13</f>
        <v>0.158933338185405</v>
      </c>
      <c r="P13" s="40" t="n">
        <f aca="false">L13*R13</f>
        <v>0.187941223540215</v>
      </c>
      <c r="Q13" s="39" t="n">
        <f aca="false">INDEX(REF_MIN,MATCH(D13,REF_ID,0))</f>
        <v>7.85</v>
      </c>
      <c r="R13" s="39" t="n">
        <f aca="false">INDEX(REF_MAX,MATCH(D13,REF_ID,0))</f>
        <v>7.85</v>
      </c>
      <c r="S13" s="41" t="n">
        <v>3.69527201972098</v>
      </c>
      <c r="T13" s="42" t="n">
        <f aca="false">200*J13/S13</f>
        <v>1.19579403146016</v>
      </c>
      <c r="U13" s="43" t="n">
        <f aca="false">IFERROR(INDEX(ISO_TOL,MATCH(T13,ISO_DESDE,1)),0)</f>
        <v>0.1</v>
      </c>
      <c r="V13" s="44" t="n">
        <f aca="false">IF(T13&gt;0,U13/T13,0)</f>
        <v>0.083626441819493</v>
      </c>
    </row>
    <row r="14" customFormat="false" ht="15" hidden="false" customHeight="false" outlineLevel="2" collapsed="false">
      <c r="A14" s="35" t="n">
        <v>2</v>
      </c>
      <c r="B14" s="36" t="s">
        <v>348</v>
      </c>
      <c r="C14" s="37" t="s">
        <v>272</v>
      </c>
      <c r="D14" s="36" t="s">
        <v>10</v>
      </c>
      <c r="E14" s="36" t="str">
        <f aca="false">INDEX(REF_DATO,MATCH(D14,REF_ID,0))</f>
        <v>Acero (chapa LAC/LAF, SAE 1010/1045)</v>
      </c>
      <c r="F14" s="38" t="n">
        <v>1</v>
      </c>
      <c r="G14" s="35" t="s">
        <v>264</v>
      </c>
      <c r="H14" s="39" t="n">
        <f aca="false">INDEX(REF_VAL,MATCH(D14,REF_ID,0))</f>
        <v>7.85</v>
      </c>
      <c r="I14" s="40" t="n">
        <f aca="false">F14*J14</f>
        <v>0.0211038947652496</v>
      </c>
      <c r="J14" s="40" t="n">
        <v>0.0211038947652496</v>
      </c>
      <c r="K14" s="40" t="n">
        <f aca="false">I14*(1-V14)</f>
        <v>0.0195560973672124</v>
      </c>
      <c r="L14" s="40" t="n">
        <f aca="false">I14*(1+V14)</f>
        <v>0.0226516921632869</v>
      </c>
      <c r="M14" s="40" t="n">
        <f aca="false">F14*N14</f>
        <v>0.16566557390721</v>
      </c>
      <c r="N14" s="40" t="n">
        <f aca="false">J14*H14</f>
        <v>0.16566557390721</v>
      </c>
      <c r="O14" s="40" t="n">
        <f aca="false">K14*Q14</f>
        <v>0.153515364332617</v>
      </c>
      <c r="P14" s="40" t="n">
        <f aca="false">L14*R14</f>
        <v>0.177815783481802</v>
      </c>
      <c r="Q14" s="39" t="n">
        <f aca="false">INDEX(REF_MIN,MATCH(D14,REF_ID,0))</f>
        <v>7.85</v>
      </c>
      <c r="R14" s="39" t="n">
        <f aca="false">INDEX(REF_MAX,MATCH(D14,REF_ID,0))</f>
        <v>7.85</v>
      </c>
      <c r="S14" s="41" t="n">
        <v>3.09559479607456</v>
      </c>
      <c r="T14" s="42" t="n">
        <f aca="false">200*J14/S14</f>
        <v>1.36347914733614</v>
      </c>
      <c r="U14" s="43" t="n">
        <f aca="false">IFERROR(INDEX(ISO_TOL,MATCH(T14,ISO_DESDE,1)),0)</f>
        <v>0.1</v>
      </c>
      <c r="V14" s="44" t="n">
        <f aca="false">IF(T14&gt;0,U14/T14,0)</f>
        <v>0.0733417890514662</v>
      </c>
    </row>
    <row r="15" customFormat="false" ht="15" hidden="false" customHeight="false" outlineLevel="2" collapsed="false">
      <c r="A15" s="35" t="n">
        <v>2</v>
      </c>
      <c r="B15" s="36" t="s">
        <v>349</v>
      </c>
      <c r="C15" s="37" t="s">
        <v>274</v>
      </c>
      <c r="D15" s="36" t="s">
        <v>10</v>
      </c>
      <c r="E15" s="36" t="str">
        <f aca="false">INDEX(REF_DATO,MATCH(D15,REF_ID,0))</f>
        <v>Acero (chapa LAC/LAF, SAE 1010/1045)</v>
      </c>
      <c r="F15" s="38" t="n">
        <v>1</v>
      </c>
      <c r="G15" s="35" t="s">
        <v>264</v>
      </c>
      <c r="H15" s="39" t="n">
        <f aca="false">INDEX(REF_VAL,MATCH(D15,REF_ID,0))</f>
        <v>7.85</v>
      </c>
      <c r="I15" s="40" t="n">
        <f aca="false">F15*J15</f>
        <v>0.00694131726642634</v>
      </c>
      <c r="J15" s="40" t="n">
        <v>0.00694131726642634</v>
      </c>
      <c r="K15" s="40" t="n">
        <f aca="false">I15*(1-V15)</f>
        <v>0.0067304195148395</v>
      </c>
      <c r="L15" s="40" t="n">
        <f aca="false">I15*(1+V15)</f>
        <v>0.00715221501801318</v>
      </c>
      <c r="M15" s="40" t="n">
        <f aca="false">F15*N15</f>
        <v>0.0544893405414468</v>
      </c>
      <c r="N15" s="40" t="n">
        <f aca="false">J15*H15</f>
        <v>0.0544893405414468</v>
      </c>
      <c r="O15" s="40" t="n">
        <f aca="false">K15*Q15</f>
        <v>0.0528337931914901</v>
      </c>
      <c r="P15" s="40" t="n">
        <f aca="false">L15*R15</f>
        <v>0.0561448878914035</v>
      </c>
      <c r="Q15" s="39" t="n">
        <f aca="false">INDEX(REF_MIN,MATCH(D15,REF_ID,0))</f>
        <v>7.85</v>
      </c>
      <c r="R15" s="39" t="n">
        <f aca="false">INDEX(REF_MAX,MATCH(D15,REF_ID,0))</f>
        <v>7.85</v>
      </c>
      <c r="S15" s="41" t="n">
        <v>0.421795503173683</v>
      </c>
      <c r="T15" s="42" t="n">
        <f aca="false">200*J15/S15</f>
        <v>3.29131876191108</v>
      </c>
      <c r="U15" s="43" t="n">
        <f aca="false">IFERROR(INDEX(ISO_TOL,MATCH(T15,ISO_DESDE,1)),0)</f>
        <v>0.1</v>
      </c>
      <c r="V15" s="44" t="n">
        <f aca="false">IF(T15&gt;0,U15/T15,0)</f>
        <v>0.0303829580887923</v>
      </c>
    </row>
    <row r="16" customFormat="false" ht="15" hidden="false" customHeight="false" outlineLevel="2" collapsed="false">
      <c r="A16" s="35" t="n">
        <v>2</v>
      </c>
      <c r="B16" s="36" t="s">
        <v>1155</v>
      </c>
      <c r="C16" s="37" t="s">
        <v>1150</v>
      </c>
      <c r="D16" s="36"/>
      <c r="E16" s="36"/>
      <c r="F16" s="38" t="n">
        <v>1</v>
      </c>
      <c r="G16" s="35" t="s">
        <v>264</v>
      </c>
      <c r="H16" s="39"/>
      <c r="I16" s="40"/>
      <c r="J16" s="40"/>
      <c r="K16" s="40"/>
      <c r="L16" s="40"/>
      <c r="M16" s="40"/>
      <c r="N16" s="40"/>
      <c r="O16" s="40"/>
      <c r="P16" s="40"/>
      <c r="Q16" s="39"/>
      <c r="R16" s="39"/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1156</v>
      </c>
      <c r="C17" s="37" t="s">
        <v>1152</v>
      </c>
      <c r="D17" s="36"/>
      <c r="E17" s="36"/>
      <c r="F17" s="38" t="n">
        <v>1</v>
      </c>
      <c r="G17" s="35" t="s">
        <v>264</v>
      </c>
      <c r="H17" s="39"/>
      <c r="I17" s="40"/>
      <c r="J17" s="40"/>
      <c r="K17" s="40"/>
      <c r="L17" s="40"/>
      <c r="M17" s="40"/>
      <c r="N17" s="40"/>
      <c r="O17" s="40"/>
      <c r="P17" s="40"/>
      <c r="Q17" s="39"/>
      <c r="R17" s="39"/>
      <c r="S17" s="41"/>
      <c r="T17" s="42"/>
      <c r="U17" s="43"/>
      <c r="V17" s="44"/>
    </row>
    <row r="18" customFormat="false" ht="15" hidden="false" customHeight="false" outlineLevel="0" collapsed="false">
      <c r="A18" s="16" t="n">
        <v>0</v>
      </c>
      <c r="B18" s="17" t="s">
        <v>398</v>
      </c>
      <c r="C18" s="17" t="s">
        <v>1157</v>
      </c>
      <c r="D18" s="17"/>
      <c r="E18" s="17"/>
      <c r="F18" s="18" t="n">
        <v>1</v>
      </c>
      <c r="G18" s="16" t="s">
        <v>264</v>
      </c>
      <c r="H18" s="19"/>
      <c r="I18" s="20"/>
      <c r="J18" s="20"/>
      <c r="K18" s="20"/>
      <c r="L18" s="20"/>
      <c r="M18" s="20" t="n">
        <f aca="false">IF(SUMIF(A19:A25,1,M19:M25)=0,"",SUMIF(A19:A25,1,M19:M25))</f>
        <v>2.69106540062604</v>
      </c>
      <c r="N18" s="20"/>
      <c r="O18" s="20" t="n">
        <f aca="false">IF(SUMIF(A19:A25,1,O19:O25)=0,"",SUMIF(A19:A25,1,O19:O25))</f>
        <v>2.52518629857663</v>
      </c>
      <c r="P18" s="20" t="n">
        <f aca="false">IF(SUMIF(A19:A25,1,P19:P25)=0,"",SUMIF(A19:A25,1,P19:P25))</f>
        <v>2.85694450267545</v>
      </c>
      <c r="Q18" s="19"/>
      <c r="R18" s="19"/>
      <c r="S18" s="21"/>
      <c r="T18" s="22"/>
      <c r="U18" s="23"/>
      <c r="V18" s="24"/>
    </row>
    <row r="19" customFormat="false" ht="15" hidden="false" customHeight="false" outlineLevel="1" collapsed="false">
      <c r="A19" s="25" t="n">
        <v>1</v>
      </c>
      <c r="B19" s="26" t="s">
        <v>1158</v>
      </c>
      <c r="C19" s="27" t="s">
        <v>266</v>
      </c>
      <c r="D19" s="26"/>
      <c r="E19" s="26"/>
      <c r="F19" s="28" t="n">
        <v>1</v>
      </c>
      <c r="G19" s="25" t="s">
        <v>264</v>
      </c>
      <c r="H19" s="29"/>
      <c r="I19" s="30"/>
      <c r="J19" s="30"/>
      <c r="K19" s="30"/>
      <c r="L19" s="30"/>
      <c r="M19" s="30" t="n">
        <f aca="false">IF(SUMIF(A20:A25,2,M20:M25)=0,"",SUMIF(A20:A25,2,M20:M25))</f>
        <v>2.69106540062604</v>
      </c>
      <c r="N19" s="30"/>
      <c r="O19" s="30" t="n">
        <f aca="false">IF(SUMIF(A20:A25,2,O20:O25)=0,"",SUMIF(A20:A25,2,O20:O25))</f>
        <v>2.52518629857663</v>
      </c>
      <c r="P19" s="30" t="n">
        <f aca="false">IF(SUMIF(A20:A25,2,P20:P25)=0,"",SUMIF(A20:A25,2,P20:P25))</f>
        <v>2.85694450267545</v>
      </c>
      <c r="Q19" s="29"/>
      <c r="R19" s="29"/>
      <c r="S19" s="31"/>
      <c r="T19" s="32"/>
      <c r="U19" s="33"/>
      <c r="V19" s="34"/>
    </row>
    <row r="20" customFormat="false" ht="15" hidden="false" customHeight="false" outlineLevel="2" collapsed="false">
      <c r="A20" s="35" t="n">
        <v>2</v>
      </c>
      <c r="B20" s="36" t="s">
        <v>399</v>
      </c>
      <c r="C20" s="37" t="s">
        <v>268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0.24893432097772</v>
      </c>
      <c r="J20" s="40" t="n">
        <v>0.24893432097772</v>
      </c>
      <c r="K20" s="40" t="n">
        <f aca="false">I20*(1-V20)</f>
        <v>0.233288874164672</v>
      </c>
      <c r="L20" s="40" t="n">
        <f aca="false">I20*(1+V20)</f>
        <v>0.264579767790769</v>
      </c>
      <c r="M20" s="40" t="n">
        <f aca="false">F20*N20</f>
        <v>1.95413441967511</v>
      </c>
      <c r="N20" s="40" t="n">
        <f aca="false">J20*H20</f>
        <v>1.95413441967511</v>
      </c>
      <c r="O20" s="40" t="n">
        <f aca="false">K20*Q20</f>
        <v>1.83131766219267</v>
      </c>
      <c r="P20" s="40" t="n">
        <f aca="false">L20*R20</f>
        <v>2.07695117715754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31.2908936260973</v>
      </c>
      <c r="T20" s="42" t="n">
        <f aca="false">200*J20/S20</f>
        <v>1.5910975503116</v>
      </c>
      <c r="U20" s="43" t="n">
        <f aca="false">IFERROR(INDEX(ISO_TOL,MATCH(T20,ISO_DESDE,1)),0)</f>
        <v>0.1</v>
      </c>
      <c r="V20" s="44" t="n">
        <f aca="false">IF(T20&gt;0,U20/T20,0)</f>
        <v>0.0628496976696472</v>
      </c>
    </row>
    <row r="21" customFormat="false" ht="15" hidden="false" customHeight="false" outlineLevel="2" collapsed="false">
      <c r="A21" s="35" t="n">
        <v>2</v>
      </c>
      <c r="B21" s="36" t="s">
        <v>400</v>
      </c>
      <c r="C21" s="37" t="s">
        <v>270</v>
      </c>
      <c r="D21" s="36" t="s">
        <v>10</v>
      </c>
      <c r="E21" s="36" t="str">
        <f aca="false">INDEX(REF_DATO,MATCH(D21,REF_ID,0))</f>
        <v>Acero (chapa LAC/LAF, SAE 1010/1045)</v>
      </c>
      <c r="F21" s="38" t="n">
        <v>1</v>
      </c>
      <c r="G21" s="35" t="s">
        <v>264</v>
      </c>
      <c r="H21" s="39" t="n">
        <f aca="false">INDEX(REF_VAL,MATCH(D21,REF_ID,0))</f>
        <v>7.85</v>
      </c>
      <c r="I21" s="40" t="n">
        <f aca="false">F21*J21</f>
        <v>0.0459583713072003</v>
      </c>
      <c r="J21" s="40" t="n">
        <v>0.0459583713072003</v>
      </c>
      <c r="K21" s="40" t="n">
        <f aca="false">I21*(1-V21)</f>
        <v>0.0429667063861364</v>
      </c>
      <c r="L21" s="40" t="n">
        <f aca="false">I21*(1+V21)</f>
        <v>0.0489500362282642</v>
      </c>
      <c r="M21" s="40" t="n">
        <f aca="false">F21*N21</f>
        <v>0.360773214761522</v>
      </c>
      <c r="N21" s="40" t="n">
        <f aca="false">J21*H21</f>
        <v>0.360773214761522</v>
      </c>
      <c r="O21" s="40" t="n">
        <f aca="false">K21*Q21</f>
        <v>0.33728864513117</v>
      </c>
      <c r="P21" s="40" t="n">
        <f aca="false">L21*R21</f>
        <v>0.384257784391874</v>
      </c>
      <c r="Q21" s="39" t="n">
        <f aca="false">INDEX(REF_MIN,MATCH(D21,REF_ID,0))</f>
        <v>7.85</v>
      </c>
      <c r="R21" s="39" t="n">
        <f aca="false">INDEX(REF_MAX,MATCH(D21,REF_ID,0))</f>
        <v>7.85</v>
      </c>
      <c r="S21" s="41" t="n">
        <v>5.98332984212788</v>
      </c>
      <c r="T21" s="42" t="n">
        <f aca="false">200*J21/S21</f>
        <v>1.53621386484874</v>
      </c>
      <c r="U21" s="43" t="n">
        <f aca="false">IFERROR(INDEX(ISO_TOL,MATCH(T21,ISO_DESDE,1)),0)</f>
        <v>0.1</v>
      </c>
      <c r="V21" s="44" t="n">
        <f aca="false">IF(T21&gt;0,U21/T21,0)</f>
        <v>0.0650951031546942</v>
      </c>
    </row>
    <row r="22" customFormat="false" ht="15" hidden="false" customHeight="false" outlineLevel="2" collapsed="false">
      <c r="A22" s="35" t="n">
        <v>2</v>
      </c>
      <c r="B22" s="36" t="s">
        <v>401</v>
      </c>
      <c r="C22" s="37" t="s">
        <v>272</v>
      </c>
      <c r="D22" s="36" t="s">
        <v>10</v>
      </c>
      <c r="E22" s="36" t="str">
        <f aca="false">INDEX(REF_DATO,MATCH(D22,REF_ID,0))</f>
        <v>Acero (chapa LAC/LAF, SAE 1010/1045)</v>
      </c>
      <c r="F22" s="38" t="n">
        <v>1</v>
      </c>
      <c r="G22" s="35" t="s">
        <v>264</v>
      </c>
      <c r="H22" s="39" t="n">
        <f aca="false">INDEX(REF_VAL,MATCH(D22,REF_ID,0))</f>
        <v>7.85</v>
      </c>
      <c r="I22" s="40" t="n">
        <f aca="false">F22*J22</f>
        <v>0.0404159140887371</v>
      </c>
      <c r="J22" s="40" t="n">
        <v>0.0404159140887371</v>
      </c>
      <c r="K22" s="40" t="n">
        <f aca="false">I22*(1-V22)</f>
        <v>0.0381466534782765</v>
      </c>
      <c r="L22" s="40" t="n">
        <f aca="false">I22*(1+V22)</f>
        <v>0.0426851746991976</v>
      </c>
      <c r="M22" s="40" t="n">
        <f aca="false">F22*N22</f>
        <v>0.317264925596586</v>
      </c>
      <c r="N22" s="40" t="n">
        <f aca="false">J22*H22</f>
        <v>0.317264925596586</v>
      </c>
      <c r="O22" s="40" t="n">
        <f aca="false">K22*Q22</f>
        <v>0.29945122980447</v>
      </c>
      <c r="P22" s="40" t="n">
        <f aca="false">L22*R22</f>
        <v>0.335078621388701</v>
      </c>
      <c r="Q22" s="39" t="n">
        <f aca="false">INDEX(REF_MIN,MATCH(D22,REF_ID,0))</f>
        <v>7.85</v>
      </c>
      <c r="R22" s="39" t="n">
        <f aca="false">INDEX(REF_MAX,MATCH(D22,REF_ID,0))</f>
        <v>7.85</v>
      </c>
      <c r="S22" s="41" t="n">
        <v>4.53852122092116</v>
      </c>
      <c r="T22" s="42" t="n">
        <f aca="false">200*J22/S22</f>
        <v>1.78101686084147</v>
      </c>
      <c r="U22" s="43" t="n">
        <f aca="false">IFERROR(INDEX(ISO_TOL,MATCH(T22,ISO_DESDE,1)),0)</f>
        <v>0.1</v>
      </c>
      <c r="V22" s="44" t="n">
        <f aca="false">IF(T22&gt;0,U22/T22,0)</f>
        <v>0.0561476997768305</v>
      </c>
    </row>
    <row r="23" customFormat="false" ht="15" hidden="false" customHeight="false" outlineLevel="2" collapsed="false">
      <c r="A23" s="35" t="n">
        <v>2</v>
      </c>
      <c r="B23" s="36" t="s">
        <v>402</v>
      </c>
      <c r="C23" s="37" t="s">
        <v>274</v>
      </c>
      <c r="D23" s="36" t="s">
        <v>10</v>
      </c>
      <c r="E23" s="36" t="str">
        <f aca="false">INDEX(REF_DATO,MATCH(D23,REF_ID,0))</f>
        <v>Acero (chapa LAC/LAF, SAE 1010/1045)</v>
      </c>
      <c r="F23" s="38" t="n">
        <v>1</v>
      </c>
      <c r="G23" s="35" t="s">
        <v>264</v>
      </c>
      <c r="H23" s="39" t="n">
        <f aca="false">INDEX(REF_VAL,MATCH(D23,REF_ID,0))</f>
        <v>7.85</v>
      </c>
      <c r="I23" s="40" t="n">
        <f aca="false">F23*J23</f>
        <v>0.00750227268698458</v>
      </c>
      <c r="J23" s="40" t="n">
        <v>0.00750227268698458</v>
      </c>
      <c r="K23" s="40" t="n">
        <f aca="false">I23*(1-V23)</f>
        <v>0.00727754922908514</v>
      </c>
      <c r="L23" s="40" t="n">
        <f aca="false">I23*(1+V23)</f>
        <v>0.00772699614488401</v>
      </c>
      <c r="M23" s="40" t="n">
        <f aca="false">F23*N23</f>
        <v>0.0588928405928289</v>
      </c>
      <c r="N23" s="40" t="n">
        <f aca="false">J23*H23</f>
        <v>0.0588928405928289</v>
      </c>
      <c r="O23" s="40" t="n">
        <f aca="false">K23*Q23</f>
        <v>0.0571287614483184</v>
      </c>
      <c r="P23" s="40" t="n">
        <f aca="false">L23*R23</f>
        <v>0.0606569197373395</v>
      </c>
      <c r="Q23" s="39" t="n">
        <f aca="false">INDEX(REF_MIN,MATCH(D23,REF_ID,0))</f>
        <v>7.85</v>
      </c>
      <c r="R23" s="39" t="n">
        <f aca="false">INDEX(REF_MAX,MATCH(D23,REF_ID,0))</f>
        <v>7.85</v>
      </c>
      <c r="S23" s="41" t="n">
        <v>0.449446915798867</v>
      </c>
      <c r="T23" s="42" t="n">
        <f aca="false">200*J23/S23</f>
        <v>3.33844662106523</v>
      </c>
      <c r="U23" s="43" t="n">
        <f aca="false">IFERROR(INDEX(ISO_TOL,MATCH(T23,ISO_DESDE,1)),0)</f>
        <v>0.1</v>
      </c>
      <c r="V23" s="44" t="n">
        <f aca="false">IF(T23&gt;0,U23/T23,0)</f>
        <v>0.0299540508957103</v>
      </c>
    </row>
    <row r="24" customFormat="false" ht="15" hidden="false" customHeight="false" outlineLevel="2" collapsed="false">
      <c r="A24" s="35" t="n">
        <v>2</v>
      </c>
      <c r="B24" s="36" t="s">
        <v>1159</v>
      </c>
      <c r="C24" s="37" t="s">
        <v>1150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2" collapsed="false">
      <c r="A25" s="35" t="n">
        <v>2</v>
      </c>
      <c r="B25" s="36" t="s">
        <v>1160</v>
      </c>
      <c r="C25" s="37" t="s">
        <v>1152</v>
      </c>
      <c r="D25" s="36"/>
      <c r="E25" s="36"/>
      <c r="F25" s="38" t="n">
        <v>1</v>
      </c>
      <c r="G25" s="35" t="s">
        <v>264</v>
      </c>
      <c r="H25" s="39"/>
      <c r="I25" s="40"/>
      <c r="J25" s="40"/>
      <c r="K25" s="40"/>
      <c r="L25" s="40"/>
      <c r="M25" s="40"/>
      <c r="N25" s="40"/>
      <c r="O25" s="40"/>
      <c r="P25" s="40"/>
      <c r="Q25" s="39"/>
      <c r="R25" s="39"/>
      <c r="S25" s="41"/>
      <c r="T25" s="42"/>
      <c r="U25" s="43"/>
      <c r="V25" s="44"/>
    </row>
    <row r="26" customFormat="false" ht="15" hidden="false" customHeight="false" outlineLevel="0" collapsed="false">
      <c r="A26" s="16" t="n">
        <v>0</v>
      </c>
      <c r="B26" s="17" t="s">
        <v>443</v>
      </c>
      <c r="C26" s="17" t="s">
        <v>1161</v>
      </c>
      <c r="D26" s="17"/>
      <c r="E26" s="17"/>
      <c r="F26" s="18" t="n">
        <v>1</v>
      </c>
      <c r="G26" s="16" t="s">
        <v>264</v>
      </c>
      <c r="H26" s="19"/>
      <c r="I26" s="20"/>
      <c r="J26" s="20"/>
      <c r="K26" s="20"/>
      <c r="L26" s="20"/>
      <c r="M26" s="20" t="n">
        <f aca="false">IF(SUMIF(A27:A33,1,M27:M33)=0,"",SUMIF(A27:A33,1,M27:M33))</f>
        <v>5.42712703192002</v>
      </c>
      <c r="N26" s="20"/>
      <c r="O26" s="20" t="n">
        <f aca="false">IF(SUMIF(A27:A33,1,O27:O33)=0,"",SUMIF(A27:A33,1,O27:O33))</f>
        <v>5.14995483413667</v>
      </c>
      <c r="P26" s="20" t="n">
        <f aca="false">IF(SUMIF(A27:A33,1,P27:P33)=0,"",SUMIF(A27:A33,1,P27:P33))</f>
        <v>5.70429922970337</v>
      </c>
      <c r="Q26" s="19"/>
      <c r="R26" s="19"/>
      <c r="S26" s="21"/>
      <c r="T26" s="22"/>
      <c r="U26" s="23"/>
      <c r="V26" s="24"/>
    </row>
    <row r="27" customFormat="false" ht="15" hidden="false" customHeight="false" outlineLevel="1" collapsed="false">
      <c r="A27" s="25" t="n">
        <v>1</v>
      </c>
      <c r="B27" s="26" t="s">
        <v>1162</v>
      </c>
      <c r="C27" s="27" t="s">
        <v>266</v>
      </c>
      <c r="D27" s="26"/>
      <c r="E27" s="26"/>
      <c r="F27" s="28" t="n">
        <v>1</v>
      </c>
      <c r="G27" s="25" t="s">
        <v>264</v>
      </c>
      <c r="H27" s="29"/>
      <c r="I27" s="30"/>
      <c r="J27" s="30"/>
      <c r="K27" s="30"/>
      <c r="L27" s="30"/>
      <c r="M27" s="30" t="n">
        <f aca="false">IF(SUMIF(A28:A33,2,M28:M33)=0,"",SUMIF(A28:A33,2,M28:M33))</f>
        <v>5.42712703192002</v>
      </c>
      <c r="N27" s="30"/>
      <c r="O27" s="30" t="n">
        <f aca="false">IF(SUMIF(A28:A33,2,O28:O33)=0,"",SUMIF(A28:A33,2,O28:O33))</f>
        <v>5.14995483413667</v>
      </c>
      <c r="P27" s="30" t="n">
        <f aca="false">IF(SUMIF(A28:A33,2,P28:P33)=0,"",SUMIF(A28:A33,2,P28:P33))</f>
        <v>5.70429922970337</v>
      </c>
      <c r="Q27" s="29"/>
      <c r="R27" s="29"/>
      <c r="S27" s="31"/>
      <c r="T27" s="32"/>
      <c r="U27" s="33"/>
      <c r="V27" s="34"/>
    </row>
    <row r="28" customFormat="false" ht="15" hidden="false" customHeight="false" outlineLevel="2" collapsed="false">
      <c r="A28" s="35" t="n">
        <v>2</v>
      </c>
      <c r="B28" s="36" t="s">
        <v>444</v>
      </c>
      <c r="C28" s="37" t="s">
        <v>268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0.555875624715548</v>
      </c>
      <c r="J28" s="40" t="n">
        <v>0.555875624715548</v>
      </c>
      <c r="K28" s="40" t="n">
        <f aca="false">I28*(1-V28)</f>
        <v>0.527948838891586</v>
      </c>
      <c r="L28" s="40" t="n">
        <f aca="false">I28*(1+V28)</f>
        <v>0.583802410539509</v>
      </c>
      <c r="M28" s="40" t="n">
        <f aca="false">F28*N28</f>
        <v>4.36362365401705</v>
      </c>
      <c r="N28" s="40" t="n">
        <f aca="false">J28*H28</f>
        <v>4.36362365401705</v>
      </c>
      <c r="O28" s="40" t="n">
        <f aca="false">K28*Q28</f>
        <v>4.14439838529895</v>
      </c>
      <c r="P28" s="40" t="n">
        <f aca="false">L28*R28</f>
        <v>4.58284892273514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55.8535716479224</v>
      </c>
      <c r="T28" s="42" t="n">
        <f aca="false">200*J28/S28</f>
        <v>1.9904747657663</v>
      </c>
      <c r="U28" s="43" t="n">
        <f aca="false">IFERROR(INDEX(ISO_TOL,MATCH(T28,ISO_DESDE,1)),0)</f>
        <v>0.1</v>
      </c>
      <c r="V28" s="44" t="n">
        <f aca="false">IF(T28&gt;0,U28/T28,0)</f>
        <v>0.0502392704091889</v>
      </c>
    </row>
    <row r="29" customFormat="false" ht="15" hidden="false" customHeight="false" outlineLevel="2" collapsed="false">
      <c r="A29" s="35" t="n">
        <v>2</v>
      </c>
      <c r="B29" s="36" t="s">
        <v>445</v>
      </c>
      <c r="C29" s="37" t="s">
        <v>270</v>
      </c>
      <c r="D29" s="36" t="s">
        <v>10</v>
      </c>
      <c r="E29" s="36" t="str">
        <f aca="false">INDEX(REF_DATO,MATCH(D29,REF_ID,0))</f>
        <v>Acero (chapa LAC/LAF, SAE 1010/1045)</v>
      </c>
      <c r="F29" s="38" t="n">
        <v>1</v>
      </c>
      <c r="G29" s="35" t="s">
        <v>264</v>
      </c>
      <c r="H29" s="39" t="n">
        <f aca="false">INDEX(REF_VAL,MATCH(D29,REF_ID,0))</f>
        <v>7.85</v>
      </c>
      <c r="I29" s="40" t="n">
        <f aca="false">F29*J29</f>
        <v>0.0638201333707663</v>
      </c>
      <c r="J29" s="40" t="n">
        <v>0.0638201333707663</v>
      </c>
      <c r="K29" s="40" t="n">
        <f aca="false">I29*(1-V29)</f>
        <v>0.059665016985105</v>
      </c>
      <c r="L29" s="40" t="n">
        <f aca="false">I29*(1+V29)</f>
        <v>0.0679752497564276</v>
      </c>
      <c r="M29" s="40" t="n">
        <f aca="false">F29*N29</f>
        <v>0.500988046960515</v>
      </c>
      <c r="N29" s="40" t="n">
        <f aca="false">J29*H29</f>
        <v>0.500988046960515</v>
      </c>
      <c r="O29" s="40" t="n">
        <f aca="false">K29*Q29</f>
        <v>0.468370383333074</v>
      </c>
      <c r="P29" s="40" t="n">
        <f aca="false">L29*R29</f>
        <v>0.533605710587957</v>
      </c>
      <c r="Q29" s="39" t="n">
        <f aca="false">INDEX(REF_MIN,MATCH(D29,REF_ID,0))</f>
        <v>7.85</v>
      </c>
      <c r="R29" s="39" t="n">
        <f aca="false">INDEX(REF_MAX,MATCH(D29,REF_ID,0))</f>
        <v>7.85</v>
      </c>
      <c r="S29" s="41" t="n">
        <v>8.31023277132263</v>
      </c>
      <c r="T29" s="42" t="n">
        <f aca="false">200*J29/S29</f>
        <v>1.5359409327498</v>
      </c>
      <c r="U29" s="43" t="n">
        <f aca="false">IFERROR(INDEX(ISO_TOL,MATCH(T29,ISO_DESDE,1)),0)</f>
        <v>0.1</v>
      </c>
      <c r="V29" s="44" t="n">
        <f aca="false">IF(T29&gt;0,U29/T29,0)</f>
        <v>0.065106670359367</v>
      </c>
    </row>
    <row r="30" customFormat="false" ht="15" hidden="false" customHeight="false" outlineLevel="2" collapsed="false">
      <c r="A30" s="35" t="n">
        <v>2</v>
      </c>
      <c r="B30" s="36" t="s">
        <v>446</v>
      </c>
      <c r="C30" s="37" t="s">
        <v>272</v>
      </c>
      <c r="D30" s="36" t="s">
        <v>10</v>
      </c>
      <c r="E30" s="36" t="str">
        <f aca="false">INDEX(REF_DATO,MATCH(D30,REF_ID,0))</f>
        <v>Acero (chapa LAC/LAF, SAE 1010/1045)</v>
      </c>
      <c r="F30" s="38" t="n">
        <v>1</v>
      </c>
      <c r="G30" s="35" t="s">
        <v>264</v>
      </c>
      <c r="H30" s="39" t="n">
        <f aca="false">INDEX(REF_VAL,MATCH(D30,REF_ID,0))</f>
        <v>7.85</v>
      </c>
      <c r="I30" s="40" t="n">
        <f aca="false">F30*J30</f>
        <v>0.0647622839221063</v>
      </c>
      <c r="J30" s="40" t="n">
        <v>0.0647622839221063</v>
      </c>
      <c r="K30" s="40" t="n">
        <f aca="false">I30*(1-V30)</f>
        <v>0.0617484374058981</v>
      </c>
      <c r="L30" s="40" t="n">
        <f aca="false">I30*(1+V30)</f>
        <v>0.0677761304383145</v>
      </c>
      <c r="M30" s="40" t="n">
        <f aca="false">F30*N30</f>
        <v>0.508383928788534</v>
      </c>
      <c r="N30" s="40" t="n">
        <f aca="false">J30*H30</f>
        <v>0.508383928788534</v>
      </c>
      <c r="O30" s="40" t="n">
        <f aca="false">K30*Q30</f>
        <v>0.4847252336363</v>
      </c>
      <c r="P30" s="40" t="n">
        <f aca="false">L30*R30</f>
        <v>0.532042623940769</v>
      </c>
      <c r="Q30" s="39" t="n">
        <f aca="false">INDEX(REF_MIN,MATCH(D30,REF_ID,0))</f>
        <v>7.85</v>
      </c>
      <c r="R30" s="39" t="n">
        <f aca="false">INDEX(REF_MAX,MATCH(D30,REF_ID,0))</f>
        <v>7.85</v>
      </c>
      <c r="S30" s="41" t="n">
        <v>6.02769303241639</v>
      </c>
      <c r="T30" s="42" t="n">
        <f aca="false">200*J30/S30</f>
        <v>2.14882488453943</v>
      </c>
      <c r="U30" s="43" t="n">
        <f aca="false">IFERROR(INDEX(ISO_TOL,MATCH(T30,ISO_DESDE,1)),0)</f>
        <v>0.1</v>
      </c>
      <c r="V30" s="44" t="n">
        <f aca="false">IF(T30&gt;0,U30/T30,0)</f>
        <v>0.0465370634524431</v>
      </c>
    </row>
    <row r="31" customFormat="false" ht="15" hidden="false" customHeight="false" outlineLevel="2" collapsed="false">
      <c r="A31" s="35" t="n">
        <v>2</v>
      </c>
      <c r="B31" s="36" t="s">
        <v>447</v>
      </c>
      <c r="C31" s="37" t="s">
        <v>274</v>
      </c>
      <c r="D31" s="36" t="s">
        <v>10</v>
      </c>
      <c r="E31" s="36" t="str">
        <f aca="false">INDEX(REF_DATO,MATCH(D31,REF_ID,0))</f>
        <v>Acero (chapa LAC/LAF, SAE 1010/1045)</v>
      </c>
      <c r="F31" s="38" t="n">
        <v>1</v>
      </c>
      <c r="G31" s="35" t="s">
        <v>264</v>
      </c>
      <c r="H31" s="39" t="n">
        <f aca="false">INDEX(REF_VAL,MATCH(D31,REF_ID,0))</f>
        <v>7.85</v>
      </c>
      <c r="I31" s="40" t="n">
        <f aca="false">F31*J31</f>
        <v>0.00689572001960729</v>
      </c>
      <c r="J31" s="40" t="n">
        <v>0.00689572001960729</v>
      </c>
      <c r="K31" s="40" t="n">
        <f aca="false">I31*(1-V31)</f>
        <v>0.00668290851825968</v>
      </c>
      <c r="L31" s="40" t="n">
        <f aca="false">I31*(1+V31)</f>
        <v>0.0071085315209549</v>
      </c>
      <c r="M31" s="40" t="n">
        <f aca="false">F31*N31</f>
        <v>0.0541314021539172</v>
      </c>
      <c r="N31" s="40" t="n">
        <f aca="false">J31*H31</f>
        <v>0.0541314021539172</v>
      </c>
      <c r="O31" s="40" t="n">
        <f aca="false">K31*Q31</f>
        <v>0.0524608318683385</v>
      </c>
      <c r="P31" s="40" t="n">
        <f aca="false">L31*R31</f>
        <v>0.055801972439496</v>
      </c>
      <c r="Q31" s="39" t="n">
        <f aca="false">INDEX(REF_MIN,MATCH(D31,REF_ID,0))</f>
        <v>7.85</v>
      </c>
      <c r="R31" s="39" t="n">
        <f aca="false">INDEX(REF_MAX,MATCH(D31,REF_ID,0))</f>
        <v>7.85</v>
      </c>
      <c r="S31" s="41" t="n">
        <v>0.425623002695221</v>
      </c>
      <c r="T31" s="42" t="n">
        <f aca="false">200*J31/S31</f>
        <v>3.24029480358944</v>
      </c>
      <c r="U31" s="43" t="n">
        <f aca="false">IFERROR(INDEX(ISO_TOL,MATCH(T31,ISO_DESDE,1)),0)</f>
        <v>0.1</v>
      </c>
      <c r="V31" s="44" t="n">
        <f aca="false">IF(T31&gt;0,U31/T31,0)</f>
        <v>0.0308613894912355</v>
      </c>
    </row>
    <row r="32" customFormat="false" ht="15" hidden="false" customHeight="false" outlineLevel="2" collapsed="false">
      <c r="A32" s="35" t="n">
        <v>2</v>
      </c>
      <c r="B32" s="36" t="s">
        <v>1163</v>
      </c>
      <c r="C32" s="37" t="s">
        <v>1150</v>
      </c>
      <c r="D32" s="36"/>
      <c r="E32" s="36"/>
      <c r="F32" s="38" t="n">
        <v>1</v>
      </c>
      <c r="G32" s="35" t="s">
        <v>264</v>
      </c>
      <c r="H32" s="39"/>
      <c r="I32" s="40"/>
      <c r="J32" s="40"/>
      <c r="K32" s="40"/>
      <c r="L32" s="40"/>
      <c r="M32" s="40"/>
      <c r="N32" s="40"/>
      <c r="O32" s="40"/>
      <c r="P32" s="40"/>
      <c r="Q32" s="39"/>
      <c r="R32" s="39"/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1164</v>
      </c>
      <c r="C33" s="37" t="s">
        <v>1152</v>
      </c>
      <c r="D33" s="36"/>
      <c r="E33" s="36"/>
      <c r="F33" s="38" t="n">
        <v>1</v>
      </c>
      <c r="G33" s="35" t="s">
        <v>264</v>
      </c>
      <c r="H33" s="39"/>
      <c r="I33" s="40"/>
      <c r="J33" s="40"/>
      <c r="K33" s="40"/>
      <c r="L33" s="40"/>
      <c r="M33" s="40"/>
      <c r="N33" s="40"/>
      <c r="O33" s="40"/>
      <c r="P33" s="40"/>
      <c r="Q33" s="39"/>
      <c r="R33" s="39"/>
      <c r="S33" s="41"/>
      <c r="T33" s="42"/>
      <c r="U33" s="43"/>
      <c r="V33" s="44"/>
    </row>
    <row r="34" customFormat="false" ht="15" hidden="false" customHeight="false" outlineLevel="0" collapsed="false">
      <c r="A34" s="16" t="n">
        <v>0</v>
      </c>
      <c r="B34" s="17" t="s">
        <v>488</v>
      </c>
      <c r="C34" s="17" t="s">
        <v>1165</v>
      </c>
      <c r="D34" s="17"/>
      <c r="E34" s="17"/>
      <c r="F34" s="18" t="n">
        <v>1</v>
      </c>
      <c r="G34" s="16" t="s">
        <v>264</v>
      </c>
      <c r="H34" s="19"/>
      <c r="I34" s="20"/>
      <c r="J34" s="20"/>
      <c r="K34" s="20"/>
      <c r="L34" s="20"/>
      <c r="M34" s="20" t="n">
        <f aca="false">IF(SUMIF(A35:A41,1,M35:M41)=0,"",SUMIF(A35:A41,1,M35:M41))</f>
        <v>15.5961158516687</v>
      </c>
      <c r="N34" s="20"/>
      <c r="O34" s="20" t="n">
        <f aca="false">IF(SUMIF(A35:A41,1,O35:O41)=0,"",SUMIF(A35:A41,1,O35:O41))</f>
        <v>15.1012198395563</v>
      </c>
      <c r="P34" s="20" t="n">
        <f aca="false">IF(SUMIF(A35:A41,1,P35:P41)=0,"",SUMIF(A35:A41,1,P35:P41))</f>
        <v>16.0910118637812</v>
      </c>
      <c r="Q34" s="19"/>
      <c r="R34" s="19"/>
      <c r="S34" s="21"/>
      <c r="T34" s="22"/>
      <c r="U34" s="23"/>
      <c r="V34" s="24"/>
    </row>
    <row r="35" customFormat="false" ht="15" hidden="false" customHeight="false" outlineLevel="1" collapsed="false">
      <c r="A35" s="25" t="n">
        <v>1</v>
      </c>
      <c r="B35" s="26" t="s">
        <v>1166</v>
      </c>
      <c r="C35" s="27" t="s">
        <v>266</v>
      </c>
      <c r="D35" s="26"/>
      <c r="E35" s="26"/>
      <c r="F35" s="28" t="n">
        <v>1</v>
      </c>
      <c r="G35" s="25" t="s">
        <v>264</v>
      </c>
      <c r="H35" s="29"/>
      <c r="I35" s="30"/>
      <c r="J35" s="30"/>
      <c r="K35" s="30"/>
      <c r="L35" s="30"/>
      <c r="M35" s="30" t="n">
        <f aca="false">IF(SUMIF(A36:A41,2,M36:M41)=0,"",SUMIF(A36:A41,2,M36:M41))</f>
        <v>15.5961158516687</v>
      </c>
      <c r="N35" s="30"/>
      <c r="O35" s="30" t="n">
        <f aca="false">IF(SUMIF(A36:A41,2,O36:O41)=0,"",SUMIF(A36:A41,2,O36:O41))</f>
        <v>15.1012198395563</v>
      </c>
      <c r="P35" s="30" t="n">
        <f aca="false">IF(SUMIF(A36:A41,2,P36:P41)=0,"",SUMIF(A36:A41,2,P36:P41))</f>
        <v>16.0910118637812</v>
      </c>
      <c r="Q35" s="29"/>
      <c r="R35" s="29"/>
      <c r="S35" s="31"/>
      <c r="T35" s="32"/>
      <c r="U35" s="33"/>
      <c r="V35" s="34"/>
    </row>
    <row r="36" customFormat="false" ht="15" hidden="false" customHeight="false" outlineLevel="2" collapsed="false">
      <c r="A36" s="35" t="n">
        <v>2</v>
      </c>
      <c r="B36" s="36" t="s">
        <v>489</v>
      </c>
      <c r="C36" s="37" t="s">
        <v>268</v>
      </c>
      <c r="D36" s="36" t="s">
        <v>10</v>
      </c>
      <c r="E36" s="36" t="str">
        <f aca="false">INDEX(REF_DATO,MATCH(D36,REF_ID,0))</f>
        <v>Acero (chapa LAC/LAF, SAE 1010/1045)</v>
      </c>
      <c r="F36" s="38" t="n">
        <v>1</v>
      </c>
      <c r="G36" s="35" t="s">
        <v>264</v>
      </c>
      <c r="H36" s="39" t="n">
        <f aca="false">INDEX(REF_VAL,MATCH(D36,REF_ID,0))</f>
        <v>7.85</v>
      </c>
      <c r="I36" s="40" t="n">
        <f aca="false">F36*J36</f>
        <v>1.35452305666387</v>
      </c>
      <c r="J36" s="40" t="n">
        <v>1.35452305666387</v>
      </c>
      <c r="K36" s="40" t="n">
        <f aca="false">I36*(1-V36)</f>
        <v>1.31191946001601</v>
      </c>
      <c r="L36" s="40" t="n">
        <f aca="false">I36*(1+V36)</f>
        <v>1.39712665331173</v>
      </c>
      <c r="M36" s="40" t="n">
        <f aca="false">F36*N36</f>
        <v>10.6330059948114</v>
      </c>
      <c r="N36" s="40" t="n">
        <f aca="false">J36*H36</f>
        <v>10.6330059948114</v>
      </c>
      <c r="O36" s="40" t="n">
        <f aca="false">K36*Q36</f>
        <v>10.2985677611257</v>
      </c>
      <c r="P36" s="40" t="n">
        <f aca="false">L36*R36</f>
        <v>10.9674442284971</v>
      </c>
      <c r="Q36" s="39" t="n">
        <f aca="false">INDEX(REF_MIN,MATCH(D36,REF_ID,0))</f>
        <v>7.85</v>
      </c>
      <c r="R36" s="39" t="n">
        <f aca="false">INDEX(REF_MAX,MATCH(D36,REF_ID,0))</f>
        <v>7.85</v>
      </c>
      <c r="S36" s="41" t="n">
        <v>85.2071932957173</v>
      </c>
      <c r="T36" s="42" t="n">
        <f aca="false">200*J36/S36</f>
        <v>3.1793631600161</v>
      </c>
      <c r="U36" s="43" t="n">
        <f aca="false">IFERROR(INDEX(ISO_TOL,MATCH(T36,ISO_DESDE,1)),0)</f>
        <v>0.1</v>
      </c>
      <c r="V36" s="44" t="n">
        <f aca="false">IF(T36&gt;0,U36/T36,0)</f>
        <v>0.0314528397565925</v>
      </c>
    </row>
    <row r="37" customFormat="false" ht="15" hidden="false" customHeight="false" outlineLevel="2" collapsed="false">
      <c r="A37" s="35" t="n">
        <v>2</v>
      </c>
      <c r="B37" s="36" t="s">
        <v>490</v>
      </c>
      <c r="C37" s="37" t="s">
        <v>270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0.304107883242238</v>
      </c>
      <c r="J37" s="40" t="n">
        <v>0.304107883242238</v>
      </c>
      <c r="K37" s="40" t="n">
        <f aca="false">I37*(1-V37)</f>
        <v>0.294150961436217</v>
      </c>
      <c r="L37" s="40" t="n">
        <f aca="false">I37*(1+V37)</f>
        <v>0.314064805048259</v>
      </c>
      <c r="M37" s="40" t="n">
        <f aca="false">F37*N37</f>
        <v>2.38724688345157</v>
      </c>
      <c r="N37" s="40" t="n">
        <f aca="false">J37*H37</f>
        <v>2.38724688345157</v>
      </c>
      <c r="O37" s="40" t="n">
        <f aca="false">K37*Q37</f>
        <v>2.3090850472743</v>
      </c>
      <c r="P37" s="40" t="n">
        <f aca="false">L37*R37</f>
        <v>2.46540871962883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19.9138436120424</v>
      </c>
      <c r="T37" s="42" t="n">
        <f aca="false">200*J37/S37</f>
        <v>3.0542359292039</v>
      </c>
      <c r="U37" s="43" t="n">
        <f aca="false">IFERROR(INDEX(ISO_TOL,MATCH(T37,ISO_DESDE,1)),0)</f>
        <v>0.1</v>
      </c>
      <c r="V37" s="44" t="n">
        <f aca="false">IF(T37&gt;0,U37/T37,0)</f>
        <v>0.0327414130139139</v>
      </c>
    </row>
    <row r="38" customFormat="false" ht="15" hidden="false" customHeight="false" outlineLevel="2" collapsed="false">
      <c r="A38" s="35" t="n">
        <v>2</v>
      </c>
      <c r="B38" s="36" t="s">
        <v>491</v>
      </c>
      <c r="C38" s="37" t="s">
        <v>272</v>
      </c>
      <c r="D38" s="36" t="s">
        <v>10</v>
      </c>
      <c r="E38" s="36" t="str">
        <f aca="false">INDEX(REF_DATO,MATCH(D38,REF_ID,0))</f>
        <v>Acero (chapa LAC/LAF, SAE 1010/1045)</v>
      </c>
      <c r="F38" s="38" t="n">
        <v>1</v>
      </c>
      <c r="G38" s="35" t="s">
        <v>264</v>
      </c>
      <c r="H38" s="39" t="n">
        <f aca="false">INDEX(REF_VAL,MATCH(D38,REF_ID,0))</f>
        <v>7.85</v>
      </c>
      <c r="I38" s="40" t="n">
        <f aca="false">F38*J38</f>
        <v>0.311246262887546</v>
      </c>
      <c r="J38" s="40" t="n">
        <v>0.311246262887546</v>
      </c>
      <c r="K38" s="40" t="n">
        <f aca="false">I38*(1-V38)</f>
        <v>0.301208274408581</v>
      </c>
      <c r="L38" s="40" t="n">
        <f aca="false">I38*(1+V38)</f>
        <v>0.321284251366512</v>
      </c>
      <c r="M38" s="40" t="n">
        <f aca="false">F38*N38</f>
        <v>2.44328316366724</v>
      </c>
      <c r="N38" s="40" t="n">
        <f aca="false">J38*H38</f>
        <v>2.44328316366724</v>
      </c>
      <c r="O38" s="40" t="n">
        <f aca="false">K38*Q38</f>
        <v>2.36448495410736</v>
      </c>
      <c r="P38" s="40" t="n">
        <f aca="false">L38*R38</f>
        <v>2.52208137322712</v>
      </c>
      <c r="Q38" s="39" t="n">
        <f aca="false">INDEX(REF_MIN,MATCH(D38,REF_ID,0))</f>
        <v>7.85</v>
      </c>
      <c r="R38" s="39" t="n">
        <f aca="false">INDEX(REF_MAX,MATCH(D38,REF_ID,0))</f>
        <v>7.85</v>
      </c>
      <c r="S38" s="41" t="n">
        <v>20.0759769579315</v>
      </c>
      <c r="T38" s="42" t="n">
        <f aca="false">200*J38/S38</f>
        <v>3.1006836034904</v>
      </c>
      <c r="U38" s="43" t="n">
        <f aca="false">IFERROR(INDEX(ISO_TOL,MATCH(T38,ISO_DESDE,1)),0)</f>
        <v>0.1</v>
      </c>
      <c r="V38" s="44" t="n">
        <f aca="false">IF(T38&gt;0,U38/T38,0)</f>
        <v>0.0322509526245861</v>
      </c>
    </row>
    <row r="39" customFormat="false" ht="15" hidden="false" customHeight="false" outlineLevel="2" collapsed="false">
      <c r="A39" s="35" t="n">
        <v>2</v>
      </c>
      <c r="B39" s="36" t="s">
        <v>492</v>
      </c>
      <c r="C39" s="37" t="s">
        <v>274</v>
      </c>
      <c r="D39" s="36" t="s">
        <v>10</v>
      </c>
      <c r="E39" s="36" t="str">
        <f aca="false">INDEX(REF_DATO,MATCH(D39,REF_ID,0))</f>
        <v>Acero (chapa LAC/LAF, SAE 1010/1045)</v>
      </c>
      <c r="F39" s="38" t="n">
        <v>1</v>
      </c>
      <c r="G39" s="35" t="s">
        <v>264</v>
      </c>
      <c r="H39" s="39" t="n">
        <f aca="false">INDEX(REF_VAL,MATCH(D39,REF_ID,0))</f>
        <v>7.85</v>
      </c>
      <c r="I39" s="40" t="n">
        <f aca="false">F39*J39</f>
        <v>0.0168891477373944</v>
      </c>
      <c r="J39" s="40" t="n">
        <v>0.0168891477373944</v>
      </c>
      <c r="K39" s="40" t="n">
        <f aca="false">I39*(1-V39)</f>
        <v>0.0164435766941267</v>
      </c>
      <c r="L39" s="40" t="n">
        <f aca="false">I39*(1+V39)</f>
        <v>0.0173347187806621</v>
      </c>
      <c r="M39" s="40" t="n">
        <f aca="false">F39*N39</f>
        <v>0.132579809738546</v>
      </c>
      <c r="N39" s="40" t="n">
        <f aca="false">J39*H39</f>
        <v>0.132579809738546</v>
      </c>
      <c r="O39" s="40" t="n">
        <f aca="false">K39*Q39</f>
        <v>0.129082077048895</v>
      </c>
      <c r="P39" s="40" t="n">
        <f aca="false">L39*R39</f>
        <v>0.136077542428198</v>
      </c>
      <c r="Q39" s="39" t="n">
        <f aca="false">INDEX(REF_MIN,MATCH(D39,REF_ID,0))</f>
        <v>7.85</v>
      </c>
      <c r="R39" s="39" t="n">
        <f aca="false">INDEX(REF_MAX,MATCH(D39,REF_ID,0))</f>
        <v>7.85</v>
      </c>
      <c r="S39" s="41" t="n">
        <v>0.891142086535391</v>
      </c>
      <c r="T39" s="42" t="n">
        <f aca="false">200*J39/S39</f>
        <v>3.79045002869443</v>
      </c>
      <c r="U39" s="43" t="n">
        <f aca="false">IFERROR(INDEX(ISO_TOL,MATCH(T39,ISO_DESDE,1)),0)</f>
        <v>0.1</v>
      </c>
      <c r="V39" s="44" t="n">
        <f aca="false">IF(T39&gt;0,U39/T39,0)</f>
        <v>0.0263820916363442</v>
      </c>
    </row>
    <row r="40" customFormat="false" ht="15" hidden="false" customHeight="false" outlineLevel="2" collapsed="false">
      <c r="A40" s="35" t="n">
        <v>2</v>
      </c>
      <c r="B40" s="36" t="s">
        <v>1167</v>
      </c>
      <c r="C40" s="37" t="s">
        <v>1150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1168</v>
      </c>
      <c r="C41" s="37" t="s">
        <v>1152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0" collapsed="false">
      <c r="A42" s="16" t="n">
        <v>0</v>
      </c>
      <c r="B42" s="17" t="s">
        <v>558</v>
      </c>
      <c r="C42" s="17" t="s">
        <v>1169</v>
      </c>
      <c r="D42" s="17"/>
      <c r="E42" s="17"/>
      <c r="F42" s="18" t="n">
        <v>1</v>
      </c>
      <c r="G42" s="16" t="s">
        <v>264</v>
      </c>
      <c r="H42" s="19"/>
      <c r="I42" s="20"/>
      <c r="J42" s="20"/>
      <c r="K42" s="20"/>
      <c r="L42" s="20"/>
      <c r="M42" s="20" t="n">
        <f aca="false">IF(SUMIF(A43:A49,1,M43:M49)=0,"",SUMIF(A43:A49,1,M43:M49))</f>
        <v>23.0823666004926</v>
      </c>
      <c r="N42" s="20"/>
      <c r="O42" s="20" t="n">
        <f aca="false">IF(SUMIF(A43:A49,1,O43:O49)=0,"",SUMIF(A43:A49,1,O43:O49))</f>
        <v>22.3515447171397</v>
      </c>
      <c r="P42" s="20" t="n">
        <f aca="false">IF(SUMIF(A43:A49,1,P43:P49)=0,"",SUMIF(A43:A49,1,P43:P49))</f>
        <v>23.8131884838456</v>
      </c>
      <c r="Q42" s="19"/>
      <c r="R42" s="19"/>
      <c r="S42" s="21"/>
      <c r="T42" s="22"/>
      <c r="U42" s="23"/>
      <c r="V42" s="24"/>
    </row>
    <row r="43" customFormat="false" ht="15" hidden="false" customHeight="false" outlineLevel="1" collapsed="false">
      <c r="A43" s="25" t="n">
        <v>1</v>
      </c>
      <c r="B43" s="26" t="s">
        <v>1170</v>
      </c>
      <c r="C43" s="27" t="s">
        <v>266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n">
        <f aca="false">IF(SUMIF(A44:A49,2,M44:M49)=0,"",SUMIF(A44:A49,2,M44:M49))</f>
        <v>23.0823666004926</v>
      </c>
      <c r="N43" s="30"/>
      <c r="O43" s="30" t="n">
        <f aca="false">IF(SUMIF(A44:A49,2,O44:O49)=0,"",SUMIF(A44:A49,2,O44:O49))</f>
        <v>22.3515447171397</v>
      </c>
      <c r="P43" s="30" t="n">
        <f aca="false">IF(SUMIF(A44:A49,2,P44:P49)=0,"",SUMIF(A44:A49,2,P44:P49))</f>
        <v>23.8131884838456</v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559</v>
      </c>
      <c r="C44" s="37" t="s">
        <v>268</v>
      </c>
      <c r="D44" s="36" t="s">
        <v>10</v>
      </c>
      <c r="E44" s="36" t="str">
        <f aca="false">INDEX(REF_DATO,MATCH(D44,REF_ID,0))</f>
        <v>Acero (chapa LAC/LAF, SAE 1010/1045)</v>
      </c>
      <c r="F44" s="38" t="n">
        <v>1</v>
      </c>
      <c r="G44" s="35" t="s">
        <v>264</v>
      </c>
      <c r="H44" s="39" t="n">
        <f aca="false">INDEX(REF_VAL,MATCH(D44,REF_ID,0))</f>
        <v>7.85</v>
      </c>
      <c r="I44" s="40" t="n">
        <f aca="false">F44*J44</f>
        <v>2.03828541984203</v>
      </c>
      <c r="J44" s="40" t="n">
        <v>2.03828541984203</v>
      </c>
      <c r="K44" s="40" t="n">
        <f aca="false">I44*(1-V44)</f>
        <v>1.97427051837511</v>
      </c>
      <c r="L44" s="40" t="n">
        <f aca="false">I44*(1+V44)</f>
        <v>2.10230032130894</v>
      </c>
      <c r="M44" s="40" t="n">
        <f aca="false">F44*N44</f>
        <v>16.0005405457599</v>
      </c>
      <c r="N44" s="40" t="n">
        <f aca="false">J44*H44</f>
        <v>16.0005405457599</v>
      </c>
      <c r="O44" s="40" t="n">
        <f aca="false">K44*Q44</f>
        <v>15.4980235692446</v>
      </c>
      <c r="P44" s="40" t="n">
        <f aca="false">L44*R44</f>
        <v>16.5030575222752</v>
      </c>
      <c r="Q44" s="39" t="n">
        <f aca="false">INDEX(REF_MIN,MATCH(D44,REF_ID,0))</f>
        <v>7.85</v>
      </c>
      <c r="R44" s="39" t="n">
        <f aca="false">INDEX(REF_MAX,MATCH(D44,REF_ID,0))</f>
        <v>7.85</v>
      </c>
      <c r="S44" s="41" t="n">
        <v>128.029802933828</v>
      </c>
      <c r="T44" s="42" t="n">
        <f aca="false">200*J44/S44</f>
        <v>3.18407960199003</v>
      </c>
      <c r="U44" s="43" t="n">
        <f aca="false">IFERROR(INDEX(ISO_TOL,MATCH(T44,ISO_DESDE,1)),0)</f>
        <v>0.1</v>
      </c>
      <c r="V44" s="44" t="n">
        <f aca="false">IF(T44&gt;0,U44/T44,0)</f>
        <v>0.0314062500000002</v>
      </c>
    </row>
    <row r="45" customFormat="false" ht="15" hidden="false" customHeight="false" outlineLevel="2" collapsed="false">
      <c r="A45" s="35" t="n">
        <v>2</v>
      </c>
      <c r="B45" s="36" t="s">
        <v>560</v>
      </c>
      <c r="C45" s="37" t="s">
        <v>270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0.399694102926945</v>
      </c>
      <c r="J45" s="40" t="n">
        <v>0.399694102926945</v>
      </c>
      <c r="K45" s="40" t="n">
        <f aca="false">I45*(1-V45)</f>
        <v>0.386616367645973</v>
      </c>
      <c r="L45" s="40" t="n">
        <f aca="false">I45*(1+V45)</f>
        <v>0.412771838207917</v>
      </c>
      <c r="M45" s="40" t="n">
        <f aca="false">F45*N45</f>
        <v>3.13759870797652</v>
      </c>
      <c r="N45" s="40" t="n">
        <f aca="false">J45*H45</f>
        <v>3.13759870797652</v>
      </c>
      <c r="O45" s="40" t="n">
        <f aca="false">K45*Q45</f>
        <v>3.03493848602089</v>
      </c>
      <c r="P45" s="40" t="n">
        <f aca="false">L45*R45</f>
        <v>3.24025892993215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26.1554705619438</v>
      </c>
      <c r="T45" s="42" t="n">
        <f aca="false">200*J45/S45</f>
        <v>3.05629449090088</v>
      </c>
      <c r="U45" s="43" t="n">
        <f aca="false">IFERROR(INDEX(ISO_TOL,MATCH(T45,ISO_DESDE,1)),0)</f>
        <v>0.1</v>
      </c>
      <c r="V45" s="44" t="n">
        <f aca="false">IF(T45&gt;0,U45/T45,0)</f>
        <v>0.0327193600936419</v>
      </c>
    </row>
    <row r="46" customFormat="false" ht="15" hidden="false" customHeight="false" outlineLevel="2" collapsed="false">
      <c r="A46" s="35" t="n">
        <v>2</v>
      </c>
      <c r="B46" s="36" t="s">
        <v>561</v>
      </c>
      <c r="C46" s="37" t="s">
        <v>272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0.42494412788623</v>
      </c>
      <c r="J46" s="40" t="n">
        <v>0.42494412788623</v>
      </c>
      <c r="K46" s="40" t="n">
        <f aca="false">I46*(1-V46)</f>
        <v>0.411400242549429</v>
      </c>
      <c r="L46" s="40" t="n">
        <f aca="false">I46*(1+V46)</f>
        <v>0.438488013223032</v>
      </c>
      <c r="M46" s="40" t="n">
        <f aca="false">F46*N46</f>
        <v>3.33581140390691</v>
      </c>
      <c r="N46" s="40" t="n">
        <f aca="false">J46*H46</f>
        <v>3.33581140390691</v>
      </c>
      <c r="O46" s="40" t="n">
        <f aca="false">K46*Q46</f>
        <v>3.22949190401301</v>
      </c>
      <c r="P46" s="40" t="n">
        <f aca="false">L46*R46</f>
        <v>3.4421309038008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27.0877706736028</v>
      </c>
      <c r="T46" s="42" t="n">
        <f aca="false">200*J46/S46</f>
        <v>3.13753488987073</v>
      </c>
      <c r="U46" s="43" t="n">
        <f aca="false">IFERROR(INDEX(ISO_TOL,MATCH(T46,ISO_DESDE,1)),0)</f>
        <v>0.1</v>
      </c>
      <c r="V46" s="44" t="n">
        <f aca="false">IF(T46&gt;0,U46/T46,0)</f>
        <v>0.0318721555329446</v>
      </c>
    </row>
    <row r="47" customFormat="false" ht="15" hidden="false" customHeight="false" outlineLevel="2" collapsed="false">
      <c r="A47" s="35" t="n">
        <v>2</v>
      </c>
      <c r="B47" s="36" t="s">
        <v>562</v>
      </c>
      <c r="C47" s="37" t="s">
        <v>274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0.0775052156495928</v>
      </c>
      <c r="J47" s="40" t="n">
        <v>0.0775052156495928</v>
      </c>
      <c r="K47" s="40" t="n">
        <f aca="false">I47*(1-V47)</f>
        <v>0.0750434086447346</v>
      </c>
      <c r="L47" s="40" t="n">
        <f aca="false">I47*(1+V47)</f>
        <v>0.079967022654451</v>
      </c>
      <c r="M47" s="40" t="n">
        <f aca="false">F47*N47</f>
        <v>0.608415942849303</v>
      </c>
      <c r="N47" s="40" t="n">
        <f aca="false">J47*H47</f>
        <v>0.608415942849303</v>
      </c>
      <c r="O47" s="40" t="n">
        <f aca="false">K47*Q47</f>
        <v>0.589090757861167</v>
      </c>
      <c r="P47" s="40" t="n">
        <f aca="false">L47*R47</f>
        <v>0.62774112783744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2.46180700485818</v>
      </c>
      <c r="T47" s="42" t="n">
        <f aca="false">200*J47/S47</f>
        <v>6.29661183810447</v>
      </c>
      <c r="U47" s="43" t="n">
        <f aca="false">IFERROR(INDEX(ISO_TOL,MATCH(T47,ISO_DESDE,1)),0)</f>
        <v>0.2</v>
      </c>
      <c r="V47" s="44" t="n">
        <f aca="false">IF(T47&gt;0,U47/T47,0)</f>
        <v>0.0317631140591649</v>
      </c>
    </row>
    <row r="48" customFormat="false" ht="15" hidden="false" customHeight="false" outlineLevel="2" collapsed="false">
      <c r="A48" s="35" t="n">
        <v>2</v>
      </c>
      <c r="B48" s="36" t="s">
        <v>1171</v>
      </c>
      <c r="C48" s="37" t="s">
        <v>1150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1172</v>
      </c>
      <c r="C49" s="37" t="s">
        <v>1152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0" collapsed="false">
      <c r="A50" s="16" t="n">
        <v>0</v>
      </c>
      <c r="B50" s="17" t="s">
        <v>613</v>
      </c>
      <c r="C50" s="17" t="s">
        <v>1173</v>
      </c>
      <c r="D50" s="17"/>
      <c r="E50" s="17"/>
      <c r="F50" s="18" t="n">
        <v>1</v>
      </c>
      <c r="G50" s="16" t="s">
        <v>264</v>
      </c>
      <c r="H50" s="19"/>
      <c r="I50" s="20"/>
      <c r="J50" s="20"/>
      <c r="K50" s="20"/>
      <c r="L50" s="20"/>
      <c r="M50" s="20" t="n">
        <f aca="false">IF(SUMIF(A51:A58,1,M51:M58)=0,"",SUMIF(A51:A58,1,M51:M58))</f>
        <v>47.3304160418411</v>
      </c>
      <c r="N50" s="20"/>
      <c r="O50" s="20" t="n">
        <f aca="false">IF(SUMIF(A51:A58,1,O51:O58)=0,"",SUMIF(A51:A58,1,O51:O58))</f>
        <v>46.3088320563476</v>
      </c>
      <c r="P50" s="20" t="n">
        <f aca="false">IF(SUMIF(A51:A58,1,P51:P58)=0,"",SUMIF(A51:A58,1,P51:P58))</f>
        <v>48.3520000273347</v>
      </c>
      <c r="Q50" s="19"/>
      <c r="R50" s="19"/>
      <c r="S50" s="21"/>
      <c r="T50" s="22"/>
      <c r="U50" s="23"/>
      <c r="V50" s="24"/>
    </row>
    <row r="51" customFormat="false" ht="15" hidden="false" customHeight="false" outlineLevel="1" collapsed="false">
      <c r="A51" s="25" t="n">
        <v>1</v>
      </c>
      <c r="B51" s="26" t="s">
        <v>1174</v>
      </c>
      <c r="C51" s="27" t="s">
        <v>266</v>
      </c>
      <c r="D51" s="26"/>
      <c r="E51" s="26"/>
      <c r="F51" s="28" t="n">
        <v>1</v>
      </c>
      <c r="G51" s="25" t="s">
        <v>264</v>
      </c>
      <c r="H51" s="29"/>
      <c r="I51" s="30"/>
      <c r="J51" s="30"/>
      <c r="K51" s="30"/>
      <c r="L51" s="30"/>
      <c r="M51" s="30" t="n">
        <f aca="false">IF(SUMIF(A52:A58,2,M52:M58)=0,"",SUMIF(A52:A58,2,M52:M58))</f>
        <v>47.3304160418411</v>
      </c>
      <c r="N51" s="30"/>
      <c r="O51" s="30" t="n">
        <f aca="false">IF(SUMIF(A52:A58,2,O52:O58)=0,"",SUMIF(A52:A58,2,O52:O58))</f>
        <v>46.3088320563476</v>
      </c>
      <c r="P51" s="30" t="n">
        <f aca="false">IF(SUMIF(A52:A58,2,P52:P58)=0,"",SUMIF(A52:A58,2,P52:P58))</f>
        <v>48.3520000273347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614</v>
      </c>
      <c r="C52" s="37" t="s">
        <v>268</v>
      </c>
      <c r="D52" s="36" t="s">
        <v>10</v>
      </c>
      <c r="E52" s="36" t="str">
        <f aca="false">INDEX(REF_DATO,MATCH(D52,REF_ID,0))</f>
        <v>Acero (chapa LAC/LAF, SAE 1010/1045)</v>
      </c>
      <c r="F52" s="38" t="n">
        <v>1</v>
      </c>
      <c r="G52" s="35" t="s">
        <v>264</v>
      </c>
      <c r="H52" s="39" t="n">
        <f aca="false">INDEX(REF_VAL,MATCH(D52,REF_ID,0))</f>
        <v>7.85</v>
      </c>
      <c r="I52" s="40" t="n">
        <f aca="false">F52*J52</f>
        <v>3.90926438043936</v>
      </c>
      <c r="J52" s="40" t="n">
        <v>3.90926438043936</v>
      </c>
      <c r="K52" s="40" t="n">
        <f aca="false">I52*(1-V52)</f>
        <v>3.82638918587261</v>
      </c>
      <c r="L52" s="40" t="n">
        <f aca="false">I52*(1+V52)</f>
        <v>3.9921395750061</v>
      </c>
      <c r="M52" s="40" t="n">
        <f aca="false">F52*N52</f>
        <v>30.6877253864489</v>
      </c>
      <c r="N52" s="40" t="n">
        <f aca="false">J52*H52</f>
        <v>30.6877253864489</v>
      </c>
      <c r="O52" s="40" t="n">
        <f aca="false">K52*Q52</f>
        <v>30.0371551091</v>
      </c>
      <c r="P52" s="40" t="n">
        <f aca="false">L52*R52</f>
        <v>31.3382956637979</v>
      </c>
      <c r="Q52" s="39" t="n">
        <f aca="false">INDEX(REF_MIN,MATCH(D52,REF_ID,0))</f>
        <v>7.85</v>
      </c>
      <c r="R52" s="39" t="n">
        <f aca="false">INDEX(REF_MAX,MATCH(D52,REF_ID,0))</f>
        <v>7.85</v>
      </c>
      <c r="S52" s="41" t="n">
        <v>165.750389133489</v>
      </c>
      <c r="T52" s="42" t="n">
        <f aca="false">200*J52/S52</f>
        <v>4.71705001825483</v>
      </c>
      <c r="U52" s="43" t="n">
        <f aca="false">IFERROR(INDEX(ISO_TOL,MATCH(T52,ISO_DESDE,1)),0)</f>
        <v>0.1</v>
      </c>
      <c r="V52" s="44" t="n">
        <f aca="false">IF(T52&gt;0,U52/T52,0)</f>
        <v>0.0211996904024768</v>
      </c>
    </row>
    <row r="53" customFormat="false" ht="15" hidden="false" customHeight="false" outlineLevel="2" collapsed="false">
      <c r="A53" s="35" t="n">
        <v>2</v>
      </c>
      <c r="B53" s="36" t="s">
        <v>615</v>
      </c>
      <c r="C53" s="37" t="s">
        <v>270</v>
      </c>
      <c r="D53" s="36" t="s">
        <v>10</v>
      </c>
      <c r="E53" s="36" t="str">
        <f aca="false">INDEX(REF_DATO,MATCH(D53,REF_ID,0))</f>
        <v>Acero (chapa LAC/LAF, SAE 1010/1045)</v>
      </c>
      <c r="F53" s="38" t="n">
        <v>1</v>
      </c>
      <c r="G53" s="35" t="s">
        <v>264</v>
      </c>
      <c r="H53" s="39" t="n">
        <f aca="false">INDEX(REF_VAL,MATCH(D53,REF_ID,0))</f>
        <v>7.85</v>
      </c>
      <c r="I53" s="40" t="n">
        <f aca="false">F53*J53</f>
        <v>0.904937909629158</v>
      </c>
      <c r="J53" s="40" t="n">
        <v>0.904937909629158</v>
      </c>
      <c r="K53" s="40" t="n">
        <f aca="false">I53*(1-V53)</f>
        <v>0.884966273455248</v>
      </c>
      <c r="L53" s="40" t="n">
        <f aca="false">I53*(1+V53)</f>
        <v>0.924909545803069</v>
      </c>
      <c r="M53" s="40" t="n">
        <f aca="false">F53*N53</f>
        <v>7.10376259058889</v>
      </c>
      <c r="N53" s="40" t="n">
        <f aca="false">J53*H53</f>
        <v>7.10376259058889</v>
      </c>
      <c r="O53" s="40" t="n">
        <f aca="false">K53*Q53</f>
        <v>6.9469852466237</v>
      </c>
      <c r="P53" s="40" t="n">
        <f aca="false">L53*R53</f>
        <v>7.26053993455409</v>
      </c>
      <c r="Q53" s="39" t="n">
        <f aca="false">INDEX(REF_MIN,MATCH(D53,REF_ID,0))</f>
        <v>7.85</v>
      </c>
      <c r="R53" s="39" t="n">
        <f aca="false">INDEX(REF_MAX,MATCH(D53,REF_ID,0))</f>
        <v>7.85</v>
      </c>
      <c r="S53" s="41" t="n">
        <v>39.9432723478202</v>
      </c>
      <c r="T53" s="42" t="n">
        <f aca="false">200*J53/S53</f>
        <v>4.53111553679975</v>
      </c>
      <c r="U53" s="43" t="n">
        <f aca="false">IFERROR(INDEX(ISO_TOL,MATCH(T53,ISO_DESDE,1)),0)</f>
        <v>0.1</v>
      </c>
      <c r="V53" s="44" t="n">
        <f aca="false">IF(T53&gt;0,U53/T53,0)</f>
        <v>0.0220696204252228</v>
      </c>
    </row>
    <row r="54" customFormat="false" ht="15" hidden="false" customHeight="false" outlineLevel="2" collapsed="false">
      <c r="A54" s="35" t="n">
        <v>2</v>
      </c>
      <c r="B54" s="36" t="s">
        <v>616</v>
      </c>
      <c r="C54" s="37" t="s">
        <v>272</v>
      </c>
      <c r="D54" s="36" t="s">
        <v>10</v>
      </c>
      <c r="E54" s="36" t="str">
        <f aca="false">INDEX(REF_DATO,MATCH(D54,REF_ID,0))</f>
        <v>Acero (chapa LAC/LAF, SAE 1010/1045)</v>
      </c>
      <c r="F54" s="38" t="n">
        <v>1</v>
      </c>
      <c r="G54" s="35" t="s">
        <v>264</v>
      </c>
      <c r="H54" s="39" t="n">
        <f aca="false">INDEX(REF_VAL,MATCH(D54,REF_ID,0))</f>
        <v>7.85</v>
      </c>
      <c r="I54" s="40" t="n">
        <f aca="false">F54*J54</f>
        <v>0.943765807647292</v>
      </c>
      <c r="J54" s="40" t="n">
        <v>0.943765807647292</v>
      </c>
      <c r="K54" s="40" t="n">
        <f aca="false">I54*(1-V54)</f>
        <v>0.923347773712906</v>
      </c>
      <c r="L54" s="40" t="n">
        <f aca="false">I54*(1+V54)</f>
        <v>0.964183841581677</v>
      </c>
      <c r="M54" s="40" t="n">
        <f aca="false">F54*N54</f>
        <v>7.40856159003124</v>
      </c>
      <c r="N54" s="40" t="n">
        <f aca="false">J54*H54</f>
        <v>7.40856159003124</v>
      </c>
      <c r="O54" s="40" t="n">
        <f aca="false">K54*Q54</f>
        <v>7.24828002364631</v>
      </c>
      <c r="P54" s="40" t="n">
        <f aca="false">L54*R54</f>
        <v>7.56884315641617</v>
      </c>
      <c r="Q54" s="39" t="n">
        <f aca="false">INDEX(REF_MIN,MATCH(D54,REF_ID,0))</f>
        <v>7.85</v>
      </c>
      <c r="R54" s="39" t="n">
        <f aca="false">INDEX(REF_MAX,MATCH(D54,REF_ID,0))</f>
        <v>7.85</v>
      </c>
      <c r="S54" s="41" t="n">
        <v>40.8360678687712</v>
      </c>
      <c r="T54" s="42" t="n">
        <f aca="false">200*J54/S54</f>
        <v>4.62221686319129</v>
      </c>
      <c r="U54" s="43" t="n">
        <f aca="false">IFERROR(INDEX(ISO_TOL,MATCH(T54,ISO_DESDE,1)),0)</f>
        <v>0.1</v>
      </c>
      <c r="V54" s="44" t="n">
        <f aca="false">IF(T54&gt;0,U54/T54,0)</f>
        <v>0.0216346404679415</v>
      </c>
    </row>
    <row r="55" customFormat="false" ht="15" hidden="false" customHeight="false" outlineLevel="2" collapsed="false">
      <c r="A55" s="35" t="n">
        <v>2</v>
      </c>
      <c r="B55" s="36" t="s">
        <v>617</v>
      </c>
      <c r="C55" s="37" t="s">
        <v>274</v>
      </c>
      <c r="D55" s="36" t="s">
        <v>10</v>
      </c>
      <c r="E55" s="36" t="str">
        <f aca="false">INDEX(REF_DATO,MATCH(D55,REF_ID,0))</f>
        <v>Acero (chapa LAC/LAF, SAE 1010/1045)</v>
      </c>
      <c r="F55" s="38" t="n">
        <v>1</v>
      </c>
      <c r="G55" s="35" t="s">
        <v>264</v>
      </c>
      <c r="H55" s="39" t="n">
        <f aca="false">INDEX(REF_VAL,MATCH(D55,REF_ID,0))</f>
        <v>7.85</v>
      </c>
      <c r="I55" s="40" t="n">
        <f aca="false">F55*J55</f>
        <v>0.0789516497469168</v>
      </c>
      <c r="J55" s="40" t="n">
        <v>0.0789516497469168</v>
      </c>
      <c r="K55" s="40" t="n">
        <f aca="false">I55*(1-V55)</f>
        <v>0.0764158563432185</v>
      </c>
      <c r="L55" s="40" t="n">
        <f aca="false">I55*(1+V55)</f>
        <v>0.0814874431506151</v>
      </c>
      <c r="M55" s="40" t="n">
        <f aca="false">F55*N55</f>
        <v>0.619770450513297</v>
      </c>
      <c r="N55" s="40" t="n">
        <f aca="false">J55*H55</f>
        <v>0.619770450513297</v>
      </c>
      <c r="O55" s="40" t="n">
        <f aca="false">K55*Q55</f>
        <v>0.599864472294265</v>
      </c>
      <c r="P55" s="40" t="n">
        <f aca="false">L55*R55</f>
        <v>0.639676428732328</v>
      </c>
      <c r="Q55" s="39" t="n">
        <f aca="false">INDEX(REF_MIN,MATCH(D55,REF_ID,0))</f>
        <v>7.85</v>
      </c>
      <c r="R55" s="39" t="n">
        <f aca="false">INDEX(REF_MAX,MATCH(D55,REF_ID,0))</f>
        <v>7.85</v>
      </c>
      <c r="S55" s="41" t="n">
        <v>2.53579340369829</v>
      </c>
      <c r="T55" s="42" t="n">
        <f aca="false">200*J55/S55</f>
        <v>6.22697808360658</v>
      </c>
      <c r="U55" s="43" t="n">
        <f aca="false">IFERROR(INDEX(ISO_TOL,MATCH(T55,ISO_DESDE,1)),0)</f>
        <v>0.2</v>
      </c>
      <c r="V55" s="44" t="n">
        <f aca="false">IF(T55&gt;0,U55/T55,0)</f>
        <v>0.0321183080002367</v>
      </c>
    </row>
    <row r="56" customFormat="false" ht="15" hidden="false" customHeight="false" outlineLevel="2" collapsed="false">
      <c r="A56" s="35" t="n">
        <v>2</v>
      </c>
      <c r="B56" s="36" t="s">
        <v>618</v>
      </c>
      <c r="C56" s="37" t="s">
        <v>619</v>
      </c>
      <c r="D56" s="36" t="s">
        <v>10</v>
      </c>
      <c r="E56" s="36" t="str">
        <f aca="false">INDEX(REF_DATO,MATCH(D56,REF_ID,0))</f>
        <v>Acero (chapa LAC/LAF, SAE 1010/1045)</v>
      </c>
      <c r="F56" s="38" t="n">
        <v>1</v>
      </c>
      <c r="G56" s="35" t="s">
        <v>264</v>
      </c>
      <c r="H56" s="39" t="n">
        <f aca="false">INDEX(REF_VAL,MATCH(D56,REF_ID,0))</f>
        <v>7.85</v>
      </c>
      <c r="I56" s="40" t="n">
        <f aca="false">F56*J56</f>
        <v>0.192432614555256</v>
      </c>
      <c r="J56" s="40" t="n">
        <v>0.192432614555256</v>
      </c>
      <c r="K56" s="40" t="n">
        <f aca="false">I56*(1-V56)</f>
        <v>0.188095185309973</v>
      </c>
      <c r="L56" s="40" t="n">
        <f aca="false">I56*(1+V56)</f>
        <v>0.196770043800539</v>
      </c>
      <c r="M56" s="40" t="n">
        <f aca="false">F56*N56</f>
        <v>1.51059602425876</v>
      </c>
      <c r="N56" s="40" t="n">
        <f aca="false">J56*H56</f>
        <v>1.51059602425876</v>
      </c>
      <c r="O56" s="40" t="n">
        <f aca="false">K56*Q56</f>
        <v>1.47654720468329</v>
      </c>
      <c r="P56" s="40" t="n">
        <f aca="false">L56*R56</f>
        <v>1.54464484383423</v>
      </c>
      <c r="Q56" s="39" t="n">
        <f aca="false">INDEX(REF_MIN,MATCH(D56,REF_ID,0))</f>
        <v>7.85</v>
      </c>
      <c r="R56" s="39" t="n">
        <f aca="false">INDEX(REF_MAX,MATCH(D56,REF_ID,0))</f>
        <v>7.85</v>
      </c>
      <c r="S56" s="41" t="n">
        <v>8.67485849056604</v>
      </c>
      <c r="T56" s="42" t="n">
        <f aca="false">200*J56/S56</f>
        <v>4.43655916150167</v>
      </c>
      <c r="U56" s="43" t="n">
        <f aca="false">IFERROR(INDEX(ISO_TOL,MATCH(T56,ISO_DESDE,1)),0)</f>
        <v>0.1</v>
      </c>
      <c r="V56" s="44" t="n">
        <f aca="false">IF(T56&gt;0,U56/T56,0)</f>
        <v>0.0225399901950485</v>
      </c>
    </row>
    <row r="57" customFormat="false" ht="15" hidden="false" customHeight="false" outlineLevel="2" collapsed="false">
      <c r="A57" s="35" t="n">
        <v>2</v>
      </c>
      <c r="B57" s="36" t="s">
        <v>1175</v>
      </c>
      <c r="C57" s="37" t="s">
        <v>1150</v>
      </c>
      <c r="D57" s="36"/>
      <c r="E57" s="36"/>
      <c r="F57" s="38" t="n">
        <v>1</v>
      </c>
      <c r="G57" s="35" t="s">
        <v>264</v>
      </c>
      <c r="H57" s="39"/>
      <c r="I57" s="40"/>
      <c r="J57" s="40"/>
      <c r="K57" s="40"/>
      <c r="L57" s="40"/>
      <c r="M57" s="40"/>
      <c r="N57" s="40"/>
      <c r="O57" s="40"/>
      <c r="P57" s="40"/>
      <c r="Q57" s="39"/>
      <c r="R57" s="39"/>
      <c r="S57" s="41"/>
      <c r="T57" s="42"/>
      <c r="U57" s="43"/>
      <c r="V57" s="44"/>
    </row>
    <row r="58" customFormat="false" ht="15" hidden="false" customHeight="false" outlineLevel="2" collapsed="false">
      <c r="A58" s="35" t="n">
        <v>2</v>
      </c>
      <c r="B58" s="36" t="s">
        <v>1176</v>
      </c>
      <c r="C58" s="37" t="s">
        <v>1152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0" collapsed="false">
      <c r="A59" s="16" t="n">
        <v>0</v>
      </c>
      <c r="B59" s="17" t="s">
        <v>668</v>
      </c>
      <c r="C59" s="17" t="s">
        <v>1177</v>
      </c>
      <c r="D59" s="17"/>
      <c r="E59" s="17"/>
      <c r="F59" s="18" t="n">
        <v>1</v>
      </c>
      <c r="G59" s="16" t="s">
        <v>264</v>
      </c>
      <c r="H59" s="19"/>
      <c r="I59" s="20"/>
      <c r="J59" s="20"/>
      <c r="K59" s="20"/>
      <c r="L59" s="20"/>
      <c r="M59" s="20" t="n">
        <f aca="false">IF(SUMIF(A60:A67,1,M60:M67)=0,"",SUMIF(A60:A67,1,M60:M67))</f>
        <v>57.2587977845157</v>
      </c>
      <c r="N59" s="20"/>
      <c r="O59" s="20" t="n">
        <f aca="false">IF(SUMIF(A60:A67,1,O60:O67)=0,"",SUMIF(A60:A67,1,O60:O67))</f>
        <v>56.0281952360184</v>
      </c>
      <c r="P59" s="20" t="n">
        <f aca="false">IF(SUMIF(A60:A67,1,P60:P67)=0,"",SUMIF(A60:A67,1,P60:P67))</f>
        <v>58.4894003330129</v>
      </c>
      <c r="Q59" s="19"/>
      <c r="R59" s="19"/>
      <c r="S59" s="21"/>
      <c r="T59" s="22"/>
      <c r="U59" s="23"/>
      <c r="V59" s="24"/>
    </row>
    <row r="60" customFormat="false" ht="15" hidden="false" customHeight="false" outlineLevel="1" collapsed="false">
      <c r="A60" s="25" t="n">
        <v>1</v>
      </c>
      <c r="B60" s="26" t="s">
        <v>1178</v>
      </c>
      <c r="C60" s="27" t="s">
        <v>266</v>
      </c>
      <c r="D60" s="26"/>
      <c r="E60" s="26"/>
      <c r="F60" s="28" t="n">
        <v>1</v>
      </c>
      <c r="G60" s="25" t="s">
        <v>264</v>
      </c>
      <c r="H60" s="29"/>
      <c r="I60" s="30"/>
      <c r="J60" s="30"/>
      <c r="K60" s="30"/>
      <c r="L60" s="30"/>
      <c r="M60" s="30" t="n">
        <f aca="false">IF(SUMIF(A61:A67,2,M61:M67)=0,"",SUMIF(A61:A67,2,M61:M67))</f>
        <v>57.2587977845157</v>
      </c>
      <c r="N60" s="30"/>
      <c r="O60" s="30" t="n">
        <f aca="false">IF(SUMIF(A61:A67,2,O61:O67)=0,"",SUMIF(A61:A67,2,O61:O67))</f>
        <v>56.0281952360184</v>
      </c>
      <c r="P60" s="30" t="n">
        <f aca="false">IF(SUMIF(A61:A67,2,P61:P67)=0,"",SUMIF(A61:A67,2,P61:P67))</f>
        <v>58.4894003330129</v>
      </c>
      <c r="Q60" s="29"/>
      <c r="R60" s="29"/>
      <c r="S60" s="31"/>
      <c r="T60" s="32"/>
      <c r="U60" s="33"/>
      <c r="V60" s="34"/>
    </row>
    <row r="61" customFormat="false" ht="15" hidden="false" customHeight="false" outlineLevel="2" collapsed="false">
      <c r="A61" s="35" t="n">
        <v>2</v>
      </c>
      <c r="B61" s="36" t="s">
        <v>669</v>
      </c>
      <c r="C61" s="37" t="s">
        <v>268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5.17402638587561</v>
      </c>
      <c r="J61" s="40" t="n">
        <v>5.17402638587561</v>
      </c>
      <c r="K61" s="40" t="n">
        <f aca="false">I61*(1-V61)</f>
        <v>5.06452462277337</v>
      </c>
      <c r="L61" s="40" t="n">
        <f aca="false">I61*(1+V61)</f>
        <v>5.28352814897786</v>
      </c>
      <c r="M61" s="40" t="n">
        <f aca="false">F61*N61</f>
        <v>40.6161071291236</v>
      </c>
      <c r="N61" s="40" t="n">
        <f aca="false">J61*H61</f>
        <v>40.6161071291236</v>
      </c>
      <c r="O61" s="40" t="n">
        <f aca="false">K61*Q61</f>
        <v>39.7565182887709</v>
      </c>
      <c r="P61" s="40" t="n">
        <f aca="false">L61*R61</f>
        <v>41.4756959694762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219.00352620449</v>
      </c>
      <c r="T61" s="42" t="n">
        <f aca="false">200*J61/S61</f>
        <v>4.72506217187067</v>
      </c>
      <c r="U61" s="43" t="n">
        <f aca="false">IFERROR(INDEX(ISO_TOL,MATCH(T61,ISO_DESDE,1)),0)</f>
        <v>0.1</v>
      </c>
      <c r="V61" s="44" t="n">
        <f aca="false">IF(T61&gt;0,U61/T61,0)</f>
        <v>0.0211637426900585</v>
      </c>
    </row>
    <row r="62" customFormat="false" ht="15" hidden="false" customHeight="false" outlineLevel="2" collapsed="false">
      <c r="A62" s="35" t="n">
        <v>2</v>
      </c>
      <c r="B62" s="36" t="s">
        <v>670</v>
      </c>
      <c r="C62" s="37" t="s">
        <v>270</v>
      </c>
      <c r="D62" s="36" t="s">
        <v>10</v>
      </c>
      <c r="E62" s="36" t="str">
        <f aca="false">INDEX(REF_DATO,MATCH(D62,REF_ID,0))</f>
        <v>Acero (chapa LAC/LAF, SAE 1010/1045)</v>
      </c>
      <c r="F62" s="38" t="n">
        <v>1</v>
      </c>
      <c r="G62" s="35" t="s">
        <v>264</v>
      </c>
      <c r="H62" s="39" t="n">
        <f aca="false">INDEX(REF_VAL,MATCH(D62,REF_ID,0))</f>
        <v>7.85</v>
      </c>
      <c r="I62" s="40" t="n">
        <f aca="false">F62*J62</f>
        <v>0.904937909629153</v>
      </c>
      <c r="J62" s="40" t="n">
        <v>0.904937909629153</v>
      </c>
      <c r="K62" s="40" t="n">
        <f aca="false">I62*(1-V62)</f>
        <v>0.884966273455243</v>
      </c>
      <c r="L62" s="40" t="n">
        <f aca="false">I62*(1+V62)</f>
        <v>0.924909545803064</v>
      </c>
      <c r="M62" s="40" t="n">
        <f aca="false">F62*N62</f>
        <v>7.10376259058885</v>
      </c>
      <c r="N62" s="40" t="n">
        <f aca="false">J62*H62</f>
        <v>7.10376259058885</v>
      </c>
      <c r="O62" s="40" t="n">
        <f aca="false">K62*Q62</f>
        <v>6.94698524662366</v>
      </c>
      <c r="P62" s="40" t="n">
        <f aca="false">L62*R62</f>
        <v>7.26053993455405</v>
      </c>
      <c r="Q62" s="39" t="n">
        <f aca="false">INDEX(REF_MIN,MATCH(D62,REF_ID,0))</f>
        <v>7.85</v>
      </c>
      <c r="R62" s="39" t="n">
        <f aca="false">INDEX(REF_MAX,MATCH(D62,REF_ID,0))</f>
        <v>7.85</v>
      </c>
      <c r="S62" s="41" t="n">
        <v>39.9432723478202</v>
      </c>
      <c r="T62" s="42" t="n">
        <f aca="false">200*J62/S62</f>
        <v>4.53111553679972</v>
      </c>
      <c r="U62" s="43" t="n">
        <f aca="false">IFERROR(INDEX(ISO_TOL,MATCH(T62,ISO_DESDE,1)),0)</f>
        <v>0.1</v>
      </c>
      <c r="V62" s="44" t="n">
        <f aca="false">IF(T62&gt;0,U62/T62,0)</f>
        <v>0.0220696204252229</v>
      </c>
    </row>
    <row r="63" customFormat="false" ht="15" hidden="false" customHeight="false" outlineLevel="2" collapsed="false">
      <c r="A63" s="35" t="n">
        <v>2</v>
      </c>
      <c r="B63" s="36" t="s">
        <v>671</v>
      </c>
      <c r="C63" s="37" t="s">
        <v>272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0.943765807647288</v>
      </c>
      <c r="J63" s="40" t="n">
        <v>0.943765807647288</v>
      </c>
      <c r="K63" s="40" t="n">
        <f aca="false">I63*(1-V63)</f>
        <v>0.923347773712902</v>
      </c>
      <c r="L63" s="40" t="n">
        <f aca="false">I63*(1+V63)</f>
        <v>0.964183841581673</v>
      </c>
      <c r="M63" s="40" t="n">
        <f aca="false">F63*N63</f>
        <v>7.40856159003121</v>
      </c>
      <c r="N63" s="40" t="n">
        <f aca="false">J63*H63</f>
        <v>7.40856159003121</v>
      </c>
      <c r="O63" s="40" t="n">
        <f aca="false">K63*Q63</f>
        <v>7.24828002364628</v>
      </c>
      <c r="P63" s="40" t="n">
        <f aca="false">L63*R63</f>
        <v>7.56884315641613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40.8360678687712</v>
      </c>
      <c r="T63" s="42" t="n">
        <f aca="false">200*J63/S63</f>
        <v>4.62221686319127</v>
      </c>
      <c r="U63" s="43" t="n">
        <f aca="false">IFERROR(INDEX(ISO_TOL,MATCH(T63,ISO_DESDE,1)),0)</f>
        <v>0.1</v>
      </c>
      <c r="V63" s="44" t="n">
        <f aca="false">IF(T63&gt;0,U63/T63,0)</f>
        <v>0.0216346404679416</v>
      </c>
    </row>
    <row r="64" customFormat="false" ht="15" hidden="false" customHeight="false" outlineLevel="2" collapsed="false">
      <c r="A64" s="35" t="n">
        <v>2</v>
      </c>
      <c r="B64" s="36" t="s">
        <v>672</v>
      </c>
      <c r="C64" s="37" t="s">
        <v>274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0.0789516497469169</v>
      </c>
      <c r="J64" s="40" t="n">
        <v>0.0789516497469169</v>
      </c>
      <c r="K64" s="40" t="n">
        <f aca="false">I64*(1-V64)</f>
        <v>0.0764158563432186</v>
      </c>
      <c r="L64" s="40" t="n">
        <f aca="false">I64*(1+V64)</f>
        <v>0.0814874431506152</v>
      </c>
      <c r="M64" s="40" t="n">
        <f aca="false">F64*N64</f>
        <v>0.619770450513298</v>
      </c>
      <c r="N64" s="40" t="n">
        <f aca="false">J64*H64</f>
        <v>0.619770450513298</v>
      </c>
      <c r="O64" s="40" t="n">
        <f aca="false">K64*Q64</f>
        <v>0.599864472294266</v>
      </c>
      <c r="P64" s="40" t="n">
        <f aca="false">L64*R64</f>
        <v>0.639676428732329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2.53579340369829</v>
      </c>
      <c r="T64" s="42" t="n">
        <f aca="false">200*J64/S64</f>
        <v>6.22697808360657</v>
      </c>
      <c r="U64" s="43" t="n">
        <f aca="false">IFERROR(INDEX(ISO_TOL,MATCH(T64,ISO_DESDE,1)),0)</f>
        <v>0.2</v>
      </c>
      <c r="V64" s="44" t="n">
        <f aca="false">IF(T64&gt;0,U64/T64,0)</f>
        <v>0.0321183080002368</v>
      </c>
    </row>
    <row r="65" customFormat="false" ht="15" hidden="false" customHeight="false" outlineLevel="2" collapsed="false">
      <c r="A65" s="35" t="n">
        <v>2</v>
      </c>
      <c r="B65" s="36" t="s">
        <v>673</v>
      </c>
      <c r="C65" s="37" t="s">
        <v>619</v>
      </c>
      <c r="D65" s="36" t="s">
        <v>10</v>
      </c>
      <c r="E65" s="36" t="str">
        <f aca="false">INDEX(REF_DATO,MATCH(D65,REF_ID,0))</f>
        <v>Acero (chapa LAC/LAF, SAE 1010/1045)</v>
      </c>
      <c r="F65" s="38" t="n">
        <v>1</v>
      </c>
      <c r="G65" s="35" t="s">
        <v>264</v>
      </c>
      <c r="H65" s="39" t="n">
        <f aca="false">INDEX(REF_VAL,MATCH(D65,REF_ID,0))</f>
        <v>7.85</v>
      </c>
      <c r="I65" s="40" t="n">
        <f aca="false">F65*J65</f>
        <v>0.192432614555256</v>
      </c>
      <c r="J65" s="40" t="n">
        <v>0.192432614555256</v>
      </c>
      <c r="K65" s="40" t="n">
        <f aca="false">I65*(1-V65)</f>
        <v>0.188095185309973</v>
      </c>
      <c r="L65" s="40" t="n">
        <f aca="false">I65*(1+V65)</f>
        <v>0.196770043800539</v>
      </c>
      <c r="M65" s="40" t="n">
        <f aca="false">F65*N65</f>
        <v>1.51059602425876</v>
      </c>
      <c r="N65" s="40" t="n">
        <f aca="false">J65*H65</f>
        <v>1.51059602425876</v>
      </c>
      <c r="O65" s="40" t="n">
        <f aca="false">K65*Q65</f>
        <v>1.47654720468329</v>
      </c>
      <c r="P65" s="40" t="n">
        <f aca="false">L65*R65</f>
        <v>1.54464484383423</v>
      </c>
      <c r="Q65" s="39" t="n">
        <f aca="false">INDEX(REF_MIN,MATCH(D65,REF_ID,0))</f>
        <v>7.85</v>
      </c>
      <c r="R65" s="39" t="n">
        <f aca="false">INDEX(REF_MAX,MATCH(D65,REF_ID,0))</f>
        <v>7.85</v>
      </c>
      <c r="S65" s="41" t="n">
        <v>8.67485849056604</v>
      </c>
      <c r="T65" s="42" t="n">
        <f aca="false">200*J65/S65</f>
        <v>4.43655916150167</v>
      </c>
      <c r="U65" s="43" t="n">
        <f aca="false">IFERROR(INDEX(ISO_TOL,MATCH(T65,ISO_DESDE,1)),0)</f>
        <v>0.1</v>
      </c>
      <c r="V65" s="44" t="n">
        <f aca="false">IF(T65&gt;0,U65/T65,0)</f>
        <v>0.0225399901950485</v>
      </c>
    </row>
    <row r="66" customFormat="false" ht="15" hidden="false" customHeight="false" outlineLevel="2" collapsed="false">
      <c r="A66" s="35" t="n">
        <v>2</v>
      </c>
      <c r="B66" s="36" t="s">
        <v>1179</v>
      </c>
      <c r="C66" s="37" t="s">
        <v>1150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2" collapsed="false">
      <c r="A67" s="35" t="n">
        <v>2</v>
      </c>
      <c r="B67" s="36" t="s">
        <v>1180</v>
      </c>
      <c r="C67" s="37" t="s">
        <v>1152</v>
      </c>
      <c r="D67" s="36"/>
      <c r="E67" s="36"/>
      <c r="F67" s="38" t="n">
        <v>1</v>
      </c>
      <c r="G67" s="35" t="s">
        <v>264</v>
      </c>
      <c r="H67" s="39"/>
      <c r="I67" s="40"/>
      <c r="J67" s="40"/>
      <c r="K67" s="40"/>
      <c r="L67" s="40"/>
      <c r="M67" s="40"/>
      <c r="N67" s="40"/>
      <c r="O67" s="40"/>
      <c r="P67" s="40"/>
      <c r="Q67" s="39"/>
      <c r="R67" s="39"/>
      <c r="S67" s="41"/>
      <c r="T67" s="42"/>
      <c r="U67" s="43"/>
      <c r="V67" s="44"/>
    </row>
  </sheetData>
  <autoFilter ref="A1:V6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1181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/>
      <c r="N2" s="20"/>
      <c r="O2" s="20"/>
      <c r="P2" s="20"/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1182</v>
      </c>
      <c r="C3" s="27" t="s">
        <v>1183</v>
      </c>
      <c r="D3" s="26"/>
      <c r="E3" s="26"/>
      <c r="F3" s="28" t="n">
        <v>1</v>
      </c>
      <c r="G3" s="25" t="s">
        <v>1184</v>
      </c>
      <c r="H3" s="29"/>
      <c r="I3" s="30"/>
      <c r="J3" s="30"/>
      <c r="K3" s="30"/>
      <c r="L3" s="30"/>
      <c r="M3" s="30" t="str">
        <f aca="false">IF(SUMIF(A4:A4,2,M4:M4)=0,"",SUMIF(A4:A4,2,M4:M4))</f>
        <v/>
      </c>
      <c r="N3" s="30"/>
      <c r="O3" s="30" t="str">
        <f aca="false">IF(SUMIF(A4:A4,2,O4:O4)=0,"",SUMIF(A4:A4,2,O4:O4))</f>
        <v/>
      </c>
      <c r="P3" s="30" t="str">
        <f aca="false">IF(SUMIF(A4:A4,2,P4:P4)=0,"",SUMIF(A4:A4,2,P4:P4))</f>
        <v/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1185</v>
      </c>
      <c r="C4" s="37" t="s">
        <v>1186</v>
      </c>
      <c r="D4" s="36"/>
      <c r="E4" s="36"/>
      <c r="F4" s="38" t="n">
        <v>1</v>
      </c>
      <c r="G4" s="35" t="s">
        <v>264</v>
      </c>
      <c r="H4" s="39"/>
      <c r="I4" s="40"/>
      <c r="J4" s="40"/>
      <c r="K4" s="40"/>
      <c r="L4" s="40"/>
      <c r="M4" s="40"/>
      <c r="N4" s="40"/>
      <c r="O4" s="40"/>
      <c r="P4" s="40"/>
      <c r="Q4" s="39"/>
      <c r="R4" s="39"/>
      <c r="S4" s="41"/>
      <c r="T4" s="42"/>
      <c r="U4" s="43"/>
      <c r="V4" s="44"/>
    </row>
    <row r="5" customFormat="false" ht="15" hidden="false" customHeight="false" outlineLevel="1" collapsed="false">
      <c r="A5" s="25" t="n">
        <v>1</v>
      </c>
      <c r="B5" s="26" t="s">
        <v>1187</v>
      </c>
      <c r="C5" s="27" t="s">
        <v>1188</v>
      </c>
      <c r="D5" s="26"/>
      <c r="E5" s="26"/>
      <c r="F5" s="28" t="n">
        <v>1</v>
      </c>
      <c r="G5" s="25" t="s">
        <v>1184</v>
      </c>
      <c r="H5" s="29"/>
      <c r="I5" s="30"/>
      <c r="J5" s="30"/>
      <c r="K5" s="30"/>
      <c r="L5" s="30"/>
      <c r="M5" s="30" t="n">
        <f aca="false">IF(SUMIF(A6:A14,2,M6:M14)=0,"",SUMIF(A6:A14,2,M6:M14))</f>
        <v>0.0538885870437812</v>
      </c>
      <c r="N5" s="30"/>
      <c r="O5" s="30" t="n">
        <f aca="false">IF(SUMIF(A6:A14,2,O6:O14)=0,"",SUMIF(A6:A14,2,O6:O14))</f>
        <v>0.0027960153342643</v>
      </c>
      <c r="P5" s="30" t="n">
        <f aca="false">IF(SUMIF(A6:A14,2,P6:P14)=0,"",SUMIF(A6:A14,2,P6:P14))</f>
        <v>0.0551433891003504</v>
      </c>
      <c r="Q5" s="29"/>
      <c r="R5" s="29"/>
      <c r="S5" s="31"/>
      <c r="T5" s="32"/>
      <c r="U5" s="33"/>
      <c r="V5" s="34"/>
    </row>
    <row r="6" customFormat="false" ht="15" hidden="false" customHeight="false" outlineLevel="2" collapsed="false">
      <c r="A6" s="35" t="n">
        <v>2</v>
      </c>
      <c r="B6" s="36" t="s">
        <v>1189</v>
      </c>
      <c r="C6" s="37" t="s">
        <v>1190</v>
      </c>
      <c r="D6" s="36" t="s">
        <v>37</v>
      </c>
      <c r="E6" s="36" t="str">
        <f aca="false">INDEX(REF_DATO,MATCH(D6,REF_ID,0))</f>
        <v>Polvo ABC asentado en el recipiente</v>
      </c>
      <c r="F6" s="38" t="n">
        <f aca="false">MODELOS!$AN$3</f>
        <v>0.05</v>
      </c>
      <c r="G6" s="35" t="s">
        <v>123</v>
      </c>
      <c r="H6" s="39" t="n">
        <f aca="false">INDEX(REF_VAL,MATCH(D6,REF_ID,0))</f>
        <v>1.1</v>
      </c>
      <c r="I6" s="40" t="n">
        <f aca="false">F6*J6</f>
        <v>0.0454545454545455</v>
      </c>
      <c r="J6" s="40" t="n">
        <f aca="false">1/H6</f>
        <v>0.909090909090909</v>
      </c>
      <c r="K6" s="40" t="n">
        <f aca="false">0/R6</f>
        <v>0</v>
      </c>
      <c r="L6" s="40" t="n">
        <f aca="false">MODELOS!$AN$3/Q6</f>
        <v>0.0454545454545455</v>
      </c>
      <c r="M6" s="40" t="n">
        <f aca="false">F6</f>
        <v>0.05</v>
      </c>
      <c r="N6" s="40" t="n">
        <v>1</v>
      </c>
      <c r="O6" s="40" t="n">
        <f aca="false">0</f>
        <v>0</v>
      </c>
      <c r="P6" s="40" t="n">
        <f aca="false">MODELOS!$AN$3</f>
        <v>0.05</v>
      </c>
      <c r="Q6" s="39" t="n">
        <f aca="false">INDEX(REF_MIN,MATCH(D6,REF_ID,0))</f>
        <v>1.1</v>
      </c>
      <c r="R6" s="39" t="n">
        <f aca="false">INDEX(REF_MAX,MATCH(D6,REF_ID,0))</f>
        <v>1.1</v>
      </c>
      <c r="S6" s="41"/>
      <c r="T6" s="42"/>
      <c r="U6" s="43"/>
      <c r="V6" s="44"/>
    </row>
    <row r="7" customFormat="false" ht="15" hidden="false" customHeight="false" outlineLevel="2" collapsed="false">
      <c r="A7" s="35" t="n">
        <v>2</v>
      </c>
      <c r="B7" s="36" t="s">
        <v>1191</v>
      </c>
      <c r="C7" s="37" t="s">
        <v>316</v>
      </c>
      <c r="D7" s="36" t="s">
        <v>78</v>
      </c>
      <c r="E7" s="36" t="str">
        <f aca="false">INDEX(REF_DATO,MATCH(D7,REF_ID,0))</f>
        <v>Nitrógeno seco (densidad normal)</v>
      </c>
      <c r="F7" s="38" t="n">
        <f aca="false">MODELOS!$AF$3</f>
        <v>0.00388858704378115</v>
      </c>
      <c r="G7" s="35" t="s">
        <v>123</v>
      </c>
      <c r="H7" s="39" t="n">
        <f aca="false">INDEX(REF_VAL,MATCH(D7,REF_ID,0))</f>
        <v>0.00124921923797626</v>
      </c>
      <c r="I7" s="40" t="n">
        <f aca="false">F7*J7</f>
        <v>3.11281392854681</v>
      </c>
      <c r="J7" s="40" t="n">
        <f aca="false">1/H7</f>
        <v>800.5</v>
      </c>
      <c r="K7" s="40" t="n">
        <f aca="false">MODELOS!$AG$3/H7</f>
        <v>2.23821027507857</v>
      </c>
      <c r="L7" s="40" t="n">
        <f aca="false">MODELOS!$AH$3/H7</f>
        <v>4.11728297483049</v>
      </c>
      <c r="M7" s="40" t="n">
        <f aca="false">F7</f>
        <v>0.00388858704378115</v>
      </c>
      <c r="N7" s="40" t="n">
        <v>1</v>
      </c>
      <c r="O7" s="40" t="n">
        <f aca="false">MODELOS!$AG$3</f>
        <v>0.0027960153342643</v>
      </c>
      <c r="P7" s="40" t="n">
        <f aca="false">MODELOS!$AH$3</f>
        <v>0.00514338910035039</v>
      </c>
      <c r="Q7" s="39"/>
      <c r="R7" s="39"/>
      <c r="S7" s="41"/>
      <c r="T7" s="42"/>
      <c r="U7" s="43"/>
      <c r="V7" s="44"/>
    </row>
    <row r="8" customFormat="false" ht="15" hidden="false" customHeight="false" outlineLevel="2" collapsed="false">
      <c r="A8" s="35" t="n">
        <v>2</v>
      </c>
      <c r="B8" s="36" t="s">
        <v>1192</v>
      </c>
      <c r="C8" s="37" t="s">
        <v>1193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1194</v>
      </c>
      <c r="C9" s="37" t="s">
        <v>1195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1196</v>
      </c>
      <c r="C10" s="37" t="s">
        <v>1197</v>
      </c>
      <c r="D10" s="36"/>
      <c r="E10" s="36"/>
      <c r="F10" s="38" t="n">
        <v>1</v>
      </c>
      <c r="G10" s="35" t="s">
        <v>264</v>
      </c>
      <c r="H10" s="39"/>
      <c r="I10" s="40"/>
      <c r="J10" s="40"/>
      <c r="K10" s="40"/>
      <c r="L10" s="40"/>
      <c r="M10" s="40"/>
      <c r="N10" s="40"/>
      <c r="O10" s="40"/>
      <c r="P10" s="40"/>
      <c r="Q10" s="39"/>
      <c r="R10" s="39"/>
      <c r="S10" s="41"/>
      <c r="T10" s="42"/>
      <c r="U10" s="43"/>
      <c r="V10" s="44"/>
    </row>
    <row r="11" customFormat="false" ht="15" hidden="false" customHeight="false" outlineLevel="2" collapsed="false">
      <c r="A11" s="35" t="n">
        <v>2</v>
      </c>
      <c r="B11" s="36" t="s">
        <v>1198</v>
      </c>
      <c r="C11" s="37" t="s">
        <v>1199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/>
      <c r="N11" s="40"/>
      <c r="O11" s="40"/>
      <c r="P11" s="40"/>
      <c r="Q11" s="39"/>
      <c r="R11" s="39"/>
      <c r="S11" s="41"/>
      <c r="T11" s="42"/>
      <c r="U11" s="43"/>
      <c r="V11" s="44"/>
    </row>
    <row r="12" customFormat="false" ht="15" hidden="false" customHeight="false" outlineLevel="2" collapsed="false">
      <c r="A12" s="35" t="n">
        <v>2</v>
      </c>
      <c r="B12" s="36" t="s">
        <v>1200</v>
      </c>
      <c r="C12" s="37" t="s">
        <v>1201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1202</v>
      </c>
      <c r="C13" s="37" t="s">
        <v>1203</v>
      </c>
      <c r="D13" s="36"/>
      <c r="E13" s="36"/>
      <c r="F13" s="38" t="n">
        <v>1</v>
      </c>
      <c r="G13" s="35" t="s">
        <v>264</v>
      </c>
      <c r="H13" s="39"/>
      <c r="I13" s="40"/>
      <c r="J13" s="40"/>
      <c r="K13" s="40"/>
      <c r="L13" s="40"/>
      <c r="M13" s="40"/>
      <c r="N13" s="40"/>
      <c r="O13" s="40"/>
      <c r="P13" s="40"/>
      <c r="Q13" s="39"/>
      <c r="R13" s="39"/>
      <c r="S13" s="41"/>
      <c r="T13" s="42"/>
      <c r="U13" s="43"/>
      <c r="V13" s="44"/>
    </row>
    <row r="14" customFormat="false" ht="15" hidden="false" customHeight="false" outlineLevel="2" collapsed="false">
      <c r="A14" s="35" t="n">
        <v>2</v>
      </c>
      <c r="B14" s="36" t="s">
        <v>1204</v>
      </c>
      <c r="C14" s="37" t="s">
        <v>1205</v>
      </c>
      <c r="D14" s="36"/>
      <c r="E14" s="36"/>
      <c r="F14" s="38" t="n">
        <v>1</v>
      </c>
      <c r="G14" s="35" t="s">
        <v>264</v>
      </c>
      <c r="H14" s="39"/>
      <c r="I14" s="40"/>
      <c r="J14" s="40"/>
      <c r="K14" s="40"/>
      <c r="L14" s="40"/>
      <c r="M14" s="40"/>
      <c r="N14" s="40"/>
      <c r="O14" s="40"/>
      <c r="P14" s="40"/>
      <c r="Q14" s="39"/>
      <c r="R14" s="39"/>
      <c r="S14" s="41"/>
      <c r="T14" s="42"/>
      <c r="U14" s="43"/>
      <c r="V14" s="44"/>
    </row>
    <row r="15" customFormat="false" ht="15" hidden="false" customHeight="false" outlineLevel="1" collapsed="false">
      <c r="A15" s="25" t="n">
        <v>1</v>
      </c>
      <c r="B15" s="26" t="s">
        <v>1206</v>
      </c>
      <c r="C15" s="27" t="s">
        <v>1207</v>
      </c>
      <c r="D15" s="26"/>
      <c r="E15" s="26"/>
      <c r="F15" s="28" t="n">
        <v>1</v>
      </c>
      <c r="G15" s="25" t="s">
        <v>1184</v>
      </c>
      <c r="H15" s="29"/>
      <c r="I15" s="30"/>
      <c r="J15" s="30"/>
      <c r="K15" s="30"/>
      <c r="L15" s="30"/>
      <c r="M15" s="30" t="n">
        <f aca="false">IF(SUMIF(A16:A24,2,M16:M24)=0,"",SUMIF(A16:A24,2,M16:M24))</f>
        <v>1.05388858704378</v>
      </c>
      <c r="N15" s="30"/>
      <c r="O15" s="30" t="n">
        <f aca="false">IF(SUMIF(A16:A24,2,O16:O24)=0,"",SUMIF(A16:A24,2,O16:O24))</f>
        <v>1.00279601533426</v>
      </c>
      <c r="P15" s="30" t="n">
        <f aca="false">IF(SUMIF(A16:A24,2,P16:P24)=0,"",SUMIF(A16:A24,2,P16:P24))</f>
        <v>1.10514338910035</v>
      </c>
      <c r="Q15" s="29"/>
      <c r="R15" s="29"/>
      <c r="S15" s="31"/>
      <c r="T15" s="32"/>
      <c r="U15" s="33"/>
      <c r="V15" s="34"/>
    </row>
    <row r="16" customFormat="false" ht="15" hidden="false" customHeight="false" outlineLevel="2" collapsed="false">
      <c r="A16" s="35" t="n">
        <v>2</v>
      </c>
      <c r="B16" s="36" t="s">
        <v>1189</v>
      </c>
      <c r="C16" s="37" t="s">
        <v>314</v>
      </c>
      <c r="D16" s="36" t="s">
        <v>37</v>
      </c>
      <c r="E16" s="36" t="str">
        <f aca="false">INDEX(REF_DATO,MATCH(D16,REF_ID,0))</f>
        <v>Polvo ABC asentado en el recipiente</v>
      </c>
      <c r="F16" s="38" t="n">
        <f aca="false">MODELOS!$L$3</f>
        <v>1.05</v>
      </c>
      <c r="G16" s="35" t="s">
        <v>123</v>
      </c>
      <c r="H16" s="39" t="n">
        <f aca="false">INDEX(REF_VAL,MATCH(D16,REF_ID,0))</f>
        <v>1.1</v>
      </c>
      <c r="I16" s="40" t="n">
        <f aca="false">F16*J16</f>
        <v>0.954545454545455</v>
      </c>
      <c r="J16" s="40" t="n">
        <f aca="false">1/H16</f>
        <v>0.909090909090909</v>
      </c>
      <c r="K16" s="40" t="n">
        <f aca="false">MODELOS!$M$3/R16</f>
        <v>0.909090909090909</v>
      </c>
      <c r="L16" s="40" t="n">
        <f aca="false">MODELOS!$N$3/Q16</f>
        <v>1</v>
      </c>
      <c r="M16" s="40" t="n">
        <f aca="false">F16</f>
        <v>1.05</v>
      </c>
      <c r="N16" s="40" t="n">
        <v>1</v>
      </c>
      <c r="O16" s="40" t="n">
        <f aca="false">MODELOS!$M$3</f>
        <v>1</v>
      </c>
      <c r="P16" s="40" t="n">
        <f aca="false">MODELOS!$N$3</f>
        <v>1.1</v>
      </c>
      <c r="Q16" s="39" t="n">
        <f aca="false">INDEX(REF_MIN,MATCH(D16,REF_ID,0))</f>
        <v>1.1</v>
      </c>
      <c r="R16" s="39" t="n">
        <f aca="false">INDEX(REF_MAX,MATCH(D16,REF_ID,0))</f>
        <v>1.1</v>
      </c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1191</v>
      </c>
      <c r="C17" s="37" t="s">
        <v>316</v>
      </c>
      <c r="D17" s="36" t="s">
        <v>78</v>
      </c>
      <c r="E17" s="36" t="str">
        <f aca="false">INDEX(REF_DATO,MATCH(D17,REF_ID,0))</f>
        <v>Nitrógeno seco (densidad normal)</v>
      </c>
      <c r="F17" s="38" t="n">
        <f aca="false">MODELOS!$AF$3</f>
        <v>0.00388858704378115</v>
      </c>
      <c r="G17" s="35" t="s">
        <v>123</v>
      </c>
      <c r="H17" s="39" t="n">
        <f aca="false">INDEX(REF_VAL,MATCH(D17,REF_ID,0))</f>
        <v>0.00124921923797626</v>
      </c>
      <c r="I17" s="40" t="n">
        <f aca="false">F17*J17</f>
        <v>3.11281392854681</v>
      </c>
      <c r="J17" s="40" t="n">
        <f aca="false">1/H17</f>
        <v>800.5</v>
      </c>
      <c r="K17" s="40" t="n">
        <f aca="false">MODELOS!$AG$3/H17</f>
        <v>2.23821027507857</v>
      </c>
      <c r="L17" s="40" t="n">
        <f aca="false">MODELOS!$AH$3/H17</f>
        <v>4.11728297483049</v>
      </c>
      <c r="M17" s="40" t="n">
        <f aca="false">F17</f>
        <v>0.00388858704378115</v>
      </c>
      <c r="N17" s="40" t="n">
        <v>1</v>
      </c>
      <c r="O17" s="40" t="n">
        <f aca="false">MODELOS!$AG$3</f>
        <v>0.0027960153342643</v>
      </c>
      <c r="P17" s="40" t="n">
        <f aca="false">MODELOS!$AH$3</f>
        <v>0.00514338910035039</v>
      </c>
      <c r="Q17" s="39"/>
      <c r="R17" s="39"/>
      <c r="S17" s="41"/>
      <c r="T17" s="42"/>
      <c r="U17" s="43"/>
      <c r="V17" s="44"/>
    </row>
    <row r="18" customFormat="false" ht="15" hidden="false" customHeight="false" outlineLevel="2" collapsed="false">
      <c r="A18" s="35" t="n">
        <v>2</v>
      </c>
      <c r="B18" s="36" t="s">
        <v>1192</v>
      </c>
      <c r="C18" s="37" t="s">
        <v>1193</v>
      </c>
      <c r="D18" s="36"/>
      <c r="E18" s="36"/>
      <c r="F18" s="38" t="n">
        <v>1</v>
      </c>
      <c r="G18" s="35" t="s">
        <v>264</v>
      </c>
      <c r="H18" s="39"/>
      <c r="I18" s="40"/>
      <c r="J18" s="40"/>
      <c r="K18" s="40"/>
      <c r="L18" s="40"/>
      <c r="M18" s="40"/>
      <c r="N18" s="40"/>
      <c r="O18" s="40"/>
      <c r="P18" s="40"/>
      <c r="Q18" s="39"/>
      <c r="R18" s="39"/>
      <c r="S18" s="41"/>
      <c r="T18" s="42"/>
      <c r="U18" s="43"/>
      <c r="V18" s="44"/>
    </row>
    <row r="19" customFormat="false" ht="15" hidden="false" customHeight="false" outlineLevel="2" collapsed="false">
      <c r="A19" s="35" t="n">
        <v>2</v>
      </c>
      <c r="B19" s="36" t="s">
        <v>1194</v>
      </c>
      <c r="C19" s="37" t="s">
        <v>1195</v>
      </c>
      <c r="D19" s="36"/>
      <c r="E19" s="36"/>
      <c r="F19" s="38" t="n">
        <v>1</v>
      </c>
      <c r="G19" s="35" t="s">
        <v>264</v>
      </c>
      <c r="H19" s="39"/>
      <c r="I19" s="40"/>
      <c r="J19" s="40"/>
      <c r="K19" s="40"/>
      <c r="L19" s="40"/>
      <c r="M19" s="40"/>
      <c r="N19" s="40"/>
      <c r="O19" s="40"/>
      <c r="P19" s="40"/>
      <c r="Q19" s="39"/>
      <c r="R19" s="39"/>
      <c r="S19" s="41"/>
      <c r="T19" s="42"/>
      <c r="U19" s="43"/>
      <c r="V19" s="44"/>
    </row>
    <row r="20" customFormat="false" ht="15" hidden="false" customHeight="false" outlineLevel="2" collapsed="false">
      <c r="A20" s="35" t="n">
        <v>2</v>
      </c>
      <c r="B20" s="36" t="s">
        <v>1196</v>
      </c>
      <c r="C20" s="37" t="s">
        <v>1197</v>
      </c>
      <c r="D20" s="36"/>
      <c r="E20" s="36"/>
      <c r="F20" s="38" t="n">
        <v>1</v>
      </c>
      <c r="G20" s="35" t="s">
        <v>264</v>
      </c>
      <c r="H20" s="39"/>
      <c r="I20" s="40"/>
      <c r="J20" s="40"/>
      <c r="K20" s="40"/>
      <c r="L20" s="40"/>
      <c r="M20" s="40"/>
      <c r="N20" s="40"/>
      <c r="O20" s="40"/>
      <c r="P20" s="40"/>
      <c r="Q20" s="39"/>
      <c r="R20" s="39"/>
      <c r="S20" s="41"/>
      <c r="T20" s="42"/>
      <c r="U20" s="43"/>
      <c r="V20" s="44"/>
    </row>
    <row r="21" customFormat="false" ht="15" hidden="false" customHeight="false" outlineLevel="2" collapsed="false">
      <c r="A21" s="35" t="n">
        <v>2</v>
      </c>
      <c r="B21" s="36" t="s">
        <v>1198</v>
      </c>
      <c r="C21" s="37" t="s">
        <v>1199</v>
      </c>
      <c r="D21" s="36"/>
      <c r="E21" s="36"/>
      <c r="F21" s="38" t="n">
        <v>1</v>
      </c>
      <c r="G21" s="35" t="s">
        <v>264</v>
      </c>
      <c r="H21" s="39"/>
      <c r="I21" s="40"/>
      <c r="J21" s="40"/>
      <c r="K21" s="40"/>
      <c r="L21" s="40"/>
      <c r="M21" s="40"/>
      <c r="N21" s="40"/>
      <c r="O21" s="40"/>
      <c r="P21" s="40"/>
      <c r="Q21" s="39"/>
      <c r="R21" s="39"/>
      <c r="S21" s="41"/>
      <c r="T21" s="42"/>
      <c r="U21" s="43"/>
      <c r="V21" s="44"/>
    </row>
    <row r="22" customFormat="false" ht="15" hidden="false" customHeight="false" outlineLevel="2" collapsed="false">
      <c r="A22" s="35" t="n">
        <v>2</v>
      </c>
      <c r="B22" s="36" t="s">
        <v>1200</v>
      </c>
      <c r="C22" s="37" t="s">
        <v>1201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1202</v>
      </c>
      <c r="C23" s="37" t="s">
        <v>1203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2" collapsed="false">
      <c r="A24" s="35" t="n">
        <v>2</v>
      </c>
      <c r="B24" s="36" t="s">
        <v>1204</v>
      </c>
      <c r="C24" s="37" t="s">
        <v>1205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1" collapsed="false">
      <c r="A25" s="25" t="n">
        <v>1</v>
      </c>
      <c r="B25" s="26" t="s">
        <v>1208</v>
      </c>
      <c r="C25" s="27" t="str">
        <f aca="false">"Prueba hidráulica (cada "&amp;MODELOS!$AO$3&amp;" años, se suma al mantenimiento)"</f>
        <v>Prueba hidráulica (cada 5 años, se suma al mantenimiento)</v>
      </c>
      <c r="D25" s="26"/>
      <c r="E25" s="26"/>
      <c r="F25" s="28" t="n">
        <v>1</v>
      </c>
      <c r="G25" s="25" t="s">
        <v>1184</v>
      </c>
      <c r="H25" s="29"/>
      <c r="I25" s="30"/>
      <c r="J25" s="30"/>
      <c r="K25" s="30"/>
      <c r="L25" s="30"/>
      <c r="M25" s="30" t="n">
        <f aca="false">IF(SUMIF(A26:A27,2,M26:M27)=0,"",SUMIF(A26:A27,2,M26:M27))</f>
        <v>1</v>
      </c>
      <c r="N25" s="30"/>
      <c r="O25" s="30" t="n">
        <f aca="false">IF(SUMIF(A26:A27,2,O26:O27)=0,"",SUMIF(A26:A27,2,O26:O27))</f>
        <v>1</v>
      </c>
      <c r="P25" s="30" t="n">
        <f aca="false">IF(SUMIF(A26:A27,2,P26:P27)=0,"",SUMIF(A26:A27,2,P26:P27))</f>
        <v>1.05</v>
      </c>
      <c r="Q25" s="29"/>
      <c r="R25" s="29"/>
      <c r="S25" s="31"/>
      <c r="T25" s="32"/>
      <c r="U25" s="33"/>
      <c r="V25" s="34"/>
    </row>
    <row r="26" customFormat="false" ht="15" hidden="false" customHeight="false" outlineLevel="2" collapsed="false">
      <c r="A26" s="35" t="n">
        <v>2</v>
      </c>
      <c r="B26" s="36" t="s">
        <v>1209</v>
      </c>
      <c r="C26" s="37" t="s">
        <v>1210</v>
      </c>
      <c r="D26" s="36" t="s">
        <v>37</v>
      </c>
      <c r="E26" s="36" t="str">
        <f aca="false">INDEX(REF_DATO,MATCH(D26,REF_ID,0))</f>
        <v>Polvo ABC asentado en el recipiente</v>
      </c>
      <c r="F26" s="38" t="n">
        <f aca="false">(MODELOS!$L$3-MODELOS!$AN$3)</f>
        <v>1</v>
      </c>
      <c r="G26" s="35" t="s">
        <v>123</v>
      </c>
      <c r="H26" s="39" t="n">
        <f aca="false">INDEX(REF_VAL,MATCH(D26,REF_ID,0))</f>
        <v>1.1</v>
      </c>
      <c r="I26" s="40" t="n">
        <f aca="false">F26*J26</f>
        <v>0.909090909090909</v>
      </c>
      <c r="J26" s="40" t="n">
        <f aca="false">1/H26</f>
        <v>0.909090909090909</v>
      </c>
      <c r="K26" s="40" t="n">
        <f aca="false">(MODELOS!$L$3-MODELOS!$AN$3)/R26</f>
        <v>0.909090909090909</v>
      </c>
      <c r="L26" s="40" t="n">
        <f aca="false">MODELOS!$L$3/Q26</f>
        <v>0.954545454545455</v>
      </c>
      <c r="M26" s="40" t="n">
        <f aca="false">F26</f>
        <v>1</v>
      </c>
      <c r="N26" s="40" t="n">
        <v>1</v>
      </c>
      <c r="O26" s="40" t="n">
        <f aca="false">(MODELOS!$L$3-MODELOS!$AN$3)</f>
        <v>1</v>
      </c>
      <c r="P26" s="40" t="n">
        <f aca="false">MODELOS!$L$3</f>
        <v>1.05</v>
      </c>
      <c r="Q26" s="39" t="n">
        <f aca="false">INDEX(REF_MIN,MATCH(D26,REF_ID,0))</f>
        <v>1.1</v>
      </c>
      <c r="R26" s="39" t="n">
        <f aca="false">INDEX(REF_MAX,MATCH(D26,REF_ID,0))</f>
        <v>1.1</v>
      </c>
      <c r="S26" s="41"/>
      <c r="T26" s="42"/>
      <c r="U26" s="43"/>
      <c r="V26" s="44"/>
    </row>
    <row r="27" customFormat="false" ht="15" hidden="false" customHeight="false" outlineLevel="2" collapsed="false">
      <c r="A27" s="35" t="n">
        <v>2</v>
      </c>
      <c r="B27" s="36" t="s">
        <v>1211</v>
      </c>
      <c r="C27" s="37" t="s">
        <v>1212</v>
      </c>
      <c r="D27" s="36"/>
      <c r="E27" s="36"/>
      <c r="F27" s="38" t="n">
        <v>1</v>
      </c>
      <c r="G27" s="35" t="s">
        <v>264</v>
      </c>
      <c r="H27" s="39"/>
      <c r="I27" s="40"/>
      <c r="J27" s="40"/>
      <c r="K27" s="40"/>
      <c r="L27" s="40"/>
      <c r="M27" s="40"/>
      <c r="N27" s="40"/>
      <c r="O27" s="40"/>
      <c r="P27" s="40"/>
      <c r="Q27" s="39"/>
      <c r="R27" s="39"/>
      <c r="S27" s="41"/>
      <c r="T27" s="42"/>
      <c r="U27" s="43"/>
      <c r="V27" s="44"/>
    </row>
    <row r="28" customFormat="false" ht="15" hidden="false" customHeight="false" outlineLevel="0" collapsed="false">
      <c r="A28" s="16" t="n">
        <v>0</v>
      </c>
      <c r="B28" s="17" t="s">
        <v>1213</v>
      </c>
      <c r="C28" s="17" t="s">
        <v>205</v>
      </c>
      <c r="D28" s="17"/>
      <c r="E28" s="17"/>
      <c r="F28" s="18" t="n">
        <v>1</v>
      </c>
      <c r="G28" s="16" t="s">
        <v>264</v>
      </c>
      <c r="H28" s="19"/>
      <c r="I28" s="20"/>
      <c r="J28" s="20"/>
      <c r="K28" s="20"/>
      <c r="L28" s="20"/>
      <c r="M28" s="20"/>
      <c r="N28" s="20"/>
      <c r="O28" s="20"/>
      <c r="P28" s="20"/>
      <c r="Q28" s="19"/>
      <c r="R28" s="19"/>
      <c r="S28" s="21"/>
      <c r="T28" s="22"/>
      <c r="U28" s="23"/>
      <c r="V28" s="24"/>
    </row>
    <row r="29" customFormat="false" ht="15" hidden="false" customHeight="false" outlineLevel="1" collapsed="false">
      <c r="A29" s="25" t="n">
        <v>1</v>
      </c>
      <c r="B29" s="26" t="s">
        <v>1214</v>
      </c>
      <c r="C29" s="27" t="s">
        <v>1183</v>
      </c>
      <c r="D29" s="26"/>
      <c r="E29" s="26"/>
      <c r="F29" s="28" t="n">
        <v>1</v>
      </c>
      <c r="G29" s="25" t="s">
        <v>1184</v>
      </c>
      <c r="H29" s="29"/>
      <c r="I29" s="30"/>
      <c r="J29" s="30"/>
      <c r="K29" s="30"/>
      <c r="L29" s="30"/>
      <c r="M29" s="30" t="str">
        <f aca="false">IF(SUMIF(A30:A30,2,M30:M30)=0,"",SUMIF(A30:A30,2,M30:M30))</f>
        <v/>
      </c>
      <c r="N29" s="30"/>
      <c r="O29" s="30" t="str">
        <f aca="false">IF(SUMIF(A30:A30,2,O30:O30)=0,"",SUMIF(A30:A30,2,O30:O30))</f>
        <v/>
      </c>
      <c r="P29" s="30" t="str">
        <f aca="false">IF(SUMIF(A30:A30,2,P30:P30)=0,"",SUMIF(A30:A30,2,P30:P30))</f>
        <v/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1215</v>
      </c>
      <c r="C30" s="37" t="s">
        <v>1186</v>
      </c>
      <c r="D30" s="36"/>
      <c r="E30" s="36"/>
      <c r="F30" s="38" t="n">
        <v>1</v>
      </c>
      <c r="G30" s="35" t="s">
        <v>264</v>
      </c>
      <c r="H30" s="39"/>
      <c r="I30" s="40"/>
      <c r="J30" s="40"/>
      <c r="K30" s="40"/>
      <c r="L30" s="40"/>
      <c r="M30" s="40"/>
      <c r="N30" s="40"/>
      <c r="O30" s="40"/>
      <c r="P30" s="40"/>
      <c r="Q30" s="39"/>
      <c r="R30" s="39"/>
      <c r="S30" s="41"/>
      <c r="T30" s="42"/>
      <c r="U30" s="43"/>
      <c r="V30" s="44"/>
    </row>
    <row r="31" customFormat="false" ht="15" hidden="false" customHeight="false" outlineLevel="1" collapsed="false">
      <c r="A31" s="25" t="n">
        <v>1</v>
      </c>
      <c r="B31" s="26" t="s">
        <v>1216</v>
      </c>
      <c r="C31" s="27" t="s">
        <v>1188</v>
      </c>
      <c r="D31" s="26"/>
      <c r="E31" s="26"/>
      <c r="F31" s="28" t="n">
        <v>1</v>
      </c>
      <c r="G31" s="25" t="s">
        <v>1184</v>
      </c>
      <c r="H31" s="29"/>
      <c r="I31" s="30"/>
      <c r="J31" s="30"/>
      <c r="K31" s="30"/>
      <c r="L31" s="30"/>
      <c r="M31" s="30" t="n">
        <f aca="false">IF(SUMIF(A32:A40,2,M32:M40)=0,"",SUMIF(A32:A40,2,M32:M40))</f>
        <v>0.0703837224069172</v>
      </c>
      <c r="N31" s="30"/>
      <c r="O31" s="30" t="n">
        <f aca="false">IF(SUMIF(A32:A40,2,O32:O40)=0,"",SUMIF(A32:A40,2,O32:O40))</f>
        <v>0.0176516119587392</v>
      </c>
      <c r="P31" s="30" t="n">
        <f aca="false">IF(SUMIF(A32:A40,2,P32:P40)=0,"",SUMIF(A32:A40,2,P32:P40))</f>
        <v>0.0733005882062852</v>
      </c>
      <c r="Q31" s="29"/>
      <c r="R31" s="29"/>
      <c r="S31" s="31"/>
      <c r="T31" s="32"/>
      <c r="U31" s="33"/>
      <c r="V31" s="34"/>
    </row>
    <row r="32" customFormat="false" ht="15" hidden="false" customHeight="false" outlineLevel="2" collapsed="false">
      <c r="A32" s="35" t="n">
        <v>2</v>
      </c>
      <c r="B32" s="36" t="s">
        <v>1217</v>
      </c>
      <c r="C32" s="37" t="s">
        <v>1190</v>
      </c>
      <c r="D32" s="36" t="s">
        <v>37</v>
      </c>
      <c r="E32" s="36" t="str">
        <f aca="false">INDEX(REF_DATO,MATCH(D32,REF_ID,0))</f>
        <v>Polvo ABC asentado en el recipiente</v>
      </c>
      <c r="F32" s="38" t="n">
        <f aca="false">MODELOS!$AN$4</f>
        <v>0.0499999999999998</v>
      </c>
      <c r="G32" s="35" t="s">
        <v>123</v>
      </c>
      <c r="H32" s="39" t="n">
        <f aca="false">INDEX(REF_VAL,MATCH(D32,REF_ID,0))</f>
        <v>1.1</v>
      </c>
      <c r="I32" s="40" t="n">
        <f aca="false">F32*J32</f>
        <v>0.0454545454545453</v>
      </c>
      <c r="J32" s="40" t="n">
        <f aca="false">1/H32</f>
        <v>0.909090909090909</v>
      </c>
      <c r="K32" s="40" t="n">
        <f aca="false">0/R32</f>
        <v>0</v>
      </c>
      <c r="L32" s="40" t="n">
        <f aca="false">MODELOS!$AN$4/Q32</f>
        <v>0.0454545454545453</v>
      </c>
      <c r="M32" s="40" t="n">
        <f aca="false">F32</f>
        <v>0.0499999999999998</v>
      </c>
      <c r="N32" s="40" t="n">
        <v>1</v>
      </c>
      <c r="O32" s="40" t="n">
        <f aca="false">0</f>
        <v>0</v>
      </c>
      <c r="P32" s="40" t="n">
        <f aca="false">MODELOS!$AN$4</f>
        <v>0.0499999999999998</v>
      </c>
      <c r="Q32" s="39" t="n">
        <f aca="false">INDEX(REF_MIN,MATCH(D32,REF_ID,0))</f>
        <v>1.1</v>
      </c>
      <c r="R32" s="39" t="n">
        <f aca="false">INDEX(REF_MAX,MATCH(D32,REF_ID,0))</f>
        <v>1.1</v>
      </c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1218</v>
      </c>
      <c r="C33" s="37" t="s">
        <v>316</v>
      </c>
      <c r="D33" s="36" t="s">
        <v>78</v>
      </c>
      <c r="E33" s="36" t="str">
        <f aca="false">INDEX(REF_DATO,MATCH(D33,REF_ID,0))</f>
        <v>Nitrógeno seco (densidad normal)</v>
      </c>
      <c r="F33" s="38" t="n">
        <f aca="false">MODELOS!$AF$4</f>
        <v>0.0203837224069173</v>
      </c>
      <c r="G33" s="35" t="s">
        <v>123</v>
      </c>
      <c r="H33" s="39" t="n">
        <f aca="false">INDEX(REF_VAL,MATCH(D33,REF_ID,0))</f>
        <v>0.00124921923797626</v>
      </c>
      <c r="I33" s="40" t="n">
        <f aca="false">F33*J33</f>
        <v>16.3171697867373</v>
      </c>
      <c r="J33" s="40" t="n">
        <f aca="false">1/H33</f>
        <v>800.5</v>
      </c>
      <c r="K33" s="40" t="n">
        <f aca="false">MODELOS!$AG$4/H33</f>
        <v>14.1301153729708</v>
      </c>
      <c r="L33" s="40" t="n">
        <f aca="false">MODELOS!$AH$4/H33</f>
        <v>18.6521208591314</v>
      </c>
      <c r="M33" s="40" t="n">
        <f aca="false">F33</f>
        <v>0.0203837224069173</v>
      </c>
      <c r="N33" s="40" t="n">
        <v>1</v>
      </c>
      <c r="O33" s="40" t="n">
        <f aca="false">MODELOS!$AG$4</f>
        <v>0.0176516119587392</v>
      </c>
      <c r="P33" s="40" t="n">
        <f aca="false">MODELOS!$AH$4</f>
        <v>0.0233005882062854</v>
      </c>
      <c r="Q33" s="39"/>
      <c r="R33" s="39"/>
      <c r="S33" s="41"/>
      <c r="T33" s="42"/>
      <c r="U33" s="43"/>
      <c r="V33" s="44"/>
    </row>
    <row r="34" customFormat="false" ht="15" hidden="false" customHeight="false" outlineLevel="2" collapsed="false">
      <c r="A34" s="35" t="n">
        <v>2</v>
      </c>
      <c r="B34" s="36" t="s">
        <v>1219</v>
      </c>
      <c r="C34" s="37" t="s">
        <v>1193</v>
      </c>
      <c r="D34" s="36"/>
      <c r="E34" s="36"/>
      <c r="F34" s="38" t="n">
        <v>1</v>
      </c>
      <c r="G34" s="35" t="s">
        <v>264</v>
      </c>
      <c r="H34" s="39"/>
      <c r="I34" s="40"/>
      <c r="J34" s="40"/>
      <c r="K34" s="40"/>
      <c r="L34" s="40"/>
      <c r="M34" s="40"/>
      <c r="N34" s="40"/>
      <c r="O34" s="40"/>
      <c r="P34" s="40"/>
      <c r="Q34" s="39"/>
      <c r="R34" s="39"/>
      <c r="S34" s="41"/>
      <c r="T34" s="42"/>
      <c r="U34" s="43"/>
      <c r="V34" s="44"/>
    </row>
    <row r="35" customFormat="false" ht="15" hidden="false" customHeight="false" outlineLevel="2" collapsed="false">
      <c r="A35" s="35" t="n">
        <v>2</v>
      </c>
      <c r="B35" s="36" t="s">
        <v>1220</v>
      </c>
      <c r="C35" s="37" t="s">
        <v>1195</v>
      </c>
      <c r="D35" s="36"/>
      <c r="E35" s="36"/>
      <c r="F35" s="38" t="n">
        <v>1</v>
      </c>
      <c r="G35" s="35" t="s">
        <v>264</v>
      </c>
      <c r="H35" s="39"/>
      <c r="I35" s="40"/>
      <c r="J35" s="40"/>
      <c r="K35" s="40"/>
      <c r="L35" s="40"/>
      <c r="M35" s="40"/>
      <c r="N35" s="40"/>
      <c r="O35" s="40"/>
      <c r="P35" s="40"/>
      <c r="Q35" s="39"/>
      <c r="R35" s="39"/>
      <c r="S35" s="41"/>
      <c r="T35" s="42"/>
      <c r="U35" s="43"/>
      <c r="V35" s="44"/>
    </row>
    <row r="36" customFormat="false" ht="15" hidden="false" customHeight="false" outlineLevel="2" collapsed="false">
      <c r="A36" s="35" t="n">
        <v>2</v>
      </c>
      <c r="B36" s="36" t="s">
        <v>1221</v>
      </c>
      <c r="C36" s="37" t="s">
        <v>1197</v>
      </c>
      <c r="D36" s="36"/>
      <c r="E36" s="36"/>
      <c r="F36" s="38" t="n">
        <v>1</v>
      </c>
      <c r="G36" s="35" t="s">
        <v>264</v>
      </c>
      <c r="H36" s="39"/>
      <c r="I36" s="40"/>
      <c r="J36" s="40"/>
      <c r="K36" s="40"/>
      <c r="L36" s="40"/>
      <c r="M36" s="40"/>
      <c r="N36" s="40"/>
      <c r="O36" s="40"/>
      <c r="P36" s="40"/>
      <c r="Q36" s="39"/>
      <c r="R36" s="39"/>
      <c r="S36" s="41"/>
      <c r="T36" s="42"/>
      <c r="U36" s="43"/>
      <c r="V36" s="44"/>
    </row>
    <row r="37" customFormat="false" ht="15" hidden="false" customHeight="false" outlineLevel="2" collapsed="false">
      <c r="A37" s="35" t="n">
        <v>2</v>
      </c>
      <c r="B37" s="36" t="s">
        <v>1222</v>
      </c>
      <c r="C37" s="37" t="s">
        <v>1199</v>
      </c>
      <c r="D37" s="36"/>
      <c r="E37" s="36"/>
      <c r="F37" s="38" t="n">
        <v>1</v>
      </c>
      <c r="G37" s="35" t="s">
        <v>264</v>
      </c>
      <c r="H37" s="39"/>
      <c r="I37" s="40"/>
      <c r="J37" s="40"/>
      <c r="K37" s="40"/>
      <c r="L37" s="40"/>
      <c r="M37" s="40"/>
      <c r="N37" s="40"/>
      <c r="O37" s="40"/>
      <c r="P37" s="40"/>
      <c r="Q37" s="39"/>
      <c r="R37" s="39"/>
      <c r="S37" s="41"/>
      <c r="T37" s="42"/>
      <c r="U37" s="43"/>
      <c r="V37" s="44"/>
    </row>
    <row r="38" customFormat="false" ht="15" hidden="false" customHeight="false" outlineLevel="2" collapsed="false">
      <c r="A38" s="35" t="n">
        <v>2</v>
      </c>
      <c r="B38" s="36" t="s">
        <v>1223</v>
      </c>
      <c r="C38" s="37" t="s">
        <v>1201</v>
      </c>
      <c r="D38" s="36"/>
      <c r="E38" s="36"/>
      <c r="F38" s="38" t="n">
        <v>1</v>
      </c>
      <c r="G38" s="35" t="s">
        <v>264</v>
      </c>
      <c r="H38" s="39"/>
      <c r="I38" s="40"/>
      <c r="J38" s="40"/>
      <c r="K38" s="40"/>
      <c r="L38" s="40"/>
      <c r="M38" s="40"/>
      <c r="N38" s="40"/>
      <c r="O38" s="40"/>
      <c r="P38" s="40"/>
      <c r="Q38" s="39"/>
      <c r="R38" s="39"/>
      <c r="S38" s="41"/>
      <c r="T38" s="42"/>
      <c r="U38" s="43"/>
      <c r="V38" s="44"/>
    </row>
    <row r="39" customFormat="false" ht="15" hidden="false" customHeight="false" outlineLevel="2" collapsed="false">
      <c r="A39" s="35" t="n">
        <v>2</v>
      </c>
      <c r="B39" s="36" t="s">
        <v>1224</v>
      </c>
      <c r="C39" s="37" t="s">
        <v>1203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1225</v>
      </c>
      <c r="C40" s="37" t="s">
        <v>1205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1" collapsed="false">
      <c r="A41" s="25" t="n">
        <v>1</v>
      </c>
      <c r="B41" s="26" t="s">
        <v>1226</v>
      </c>
      <c r="C41" s="27" t="s">
        <v>1207</v>
      </c>
      <c r="D41" s="26"/>
      <c r="E41" s="26"/>
      <c r="F41" s="28" t="n">
        <v>1</v>
      </c>
      <c r="G41" s="25" t="s">
        <v>1184</v>
      </c>
      <c r="H41" s="29"/>
      <c r="I41" s="30"/>
      <c r="J41" s="30"/>
      <c r="K41" s="30"/>
      <c r="L41" s="30"/>
      <c r="M41" s="30" t="n">
        <f aca="false">IF(SUMIF(A42:A50,2,M42:M50)=0,"",SUMIF(A42:A50,2,M42:M50))</f>
        <v>2.57038372240692</v>
      </c>
      <c r="N41" s="30"/>
      <c r="O41" s="30" t="n">
        <f aca="false">IF(SUMIF(A42:A50,2,O42:O50)=0,"",SUMIF(A42:A50,2,O42:O50))</f>
        <v>2.51765161195874</v>
      </c>
      <c r="P41" s="30" t="n">
        <f aca="false">IF(SUMIF(A42:A50,2,P42:P50)=0,"",SUMIF(A42:A50,2,P42:P50))</f>
        <v>2.62330058820629</v>
      </c>
      <c r="Q41" s="29"/>
      <c r="R41" s="29"/>
      <c r="S41" s="31"/>
      <c r="T41" s="32"/>
      <c r="U41" s="33"/>
      <c r="V41" s="34"/>
    </row>
    <row r="42" customFormat="false" ht="15" hidden="false" customHeight="false" outlineLevel="2" collapsed="false">
      <c r="A42" s="35" t="n">
        <v>2</v>
      </c>
      <c r="B42" s="36" t="s">
        <v>1217</v>
      </c>
      <c r="C42" s="37" t="s">
        <v>314</v>
      </c>
      <c r="D42" s="36" t="s">
        <v>37</v>
      </c>
      <c r="E42" s="36" t="str">
        <f aca="false">INDEX(REF_DATO,MATCH(D42,REF_ID,0))</f>
        <v>Polvo ABC asentado en el recipiente</v>
      </c>
      <c r="F42" s="38" t="n">
        <f aca="false">MODELOS!$L$4</f>
        <v>2.55</v>
      </c>
      <c r="G42" s="35" t="s">
        <v>123</v>
      </c>
      <c r="H42" s="39" t="n">
        <f aca="false">INDEX(REF_VAL,MATCH(D42,REF_ID,0))</f>
        <v>1.1</v>
      </c>
      <c r="I42" s="40" t="n">
        <f aca="false">F42*J42</f>
        <v>2.31818181818182</v>
      </c>
      <c r="J42" s="40" t="n">
        <f aca="false">1/H42</f>
        <v>0.909090909090909</v>
      </c>
      <c r="K42" s="40" t="n">
        <f aca="false">MODELOS!$M$4/R42</f>
        <v>2.27272727272727</v>
      </c>
      <c r="L42" s="40" t="n">
        <f aca="false">MODELOS!$N$4/Q42</f>
        <v>2.36363636363636</v>
      </c>
      <c r="M42" s="40" t="n">
        <f aca="false">F42</f>
        <v>2.55</v>
      </c>
      <c r="N42" s="40" t="n">
        <v>1</v>
      </c>
      <c r="O42" s="40" t="n">
        <f aca="false">MODELOS!$M$4</f>
        <v>2.5</v>
      </c>
      <c r="P42" s="40" t="n">
        <f aca="false">MODELOS!$N$4</f>
        <v>2.6</v>
      </c>
      <c r="Q42" s="39" t="n">
        <f aca="false">INDEX(REF_MIN,MATCH(D42,REF_ID,0))</f>
        <v>1.1</v>
      </c>
      <c r="R42" s="39" t="n">
        <f aca="false">INDEX(REF_MAX,MATCH(D42,REF_ID,0))</f>
        <v>1.1</v>
      </c>
      <c r="S42" s="41"/>
      <c r="T42" s="42"/>
      <c r="U42" s="43"/>
      <c r="V42" s="44"/>
    </row>
    <row r="43" customFormat="false" ht="15" hidden="false" customHeight="false" outlineLevel="2" collapsed="false">
      <c r="A43" s="35" t="n">
        <v>2</v>
      </c>
      <c r="B43" s="36" t="s">
        <v>1218</v>
      </c>
      <c r="C43" s="37" t="s">
        <v>316</v>
      </c>
      <c r="D43" s="36" t="s">
        <v>78</v>
      </c>
      <c r="E43" s="36" t="str">
        <f aca="false">INDEX(REF_DATO,MATCH(D43,REF_ID,0))</f>
        <v>Nitrógeno seco (densidad normal)</v>
      </c>
      <c r="F43" s="38" t="n">
        <f aca="false">MODELOS!$AF$4</f>
        <v>0.0203837224069173</v>
      </c>
      <c r="G43" s="35" t="s">
        <v>123</v>
      </c>
      <c r="H43" s="39" t="n">
        <f aca="false">INDEX(REF_VAL,MATCH(D43,REF_ID,0))</f>
        <v>0.00124921923797626</v>
      </c>
      <c r="I43" s="40" t="n">
        <f aca="false">F43*J43</f>
        <v>16.3171697867373</v>
      </c>
      <c r="J43" s="40" t="n">
        <f aca="false">1/H43</f>
        <v>800.5</v>
      </c>
      <c r="K43" s="40" t="n">
        <f aca="false">MODELOS!$AG$4/H43</f>
        <v>14.1301153729708</v>
      </c>
      <c r="L43" s="40" t="n">
        <f aca="false">MODELOS!$AH$4/H43</f>
        <v>18.6521208591314</v>
      </c>
      <c r="M43" s="40" t="n">
        <f aca="false">F43</f>
        <v>0.0203837224069173</v>
      </c>
      <c r="N43" s="40" t="n">
        <v>1</v>
      </c>
      <c r="O43" s="40" t="n">
        <f aca="false">MODELOS!$AG$4</f>
        <v>0.0176516119587392</v>
      </c>
      <c r="P43" s="40" t="n">
        <f aca="false">MODELOS!$AH$4</f>
        <v>0.0233005882062854</v>
      </c>
      <c r="Q43" s="39"/>
      <c r="R43" s="39"/>
      <c r="S43" s="41"/>
      <c r="T43" s="42"/>
      <c r="U43" s="43"/>
      <c r="V43" s="44"/>
    </row>
    <row r="44" customFormat="false" ht="15" hidden="false" customHeight="false" outlineLevel="2" collapsed="false">
      <c r="A44" s="35" t="n">
        <v>2</v>
      </c>
      <c r="B44" s="36" t="s">
        <v>1219</v>
      </c>
      <c r="C44" s="37" t="s">
        <v>1193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1220</v>
      </c>
      <c r="C45" s="37" t="s">
        <v>1195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1221</v>
      </c>
      <c r="C46" s="37" t="s">
        <v>1197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1222</v>
      </c>
      <c r="C47" s="37" t="s">
        <v>1199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2" collapsed="false">
      <c r="A48" s="35" t="n">
        <v>2</v>
      </c>
      <c r="B48" s="36" t="s">
        <v>1223</v>
      </c>
      <c r="C48" s="37" t="s">
        <v>1201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1224</v>
      </c>
      <c r="C49" s="37" t="s">
        <v>1203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2" collapsed="false">
      <c r="A50" s="35" t="n">
        <v>2</v>
      </c>
      <c r="B50" s="36" t="s">
        <v>1225</v>
      </c>
      <c r="C50" s="37" t="s">
        <v>1205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1" collapsed="false">
      <c r="A51" s="25" t="n">
        <v>1</v>
      </c>
      <c r="B51" s="26" t="s">
        <v>1227</v>
      </c>
      <c r="C51" s="27" t="str">
        <f aca="false">"Prueba hidráulica (cada "&amp;MODELOS!$AO$4&amp;" años, se suma al mantenimiento)"</f>
        <v>Prueba hidráulica (cada 5 años, se suma al mantenimiento)</v>
      </c>
      <c r="D51" s="26"/>
      <c r="E51" s="26"/>
      <c r="F51" s="28" t="n">
        <v>1</v>
      </c>
      <c r="G51" s="25" t="s">
        <v>1184</v>
      </c>
      <c r="H51" s="29"/>
      <c r="I51" s="30"/>
      <c r="J51" s="30"/>
      <c r="K51" s="30"/>
      <c r="L51" s="30"/>
      <c r="M51" s="30" t="n">
        <f aca="false">IF(SUMIF(A52:A53,2,M52:M53)=0,"",SUMIF(A52:A53,2,M52:M53))</f>
        <v>2.5</v>
      </c>
      <c r="N51" s="30"/>
      <c r="O51" s="30" t="n">
        <f aca="false">IF(SUMIF(A52:A53,2,O52:O53)=0,"",SUMIF(A52:A53,2,O52:O53))</f>
        <v>2.5</v>
      </c>
      <c r="P51" s="30" t="n">
        <f aca="false">IF(SUMIF(A52:A53,2,P52:P53)=0,"",SUMIF(A52:A53,2,P52:P53))</f>
        <v>2.55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1228</v>
      </c>
      <c r="C52" s="37" t="s">
        <v>1210</v>
      </c>
      <c r="D52" s="36" t="s">
        <v>37</v>
      </c>
      <c r="E52" s="36" t="str">
        <f aca="false">INDEX(REF_DATO,MATCH(D52,REF_ID,0))</f>
        <v>Polvo ABC asentado en el recipiente</v>
      </c>
      <c r="F52" s="38" t="n">
        <f aca="false">(MODELOS!$L$4-MODELOS!$AN$4)</f>
        <v>2.5</v>
      </c>
      <c r="G52" s="35" t="s">
        <v>123</v>
      </c>
      <c r="H52" s="39" t="n">
        <f aca="false">INDEX(REF_VAL,MATCH(D52,REF_ID,0))</f>
        <v>1.1</v>
      </c>
      <c r="I52" s="40" t="n">
        <f aca="false">F52*J52</f>
        <v>2.27272727272727</v>
      </c>
      <c r="J52" s="40" t="n">
        <f aca="false">1/H52</f>
        <v>0.909090909090909</v>
      </c>
      <c r="K52" s="40" t="n">
        <f aca="false">(MODELOS!$L$4-MODELOS!$AN$4)/R52</f>
        <v>2.27272727272727</v>
      </c>
      <c r="L52" s="40" t="n">
        <f aca="false">MODELOS!$L$4/Q52</f>
        <v>2.31818181818182</v>
      </c>
      <c r="M52" s="40" t="n">
        <f aca="false">F52</f>
        <v>2.5</v>
      </c>
      <c r="N52" s="40" t="n">
        <v>1</v>
      </c>
      <c r="O52" s="40" t="n">
        <f aca="false">(MODELOS!$L$4-MODELOS!$AN$4)</f>
        <v>2.5</v>
      </c>
      <c r="P52" s="40" t="n">
        <f aca="false">MODELOS!$L$4</f>
        <v>2.55</v>
      </c>
      <c r="Q52" s="39" t="n">
        <f aca="false">INDEX(REF_MIN,MATCH(D52,REF_ID,0))</f>
        <v>1.1</v>
      </c>
      <c r="R52" s="39" t="n">
        <f aca="false">INDEX(REF_MAX,MATCH(D52,REF_ID,0))</f>
        <v>1.1</v>
      </c>
      <c r="S52" s="41"/>
      <c r="T52" s="42"/>
      <c r="U52" s="43"/>
      <c r="V52" s="44"/>
    </row>
    <row r="53" customFormat="false" ht="15" hidden="false" customHeight="false" outlineLevel="2" collapsed="false">
      <c r="A53" s="35" t="n">
        <v>2</v>
      </c>
      <c r="B53" s="36" t="s">
        <v>1229</v>
      </c>
      <c r="C53" s="37" t="s">
        <v>1212</v>
      </c>
      <c r="D53" s="36"/>
      <c r="E53" s="36"/>
      <c r="F53" s="38" t="n">
        <v>1</v>
      </c>
      <c r="G53" s="35" t="s">
        <v>264</v>
      </c>
      <c r="H53" s="39"/>
      <c r="I53" s="40"/>
      <c r="J53" s="40"/>
      <c r="K53" s="40"/>
      <c r="L53" s="40"/>
      <c r="M53" s="40"/>
      <c r="N53" s="40"/>
      <c r="O53" s="40"/>
      <c r="P53" s="40"/>
      <c r="Q53" s="39"/>
      <c r="R53" s="39"/>
      <c r="S53" s="41"/>
      <c r="T53" s="42"/>
      <c r="U53" s="43"/>
      <c r="V53" s="44"/>
    </row>
    <row r="54" customFormat="false" ht="15" hidden="false" customHeight="false" outlineLevel="0" collapsed="false">
      <c r="A54" s="16" t="n">
        <v>0</v>
      </c>
      <c r="B54" s="17" t="s">
        <v>1230</v>
      </c>
      <c r="C54" s="17" t="s">
        <v>207</v>
      </c>
      <c r="D54" s="17"/>
      <c r="E54" s="17"/>
      <c r="F54" s="18" t="n">
        <v>1</v>
      </c>
      <c r="G54" s="16" t="s">
        <v>264</v>
      </c>
      <c r="H54" s="19"/>
      <c r="I54" s="20"/>
      <c r="J54" s="20"/>
      <c r="K54" s="20"/>
      <c r="L54" s="20"/>
      <c r="M54" s="20"/>
      <c r="N54" s="20"/>
      <c r="O54" s="20"/>
      <c r="P54" s="20"/>
      <c r="Q54" s="19"/>
      <c r="R54" s="19"/>
      <c r="S54" s="21"/>
      <c r="T54" s="22"/>
      <c r="U54" s="23"/>
      <c r="V54" s="24"/>
    </row>
    <row r="55" customFormat="false" ht="15" hidden="false" customHeight="false" outlineLevel="1" collapsed="false">
      <c r="A55" s="25" t="n">
        <v>1</v>
      </c>
      <c r="B55" s="26" t="s">
        <v>1231</v>
      </c>
      <c r="C55" s="27" t="s">
        <v>1183</v>
      </c>
      <c r="D55" s="26"/>
      <c r="E55" s="26"/>
      <c r="F55" s="28" t="n">
        <v>1</v>
      </c>
      <c r="G55" s="25" t="s">
        <v>1184</v>
      </c>
      <c r="H55" s="29"/>
      <c r="I55" s="30"/>
      <c r="J55" s="30"/>
      <c r="K55" s="30"/>
      <c r="L55" s="30"/>
      <c r="M55" s="30" t="str">
        <f aca="false">IF(SUMIF(A56:A56,2,M56:M56)=0,"",SUMIF(A56:A56,2,M56:M56))</f>
        <v/>
      </c>
      <c r="N55" s="30"/>
      <c r="O55" s="30" t="str">
        <f aca="false">IF(SUMIF(A56:A56,2,O56:O56)=0,"",SUMIF(A56:A56,2,O56:O56))</f>
        <v/>
      </c>
      <c r="P55" s="30" t="str">
        <f aca="false">IF(SUMIF(A56:A56,2,P56:P56)=0,"",SUMIF(A56:A56,2,P56:P56))</f>
        <v/>
      </c>
      <c r="Q55" s="29"/>
      <c r="R55" s="29"/>
      <c r="S55" s="31"/>
      <c r="T55" s="32"/>
      <c r="U55" s="33"/>
      <c r="V55" s="34"/>
    </row>
    <row r="56" customFormat="false" ht="15" hidden="false" customHeight="false" outlineLevel="2" collapsed="false">
      <c r="A56" s="35" t="n">
        <v>2</v>
      </c>
      <c r="B56" s="36" t="s">
        <v>1232</v>
      </c>
      <c r="C56" s="37" t="s">
        <v>1186</v>
      </c>
      <c r="D56" s="36"/>
      <c r="E56" s="36"/>
      <c r="F56" s="38" t="n">
        <v>1</v>
      </c>
      <c r="G56" s="35" t="s">
        <v>264</v>
      </c>
      <c r="H56" s="39"/>
      <c r="I56" s="40"/>
      <c r="J56" s="40"/>
      <c r="K56" s="40"/>
      <c r="L56" s="40"/>
      <c r="M56" s="40"/>
      <c r="N56" s="40"/>
      <c r="O56" s="40"/>
      <c r="P56" s="40"/>
      <c r="Q56" s="39"/>
      <c r="R56" s="39"/>
      <c r="S56" s="41"/>
      <c r="T56" s="42"/>
      <c r="U56" s="43"/>
      <c r="V56" s="44"/>
    </row>
    <row r="57" customFormat="false" ht="15" hidden="false" customHeight="false" outlineLevel="1" collapsed="false">
      <c r="A57" s="25" t="n">
        <v>1</v>
      </c>
      <c r="B57" s="26" t="s">
        <v>1233</v>
      </c>
      <c r="C57" s="27" t="s">
        <v>1188</v>
      </c>
      <c r="D57" s="26"/>
      <c r="E57" s="26"/>
      <c r="F57" s="28" t="n">
        <v>1</v>
      </c>
      <c r="G57" s="25" t="s">
        <v>1184</v>
      </c>
      <c r="H57" s="29"/>
      <c r="I57" s="30"/>
      <c r="J57" s="30"/>
      <c r="K57" s="30"/>
      <c r="L57" s="30"/>
      <c r="M57" s="30" t="n">
        <f aca="false">IF(SUMIF(A58:A66,2,M58:M66)=0,"",SUMIF(A58:A66,2,M58:M66))</f>
        <v>0.172735690376947</v>
      </c>
      <c r="N57" s="30"/>
      <c r="O57" s="30" t="n">
        <f aca="false">IF(SUMIF(A58:A66,2,O58:O66)=0,"",SUMIF(A58:A66,2,O58:O66))</f>
        <v>0.0183576764370888</v>
      </c>
      <c r="P57" s="30" t="n">
        <f aca="false">IF(SUMIF(A58:A66,2,P58:P66)=0,"",SUMIF(A58:A66,2,P58:P66))</f>
        <v>0.17761551194819</v>
      </c>
      <c r="Q57" s="29"/>
      <c r="R57" s="29"/>
      <c r="S57" s="31"/>
      <c r="T57" s="32"/>
      <c r="U57" s="33"/>
      <c r="V57" s="34"/>
    </row>
    <row r="58" customFormat="false" ht="15" hidden="false" customHeight="false" outlineLevel="2" collapsed="false">
      <c r="A58" s="35" t="n">
        <v>2</v>
      </c>
      <c r="B58" s="36" t="s">
        <v>1234</v>
      </c>
      <c r="C58" s="37" t="s">
        <v>1190</v>
      </c>
      <c r="D58" s="36" t="s">
        <v>37</v>
      </c>
      <c r="E58" s="36" t="str">
        <f aca="false">INDEX(REF_DATO,MATCH(D58,REF_ID,0))</f>
        <v>Polvo ABC asentado en el recipiente</v>
      </c>
      <c r="F58" s="38" t="n">
        <f aca="false">MODELOS!$AN$5</f>
        <v>0.15</v>
      </c>
      <c r="G58" s="35" t="s">
        <v>123</v>
      </c>
      <c r="H58" s="39" t="n">
        <f aca="false">INDEX(REF_VAL,MATCH(D58,REF_ID,0))</f>
        <v>1.1</v>
      </c>
      <c r="I58" s="40" t="n">
        <f aca="false">F58*J58</f>
        <v>0.136363636363637</v>
      </c>
      <c r="J58" s="40" t="n">
        <f aca="false">1/H58</f>
        <v>0.909090909090909</v>
      </c>
      <c r="K58" s="40" t="n">
        <f aca="false">0/R58</f>
        <v>0</v>
      </c>
      <c r="L58" s="40" t="n">
        <f aca="false">MODELOS!$AN$5/Q58</f>
        <v>0.136363636363637</v>
      </c>
      <c r="M58" s="40" t="n">
        <f aca="false">F58</f>
        <v>0.15</v>
      </c>
      <c r="N58" s="40" t="n">
        <v>1</v>
      </c>
      <c r="O58" s="40" t="n">
        <f aca="false">0</f>
        <v>0</v>
      </c>
      <c r="P58" s="40" t="n">
        <f aca="false">MODELOS!$AN$5</f>
        <v>0.15</v>
      </c>
      <c r="Q58" s="39" t="n">
        <f aca="false">INDEX(REF_MIN,MATCH(D58,REF_ID,0))</f>
        <v>1.1</v>
      </c>
      <c r="R58" s="39" t="n">
        <f aca="false">INDEX(REF_MAX,MATCH(D58,REF_ID,0))</f>
        <v>1.1</v>
      </c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1235</v>
      </c>
      <c r="C59" s="37" t="s">
        <v>316</v>
      </c>
      <c r="D59" s="36" t="s">
        <v>78</v>
      </c>
      <c r="E59" s="36" t="str">
        <f aca="false">INDEX(REF_DATO,MATCH(D59,REF_ID,0))</f>
        <v>Nitrógeno seco (densidad normal)</v>
      </c>
      <c r="F59" s="38" t="n">
        <f aca="false">MODELOS!$AF$5</f>
        <v>0.0227356903769463</v>
      </c>
      <c r="G59" s="35" t="s">
        <v>123</v>
      </c>
      <c r="H59" s="39" t="n">
        <f aca="false">INDEX(REF_VAL,MATCH(D59,REF_ID,0))</f>
        <v>0.00124921923797626</v>
      </c>
      <c r="I59" s="40" t="n">
        <f aca="false">F59*J59</f>
        <v>18.1999201467455</v>
      </c>
      <c r="J59" s="40" t="n">
        <f aca="false">1/H59</f>
        <v>800.5</v>
      </c>
      <c r="K59" s="40" t="n">
        <f aca="false">MODELOS!$AG$5/H59</f>
        <v>14.6953199878896</v>
      </c>
      <c r="L59" s="40" t="n">
        <f aca="false">MODELOS!$AH$5/H59</f>
        <v>22.1062173145261</v>
      </c>
      <c r="M59" s="40" t="n">
        <f aca="false">F59</f>
        <v>0.0227356903769463</v>
      </c>
      <c r="N59" s="40" t="n">
        <v>1</v>
      </c>
      <c r="O59" s="40" t="n">
        <f aca="false">MODELOS!$AG$5</f>
        <v>0.0183576764370888</v>
      </c>
      <c r="P59" s="40" t="n">
        <f aca="false">MODELOS!$AH$5</f>
        <v>0.0276155119481901</v>
      </c>
      <c r="Q59" s="39"/>
      <c r="R59" s="39"/>
      <c r="S59" s="41"/>
      <c r="T59" s="42"/>
      <c r="U59" s="43"/>
      <c r="V59" s="44"/>
    </row>
    <row r="60" customFormat="false" ht="15" hidden="false" customHeight="false" outlineLevel="2" collapsed="false">
      <c r="A60" s="35" t="n">
        <v>2</v>
      </c>
      <c r="B60" s="36" t="s">
        <v>1236</v>
      </c>
      <c r="C60" s="37" t="s">
        <v>1193</v>
      </c>
      <c r="D60" s="36"/>
      <c r="E60" s="36"/>
      <c r="F60" s="38" t="n">
        <v>1</v>
      </c>
      <c r="G60" s="35" t="s">
        <v>264</v>
      </c>
      <c r="H60" s="39"/>
      <c r="I60" s="40"/>
      <c r="J60" s="40"/>
      <c r="K60" s="40"/>
      <c r="L60" s="40"/>
      <c r="M60" s="40"/>
      <c r="N60" s="40"/>
      <c r="O60" s="40"/>
      <c r="P60" s="40"/>
      <c r="Q60" s="39"/>
      <c r="R60" s="39"/>
      <c r="S60" s="41"/>
      <c r="T60" s="42"/>
      <c r="U60" s="43"/>
      <c r="V60" s="44"/>
    </row>
    <row r="61" customFormat="false" ht="15" hidden="false" customHeight="false" outlineLevel="2" collapsed="false">
      <c r="A61" s="35" t="n">
        <v>2</v>
      </c>
      <c r="B61" s="36" t="s">
        <v>1237</v>
      </c>
      <c r="C61" s="37" t="s">
        <v>1195</v>
      </c>
      <c r="D61" s="36"/>
      <c r="E61" s="36"/>
      <c r="F61" s="38" t="n">
        <v>1</v>
      </c>
      <c r="G61" s="35" t="s">
        <v>264</v>
      </c>
      <c r="H61" s="39"/>
      <c r="I61" s="40"/>
      <c r="J61" s="40"/>
      <c r="K61" s="40"/>
      <c r="L61" s="40"/>
      <c r="M61" s="40"/>
      <c r="N61" s="40"/>
      <c r="O61" s="40"/>
      <c r="P61" s="40"/>
      <c r="Q61" s="39"/>
      <c r="R61" s="39"/>
      <c r="S61" s="41"/>
      <c r="T61" s="42"/>
      <c r="U61" s="43"/>
      <c r="V61" s="44"/>
    </row>
    <row r="62" customFormat="false" ht="15" hidden="false" customHeight="false" outlineLevel="2" collapsed="false">
      <c r="A62" s="35" t="n">
        <v>2</v>
      </c>
      <c r="B62" s="36" t="s">
        <v>1238</v>
      </c>
      <c r="C62" s="37" t="s">
        <v>1197</v>
      </c>
      <c r="D62" s="36"/>
      <c r="E62" s="36"/>
      <c r="F62" s="38" t="n">
        <v>1</v>
      </c>
      <c r="G62" s="35" t="s">
        <v>264</v>
      </c>
      <c r="H62" s="39"/>
      <c r="I62" s="40"/>
      <c r="J62" s="40"/>
      <c r="K62" s="40"/>
      <c r="L62" s="40"/>
      <c r="M62" s="40"/>
      <c r="N62" s="40"/>
      <c r="O62" s="40"/>
      <c r="P62" s="40"/>
      <c r="Q62" s="39"/>
      <c r="R62" s="39"/>
      <c r="S62" s="41"/>
      <c r="T62" s="42"/>
      <c r="U62" s="43"/>
      <c r="V62" s="44"/>
    </row>
    <row r="63" customFormat="false" ht="15" hidden="false" customHeight="false" outlineLevel="2" collapsed="false">
      <c r="A63" s="35" t="n">
        <v>2</v>
      </c>
      <c r="B63" s="36" t="s">
        <v>1239</v>
      </c>
      <c r="C63" s="37" t="s">
        <v>1199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2" collapsed="false">
      <c r="A64" s="35" t="n">
        <v>2</v>
      </c>
      <c r="B64" s="36" t="s">
        <v>1240</v>
      </c>
      <c r="C64" s="37" t="s">
        <v>1201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2" collapsed="false">
      <c r="A65" s="35" t="n">
        <v>2</v>
      </c>
      <c r="B65" s="36" t="s">
        <v>1241</v>
      </c>
      <c r="C65" s="37" t="s">
        <v>1203</v>
      </c>
      <c r="D65" s="36"/>
      <c r="E65" s="36"/>
      <c r="F65" s="38" t="n">
        <v>1</v>
      </c>
      <c r="G65" s="35" t="s">
        <v>264</v>
      </c>
      <c r="H65" s="39"/>
      <c r="I65" s="40"/>
      <c r="J65" s="40"/>
      <c r="K65" s="40"/>
      <c r="L65" s="40"/>
      <c r="M65" s="40"/>
      <c r="N65" s="40"/>
      <c r="O65" s="40"/>
      <c r="P65" s="40"/>
      <c r="Q65" s="39"/>
      <c r="R65" s="39"/>
      <c r="S65" s="41"/>
      <c r="T65" s="42"/>
      <c r="U65" s="43"/>
      <c r="V65" s="44"/>
    </row>
    <row r="66" customFormat="false" ht="15" hidden="false" customHeight="false" outlineLevel="2" collapsed="false">
      <c r="A66" s="35" t="n">
        <v>2</v>
      </c>
      <c r="B66" s="36" t="s">
        <v>1242</v>
      </c>
      <c r="C66" s="37" t="s">
        <v>1205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1" collapsed="false">
      <c r="A67" s="25" t="n">
        <v>1</v>
      </c>
      <c r="B67" s="26" t="s">
        <v>1243</v>
      </c>
      <c r="C67" s="27" t="s">
        <v>1207</v>
      </c>
      <c r="D67" s="26"/>
      <c r="E67" s="26"/>
      <c r="F67" s="28" t="n">
        <v>1</v>
      </c>
      <c r="G67" s="25" t="s">
        <v>1184</v>
      </c>
      <c r="H67" s="29"/>
      <c r="I67" s="30"/>
      <c r="J67" s="30"/>
      <c r="K67" s="30"/>
      <c r="L67" s="30"/>
      <c r="M67" s="30" t="n">
        <f aca="false">IF(SUMIF(A68:A76,2,M68:M76)=0,"",SUMIF(A68:A76,2,M68:M76))</f>
        <v>5.17273569037695</v>
      </c>
      <c r="N67" s="30"/>
      <c r="O67" s="30" t="n">
        <f aca="false">IF(SUMIF(A68:A76,2,O68:O76)=0,"",SUMIF(A68:A76,2,O68:O76))</f>
        <v>5.01835767643709</v>
      </c>
      <c r="P67" s="30" t="n">
        <f aca="false">IF(SUMIF(A68:A76,2,P68:P76)=0,"",SUMIF(A68:A76,2,P68:P76))</f>
        <v>5.32761551194819</v>
      </c>
      <c r="Q67" s="29"/>
      <c r="R67" s="29"/>
      <c r="S67" s="31"/>
      <c r="T67" s="32"/>
      <c r="U67" s="33"/>
      <c r="V67" s="34"/>
    </row>
    <row r="68" customFormat="false" ht="15" hidden="false" customHeight="false" outlineLevel="2" collapsed="false">
      <c r="A68" s="35" t="n">
        <v>2</v>
      </c>
      <c r="B68" s="36" t="s">
        <v>1234</v>
      </c>
      <c r="C68" s="37" t="s">
        <v>314</v>
      </c>
      <c r="D68" s="36" t="s">
        <v>37</v>
      </c>
      <c r="E68" s="36" t="str">
        <f aca="false">INDEX(REF_DATO,MATCH(D68,REF_ID,0))</f>
        <v>Polvo ABC asentado en el recipiente</v>
      </c>
      <c r="F68" s="38" t="n">
        <f aca="false">MODELOS!$L$5</f>
        <v>5.15</v>
      </c>
      <c r="G68" s="35" t="s">
        <v>123</v>
      </c>
      <c r="H68" s="39" t="n">
        <f aca="false">INDEX(REF_VAL,MATCH(D68,REF_ID,0))</f>
        <v>1.1</v>
      </c>
      <c r="I68" s="40" t="n">
        <f aca="false">F68*J68</f>
        <v>4.68181818181818</v>
      </c>
      <c r="J68" s="40" t="n">
        <f aca="false">1/H68</f>
        <v>0.909090909090909</v>
      </c>
      <c r="K68" s="40" t="n">
        <f aca="false">MODELOS!$M$5/R68</f>
        <v>4.54545454545455</v>
      </c>
      <c r="L68" s="40" t="n">
        <f aca="false">MODELOS!$N$5/Q68</f>
        <v>4.81818181818182</v>
      </c>
      <c r="M68" s="40" t="n">
        <f aca="false">F68</f>
        <v>5.15</v>
      </c>
      <c r="N68" s="40" t="n">
        <v>1</v>
      </c>
      <c r="O68" s="40" t="n">
        <f aca="false">MODELOS!$M$5</f>
        <v>5</v>
      </c>
      <c r="P68" s="40" t="n">
        <f aca="false">MODELOS!$N$5</f>
        <v>5.3</v>
      </c>
      <c r="Q68" s="39" t="n">
        <f aca="false">INDEX(REF_MIN,MATCH(D68,REF_ID,0))</f>
        <v>1.1</v>
      </c>
      <c r="R68" s="39" t="n">
        <f aca="false">INDEX(REF_MAX,MATCH(D68,REF_ID,0))</f>
        <v>1.1</v>
      </c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1235</v>
      </c>
      <c r="C69" s="37" t="s">
        <v>316</v>
      </c>
      <c r="D69" s="36" t="s">
        <v>78</v>
      </c>
      <c r="E69" s="36" t="str">
        <f aca="false">INDEX(REF_DATO,MATCH(D69,REF_ID,0))</f>
        <v>Nitrógeno seco (densidad normal)</v>
      </c>
      <c r="F69" s="38" t="n">
        <f aca="false">MODELOS!$AF$5</f>
        <v>0.0227356903769463</v>
      </c>
      <c r="G69" s="35" t="s">
        <v>123</v>
      </c>
      <c r="H69" s="39" t="n">
        <f aca="false">INDEX(REF_VAL,MATCH(D69,REF_ID,0))</f>
        <v>0.00124921923797626</v>
      </c>
      <c r="I69" s="40" t="n">
        <f aca="false">F69*J69</f>
        <v>18.1999201467455</v>
      </c>
      <c r="J69" s="40" t="n">
        <f aca="false">1/H69</f>
        <v>800.5</v>
      </c>
      <c r="K69" s="40" t="n">
        <f aca="false">MODELOS!$AG$5/H69</f>
        <v>14.6953199878896</v>
      </c>
      <c r="L69" s="40" t="n">
        <f aca="false">MODELOS!$AH$5/H69</f>
        <v>22.1062173145261</v>
      </c>
      <c r="M69" s="40" t="n">
        <f aca="false">F69</f>
        <v>0.0227356903769463</v>
      </c>
      <c r="N69" s="40" t="n">
        <v>1</v>
      </c>
      <c r="O69" s="40" t="n">
        <f aca="false">MODELOS!$AG$5</f>
        <v>0.0183576764370888</v>
      </c>
      <c r="P69" s="40" t="n">
        <f aca="false">MODELOS!$AH$5</f>
        <v>0.0276155119481901</v>
      </c>
      <c r="Q69" s="39"/>
      <c r="R69" s="39"/>
      <c r="S69" s="41"/>
      <c r="T69" s="42"/>
      <c r="U69" s="43"/>
      <c r="V69" s="44"/>
    </row>
    <row r="70" customFormat="false" ht="15" hidden="false" customHeight="false" outlineLevel="2" collapsed="false">
      <c r="A70" s="35" t="n">
        <v>2</v>
      </c>
      <c r="B70" s="36" t="s">
        <v>1236</v>
      </c>
      <c r="C70" s="37" t="s">
        <v>1193</v>
      </c>
      <c r="D70" s="36"/>
      <c r="E70" s="36"/>
      <c r="F70" s="38" t="n">
        <v>1</v>
      </c>
      <c r="G70" s="35" t="s">
        <v>264</v>
      </c>
      <c r="H70" s="39"/>
      <c r="I70" s="40"/>
      <c r="J70" s="40"/>
      <c r="K70" s="40"/>
      <c r="L70" s="40"/>
      <c r="M70" s="40"/>
      <c r="N70" s="40"/>
      <c r="O70" s="40"/>
      <c r="P70" s="40"/>
      <c r="Q70" s="39"/>
      <c r="R70" s="39"/>
      <c r="S70" s="41"/>
      <c r="T70" s="42"/>
      <c r="U70" s="43"/>
      <c r="V70" s="44"/>
    </row>
    <row r="71" customFormat="false" ht="15" hidden="false" customHeight="false" outlineLevel="2" collapsed="false">
      <c r="A71" s="35" t="n">
        <v>2</v>
      </c>
      <c r="B71" s="36" t="s">
        <v>1237</v>
      </c>
      <c r="C71" s="37" t="s">
        <v>1195</v>
      </c>
      <c r="D71" s="36"/>
      <c r="E71" s="36"/>
      <c r="F71" s="38" t="n">
        <v>1</v>
      </c>
      <c r="G71" s="35" t="s">
        <v>264</v>
      </c>
      <c r="H71" s="39"/>
      <c r="I71" s="40"/>
      <c r="J71" s="40"/>
      <c r="K71" s="40"/>
      <c r="L71" s="40"/>
      <c r="M71" s="40"/>
      <c r="N71" s="40"/>
      <c r="O71" s="40"/>
      <c r="P71" s="40"/>
      <c r="Q71" s="39"/>
      <c r="R71" s="39"/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1238</v>
      </c>
      <c r="C72" s="37" t="s">
        <v>1197</v>
      </c>
      <c r="D72" s="36"/>
      <c r="E72" s="36"/>
      <c r="F72" s="38" t="n">
        <v>1</v>
      </c>
      <c r="G72" s="35" t="s">
        <v>264</v>
      </c>
      <c r="H72" s="39"/>
      <c r="I72" s="40"/>
      <c r="J72" s="40"/>
      <c r="K72" s="40"/>
      <c r="L72" s="40"/>
      <c r="M72" s="40"/>
      <c r="N72" s="40"/>
      <c r="O72" s="40"/>
      <c r="P72" s="40"/>
      <c r="Q72" s="39"/>
      <c r="R72" s="39"/>
      <c r="S72" s="41"/>
      <c r="T72" s="42"/>
      <c r="U72" s="43"/>
      <c r="V72" s="44"/>
    </row>
    <row r="73" customFormat="false" ht="15" hidden="false" customHeight="false" outlineLevel="2" collapsed="false">
      <c r="A73" s="35" t="n">
        <v>2</v>
      </c>
      <c r="B73" s="36" t="s">
        <v>1239</v>
      </c>
      <c r="C73" s="37" t="s">
        <v>1199</v>
      </c>
      <c r="D73" s="36"/>
      <c r="E73" s="36"/>
      <c r="F73" s="38" t="n">
        <v>1</v>
      </c>
      <c r="G73" s="35" t="s">
        <v>264</v>
      </c>
      <c r="H73" s="39"/>
      <c r="I73" s="40"/>
      <c r="J73" s="40"/>
      <c r="K73" s="40"/>
      <c r="L73" s="40"/>
      <c r="M73" s="40"/>
      <c r="N73" s="40"/>
      <c r="O73" s="40"/>
      <c r="P73" s="40"/>
      <c r="Q73" s="39"/>
      <c r="R73" s="39"/>
      <c r="S73" s="41"/>
      <c r="T73" s="42"/>
      <c r="U73" s="43"/>
      <c r="V73" s="44"/>
    </row>
    <row r="74" customFormat="false" ht="15" hidden="false" customHeight="false" outlineLevel="2" collapsed="false">
      <c r="A74" s="35" t="n">
        <v>2</v>
      </c>
      <c r="B74" s="36" t="s">
        <v>1240</v>
      </c>
      <c r="C74" s="37" t="s">
        <v>1201</v>
      </c>
      <c r="D74" s="36"/>
      <c r="E74" s="36"/>
      <c r="F74" s="38" t="n">
        <v>1</v>
      </c>
      <c r="G74" s="35" t="s">
        <v>264</v>
      </c>
      <c r="H74" s="39"/>
      <c r="I74" s="40"/>
      <c r="J74" s="40"/>
      <c r="K74" s="40"/>
      <c r="L74" s="40"/>
      <c r="M74" s="40"/>
      <c r="N74" s="40"/>
      <c r="O74" s="40"/>
      <c r="P74" s="40"/>
      <c r="Q74" s="39"/>
      <c r="R74" s="39"/>
      <c r="S74" s="41"/>
      <c r="T74" s="42"/>
      <c r="U74" s="43"/>
      <c r="V74" s="44"/>
    </row>
    <row r="75" customFormat="false" ht="15" hidden="false" customHeight="false" outlineLevel="2" collapsed="false">
      <c r="A75" s="35" t="n">
        <v>2</v>
      </c>
      <c r="B75" s="36" t="s">
        <v>1241</v>
      </c>
      <c r="C75" s="37" t="s">
        <v>1203</v>
      </c>
      <c r="D75" s="36"/>
      <c r="E75" s="36"/>
      <c r="F75" s="38" t="n">
        <v>1</v>
      </c>
      <c r="G75" s="35" t="s">
        <v>264</v>
      </c>
      <c r="H75" s="39"/>
      <c r="I75" s="40"/>
      <c r="J75" s="40"/>
      <c r="K75" s="40"/>
      <c r="L75" s="40"/>
      <c r="M75" s="40"/>
      <c r="N75" s="40"/>
      <c r="O75" s="40"/>
      <c r="P75" s="40"/>
      <c r="Q75" s="39"/>
      <c r="R75" s="39"/>
      <c r="S75" s="41"/>
      <c r="T75" s="42"/>
      <c r="U75" s="43"/>
      <c r="V75" s="44"/>
    </row>
    <row r="76" customFormat="false" ht="15" hidden="false" customHeight="false" outlineLevel="2" collapsed="false">
      <c r="A76" s="35" t="n">
        <v>2</v>
      </c>
      <c r="B76" s="36" t="s">
        <v>1242</v>
      </c>
      <c r="C76" s="37" t="s">
        <v>1205</v>
      </c>
      <c r="D76" s="36"/>
      <c r="E76" s="36"/>
      <c r="F76" s="38" t="n">
        <v>1</v>
      </c>
      <c r="G76" s="35" t="s">
        <v>264</v>
      </c>
      <c r="H76" s="39"/>
      <c r="I76" s="40"/>
      <c r="J76" s="40"/>
      <c r="K76" s="40"/>
      <c r="L76" s="40"/>
      <c r="M76" s="40"/>
      <c r="N76" s="40"/>
      <c r="O76" s="40"/>
      <c r="P76" s="40"/>
      <c r="Q76" s="39"/>
      <c r="R76" s="39"/>
      <c r="S76" s="41"/>
      <c r="T76" s="42"/>
      <c r="U76" s="43"/>
      <c r="V76" s="44"/>
    </row>
    <row r="77" customFormat="false" ht="15" hidden="false" customHeight="false" outlineLevel="1" collapsed="false">
      <c r="A77" s="25" t="n">
        <v>1</v>
      </c>
      <c r="B77" s="26" t="s">
        <v>1244</v>
      </c>
      <c r="C77" s="27" t="str">
        <f aca="false">"Prueba hidráulica (cada "&amp;MODELOS!$AO$5&amp;" años, se suma al mantenimiento)"</f>
        <v>Prueba hidráulica (cada 5 años, se suma al mantenimiento)</v>
      </c>
      <c r="D77" s="26"/>
      <c r="E77" s="26"/>
      <c r="F77" s="28" t="n">
        <v>1</v>
      </c>
      <c r="G77" s="25" t="s">
        <v>1184</v>
      </c>
      <c r="H77" s="29"/>
      <c r="I77" s="30"/>
      <c r="J77" s="30"/>
      <c r="K77" s="30"/>
      <c r="L77" s="30"/>
      <c r="M77" s="30" t="n">
        <f aca="false">IF(SUMIF(A78:A79,2,M78:M79)=0,"",SUMIF(A78:A79,2,M78:M79))</f>
        <v>5</v>
      </c>
      <c r="N77" s="30"/>
      <c r="O77" s="30" t="n">
        <f aca="false">IF(SUMIF(A78:A79,2,O78:O79)=0,"",SUMIF(A78:A79,2,O78:O79))</f>
        <v>5</v>
      </c>
      <c r="P77" s="30" t="n">
        <f aca="false">IF(SUMIF(A78:A79,2,P78:P79)=0,"",SUMIF(A78:A79,2,P78:P79))</f>
        <v>5.15</v>
      </c>
      <c r="Q77" s="29"/>
      <c r="R77" s="29"/>
      <c r="S77" s="31"/>
      <c r="T77" s="32"/>
      <c r="U77" s="33"/>
      <c r="V77" s="34"/>
    </row>
    <row r="78" customFormat="false" ht="15" hidden="false" customHeight="false" outlineLevel="2" collapsed="false">
      <c r="A78" s="35" t="n">
        <v>2</v>
      </c>
      <c r="B78" s="36" t="s">
        <v>1245</v>
      </c>
      <c r="C78" s="37" t="s">
        <v>1210</v>
      </c>
      <c r="D78" s="36" t="s">
        <v>37</v>
      </c>
      <c r="E78" s="36" t="str">
        <f aca="false">INDEX(REF_DATO,MATCH(D78,REF_ID,0))</f>
        <v>Polvo ABC asentado en el recipiente</v>
      </c>
      <c r="F78" s="38" t="n">
        <f aca="false">(MODELOS!$L$5-MODELOS!$AN$5)</f>
        <v>5</v>
      </c>
      <c r="G78" s="35" t="s">
        <v>123</v>
      </c>
      <c r="H78" s="39" t="n">
        <f aca="false">INDEX(REF_VAL,MATCH(D78,REF_ID,0))</f>
        <v>1.1</v>
      </c>
      <c r="I78" s="40" t="n">
        <f aca="false">F78*J78</f>
        <v>4.54545454545455</v>
      </c>
      <c r="J78" s="40" t="n">
        <f aca="false">1/H78</f>
        <v>0.909090909090909</v>
      </c>
      <c r="K78" s="40" t="n">
        <f aca="false">(MODELOS!$L$5-MODELOS!$AN$5)/R78</f>
        <v>4.54545454545455</v>
      </c>
      <c r="L78" s="40" t="n">
        <f aca="false">MODELOS!$L$5/Q78</f>
        <v>4.68181818181818</v>
      </c>
      <c r="M78" s="40" t="n">
        <f aca="false">F78</f>
        <v>5</v>
      </c>
      <c r="N78" s="40" t="n">
        <v>1</v>
      </c>
      <c r="O78" s="40" t="n">
        <f aca="false">(MODELOS!$L$5-MODELOS!$AN$5)</f>
        <v>5</v>
      </c>
      <c r="P78" s="40" t="n">
        <f aca="false">MODELOS!$L$5</f>
        <v>5.15</v>
      </c>
      <c r="Q78" s="39" t="n">
        <f aca="false">INDEX(REF_MIN,MATCH(D78,REF_ID,0))</f>
        <v>1.1</v>
      </c>
      <c r="R78" s="39" t="n">
        <f aca="false">INDEX(REF_MAX,MATCH(D78,REF_ID,0))</f>
        <v>1.1</v>
      </c>
      <c r="S78" s="41"/>
      <c r="T78" s="42"/>
      <c r="U78" s="43"/>
      <c r="V78" s="44"/>
    </row>
    <row r="79" customFormat="false" ht="15" hidden="false" customHeight="false" outlineLevel="2" collapsed="false">
      <c r="A79" s="35" t="n">
        <v>2</v>
      </c>
      <c r="B79" s="36" t="s">
        <v>1246</v>
      </c>
      <c r="C79" s="37" t="s">
        <v>1212</v>
      </c>
      <c r="D79" s="36"/>
      <c r="E79" s="36"/>
      <c r="F79" s="38" t="n">
        <v>1</v>
      </c>
      <c r="G79" s="35" t="s">
        <v>264</v>
      </c>
      <c r="H79" s="39"/>
      <c r="I79" s="40"/>
      <c r="J79" s="40"/>
      <c r="K79" s="40"/>
      <c r="L79" s="40"/>
      <c r="M79" s="40"/>
      <c r="N79" s="40"/>
      <c r="O79" s="40"/>
      <c r="P79" s="40"/>
      <c r="Q79" s="39"/>
      <c r="R79" s="39"/>
      <c r="S79" s="41"/>
      <c r="T79" s="42"/>
      <c r="U79" s="43"/>
      <c r="V79" s="44"/>
    </row>
    <row r="80" customFormat="false" ht="15" hidden="false" customHeight="false" outlineLevel="0" collapsed="false">
      <c r="A80" s="16" t="n">
        <v>0</v>
      </c>
      <c r="B80" s="17" t="s">
        <v>1247</v>
      </c>
      <c r="C80" s="17" t="s">
        <v>209</v>
      </c>
      <c r="D80" s="17"/>
      <c r="E80" s="17"/>
      <c r="F80" s="18" t="n">
        <v>1</v>
      </c>
      <c r="G80" s="16" t="s">
        <v>264</v>
      </c>
      <c r="H80" s="19"/>
      <c r="I80" s="20"/>
      <c r="J80" s="20"/>
      <c r="K80" s="20"/>
      <c r="L80" s="20"/>
      <c r="M80" s="20"/>
      <c r="N80" s="20"/>
      <c r="O80" s="20"/>
      <c r="P80" s="20"/>
      <c r="Q80" s="19"/>
      <c r="R80" s="19"/>
      <c r="S80" s="21"/>
      <c r="T80" s="22"/>
      <c r="U80" s="23"/>
      <c r="V80" s="24"/>
    </row>
    <row r="81" customFormat="false" ht="15" hidden="false" customHeight="false" outlineLevel="1" collapsed="false">
      <c r="A81" s="25" t="n">
        <v>1</v>
      </c>
      <c r="B81" s="26" t="s">
        <v>1248</v>
      </c>
      <c r="C81" s="27" t="s">
        <v>1183</v>
      </c>
      <c r="D81" s="26"/>
      <c r="E81" s="26"/>
      <c r="F81" s="28" t="n">
        <v>1</v>
      </c>
      <c r="G81" s="25" t="s">
        <v>1184</v>
      </c>
      <c r="H81" s="29"/>
      <c r="I81" s="30"/>
      <c r="J81" s="30"/>
      <c r="K81" s="30"/>
      <c r="L81" s="30"/>
      <c r="M81" s="30" t="str">
        <f aca="false">IF(SUMIF(A82:A82,2,M82:M82)=0,"",SUMIF(A82:A82,2,M82:M82))</f>
        <v/>
      </c>
      <c r="N81" s="30"/>
      <c r="O81" s="30" t="str">
        <f aca="false">IF(SUMIF(A82:A82,2,O82:O82)=0,"",SUMIF(A82:A82,2,O82:O82))</f>
        <v/>
      </c>
      <c r="P81" s="30" t="str">
        <f aca="false">IF(SUMIF(A82:A82,2,P82:P82)=0,"",SUMIF(A82:A82,2,P82:P82))</f>
        <v/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1249</v>
      </c>
      <c r="C82" s="37" t="s">
        <v>1186</v>
      </c>
      <c r="D82" s="36"/>
      <c r="E82" s="36"/>
      <c r="F82" s="38" t="n">
        <v>1</v>
      </c>
      <c r="G82" s="35" t="s">
        <v>264</v>
      </c>
      <c r="H82" s="39"/>
      <c r="I82" s="40"/>
      <c r="J82" s="40"/>
      <c r="K82" s="40"/>
      <c r="L82" s="40"/>
      <c r="M82" s="40"/>
      <c r="N82" s="40"/>
      <c r="O82" s="40"/>
      <c r="P82" s="40"/>
      <c r="Q82" s="39"/>
      <c r="R82" s="39"/>
      <c r="S82" s="41"/>
      <c r="T82" s="42"/>
      <c r="U82" s="43"/>
      <c r="V82" s="44"/>
    </row>
    <row r="83" customFormat="false" ht="15" hidden="false" customHeight="false" outlineLevel="1" collapsed="false">
      <c r="A83" s="25" t="n">
        <v>1</v>
      </c>
      <c r="B83" s="26" t="s">
        <v>1250</v>
      </c>
      <c r="C83" s="27" t="s">
        <v>1188</v>
      </c>
      <c r="D83" s="26"/>
      <c r="E83" s="26"/>
      <c r="F83" s="28" t="n">
        <v>1</v>
      </c>
      <c r="G83" s="25" t="s">
        <v>1184</v>
      </c>
      <c r="H83" s="29"/>
      <c r="I83" s="30"/>
      <c r="J83" s="30"/>
      <c r="K83" s="30"/>
      <c r="L83" s="30"/>
      <c r="M83" s="30" t="n">
        <f aca="false">IF(SUMIF(A84:A92,2,M84:M92)=0,"",SUMIF(A84:A92,2,M84:M92))</f>
        <v>0.206447231280695</v>
      </c>
      <c r="N83" s="30"/>
      <c r="O83" s="30" t="n">
        <f aca="false">IF(SUMIF(A84:A92,2,O84:O92)=0,"",SUMIF(A84:A92,2,O84:O92))</f>
        <v>0.0487184490061203</v>
      </c>
      <c r="P83" s="30" t="n">
        <f aca="false">IF(SUMIF(A84:A92,2,P84:P92)=0,"",SUMIF(A84:A92,2,P84:P92))</f>
        <v>0.214723856128571</v>
      </c>
      <c r="Q83" s="29"/>
      <c r="R83" s="29"/>
      <c r="S83" s="31"/>
      <c r="T83" s="32"/>
      <c r="U83" s="33"/>
      <c r="V83" s="34"/>
    </row>
    <row r="84" customFormat="false" ht="15" hidden="false" customHeight="false" outlineLevel="2" collapsed="false">
      <c r="A84" s="35" t="n">
        <v>2</v>
      </c>
      <c r="B84" s="36" t="s">
        <v>1251</v>
      </c>
      <c r="C84" s="37" t="s">
        <v>1190</v>
      </c>
      <c r="D84" s="36" t="s">
        <v>37</v>
      </c>
      <c r="E84" s="36" t="str">
        <f aca="false">INDEX(REF_DATO,MATCH(D84,REF_ID,0))</f>
        <v>Polvo ABC asentado en el recipiente</v>
      </c>
      <c r="F84" s="38" t="n">
        <f aca="false">MODELOS!$AN$6</f>
        <v>0.15</v>
      </c>
      <c r="G84" s="35" t="s">
        <v>123</v>
      </c>
      <c r="H84" s="39" t="n">
        <f aca="false">INDEX(REF_VAL,MATCH(D84,REF_ID,0))</f>
        <v>1.1</v>
      </c>
      <c r="I84" s="40" t="n">
        <f aca="false">F84*J84</f>
        <v>0.136363636363637</v>
      </c>
      <c r="J84" s="40" t="n">
        <f aca="false">1/H84</f>
        <v>0.909090909090909</v>
      </c>
      <c r="K84" s="40" t="n">
        <f aca="false">0/R84</f>
        <v>0</v>
      </c>
      <c r="L84" s="40" t="n">
        <f aca="false">MODELOS!$AN$6/Q84</f>
        <v>0.136363636363637</v>
      </c>
      <c r="M84" s="40" t="n">
        <f aca="false">F84</f>
        <v>0.15</v>
      </c>
      <c r="N84" s="40" t="n">
        <v>1</v>
      </c>
      <c r="O84" s="40" t="n">
        <f aca="false">0</f>
        <v>0</v>
      </c>
      <c r="P84" s="40" t="n">
        <f aca="false">MODELOS!$AN$6</f>
        <v>0.15</v>
      </c>
      <c r="Q84" s="39" t="n">
        <f aca="false">INDEX(REF_MIN,MATCH(D84,REF_ID,0))</f>
        <v>1.1</v>
      </c>
      <c r="R84" s="39" t="n">
        <f aca="false">INDEX(REF_MAX,MATCH(D84,REF_ID,0))</f>
        <v>1.1</v>
      </c>
      <c r="S84" s="41"/>
      <c r="T84" s="42"/>
      <c r="U84" s="43"/>
      <c r="V84" s="44"/>
    </row>
    <row r="85" customFormat="false" ht="15" hidden="false" customHeight="false" outlineLevel="2" collapsed="false">
      <c r="A85" s="35" t="n">
        <v>2</v>
      </c>
      <c r="B85" s="36" t="s">
        <v>1252</v>
      </c>
      <c r="C85" s="37" t="s">
        <v>316</v>
      </c>
      <c r="D85" s="36" t="s">
        <v>78</v>
      </c>
      <c r="E85" s="36" t="str">
        <f aca="false">INDEX(REF_DATO,MATCH(D85,REF_ID,0))</f>
        <v>Nitrógeno seco (densidad normal)</v>
      </c>
      <c r="F85" s="38" t="n">
        <f aca="false">MODELOS!$AF$6</f>
        <v>0.0564472312806942</v>
      </c>
      <c r="G85" s="35" t="s">
        <v>123</v>
      </c>
      <c r="H85" s="39" t="n">
        <f aca="false">INDEX(REF_VAL,MATCH(D85,REF_ID,0))</f>
        <v>0.00124921923797626</v>
      </c>
      <c r="I85" s="40" t="n">
        <f aca="false">F85*J85</f>
        <v>45.1860086401957</v>
      </c>
      <c r="J85" s="40" t="n">
        <f aca="false">1/H85</f>
        <v>800.5</v>
      </c>
      <c r="K85" s="40" t="n">
        <f aca="false">MODELOS!$AG$6/H85</f>
        <v>38.9991184293993</v>
      </c>
      <c r="L85" s="40" t="n">
        <f aca="false">MODELOS!$AH$6/H85</f>
        <v>51.8114468309206</v>
      </c>
      <c r="M85" s="40" t="n">
        <f aca="false">F85</f>
        <v>0.0564472312806942</v>
      </c>
      <c r="N85" s="40" t="n">
        <v>1</v>
      </c>
      <c r="O85" s="40" t="n">
        <f aca="false">MODELOS!$AG$6</f>
        <v>0.0487184490061203</v>
      </c>
      <c r="P85" s="40" t="n">
        <f aca="false">MODELOS!$AH$6</f>
        <v>0.0647238561285704</v>
      </c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1253</v>
      </c>
      <c r="C86" s="37" t="s">
        <v>1193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1254</v>
      </c>
      <c r="C87" s="37" t="s">
        <v>1195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1255</v>
      </c>
      <c r="C88" s="37" t="s">
        <v>1197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2" collapsed="false">
      <c r="A89" s="35" t="n">
        <v>2</v>
      </c>
      <c r="B89" s="36" t="s">
        <v>1256</v>
      </c>
      <c r="C89" s="37" t="s">
        <v>1199</v>
      </c>
      <c r="D89" s="36"/>
      <c r="E89" s="36"/>
      <c r="F89" s="38" t="n">
        <v>1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2" collapsed="false">
      <c r="A90" s="35" t="n">
        <v>2</v>
      </c>
      <c r="B90" s="36" t="s">
        <v>1257</v>
      </c>
      <c r="C90" s="37" t="s">
        <v>1201</v>
      </c>
      <c r="D90" s="36"/>
      <c r="E90" s="36"/>
      <c r="F90" s="38" t="n">
        <v>1</v>
      </c>
      <c r="G90" s="35" t="s">
        <v>264</v>
      </c>
      <c r="H90" s="39"/>
      <c r="I90" s="40"/>
      <c r="J90" s="40"/>
      <c r="K90" s="40"/>
      <c r="L90" s="40"/>
      <c r="M90" s="40"/>
      <c r="N90" s="40"/>
      <c r="O90" s="40"/>
      <c r="P90" s="40"/>
      <c r="Q90" s="39"/>
      <c r="R90" s="39"/>
      <c r="S90" s="41"/>
      <c r="T90" s="42"/>
      <c r="U90" s="43"/>
      <c r="V90" s="44"/>
    </row>
    <row r="91" customFormat="false" ht="15" hidden="false" customHeight="false" outlineLevel="2" collapsed="false">
      <c r="A91" s="35" t="n">
        <v>2</v>
      </c>
      <c r="B91" s="36" t="s">
        <v>1258</v>
      </c>
      <c r="C91" s="37" t="s">
        <v>1203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1259</v>
      </c>
      <c r="C92" s="37" t="s">
        <v>1205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1" collapsed="false">
      <c r="A93" s="25" t="n">
        <v>1</v>
      </c>
      <c r="B93" s="26" t="s">
        <v>1260</v>
      </c>
      <c r="C93" s="27" t="s">
        <v>1207</v>
      </c>
      <c r="D93" s="26"/>
      <c r="E93" s="26"/>
      <c r="F93" s="28" t="n">
        <v>1</v>
      </c>
      <c r="G93" s="25" t="s">
        <v>1184</v>
      </c>
      <c r="H93" s="29"/>
      <c r="I93" s="30"/>
      <c r="J93" s="30"/>
      <c r="K93" s="30"/>
      <c r="L93" s="30"/>
      <c r="M93" s="30" t="n">
        <f aca="false">IF(SUMIF(A94:A102,2,M94:M102)=0,"",SUMIF(A94:A102,2,M94:M102))</f>
        <v>10.2064472312807</v>
      </c>
      <c r="N93" s="30"/>
      <c r="O93" s="30" t="n">
        <f aca="false">IF(SUMIF(A94:A102,2,O94:O102)=0,"",SUMIF(A94:A102,2,O94:O102))</f>
        <v>10.0487184490061</v>
      </c>
      <c r="P93" s="30" t="n">
        <f aca="false">IF(SUMIF(A94:A102,2,P94:P102)=0,"",SUMIF(A94:A102,2,P94:P102))</f>
        <v>10.3647238561286</v>
      </c>
      <c r="Q93" s="29"/>
      <c r="R93" s="29"/>
      <c r="S93" s="31"/>
      <c r="T93" s="32"/>
      <c r="U93" s="33"/>
      <c r="V93" s="34"/>
    </row>
    <row r="94" customFormat="false" ht="15" hidden="false" customHeight="false" outlineLevel="2" collapsed="false">
      <c r="A94" s="35" t="n">
        <v>2</v>
      </c>
      <c r="B94" s="36" t="s">
        <v>1251</v>
      </c>
      <c r="C94" s="37" t="s">
        <v>314</v>
      </c>
      <c r="D94" s="36" t="s">
        <v>37</v>
      </c>
      <c r="E94" s="36" t="str">
        <f aca="false">INDEX(REF_DATO,MATCH(D94,REF_ID,0))</f>
        <v>Polvo ABC asentado en el recipiente</v>
      </c>
      <c r="F94" s="38" t="n">
        <f aca="false">MODELOS!$L$6</f>
        <v>10.15</v>
      </c>
      <c r="G94" s="35" t="s">
        <v>123</v>
      </c>
      <c r="H94" s="39" t="n">
        <f aca="false">INDEX(REF_VAL,MATCH(D94,REF_ID,0))</f>
        <v>1.1</v>
      </c>
      <c r="I94" s="40" t="n">
        <f aca="false">F94*J94</f>
        <v>9.22727272727273</v>
      </c>
      <c r="J94" s="40" t="n">
        <f aca="false">1/H94</f>
        <v>0.909090909090909</v>
      </c>
      <c r="K94" s="40" t="n">
        <f aca="false">MODELOS!$M$6/R94</f>
        <v>9.09090909090909</v>
      </c>
      <c r="L94" s="40" t="n">
        <f aca="false">MODELOS!$N$6/Q94</f>
        <v>9.36363636363636</v>
      </c>
      <c r="M94" s="40" t="n">
        <f aca="false">F94</f>
        <v>10.15</v>
      </c>
      <c r="N94" s="40" t="n">
        <v>1</v>
      </c>
      <c r="O94" s="40" t="n">
        <f aca="false">MODELOS!$M$6</f>
        <v>10</v>
      </c>
      <c r="P94" s="40" t="n">
        <f aca="false">MODELOS!$N$6</f>
        <v>10.3</v>
      </c>
      <c r="Q94" s="39" t="n">
        <f aca="false">INDEX(REF_MIN,MATCH(D94,REF_ID,0))</f>
        <v>1.1</v>
      </c>
      <c r="R94" s="39" t="n">
        <f aca="false">INDEX(REF_MAX,MATCH(D94,REF_ID,0))</f>
        <v>1.1</v>
      </c>
      <c r="S94" s="41"/>
      <c r="T94" s="42"/>
      <c r="U94" s="43"/>
      <c r="V94" s="44"/>
    </row>
    <row r="95" customFormat="false" ht="15" hidden="false" customHeight="false" outlineLevel="2" collapsed="false">
      <c r="A95" s="35" t="n">
        <v>2</v>
      </c>
      <c r="B95" s="36" t="s">
        <v>1252</v>
      </c>
      <c r="C95" s="37" t="s">
        <v>316</v>
      </c>
      <c r="D95" s="36" t="s">
        <v>78</v>
      </c>
      <c r="E95" s="36" t="str">
        <f aca="false">INDEX(REF_DATO,MATCH(D95,REF_ID,0))</f>
        <v>Nitrógeno seco (densidad normal)</v>
      </c>
      <c r="F95" s="38" t="n">
        <f aca="false">MODELOS!$AF$6</f>
        <v>0.0564472312806942</v>
      </c>
      <c r="G95" s="35" t="s">
        <v>123</v>
      </c>
      <c r="H95" s="39" t="n">
        <f aca="false">INDEX(REF_VAL,MATCH(D95,REF_ID,0))</f>
        <v>0.00124921923797626</v>
      </c>
      <c r="I95" s="40" t="n">
        <f aca="false">F95*J95</f>
        <v>45.1860086401957</v>
      </c>
      <c r="J95" s="40" t="n">
        <f aca="false">1/H95</f>
        <v>800.5</v>
      </c>
      <c r="K95" s="40" t="n">
        <f aca="false">MODELOS!$AG$6/H95</f>
        <v>38.9991184293993</v>
      </c>
      <c r="L95" s="40" t="n">
        <f aca="false">MODELOS!$AH$6/H95</f>
        <v>51.8114468309206</v>
      </c>
      <c r="M95" s="40" t="n">
        <f aca="false">F95</f>
        <v>0.0564472312806942</v>
      </c>
      <c r="N95" s="40" t="n">
        <v>1</v>
      </c>
      <c r="O95" s="40" t="n">
        <f aca="false">MODELOS!$AG$6</f>
        <v>0.0487184490061203</v>
      </c>
      <c r="P95" s="40" t="n">
        <f aca="false">MODELOS!$AH$6</f>
        <v>0.0647238561285704</v>
      </c>
      <c r="Q95" s="39"/>
      <c r="R95" s="39"/>
      <c r="S95" s="41"/>
      <c r="T95" s="42"/>
      <c r="U95" s="43"/>
      <c r="V95" s="44"/>
    </row>
    <row r="96" customFormat="false" ht="15" hidden="false" customHeight="false" outlineLevel="2" collapsed="false">
      <c r="A96" s="35" t="n">
        <v>2</v>
      </c>
      <c r="B96" s="36" t="s">
        <v>1253</v>
      </c>
      <c r="C96" s="37" t="s">
        <v>1193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1254</v>
      </c>
      <c r="C97" s="37" t="s">
        <v>1195</v>
      </c>
      <c r="D97" s="36"/>
      <c r="E97" s="36"/>
      <c r="F97" s="38" t="n">
        <v>1</v>
      </c>
      <c r="G97" s="35" t="s">
        <v>264</v>
      </c>
      <c r="H97" s="39"/>
      <c r="I97" s="40"/>
      <c r="J97" s="40"/>
      <c r="K97" s="40"/>
      <c r="L97" s="40"/>
      <c r="M97" s="40"/>
      <c r="N97" s="40"/>
      <c r="O97" s="40"/>
      <c r="P97" s="40"/>
      <c r="Q97" s="39"/>
      <c r="R97" s="39"/>
      <c r="S97" s="41"/>
      <c r="T97" s="42"/>
      <c r="U97" s="43"/>
      <c r="V97" s="44"/>
    </row>
    <row r="98" customFormat="false" ht="15" hidden="false" customHeight="false" outlineLevel="2" collapsed="false">
      <c r="A98" s="35" t="n">
        <v>2</v>
      </c>
      <c r="B98" s="36" t="s">
        <v>1255</v>
      </c>
      <c r="C98" s="37" t="s">
        <v>1197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/>
      <c r="N98" s="40"/>
      <c r="O98" s="40"/>
      <c r="P98" s="40"/>
      <c r="Q98" s="39"/>
      <c r="R98" s="39"/>
      <c r="S98" s="41"/>
      <c r="T98" s="42"/>
      <c r="U98" s="43"/>
      <c r="V98" s="44"/>
    </row>
    <row r="99" customFormat="false" ht="15" hidden="false" customHeight="false" outlineLevel="2" collapsed="false">
      <c r="A99" s="35" t="n">
        <v>2</v>
      </c>
      <c r="B99" s="36" t="s">
        <v>1256</v>
      </c>
      <c r="C99" s="37" t="s">
        <v>1199</v>
      </c>
      <c r="D99" s="36"/>
      <c r="E99" s="36"/>
      <c r="F99" s="38" t="n">
        <v>1</v>
      </c>
      <c r="G99" s="35" t="s">
        <v>264</v>
      </c>
      <c r="H99" s="39"/>
      <c r="I99" s="40"/>
      <c r="J99" s="40"/>
      <c r="K99" s="40"/>
      <c r="L99" s="40"/>
      <c r="M99" s="40"/>
      <c r="N99" s="40"/>
      <c r="O99" s="40"/>
      <c r="P99" s="40"/>
      <c r="Q99" s="39"/>
      <c r="R99" s="39"/>
      <c r="S99" s="41"/>
      <c r="T99" s="42"/>
      <c r="U99" s="43"/>
      <c r="V99" s="44"/>
    </row>
    <row r="100" customFormat="false" ht="15" hidden="false" customHeight="false" outlineLevel="2" collapsed="false">
      <c r="A100" s="35" t="n">
        <v>2</v>
      </c>
      <c r="B100" s="36" t="s">
        <v>1257</v>
      </c>
      <c r="C100" s="37" t="s">
        <v>1201</v>
      </c>
      <c r="D100" s="36"/>
      <c r="E100" s="36"/>
      <c r="F100" s="38" t="n">
        <v>1</v>
      </c>
      <c r="G100" s="35" t="s">
        <v>264</v>
      </c>
      <c r="H100" s="39"/>
      <c r="I100" s="40"/>
      <c r="J100" s="40"/>
      <c r="K100" s="40"/>
      <c r="L100" s="40"/>
      <c r="M100" s="40"/>
      <c r="N100" s="40"/>
      <c r="O100" s="40"/>
      <c r="P100" s="40"/>
      <c r="Q100" s="39"/>
      <c r="R100" s="39"/>
      <c r="S100" s="41"/>
      <c r="T100" s="42"/>
      <c r="U100" s="43"/>
      <c r="V100" s="44"/>
    </row>
    <row r="101" customFormat="false" ht="15" hidden="false" customHeight="false" outlineLevel="2" collapsed="false">
      <c r="A101" s="35" t="n">
        <v>2</v>
      </c>
      <c r="B101" s="36" t="s">
        <v>1258</v>
      </c>
      <c r="C101" s="37" t="s">
        <v>1203</v>
      </c>
      <c r="D101" s="36"/>
      <c r="E101" s="36"/>
      <c r="F101" s="38" t="n">
        <v>1</v>
      </c>
      <c r="G101" s="35" t="s">
        <v>264</v>
      </c>
      <c r="H101" s="39"/>
      <c r="I101" s="40"/>
      <c r="J101" s="40"/>
      <c r="K101" s="40"/>
      <c r="L101" s="40"/>
      <c r="M101" s="40"/>
      <c r="N101" s="40"/>
      <c r="O101" s="40"/>
      <c r="P101" s="40"/>
      <c r="Q101" s="39"/>
      <c r="R101" s="39"/>
      <c r="S101" s="41"/>
      <c r="T101" s="42"/>
      <c r="U101" s="43"/>
      <c r="V101" s="44"/>
    </row>
    <row r="102" customFormat="false" ht="15" hidden="false" customHeight="false" outlineLevel="2" collapsed="false">
      <c r="A102" s="35" t="n">
        <v>2</v>
      </c>
      <c r="B102" s="36" t="s">
        <v>1259</v>
      </c>
      <c r="C102" s="37" t="s">
        <v>1205</v>
      </c>
      <c r="D102" s="36"/>
      <c r="E102" s="36"/>
      <c r="F102" s="38" t="n">
        <v>1</v>
      </c>
      <c r="G102" s="35" t="s">
        <v>264</v>
      </c>
      <c r="H102" s="39"/>
      <c r="I102" s="40"/>
      <c r="J102" s="40"/>
      <c r="K102" s="40"/>
      <c r="L102" s="40"/>
      <c r="M102" s="40"/>
      <c r="N102" s="40"/>
      <c r="O102" s="40"/>
      <c r="P102" s="40"/>
      <c r="Q102" s="39"/>
      <c r="R102" s="39"/>
      <c r="S102" s="41"/>
      <c r="T102" s="42"/>
      <c r="U102" s="43"/>
      <c r="V102" s="44"/>
    </row>
    <row r="103" customFormat="false" ht="15" hidden="false" customHeight="false" outlineLevel="1" collapsed="false">
      <c r="A103" s="25" t="n">
        <v>1</v>
      </c>
      <c r="B103" s="26" t="s">
        <v>1261</v>
      </c>
      <c r="C103" s="27" t="str">
        <f aca="false">"Prueba hidráulica (cada "&amp;MODELOS!$AO$6&amp;" años, se suma al mantenimiento)"</f>
        <v>Prueba hidráulica (cada 5 años, se suma al mantenimiento)</v>
      </c>
      <c r="D103" s="26"/>
      <c r="E103" s="26"/>
      <c r="F103" s="28" t="n">
        <v>1</v>
      </c>
      <c r="G103" s="25" t="s">
        <v>1184</v>
      </c>
      <c r="H103" s="29"/>
      <c r="I103" s="30"/>
      <c r="J103" s="30"/>
      <c r="K103" s="30"/>
      <c r="L103" s="30"/>
      <c r="M103" s="30" t="n">
        <f aca="false">IF(SUMIF(A104:A105,2,M104:M105)=0,"",SUMIF(A104:A105,2,M104:M105))</f>
        <v>10</v>
      </c>
      <c r="N103" s="30"/>
      <c r="O103" s="30" t="n">
        <f aca="false">IF(SUMIF(A104:A105,2,O104:O105)=0,"",SUMIF(A104:A105,2,O104:O105))</f>
        <v>10</v>
      </c>
      <c r="P103" s="30" t="n">
        <f aca="false">IF(SUMIF(A104:A105,2,P104:P105)=0,"",SUMIF(A104:A105,2,P104:P105))</f>
        <v>10.15</v>
      </c>
      <c r="Q103" s="29"/>
      <c r="R103" s="29"/>
      <c r="S103" s="31"/>
      <c r="T103" s="32"/>
      <c r="U103" s="33"/>
      <c r="V103" s="34"/>
    </row>
    <row r="104" customFormat="false" ht="15" hidden="false" customHeight="false" outlineLevel="2" collapsed="false">
      <c r="A104" s="35" t="n">
        <v>2</v>
      </c>
      <c r="B104" s="36" t="s">
        <v>1262</v>
      </c>
      <c r="C104" s="37" t="s">
        <v>1210</v>
      </c>
      <c r="D104" s="36" t="s">
        <v>37</v>
      </c>
      <c r="E104" s="36" t="str">
        <f aca="false">INDEX(REF_DATO,MATCH(D104,REF_ID,0))</f>
        <v>Polvo ABC asentado en el recipiente</v>
      </c>
      <c r="F104" s="38" t="n">
        <f aca="false">(MODELOS!$L$6-MODELOS!$AN$6)</f>
        <v>10</v>
      </c>
      <c r="G104" s="35" t="s">
        <v>123</v>
      </c>
      <c r="H104" s="39" t="n">
        <f aca="false">INDEX(REF_VAL,MATCH(D104,REF_ID,0))</f>
        <v>1.1</v>
      </c>
      <c r="I104" s="40" t="n">
        <f aca="false">F104*J104</f>
        <v>9.09090909090909</v>
      </c>
      <c r="J104" s="40" t="n">
        <f aca="false">1/H104</f>
        <v>0.909090909090909</v>
      </c>
      <c r="K104" s="40" t="n">
        <f aca="false">(MODELOS!$L$6-MODELOS!$AN$6)/R104</f>
        <v>9.09090909090909</v>
      </c>
      <c r="L104" s="40" t="n">
        <f aca="false">MODELOS!$L$6/Q104</f>
        <v>9.22727272727273</v>
      </c>
      <c r="M104" s="40" t="n">
        <f aca="false">F104</f>
        <v>10</v>
      </c>
      <c r="N104" s="40" t="n">
        <v>1</v>
      </c>
      <c r="O104" s="40" t="n">
        <f aca="false">(MODELOS!$L$6-MODELOS!$AN$6)</f>
        <v>10</v>
      </c>
      <c r="P104" s="40" t="n">
        <f aca="false">MODELOS!$L$6</f>
        <v>10.15</v>
      </c>
      <c r="Q104" s="39" t="n">
        <f aca="false">INDEX(REF_MIN,MATCH(D104,REF_ID,0))</f>
        <v>1.1</v>
      </c>
      <c r="R104" s="39" t="n">
        <f aca="false">INDEX(REF_MAX,MATCH(D104,REF_ID,0))</f>
        <v>1.1</v>
      </c>
      <c r="S104" s="41"/>
      <c r="T104" s="42"/>
      <c r="U104" s="43"/>
      <c r="V104" s="44"/>
    </row>
    <row r="105" customFormat="false" ht="15" hidden="false" customHeight="false" outlineLevel="2" collapsed="false">
      <c r="A105" s="35" t="n">
        <v>2</v>
      </c>
      <c r="B105" s="36" t="s">
        <v>1263</v>
      </c>
      <c r="C105" s="37" t="s">
        <v>1212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0" collapsed="false">
      <c r="A106" s="16" t="n">
        <v>0</v>
      </c>
      <c r="B106" s="17" t="s">
        <v>1264</v>
      </c>
      <c r="C106" s="17" t="s">
        <v>236</v>
      </c>
      <c r="D106" s="17"/>
      <c r="E106" s="17"/>
      <c r="F106" s="18" t="n">
        <v>1</v>
      </c>
      <c r="G106" s="16" t="s">
        <v>264</v>
      </c>
      <c r="H106" s="19"/>
      <c r="I106" s="20"/>
      <c r="J106" s="20"/>
      <c r="K106" s="20"/>
      <c r="L106" s="20"/>
      <c r="M106" s="20"/>
      <c r="N106" s="20"/>
      <c r="O106" s="20"/>
      <c r="P106" s="20"/>
      <c r="Q106" s="19"/>
      <c r="R106" s="19"/>
      <c r="S106" s="21"/>
      <c r="T106" s="22"/>
      <c r="U106" s="23"/>
      <c r="V106" s="24"/>
    </row>
    <row r="107" customFormat="false" ht="15" hidden="false" customHeight="false" outlineLevel="1" collapsed="false">
      <c r="A107" s="25" t="n">
        <v>1</v>
      </c>
      <c r="B107" s="26" t="s">
        <v>1265</v>
      </c>
      <c r="C107" s="27" t="s">
        <v>1183</v>
      </c>
      <c r="D107" s="26"/>
      <c r="E107" s="26"/>
      <c r="F107" s="28" t="n">
        <v>1</v>
      </c>
      <c r="G107" s="25" t="s">
        <v>1184</v>
      </c>
      <c r="H107" s="29"/>
      <c r="I107" s="30"/>
      <c r="J107" s="30"/>
      <c r="K107" s="30"/>
      <c r="L107" s="30"/>
      <c r="M107" s="30" t="str">
        <f aca="false">IF(SUMIF(A108:A108,2,M108:M108)=0,"",SUMIF(A108:A108,2,M108:M108))</f>
        <v/>
      </c>
      <c r="N107" s="30"/>
      <c r="O107" s="30" t="str">
        <f aca="false">IF(SUMIF(A108:A108,2,O108:O108)=0,"",SUMIF(A108:A108,2,O108:O108))</f>
        <v/>
      </c>
      <c r="P107" s="30" t="str">
        <f aca="false">IF(SUMIF(A108:A108,2,P108:P108)=0,"",SUMIF(A108:A108,2,P108:P108))</f>
        <v/>
      </c>
      <c r="Q107" s="29"/>
      <c r="R107" s="29"/>
      <c r="S107" s="31"/>
      <c r="T107" s="32"/>
      <c r="U107" s="33"/>
      <c r="V107" s="34"/>
    </row>
    <row r="108" customFormat="false" ht="15" hidden="false" customHeight="false" outlineLevel="2" collapsed="false">
      <c r="A108" s="35" t="n">
        <v>2</v>
      </c>
      <c r="B108" s="36" t="s">
        <v>1266</v>
      </c>
      <c r="C108" s="37" t="s">
        <v>1186</v>
      </c>
      <c r="D108" s="36"/>
      <c r="E108" s="36"/>
      <c r="F108" s="38" t="n">
        <v>1</v>
      </c>
      <c r="G108" s="35" t="s">
        <v>264</v>
      </c>
      <c r="H108" s="39"/>
      <c r="I108" s="40"/>
      <c r="J108" s="40"/>
      <c r="K108" s="40"/>
      <c r="L108" s="40"/>
      <c r="M108" s="40"/>
      <c r="N108" s="40"/>
      <c r="O108" s="40"/>
      <c r="P108" s="40"/>
      <c r="Q108" s="39"/>
      <c r="R108" s="39"/>
      <c r="S108" s="41"/>
      <c r="T108" s="42"/>
      <c r="U108" s="43"/>
      <c r="V108" s="44"/>
    </row>
    <row r="109" customFormat="false" ht="15" hidden="false" customHeight="false" outlineLevel="1" collapsed="false">
      <c r="A109" s="25" t="n">
        <v>1</v>
      </c>
      <c r="B109" s="26" t="s">
        <v>1267</v>
      </c>
      <c r="C109" s="27" t="s">
        <v>1188</v>
      </c>
      <c r="D109" s="26"/>
      <c r="E109" s="26"/>
      <c r="F109" s="28" t="n">
        <v>1</v>
      </c>
      <c r="G109" s="25" t="s">
        <v>1184</v>
      </c>
      <c r="H109" s="29"/>
      <c r="I109" s="30"/>
      <c r="J109" s="30"/>
      <c r="K109" s="30"/>
      <c r="L109" s="30"/>
      <c r="M109" s="30" t="n">
        <f aca="false">IF(SUMIF(A110:A118,2,M110:M118)=0,"",SUMIF(A110:A118,2,M110:M118))</f>
        <v>0.951328458234476</v>
      </c>
      <c r="N109" s="30"/>
      <c r="O109" s="30" t="n">
        <f aca="false">IF(SUMIF(A110:A118,2,O110:O118)=0,"",SUMIF(A110:A118,2,O110:O118))</f>
        <v>0.170726390864926</v>
      </c>
      <c r="P109" s="30" t="n">
        <f aca="false">IF(SUMIF(A110:A118,2,P110:P118)=0,"",SUMIF(A110:A118,2,P110:P118))</f>
        <v>0.984559254609939</v>
      </c>
      <c r="Q109" s="29"/>
      <c r="R109" s="29"/>
      <c r="S109" s="31"/>
      <c r="T109" s="32"/>
      <c r="U109" s="33"/>
      <c r="V109" s="34"/>
    </row>
    <row r="110" customFormat="false" ht="15" hidden="false" customHeight="false" outlineLevel="2" collapsed="false">
      <c r="A110" s="35" t="n">
        <v>2</v>
      </c>
      <c r="B110" s="36" t="s">
        <v>1268</v>
      </c>
      <c r="C110" s="37" t="s">
        <v>1269</v>
      </c>
      <c r="D110" s="36" t="s">
        <v>37</v>
      </c>
      <c r="E110" s="36" t="str">
        <f aca="false">INDEX(REF_DATO,MATCH(D110,REF_ID,0))</f>
        <v>Polvo ABC asentado en el recipiente</v>
      </c>
      <c r="F110" s="38" t="n">
        <f aca="false">MODELOS!$AN$16</f>
        <v>0.75</v>
      </c>
      <c r="G110" s="35" t="s">
        <v>123</v>
      </c>
      <c r="H110" s="39" t="n">
        <f aca="false">INDEX(REF_VAL,MATCH(D110,REF_ID,0))</f>
        <v>1.1</v>
      </c>
      <c r="I110" s="40" t="n">
        <f aca="false">F110*J110</f>
        <v>0.681818181818182</v>
      </c>
      <c r="J110" s="40" t="n">
        <f aca="false">1/H110</f>
        <v>0.909090909090909</v>
      </c>
      <c r="K110" s="40" t="n">
        <f aca="false">0/R110</f>
        <v>0</v>
      </c>
      <c r="L110" s="40" t="n">
        <f aca="false">MODELOS!$AN$16/Q110</f>
        <v>0.681818181818182</v>
      </c>
      <c r="M110" s="40" t="n">
        <f aca="false">F110</f>
        <v>0.75</v>
      </c>
      <c r="N110" s="40" t="n">
        <v>1</v>
      </c>
      <c r="O110" s="40" t="n">
        <f aca="false">0</f>
        <v>0</v>
      </c>
      <c r="P110" s="40" t="n">
        <f aca="false">MODELOS!$AN$16</f>
        <v>0.75</v>
      </c>
      <c r="Q110" s="39" t="n">
        <f aca="false">INDEX(REF_MIN,MATCH(D110,REF_ID,0))</f>
        <v>1.1</v>
      </c>
      <c r="R110" s="39" t="n">
        <f aca="false">INDEX(REF_MAX,MATCH(D110,REF_ID,0))</f>
        <v>1.1</v>
      </c>
      <c r="S110" s="41"/>
      <c r="T110" s="42"/>
      <c r="U110" s="43"/>
      <c r="V110" s="44"/>
    </row>
    <row r="111" customFormat="false" ht="15" hidden="false" customHeight="false" outlineLevel="2" collapsed="false">
      <c r="A111" s="35" t="n">
        <v>2</v>
      </c>
      <c r="B111" s="36" t="s">
        <v>1270</v>
      </c>
      <c r="C111" s="37" t="s">
        <v>316</v>
      </c>
      <c r="D111" s="36" t="s">
        <v>78</v>
      </c>
      <c r="E111" s="36" t="str">
        <f aca="false">INDEX(REF_DATO,MATCH(D111,REF_ID,0))</f>
        <v>Nitrógeno seco (densidad normal)</v>
      </c>
      <c r="F111" s="38" t="n">
        <f aca="false">MODELOS!$AF$16</f>
        <v>0.201328458234476</v>
      </c>
      <c r="G111" s="35" t="s">
        <v>123</v>
      </c>
      <c r="H111" s="39" t="n">
        <f aca="false">INDEX(REF_VAL,MATCH(D111,REF_ID,0))</f>
        <v>0.00124921923797626</v>
      </c>
      <c r="I111" s="40" t="n">
        <f aca="false">F111*J111</f>
        <v>161.163430816698</v>
      </c>
      <c r="J111" s="40" t="n">
        <f aca="false">1/H111</f>
        <v>800.5</v>
      </c>
      <c r="K111" s="40" t="n">
        <f aca="false">MODELOS!$AG$16/H111</f>
        <v>136.666475887373</v>
      </c>
      <c r="L111" s="40" t="n">
        <f aca="false">MODELOS!$AH$16/H111</f>
        <v>187.764683315256</v>
      </c>
      <c r="M111" s="40" t="n">
        <f aca="false">F111</f>
        <v>0.201328458234476</v>
      </c>
      <c r="N111" s="40" t="n">
        <v>1</v>
      </c>
      <c r="O111" s="40" t="n">
        <f aca="false">MODELOS!$AG$16</f>
        <v>0.170726390864926</v>
      </c>
      <c r="P111" s="40" t="n">
        <f aca="false">MODELOS!$AH$16</f>
        <v>0.234559254609939</v>
      </c>
      <c r="Q111" s="39"/>
      <c r="R111" s="39"/>
      <c r="S111" s="41"/>
      <c r="T111" s="42"/>
      <c r="U111" s="43"/>
      <c r="V111" s="44"/>
    </row>
    <row r="112" customFormat="false" ht="15" hidden="false" customHeight="false" outlineLevel="2" collapsed="false">
      <c r="A112" s="35" t="n">
        <v>2</v>
      </c>
      <c r="B112" s="36" t="s">
        <v>1271</v>
      </c>
      <c r="C112" s="37" t="s">
        <v>1193</v>
      </c>
      <c r="D112" s="36"/>
      <c r="E112" s="36"/>
      <c r="F112" s="38" t="n">
        <v>1</v>
      </c>
      <c r="G112" s="35" t="s">
        <v>264</v>
      </c>
      <c r="H112" s="39"/>
      <c r="I112" s="40"/>
      <c r="J112" s="40"/>
      <c r="K112" s="40"/>
      <c r="L112" s="40"/>
      <c r="M112" s="40"/>
      <c r="N112" s="40"/>
      <c r="O112" s="40"/>
      <c r="P112" s="40"/>
      <c r="Q112" s="39"/>
      <c r="R112" s="39"/>
      <c r="S112" s="41"/>
      <c r="T112" s="42"/>
      <c r="U112" s="43"/>
      <c r="V112" s="44"/>
    </row>
    <row r="113" customFormat="false" ht="15" hidden="false" customHeight="false" outlineLevel="2" collapsed="false">
      <c r="A113" s="35" t="n">
        <v>2</v>
      </c>
      <c r="B113" s="36" t="s">
        <v>1272</v>
      </c>
      <c r="C113" s="37" t="s">
        <v>1195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1273</v>
      </c>
      <c r="C114" s="37" t="s">
        <v>1197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2" collapsed="false">
      <c r="A115" s="35" t="n">
        <v>2</v>
      </c>
      <c r="B115" s="36" t="s">
        <v>1274</v>
      </c>
      <c r="C115" s="37" t="s">
        <v>1199</v>
      </c>
      <c r="D115" s="36"/>
      <c r="E115" s="36"/>
      <c r="F115" s="38" t="n">
        <v>1</v>
      </c>
      <c r="G115" s="35" t="s">
        <v>264</v>
      </c>
      <c r="H115" s="39"/>
      <c r="I115" s="40"/>
      <c r="J115" s="40"/>
      <c r="K115" s="40"/>
      <c r="L115" s="40"/>
      <c r="M115" s="40"/>
      <c r="N115" s="40"/>
      <c r="O115" s="40"/>
      <c r="P115" s="40"/>
      <c r="Q115" s="39"/>
      <c r="R115" s="39"/>
      <c r="S115" s="41"/>
      <c r="T115" s="42"/>
      <c r="U115" s="43"/>
      <c r="V115" s="44"/>
    </row>
    <row r="116" customFormat="false" ht="15" hidden="false" customHeight="false" outlineLevel="2" collapsed="false">
      <c r="A116" s="35" t="n">
        <v>2</v>
      </c>
      <c r="B116" s="36" t="s">
        <v>1275</v>
      </c>
      <c r="C116" s="37" t="s">
        <v>1201</v>
      </c>
      <c r="D116" s="36"/>
      <c r="E116" s="36"/>
      <c r="F116" s="38" t="n">
        <v>1</v>
      </c>
      <c r="G116" s="35" t="s">
        <v>264</v>
      </c>
      <c r="H116" s="39"/>
      <c r="I116" s="40"/>
      <c r="J116" s="40"/>
      <c r="K116" s="40"/>
      <c r="L116" s="40"/>
      <c r="M116" s="40"/>
      <c r="N116" s="40"/>
      <c r="O116" s="40"/>
      <c r="P116" s="40"/>
      <c r="Q116" s="39"/>
      <c r="R116" s="39"/>
      <c r="S116" s="41"/>
      <c r="T116" s="42"/>
      <c r="U116" s="43"/>
      <c r="V116" s="44"/>
    </row>
    <row r="117" customFormat="false" ht="15" hidden="false" customHeight="false" outlineLevel="2" collapsed="false">
      <c r="A117" s="35" t="n">
        <v>2</v>
      </c>
      <c r="B117" s="36" t="s">
        <v>1276</v>
      </c>
      <c r="C117" s="37" t="s">
        <v>1203</v>
      </c>
      <c r="D117" s="36"/>
      <c r="E117" s="36"/>
      <c r="F117" s="38" t="n">
        <v>1</v>
      </c>
      <c r="G117" s="35" t="s">
        <v>264</v>
      </c>
      <c r="H117" s="39"/>
      <c r="I117" s="40"/>
      <c r="J117" s="40"/>
      <c r="K117" s="40"/>
      <c r="L117" s="40"/>
      <c r="M117" s="40"/>
      <c r="N117" s="40"/>
      <c r="O117" s="40"/>
      <c r="P117" s="40"/>
      <c r="Q117" s="39"/>
      <c r="R117" s="39"/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1277</v>
      </c>
      <c r="C118" s="37" t="s">
        <v>1205</v>
      </c>
      <c r="D118" s="36"/>
      <c r="E118" s="36"/>
      <c r="F118" s="38" t="n">
        <v>1</v>
      </c>
      <c r="G118" s="35" t="s">
        <v>264</v>
      </c>
      <c r="H118" s="39"/>
      <c r="I118" s="40"/>
      <c r="J118" s="40"/>
      <c r="K118" s="40"/>
      <c r="L118" s="40"/>
      <c r="M118" s="40"/>
      <c r="N118" s="40"/>
      <c r="O118" s="40"/>
      <c r="P118" s="40"/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1278</v>
      </c>
      <c r="C119" s="27" t="s">
        <v>1207</v>
      </c>
      <c r="D119" s="26"/>
      <c r="E119" s="26"/>
      <c r="F119" s="28" t="n">
        <v>1</v>
      </c>
      <c r="G119" s="25" t="s">
        <v>1184</v>
      </c>
      <c r="H119" s="29"/>
      <c r="I119" s="30"/>
      <c r="J119" s="30"/>
      <c r="K119" s="30"/>
      <c r="L119" s="30"/>
      <c r="M119" s="30" t="n">
        <f aca="false">IF(SUMIF(A120:A128,2,M120:M128)=0,"",SUMIF(A120:A128,2,M120:M128))</f>
        <v>25.2013284582345</v>
      </c>
      <c r="N119" s="30"/>
      <c r="O119" s="30" t="n">
        <f aca="false">IF(SUMIF(A120:A128,2,O120:O128)=0,"",SUMIF(A120:A128,2,O120:O128))</f>
        <v>24.4207263908649</v>
      </c>
      <c r="P119" s="30" t="n">
        <f aca="false">IF(SUMIF(A120:A128,2,P120:P128)=0,"",SUMIF(A120:A128,2,P120:P128))</f>
        <v>25.9845592546099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1268</v>
      </c>
      <c r="C120" s="37" t="s">
        <v>543</v>
      </c>
      <c r="D120" s="36" t="s">
        <v>37</v>
      </c>
      <c r="E120" s="36" t="str">
        <f aca="false">INDEX(REF_DATO,MATCH(D120,REF_ID,0))</f>
        <v>Polvo ABC asentado en el recipiente</v>
      </c>
      <c r="F120" s="38" t="n">
        <f aca="false">MODELOS!$L$16</f>
        <v>25</v>
      </c>
      <c r="G120" s="35" t="s">
        <v>123</v>
      </c>
      <c r="H120" s="39" t="n">
        <f aca="false">INDEX(REF_VAL,MATCH(D120,REF_ID,0))</f>
        <v>1.1</v>
      </c>
      <c r="I120" s="40" t="n">
        <f aca="false">F120*J120</f>
        <v>22.7272727272727</v>
      </c>
      <c r="J120" s="40" t="n">
        <f aca="false">1/H120</f>
        <v>0.909090909090909</v>
      </c>
      <c r="K120" s="40" t="n">
        <f aca="false">MODELOS!$M$16/R120</f>
        <v>22.0454545454545</v>
      </c>
      <c r="L120" s="40" t="n">
        <f aca="false">MODELOS!$N$16/Q120</f>
        <v>23.4090909090909</v>
      </c>
      <c r="M120" s="40" t="n">
        <f aca="false">F120</f>
        <v>25</v>
      </c>
      <c r="N120" s="40" t="n">
        <v>1</v>
      </c>
      <c r="O120" s="40" t="n">
        <f aca="false">MODELOS!$M$16</f>
        <v>24.25</v>
      </c>
      <c r="P120" s="40" t="n">
        <f aca="false">MODELOS!$N$16</f>
        <v>25.75</v>
      </c>
      <c r="Q120" s="39" t="n">
        <f aca="false">INDEX(REF_MIN,MATCH(D120,REF_ID,0))</f>
        <v>1.1</v>
      </c>
      <c r="R120" s="39" t="n">
        <f aca="false">INDEX(REF_MAX,MATCH(D120,REF_ID,0))</f>
        <v>1.1</v>
      </c>
      <c r="S120" s="41"/>
      <c r="T120" s="42"/>
      <c r="U120" s="43"/>
      <c r="V120" s="44"/>
    </row>
    <row r="121" customFormat="false" ht="15" hidden="false" customHeight="false" outlineLevel="2" collapsed="false">
      <c r="A121" s="35" t="n">
        <v>2</v>
      </c>
      <c r="B121" s="36" t="s">
        <v>1270</v>
      </c>
      <c r="C121" s="37" t="s">
        <v>316</v>
      </c>
      <c r="D121" s="36" t="s">
        <v>78</v>
      </c>
      <c r="E121" s="36" t="str">
        <f aca="false">INDEX(REF_DATO,MATCH(D121,REF_ID,0))</f>
        <v>Nitrógeno seco (densidad normal)</v>
      </c>
      <c r="F121" s="38" t="n">
        <f aca="false">MODELOS!$AF$16</f>
        <v>0.201328458234476</v>
      </c>
      <c r="G121" s="35" t="s">
        <v>123</v>
      </c>
      <c r="H121" s="39" t="n">
        <f aca="false">INDEX(REF_VAL,MATCH(D121,REF_ID,0))</f>
        <v>0.00124921923797626</v>
      </c>
      <c r="I121" s="40" t="n">
        <f aca="false">F121*J121</f>
        <v>161.163430816698</v>
      </c>
      <c r="J121" s="40" t="n">
        <f aca="false">1/H121</f>
        <v>800.5</v>
      </c>
      <c r="K121" s="40" t="n">
        <f aca="false">MODELOS!$AG$16/H121</f>
        <v>136.666475887373</v>
      </c>
      <c r="L121" s="40" t="n">
        <f aca="false">MODELOS!$AH$16/H121</f>
        <v>187.764683315256</v>
      </c>
      <c r="M121" s="40" t="n">
        <f aca="false">F121</f>
        <v>0.201328458234476</v>
      </c>
      <c r="N121" s="40" t="n">
        <v>1</v>
      </c>
      <c r="O121" s="40" t="n">
        <f aca="false">MODELOS!$AG$16</f>
        <v>0.170726390864926</v>
      </c>
      <c r="P121" s="40" t="n">
        <f aca="false">MODELOS!$AH$16</f>
        <v>0.234559254609939</v>
      </c>
      <c r="Q121" s="39"/>
      <c r="R121" s="39"/>
      <c r="S121" s="41"/>
      <c r="T121" s="42"/>
      <c r="U121" s="43"/>
      <c r="V121" s="44"/>
    </row>
    <row r="122" customFormat="false" ht="15" hidden="false" customHeight="false" outlineLevel="2" collapsed="false">
      <c r="A122" s="35" t="n">
        <v>2</v>
      </c>
      <c r="B122" s="36" t="s">
        <v>1271</v>
      </c>
      <c r="C122" s="37" t="s">
        <v>1193</v>
      </c>
      <c r="D122" s="36"/>
      <c r="E122" s="36"/>
      <c r="F122" s="38" t="n">
        <v>1</v>
      </c>
      <c r="G122" s="35" t="s">
        <v>264</v>
      </c>
      <c r="H122" s="39"/>
      <c r="I122" s="40"/>
      <c r="J122" s="40"/>
      <c r="K122" s="40"/>
      <c r="L122" s="40"/>
      <c r="M122" s="40"/>
      <c r="N122" s="40"/>
      <c r="O122" s="40"/>
      <c r="P122" s="40"/>
      <c r="Q122" s="39"/>
      <c r="R122" s="39"/>
      <c r="S122" s="41"/>
      <c r="T122" s="42"/>
      <c r="U122" s="43"/>
      <c r="V122" s="44"/>
    </row>
    <row r="123" customFormat="false" ht="15" hidden="false" customHeight="false" outlineLevel="2" collapsed="false">
      <c r="A123" s="35" t="n">
        <v>2</v>
      </c>
      <c r="B123" s="36" t="s">
        <v>1272</v>
      </c>
      <c r="C123" s="37" t="s">
        <v>1195</v>
      </c>
      <c r="D123" s="36"/>
      <c r="E123" s="36"/>
      <c r="F123" s="38" t="n">
        <v>1</v>
      </c>
      <c r="G123" s="35" t="s">
        <v>264</v>
      </c>
      <c r="H123" s="39"/>
      <c r="I123" s="40"/>
      <c r="J123" s="40"/>
      <c r="K123" s="40"/>
      <c r="L123" s="40"/>
      <c r="M123" s="40"/>
      <c r="N123" s="40"/>
      <c r="O123" s="40"/>
      <c r="P123" s="40"/>
      <c r="Q123" s="39"/>
      <c r="R123" s="39"/>
      <c r="S123" s="41"/>
      <c r="T123" s="42"/>
      <c r="U123" s="43"/>
      <c r="V123" s="44"/>
    </row>
    <row r="124" customFormat="false" ht="15" hidden="false" customHeight="false" outlineLevel="2" collapsed="false">
      <c r="A124" s="35" t="n">
        <v>2</v>
      </c>
      <c r="B124" s="36" t="s">
        <v>1273</v>
      </c>
      <c r="C124" s="37" t="s">
        <v>1197</v>
      </c>
      <c r="D124" s="36"/>
      <c r="E124" s="36"/>
      <c r="F124" s="38" t="n">
        <v>1</v>
      </c>
      <c r="G124" s="35" t="s">
        <v>264</v>
      </c>
      <c r="H124" s="39"/>
      <c r="I124" s="40"/>
      <c r="J124" s="40"/>
      <c r="K124" s="40"/>
      <c r="L124" s="40"/>
      <c r="M124" s="40"/>
      <c r="N124" s="40"/>
      <c r="O124" s="40"/>
      <c r="P124" s="40"/>
      <c r="Q124" s="39"/>
      <c r="R124" s="39"/>
      <c r="S124" s="41"/>
      <c r="T124" s="42"/>
      <c r="U124" s="43"/>
      <c r="V124" s="44"/>
    </row>
    <row r="125" customFormat="false" ht="15" hidden="false" customHeight="false" outlineLevel="2" collapsed="false">
      <c r="A125" s="35" t="n">
        <v>2</v>
      </c>
      <c r="B125" s="36" t="s">
        <v>1274</v>
      </c>
      <c r="C125" s="37" t="s">
        <v>1199</v>
      </c>
      <c r="D125" s="36"/>
      <c r="E125" s="36"/>
      <c r="F125" s="38" t="n">
        <v>1</v>
      </c>
      <c r="G125" s="35" t="s">
        <v>264</v>
      </c>
      <c r="H125" s="39"/>
      <c r="I125" s="40"/>
      <c r="J125" s="40"/>
      <c r="K125" s="40"/>
      <c r="L125" s="40"/>
      <c r="M125" s="40"/>
      <c r="N125" s="40"/>
      <c r="O125" s="40"/>
      <c r="P125" s="40"/>
      <c r="Q125" s="39"/>
      <c r="R125" s="39"/>
      <c r="S125" s="41"/>
      <c r="T125" s="42"/>
      <c r="U125" s="43"/>
      <c r="V125" s="44"/>
    </row>
    <row r="126" customFormat="false" ht="15" hidden="false" customHeight="false" outlineLevel="2" collapsed="false">
      <c r="A126" s="35" t="n">
        <v>2</v>
      </c>
      <c r="B126" s="36" t="s">
        <v>1275</v>
      </c>
      <c r="C126" s="37" t="s">
        <v>1201</v>
      </c>
      <c r="D126" s="36"/>
      <c r="E126" s="36"/>
      <c r="F126" s="38" t="n">
        <v>1</v>
      </c>
      <c r="G126" s="35" t="s">
        <v>264</v>
      </c>
      <c r="H126" s="39"/>
      <c r="I126" s="40"/>
      <c r="J126" s="40"/>
      <c r="K126" s="40"/>
      <c r="L126" s="40"/>
      <c r="M126" s="40"/>
      <c r="N126" s="40"/>
      <c r="O126" s="40"/>
      <c r="P126" s="40"/>
      <c r="Q126" s="39"/>
      <c r="R126" s="39"/>
      <c r="S126" s="41"/>
      <c r="T126" s="42"/>
      <c r="U126" s="43"/>
      <c r="V126" s="44"/>
    </row>
    <row r="127" customFormat="false" ht="15" hidden="false" customHeight="false" outlineLevel="2" collapsed="false">
      <c r="A127" s="35" t="n">
        <v>2</v>
      </c>
      <c r="B127" s="36" t="s">
        <v>1276</v>
      </c>
      <c r="C127" s="37" t="s">
        <v>1203</v>
      </c>
      <c r="D127" s="36"/>
      <c r="E127" s="36"/>
      <c r="F127" s="38" t="n">
        <v>1</v>
      </c>
      <c r="G127" s="35" t="s">
        <v>264</v>
      </c>
      <c r="H127" s="39"/>
      <c r="I127" s="40"/>
      <c r="J127" s="40"/>
      <c r="K127" s="40"/>
      <c r="L127" s="40"/>
      <c r="M127" s="40"/>
      <c r="N127" s="40"/>
      <c r="O127" s="40"/>
      <c r="P127" s="40"/>
      <c r="Q127" s="39"/>
      <c r="R127" s="39"/>
      <c r="S127" s="41"/>
      <c r="T127" s="42"/>
      <c r="U127" s="43"/>
      <c r="V127" s="44"/>
    </row>
    <row r="128" customFormat="false" ht="15" hidden="false" customHeight="false" outlineLevel="2" collapsed="false">
      <c r="A128" s="35" t="n">
        <v>2</v>
      </c>
      <c r="B128" s="36" t="s">
        <v>1277</v>
      </c>
      <c r="C128" s="37" t="s">
        <v>1205</v>
      </c>
      <c r="D128" s="36"/>
      <c r="E128" s="36"/>
      <c r="F128" s="38" t="n">
        <v>1</v>
      </c>
      <c r="G128" s="35" t="s">
        <v>264</v>
      </c>
      <c r="H128" s="39"/>
      <c r="I128" s="40"/>
      <c r="J128" s="40"/>
      <c r="K128" s="40"/>
      <c r="L128" s="40"/>
      <c r="M128" s="40"/>
      <c r="N128" s="40"/>
      <c r="O128" s="40"/>
      <c r="P128" s="40"/>
      <c r="Q128" s="39"/>
      <c r="R128" s="39"/>
      <c r="S128" s="41"/>
      <c r="T128" s="42"/>
      <c r="U128" s="43"/>
      <c r="V128" s="44"/>
    </row>
    <row r="129" customFormat="false" ht="15" hidden="false" customHeight="false" outlineLevel="1" collapsed="false">
      <c r="A129" s="25" t="n">
        <v>1</v>
      </c>
      <c r="B129" s="26" t="s">
        <v>1279</v>
      </c>
      <c r="C129" s="27" t="str">
        <f aca="false">"Prueba hidráulica (cada "&amp;MODELOS!$AO$16&amp;" años, se suma al mantenimiento)"</f>
        <v>Prueba hidráulica (cada 5 años, se suma al mantenimiento)</v>
      </c>
      <c r="D129" s="26"/>
      <c r="E129" s="26"/>
      <c r="F129" s="28" t="n">
        <v>1</v>
      </c>
      <c r="G129" s="25" t="s">
        <v>1184</v>
      </c>
      <c r="H129" s="29"/>
      <c r="I129" s="30"/>
      <c r="J129" s="30"/>
      <c r="K129" s="30"/>
      <c r="L129" s="30"/>
      <c r="M129" s="30" t="n">
        <f aca="false">IF(SUMIF(A130:A131,2,M130:M131)=0,"",SUMIF(A130:A131,2,M130:M131))</f>
        <v>24.25</v>
      </c>
      <c r="N129" s="30"/>
      <c r="O129" s="30" t="n">
        <f aca="false">IF(SUMIF(A130:A131,2,O130:O131)=0,"",SUMIF(A130:A131,2,O130:O131))</f>
        <v>24.25</v>
      </c>
      <c r="P129" s="30" t="n">
        <f aca="false">IF(SUMIF(A130:A131,2,P130:P131)=0,"",SUMIF(A130:A131,2,P130:P131))</f>
        <v>25</v>
      </c>
      <c r="Q129" s="29"/>
      <c r="R129" s="29"/>
      <c r="S129" s="31"/>
      <c r="T129" s="32"/>
      <c r="U129" s="33"/>
      <c r="V129" s="34"/>
    </row>
    <row r="130" customFormat="false" ht="15" hidden="false" customHeight="false" outlineLevel="2" collapsed="false">
      <c r="A130" s="35" t="n">
        <v>2</v>
      </c>
      <c r="B130" s="36" t="s">
        <v>1280</v>
      </c>
      <c r="C130" s="37" t="s">
        <v>1281</v>
      </c>
      <c r="D130" s="36" t="s">
        <v>37</v>
      </c>
      <c r="E130" s="36" t="str">
        <f aca="false">INDEX(REF_DATO,MATCH(D130,REF_ID,0))</f>
        <v>Polvo ABC asentado en el recipiente</v>
      </c>
      <c r="F130" s="38" t="n">
        <f aca="false">(MODELOS!$L$16-MODELOS!$AN$16)</f>
        <v>24.25</v>
      </c>
      <c r="G130" s="35" t="s">
        <v>123</v>
      </c>
      <c r="H130" s="39" t="n">
        <f aca="false">INDEX(REF_VAL,MATCH(D130,REF_ID,0))</f>
        <v>1.1</v>
      </c>
      <c r="I130" s="40" t="n">
        <f aca="false">F130*J130</f>
        <v>22.0454545454545</v>
      </c>
      <c r="J130" s="40" t="n">
        <f aca="false">1/H130</f>
        <v>0.909090909090909</v>
      </c>
      <c r="K130" s="40" t="n">
        <f aca="false">(MODELOS!$L$16-MODELOS!$AN$16)/R130</f>
        <v>22.0454545454545</v>
      </c>
      <c r="L130" s="40" t="n">
        <f aca="false">MODELOS!$L$16/Q130</f>
        <v>22.7272727272727</v>
      </c>
      <c r="M130" s="40" t="n">
        <f aca="false">F130</f>
        <v>24.25</v>
      </c>
      <c r="N130" s="40" t="n">
        <v>1</v>
      </c>
      <c r="O130" s="40" t="n">
        <f aca="false">(MODELOS!$L$16-MODELOS!$AN$16)</f>
        <v>24.25</v>
      </c>
      <c r="P130" s="40" t="n">
        <f aca="false">MODELOS!$L$16</f>
        <v>25</v>
      </c>
      <c r="Q130" s="39" t="n">
        <f aca="false">INDEX(REF_MIN,MATCH(D130,REF_ID,0))</f>
        <v>1.1</v>
      </c>
      <c r="R130" s="39" t="n">
        <f aca="false">INDEX(REF_MAX,MATCH(D130,REF_ID,0))</f>
        <v>1.1</v>
      </c>
      <c r="S130" s="41"/>
      <c r="T130" s="42"/>
      <c r="U130" s="43"/>
      <c r="V130" s="44"/>
    </row>
    <row r="131" customFormat="false" ht="15" hidden="false" customHeight="false" outlineLevel="2" collapsed="false">
      <c r="A131" s="35" t="n">
        <v>2</v>
      </c>
      <c r="B131" s="36" t="s">
        <v>1282</v>
      </c>
      <c r="C131" s="37" t="s">
        <v>1212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0" collapsed="false">
      <c r="A132" s="16" t="n">
        <v>0</v>
      </c>
      <c r="B132" s="17" t="s">
        <v>1283</v>
      </c>
      <c r="C132" s="17" t="s">
        <v>239</v>
      </c>
      <c r="D132" s="17"/>
      <c r="E132" s="17"/>
      <c r="F132" s="18" t="n">
        <v>1</v>
      </c>
      <c r="G132" s="16" t="s">
        <v>264</v>
      </c>
      <c r="H132" s="19"/>
      <c r="I132" s="20"/>
      <c r="J132" s="20"/>
      <c r="K132" s="20"/>
      <c r="L132" s="20"/>
      <c r="M132" s="20"/>
      <c r="N132" s="20"/>
      <c r="O132" s="20"/>
      <c r="P132" s="20"/>
      <c r="Q132" s="19"/>
      <c r="R132" s="19"/>
      <c r="S132" s="21"/>
      <c r="T132" s="22"/>
      <c r="U132" s="23"/>
      <c r="V132" s="24"/>
    </row>
    <row r="133" customFormat="false" ht="15" hidden="false" customHeight="false" outlineLevel="1" collapsed="false">
      <c r="A133" s="25" t="n">
        <v>1</v>
      </c>
      <c r="B133" s="26" t="s">
        <v>1284</v>
      </c>
      <c r="C133" s="27" t="s">
        <v>1183</v>
      </c>
      <c r="D133" s="26"/>
      <c r="E133" s="26"/>
      <c r="F133" s="28" t="n">
        <v>1</v>
      </c>
      <c r="G133" s="25" t="s">
        <v>1184</v>
      </c>
      <c r="H133" s="29"/>
      <c r="I133" s="30"/>
      <c r="J133" s="30"/>
      <c r="K133" s="30"/>
      <c r="L133" s="30"/>
      <c r="M133" s="30" t="str">
        <f aca="false">IF(SUMIF(A134:A134,2,M134:M134)=0,"",SUMIF(A134:A134,2,M134:M134))</f>
        <v/>
      </c>
      <c r="N133" s="30"/>
      <c r="O133" s="30" t="str">
        <f aca="false">IF(SUMIF(A134:A134,2,O134:O134)=0,"",SUMIF(A134:A134,2,O134:O134))</f>
        <v/>
      </c>
      <c r="P133" s="30" t="str">
        <f aca="false">IF(SUMIF(A134:A134,2,P134:P134)=0,"",SUMIF(A134:A134,2,P134:P134))</f>
        <v/>
      </c>
      <c r="Q133" s="29"/>
      <c r="R133" s="29"/>
      <c r="S133" s="31"/>
      <c r="T133" s="32"/>
      <c r="U133" s="33"/>
      <c r="V133" s="34"/>
    </row>
    <row r="134" customFormat="false" ht="15" hidden="false" customHeight="false" outlineLevel="2" collapsed="false">
      <c r="A134" s="35" t="n">
        <v>2</v>
      </c>
      <c r="B134" s="36" t="s">
        <v>1285</v>
      </c>
      <c r="C134" s="37" t="s">
        <v>1186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1" collapsed="false">
      <c r="A135" s="25" t="n">
        <v>1</v>
      </c>
      <c r="B135" s="26" t="s">
        <v>1286</v>
      </c>
      <c r="C135" s="27" t="s">
        <v>1188</v>
      </c>
      <c r="D135" s="26"/>
      <c r="E135" s="26"/>
      <c r="F135" s="28" t="n">
        <v>1</v>
      </c>
      <c r="G135" s="25" t="s">
        <v>1184</v>
      </c>
      <c r="H135" s="29"/>
      <c r="I135" s="30"/>
      <c r="J135" s="30"/>
      <c r="K135" s="30"/>
      <c r="L135" s="30"/>
      <c r="M135" s="30" t="n">
        <f aca="false">IF(SUMIF(A136:A144,2,M136:M144)=0,"",SUMIF(A136:A144,2,M136:M144))</f>
        <v>1.78192256067413</v>
      </c>
      <c r="N135" s="30"/>
      <c r="O135" s="30" t="n">
        <f aca="false">IF(SUMIF(A136:A144,2,O136:O144)=0,"",SUMIF(A136:A144,2,O136:O144))</f>
        <v>0.232718852064018</v>
      </c>
      <c r="P135" s="30" t="n">
        <f aca="false">IF(SUMIF(A136:A144,2,P136:P144)=0,"",SUMIF(A136:A144,2,P136:P144))</f>
        <v>1.83621885796921</v>
      </c>
      <c r="Q135" s="29"/>
      <c r="R135" s="29"/>
      <c r="S135" s="31"/>
      <c r="T135" s="32"/>
      <c r="U135" s="33"/>
      <c r="V135" s="34"/>
    </row>
    <row r="136" customFormat="false" ht="15" hidden="false" customHeight="false" outlineLevel="2" collapsed="false">
      <c r="A136" s="35" t="n">
        <v>2</v>
      </c>
      <c r="B136" s="36" t="s">
        <v>1287</v>
      </c>
      <c r="C136" s="37" t="s">
        <v>1269</v>
      </c>
      <c r="D136" s="36" t="s">
        <v>37</v>
      </c>
      <c r="E136" s="36" t="str">
        <f aca="false">INDEX(REF_DATO,MATCH(D136,REF_ID,0))</f>
        <v>Polvo ABC asentado en el recipiente</v>
      </c>
      <c r="F136" s="38" t="n">
        <f aca="false">MODELOS!$AN$17</f>
        <v>1.5</v>
      </c>
      <c r="G136" s="35" t="s">
        <v>123</v>
      </c>
      <c r="H136" s="39" t="n">
        <f aca="false">INDEX(REF_VAL,MATCH(D136,REF_ID,0))</f>
        <v>1.1</v>
      </c>
      <c r="I136" s="40" t="n">
        <f aca="false">F136*J136</f>
        <v>1.36363636363636</v>
      </c>
      <c r="J136" s="40" t="n">
        <f aca="false">1/H136</f>
        <v>0.909090909090909</v>
      </c>
      <c r="K136" s="40" t="n">
        <f aca="false">0/R136</f>
        <v>0</v>
      </c>
      <c r="L136" s="40" t="n">
        <f aca="false">MODELOS!$AN$17/Q136</f>
        <v>1.36363636363636</v>
      </c>
      <c r="M136" s="40" t="n">
        <f aca="false">F136</f>
        <v>1.5</v>
      </c>
      <c r="N136" s="40" t="n">
        <v>1</v>
      </c>
      <c r="O136" s="40" t="n">
        <f aca="false">0</f>
        <v>0</v>
      </c>
      <c r="P136" s="40" t="n">
        <f aca="false">MODELOS!$AN$17</f>
        <v>1.5</v>
      </c>
      <c r="Q136" s="39" t="n">
        <f aca="false">INDEX(REF_MIN,MATCH(D136,REF_ID,0))</f>
        <v>1.1</v>
      </c>
      <c r="R136" s="39" t="n">
        <f aca="false">INDEX(REF_MAX,MATCH(D136,REF_ID,0))</f>
        <v>1.1</v>
      </c>
      <c r="S136" s="41"/>
      <c r="T136" s="42"/>
      <c r="U136" s="43"/>
      <c r="V136" s="44"/>
    </row>
    <row r="137" customFormat="false" ht="15" hidden="false" customHeight="false" outlineLevel="2" collapsed="false">
      <c r="A137" s="35" t="n">
        <v>2</v>
      </c>
      <c r="B137" s="36" t="s">
        <v>1288</v>
      </c>
      <c r="C137" s="37" t="s">
        <v>316</v>
      </c>
      <c r="D137" s="36" t="s">
        <v>78</v>
      </c>
      <c r="E137" s="36" t="str">
        <f aca="false">INDEX(REF_DATO,MATCH(D137,REF_ID,0))</f>
        <v>Nitrógeno seco (densidad normal)</v>
      </c>
      <c r="F137" s="38" t="n">
        <f aca="false">MODELOS!$AF$17</f>
        <v>0.281922560674133</v>
      </c>
      <c r="G137" s="35" t="s">
        <v>123</v>
      </c>
      <c r="H137" s="39" t="n">
        <f aca="false">INDEX(REF_VAL,MATCH(D137,REF_ID,0))</f>
        <v>0.00124921923797626</v>
      </c>
      <c r="I137" s="40" t="n">
        <f aca="false">F137*J137</f>
        <v>225.679009819644</v>
      </c>
      <c r="J137" s="40" t="n">
        <f aca="false">1/H137</f>
        <v>800.5</v>
      </c>
      <c r="K137" s="40" t="n">
        <f aca="false">MODELOS!$AG$17/H137</f>
        <v>186.291441077247</v>
      </c>
      <c r="L137" s="40" t="n">
        <f aca="false">MODELOS!$AH$17/H137</f>
        <v>269.143195804356</v>
      </c>
      <c r="M137" s="40" t="n">
        <f aca="false">F137</f>
        <v>0.281922560674133</v>
      </c>
      <c r="N137" s="40" t="n">
        <v>1</v>
      </c>
      <c r="O137" s="40" t="n">
        <f aca="false">MODELOS!$AG$17</f>
        <v>0.232718852064018</v>
      </c>
      <c r="P137" s="40" t="n">
        <f aca="false">MODELOS!$AH$17</f>
        <v>0.336218857969214</v>
      </c>
      <c r="Q137" s="39"/>
      <c r="R137" s="39"/>
      <c r="S137" s="41"/>
      <c r="T137" s="42"/>
      <c r="U137" s="43"/>
      <c r="V137" s="44"/>
    </row>
    <row r="138" customFormat="false" ht="15" hidden="false" customHeight="false" outlineLevel="2" collapsed="false">
      <c r="A138" s="35" t="n">
        <v>2</v>
      </c>
      <c r="B138" s="36" t="s">
        <v>1289</v>
      </c>
      <c r="C138" s="37" t="s">
        <v>1193</v>
      </c>
      <c r="D138" s="36"/>
      <c r="E138" s="36"/>
      <c r="F138" s="38" t="n">
        <v>1</v>
      </c>
      <c r="G138" s="35" t="s">
        <v>264</v>
      </c>
      <c r="H138" s="39"/>
      <c r="I138" s="40"/>
      <c r="J138" s="40"/>
      <c r="K138" s="40"/>
      <c r="L138" s="40"/>
      <c r="M138" s="40"/>
      <c r="N138" s="40"/>
      <c r="O138" s="40"/>
      <c r="P138" s="40"/>
      <c r="Q138" s="39"/>
      <c r="R138" s="39"/>
      <c r="S138" s="41"/>
      <c r="T138" s="42"/>
      <c r="U138" s="43"/>
      <c r="V138" s="44"/>
    </row>
    <row r="139" customFormat="false" ht="15" hidden="false" customHeight="false" outlineLevel="2" collapsed="false">
      <c r="A139" s="35" t="n">
        <v>2</v>
      </c>
      <c r="B139" s="36" t="s">
        <v>1290</v>
      </c>
      <c r="C139" s="37" t="s">
        <v>1195</v>
      </c>
      <c r="D139" s="36"/>
      <c r="E139" s="36"/>
      <c r="F139" s="38" t="n">
        <v>1</v>
      </c>
      <c r="G139" s="35" t="s">
        <v>264</v>
      </c>
      <c r="H139" s="39"/>
      <c r="I139" s="40"/>
      <c r="J139" s="40"/>
      <c r="K139" s="40"/>
      <c r="L139" s="40"/>
      <c r="M139" s="40"/>
      <c r="N139" s="40"/>
      <c r="O139" s="40"/>
      <c r="P139" s="40"/>
      <c r="Q139" s="39"/>
      <c r="R139" s="39"/>
      <c r="S139" s="41"/>
      <c r="T139" s="42"/>
      <c r="U139" s="43"/>
      <c r="V139" s="44"/>
    </row>
    <row r="140" customFormat="false" ht="15" hidden="false" customHeight="false" outlineLevel="2" collapsed="false">
      <c r="A140" s="35" t="n">
        <v>2</v>
      </c>
      <c r="B140" s="36" t="s">
        <v>1291</v>
      </c>
      <c r="C140" s="37" t="s">
        <v>1197</v>
      </c>
      <c r="D140" s="36"/>
      <c r="E140" s="36"/>
      <c r="F140" s="38" t="n">
        <v>1</v>
      </c>
      <c r="G140" s="35" t="s">
        <v>264</v>
      </c>
      <c r="H140" s="39"/>
      <c r="I140" s="40"/>
      <c r="J140" s="40"/>
      <c r="K140" s="40"/>
      <c r="L140" s="40"/>
      <c r="M140" s="40"/>
      <c r="N140" s="40"/>
      <c r="O140" s="40"/>
      <c r="P140" s="40"/>
      <c r="Q140" s="39"/>
      <c r="R140" s="39"/>
      <c r="S140" s="41"/>
      <c r="T140" s="42"/>
      <c r="U140" s="43"/>
      <c r="V140" s="44"/>
    </row>
    <row r="141" customFormat="false" ht="15" hidden="false" customHeight="false" outlineLevel="2" collapsed="false">
      <c r="A141" s="35" t="n">
        <v>2</v>
      </c>
      <c r="B141" s="36" t="s">
        <v>1292</v>
      </c>
      <c r="C141" s="37" t="s">
        <v>1199</v>
      </c>
      <c r="D141" s="36"/>
      <c r="E141" s="36"/>
      <c r="F141" s="38" t="n">
        <v>1</v>
      </c>
      <c r="G141" s="35" t="s">
        <v>264</v>
      </c>
      <c r="H141" s="39"/>
      <c r="I141" s="40"/>
      <c r="J141" s="40"/>
      <c r="K141" s="40"/>
      <c r="L141" s="40"/>
      <c r="M141" s="40"/>
      <c r="N141" s="40"/>
      <c r="O141" s="40"/>
      <c r="P141" s="40"/>
      <c r="Q141" s="39"/>
      <c r="R141" s="39"/>
      <c r="S141" s="41"/>
      <c r="T141" s="42"/>
      <c r="U141" s="43"/>
      <c r="V141" s="44"/>
    </row>
    <row r="142" customFormat="false" ht="15" hidden="false" customHeight="false" outlineLevel="2" collapsed="false">
      <c r="A142" s="35" t="n">
        <v>2</v>
      </c>
      <c r="B142" s="36" t="s">
        <v>1293</v>
      </c>
      <c r="C142" s="37" t="s">
        <v>1201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1294</v>
      </c>
      <c r="C143" s="37" t="s">
        <v>1203</v>
      </c>
      <c r="D143" s="36"/>
      <c r="E143" s="36"/>
      <c r="F143" s="38" t="n">
        <v>1</v>
      </c>
      <c r="G143" s="35" t="s">
        <v>264</v>
      </c>
      <c r="H143" s="39"/>
      <c r="I143" s="40"/>
      <c r="J143" s="40"/>
      <c r="K143" s="40"/>
      <c r="L143" s="40"/>
      <c r="M143" s="40"/>
      <c r="N143" s="40"/>
      <c r="O143" s="40"/>
      <c r="P143" s="40"/>
      <c r="Q143" s="39"/>
      <c r="R143" s="39"/>
      <c r="S143" s="41"/>
      <c r="T143" s="42"/>
      <c r="U143" s="43"/>
      <c r="V143" s="44"/>
    </row>
    <row r="144" customFormat="false" ht="15" hidden="false" customHeight="false" outlineLevel="2" collapsed="false">
      <c r="A144" s="35" t="n">
        <v>2</v>
      </c>
      <c r="B144" s="36" t="s">
        <v>1295</v>
      </c>
      <c r="C144" s="37" t="s">
        <v>1205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/>
      <c r="N144" s="40"/>
      <c r="O144" s="40"/>
      <c r="P144" s="40"/>
      <c r="Q144" s="39"/>
      <c r="R144" s="39"/>
      <c r="S144" s="41"/>
      <c r="T144" s="42"/>
      <c r="U144" s="43"/>
      <c r="V144" s="44"/>
    </row>
    <row r="145" customFormat="false" ht="15" hidden="false" customHeight="false" outlineLevel="1" collapsed="false">
      <c r="A145" s="25" t="n">
        <v>1</v>
      </c>
      <c r="B145" s="26" t="s">
        <v>1296</v>
      </c>
      <c r="C145" s="27" t="s">
        <v>1207</v>
      </c>
      <c r="D145" s="26"/>
      <c r="E145" s="26"/>
      <c r="F145" s="28" t="n">
        <v>1</v>
      </c>
      <c r="G145" s="25" t="s">
        <v>1184</v>
      </c>
      <c r="H145" s="29"/>
      <c r="I145" s="30"/>
      <c r="J145" s="30"/>
      <c r="K145" s="30"/>
      <c r="L145" s="30"/>
      <c r="M145" s="30" t="n">
        <f aca="false">IF(SUMIF(A146:A154,2,M146:M154)=0,"",SUMIF(A146:A154,2,M146:M154))</f>
        <v>50.2819225606741</v>
      </c>
      <c r="N145" s="30"/>
      <c r="O145" s="30" t="n">
        <f aca="false">IF(SUMIF(A146:A154,2,O146:O154)=0,"",SUMIF(A146:A154,2,O146:O154))</f>
        <v>48.732718852064</v>
      </c>
      <c r="P145" s="30" t="n">
        <f aca="false">IF(SUMIF(A146:A154,2,P146:P154)=0,"",SUMIF(A146:A154,2,P146:P154))</f>
        <v>51.8362188579692</v>
      </c>
      <c r="Q145" s="29"/>
      <c r="R145" s="29"/>
      <c r="S145" s="31"/>
      <c r="T145" s="32"/>
      <c r="U145" s="33"/>
      <c r="V145" s="34"/>
    </row>
    <row r="146" customFormat="false" ht="15" hidden="false" customHeight="false" outlineLevel="2" collapsed="false">
      <c r="A146" s="35" t="n">
        <v>2</v>
      </c>
      <c r="B146" s="36" t="s">
        <v>1287</v>
      </c>
      <c r="C146" s="37" t="s">
        <v>543</v>
      </c>
      <c r="D146" s="36" t="s">
        <v>37</v>
      </c>
      <c r="E146" s="36" t="str">
        <f aca="false">INDEX(REF_DATO,MATCH(D146,REF_ID,0))</f>
        <v>Polvo ABC asentado en el recipiente</v>
      </c>
      <c r="F146" s="38" t="n">
        <f aca="false">MODELOS!$L$17</f>
        <v>50</v>
      </c>
      <c r="G146" s="35" t="s">
        <v>123</v>
      </c>
      <c r="H146" s="39" t="n">
        <f aca="false">INDEX(REF_VAL,MATCH(D146,REF_ID,0))</f>
        <v>1.1</v>
      </c>
      <c r="I146" s="40" t="n">
        <f aca="false">F146*J146</f>
        <v>45.4545454545455</v>
      </c>
      <c r="J146" s="40" t="n">
        <f aca="false">1/H146</f>
        <v>0.909090909090909</v>
      </c>
      <c r="K146" s="40" t="n">
        <f aca="false">MODELOS!$M$17/R146</f>
        <v>44.0909090909091</v>
      </c>
      <c r="L146" s="40" t="n">
        <f aca="false">MODELOS!$N$17/Q146</f>
        <v>46.8181818181818</v>
      </c>
      <c r="M146" s="40" t="n">
        <f aca="false">F146</f>
        <v>50</v>
      </c>
      <c r="N146" s="40" t="n">
        <v>1</v>
      </c>
      <c r="O146" s="40" t="n">
        <f aca="false">MODELOS!$M$17</f>
        <v>48.5</v>
      </c>
      <c r="P146" s="40" t="n">
        <f aca="false">MODELOS!$N$17</f>
        <v>51.5</v>
      </c>
      <c r="Q146" s="39" t="n">
        <f aca="false">INDEX(REF_MIN,MATCH(D146,REF_ID,0))</f>
        <v>1.1</v>
      </c>
      <c r="R146" s="39" t="n">
        <f aca="false">INDEX(REF_MAX,MATCH(D146,REF_ID,0))</f>
        <v>1.1</v>
      </c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1288</v>
      </c>
      <c r="C147" s="37" t="s">
        <v>316</v>
      </c>
      <c r="D147" s="36" t="s">
        <v>78</v>
      </c>
      <c r="E147" s="36" t="str">
        <f aca="false">INDEX(REF_DATO,MATCH(D147,REF_ID,0))</f>
        <v>Nitrógeno seco (densidad normal)</v>
      </c>
      <c r="F147" s="38" t="n">
        <f aca="false">MODELOS!$AF$17</f>
        <v>0.281922560674133</v>
      </c>
      <c r="G147" s="35" t="s">
        <v>123</v>
      </c>
      <c r="H147" s="39" t="n">
        <f aca="false">INDEX(REF_VAL,MATCH(D147,REF_ID,0))</f>
        <v>0.00124921923797626</v>
      </c>
      <c r="I147" s="40" t="n">
        <f aca="false">F147*J147</f>
        <v>225.679009819644</v>
      </c>
      <c r="J147" s="40" t="n">
        <f aca="false">1/H147</f>
        <v>800.5</v>
      </c>
      <c r="K147" s="40" t="n">
        <f aca="false">MODELOS!$AG$17/H147</f>
        <v>186.291441077247</v>
      </c>
      <c r="L147" s="40" t="n">
        <f aca="false">MODELOS!$AH$17/H147</f>
        <v>269.143195804356</v>
      </c>
      <c r="M147" s="40" t="n">
        <f aca="false">F147</f>
        <v>0.281922560674133</v>
      </c>
      <c r="N147" s="40" t="n">
        <v>1</v>
      </c>
      <c r="O147" s="40" t="n">
        <f aca="false">MODELOS!$AG$17</f>
        <v>0.232718852064018</v>
      </c>
      <c r="P147" s="40" t="n">
        <f aca="false">MODELOS!$AH$17</f>
        <v>0.336218857969214</v>
      </c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1289</v>
      </c>
      <c r="C148" s="37" t="s">
        <v>1193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2" collapsed="false">
      <c r="A149" s="35" t="n">
        <v>2</v>
      </c>
      <c r="B149" s="36" t="s">
        <v>1290</v>
      </c>
      <c r="C149" s="37" t="s">
        <v>1195</v>
      </c>
      <c r="D149" s="36"/>
      <c r="E149" s="36"/>
      <c r="F149" s="38" t="n">
        <v>1</v>
      </c>
      <c r="G149" s="35" t="s">
        <v>264</v>
      </c>
      <c r="H149" s="39"/>
      <c r="I149" s="40"/>
      <c r="J149" s="40"/>
      <c r="K149" s="40"/>
      <c r="L149" s="40"/>
      <c r="M149" s="40"/>
      <c r="N149" s="40"/>
      <c r="O149" s="40"/>
      <c r="P149" s="40"/>
      <c r="Q149" s="39"/>
      <c r="R149" s="39"/>
      <c r="S149" s="41"/>
      <c r="T149" s="42"/>
      <c r="U149" s="43"/>
      <c r="V149" s="44"/>
    </row>
    <row r="150" customFormat="false" ht="15" hidden="false" customHeight="false" outlineLevel="2" collapsed="false">
      <c r="A150" s="35" t="n">
        <v>2</v>
      </c>
      <c r="B150" s="36" t="s">
        <v>1291</v>
      </c>
      <c r="C150" s="37" t="s">
        <v>1197</v>
      </c>
      <c r="D150" s="36"/>
      <c r="E150" s="36"/>
      <c r="F150" s="38" t="n">
        <v>1</v>
      </c>
      <c r="G150" s="35" t="s">
        <v>264</v>
      </c>
      <c r="H150" s="39"/>
      <c r="I150" s="40"/>
      <c r="J150" s="40"/>
      <c r="K150" s="40"/>
      <c r="L150" s="40"/>
      <c r="M150" s="40"/>
      <c r="N150" s="40"/>
      <c r="O150" s="40"/>
      <c r="P150" s="40"/>
      <c r="Q150" s="39"/>
      <c r="R150" s="39"/>
      <c r="S150" s="41"/>
      <c r="T150" s="42"/>
      <c r="U150" s="43"/>
      <c r="V150" s="44"/>
    </row>
    <row r="151" customFormat="false" ht="15" hidden="false" customHeight="false" outlineLevel="2" collapsed="false">
      <c r="A151" s="35" t="n">
        <v>2</v>
      </c>
      <c r="B151" s="36" t="s">
        <v>1292</v>
      </c>
      <c r="C151" s="37" t="s">
        <v>1199</v>
      </c>
      <c r="D151" s="36"/>
      <c r="E151" s="36"/>
      <c r="F151" s="38" t="n">
        <v>1</v>
      </c>
      <c r="G151" s="35" t="s">
        <v>264</v>
      </c>
      <c r="H151" s="39"/>
      <c r="I151" s="40"/>
      <c r="J151" s="40"/>
      <c r="K151" s="40"/>
      <c r="L151" s="40"/>
      <c r="M151" s="40"/>
      <c r="N151" s="40"/>
      <c r="O151" s="40"/>
      <c r="P151" s="40"/>
      <c r="Q151" s="39"/>
      <c r="R151" s="39"/>
      <c r="S151" s="41"/>
      <c r="T151" s="42"/>
      <c r="U151" s="43"/>
      <c r="V151" s="44"/>
    </row>
    <row r="152" customFormat="false" ht="15" hidden="false" customHeight="false" outlineLevel="2" collapsed="false">
      <c r="A152" s="35" t="n">
        <v>2</v>
      </c>
      <c r="B152" s="36" t="s">
        <v>1293</v>
      </c>
      <c r="C152" s="37" t="s">
        <v>1201</v>
      </c>
      <c r="D152" s="36"/>
      <c r="E152" s="36"/>
      <c r="F152" s="38" t="n">
        <v>1</v>
      </c>
      <c r="G152" s="35" t="s">
        <v>264</v>
      </c>
      <c r="H152" s="39"/>
      <c r="I152" s="40"/>
      <c r="J152" s="40"/>
      <c r="K152" s="40"/>
      <c r="L152" s="40"/>
      <c r="M152" s="40"/>
      <c r="N152" s="40"/>
      <c r="O152" s="40"/>
      <c r="P152" s="40"/>
      <c r="Q152" s="39"/>
      <c r="R152" s="39"/>
      <c r="S152" s="41"/>
      <c r="T152" s="42"/>
      <c r="U152" s="43"/>
      <c r="V152" s="44"/>
    </row>
    <row r="153" customFormat="false" ht="15" hidden="false" customHeight="false" outlineLevel="2" collapsed="false">
      <c r="A153" s="35" t="n">
        <v>2</v>
      </c>
      <c r="B153" s="36" t="s">
        <v>1294</v>
      </c>
      <c r="C153" s="37" t="s">
        <v>1203</v>
      </c>
      <c r="D153" s="36"/>
      <c r="E153" s="36"/>
      <c r="F153" s="38" t="n">
        <v>1</v>
      </c>
      <c r="G153" s="35" t="s">
        <v>264</v>
      </c>
      <c r="H153" s="39"/>
      <c r="I153" s="40"/>
      <c r="J153" s="40"/>
      <c r="K153" s="40"/>
      <c r="L153" s="40"/>
      <c r="M153" s="40"/>
      <c r="N153" s="40"/>
      <c r="O153" s="40"/>
      <c r="P153" s="40"/>
      <c r="Q153" s="39"/>
      <c r="R153" s="39"/>
      <c r="S153" s="41"/>
      <c r="T153" s="42"/>
      <c r="U153" s="43"/>
      <c r="V153" s="44"/>
    </row>
    <row r="154" customFormat="false" ht="15" hidden="false" customHeight="false" outlineLevel="2" collapsed="false">
      <c r="A154" s="35" t="n">
        <v>2</v>
      </c>
      <c r="B154" s="36" t="s">
        <v>1295</v>
      </c>
      <c r="C154" s="37" t="s">
        <v>1205</v>
      </c>
      <c r="D154" s="36"/>
      <c r="E154" s="36"/>
      <c r="F154" s="38" t="n">
        <v>1</v>
      </c>
      <c r="G154" s="35" t="s">
        <v>264</v>
      </c>
      <c r="H154" s="39"/>
      <c r="I154" s="40"/>
      <c r="J154" s="40"/>
      <c r="K154" s="40"/>
      <c r="L154" s="40"/>
      <c r="M154" s="40"/>
      <c r="N154" s="40"/>
      <c r="O154" s="40"/>
      <c r="P154" s="40"/>
      <c r="Q154" s="39"/>
      <c r="R154" s="39"/>
      <c r="S154" s="41"/>
      <c r="T154" s="42"/>
      <c r="U154" s="43"/>
      <c r="V154" s="44"/>
    </row>
    <row r="155" customFormat="false" ht="15" hidden="false" customHeight="false" outlineLevel="1" collapsed="false">
      <c r="A155" s="25" t="n">
        <v>1</v>
      </c>
      <c r="B155" s="26" t="s">
        <v>1297</v>
      </c>
      <c r="C155" s="27" t="str">
        <f aca="false">"Prueba hidráulica (cada "&amp;MODELOS!$AO$17&amp;" años, se suma al mantenimiento)"</f>
        <v>Prueba hidráulica (cada 5 años, se suma al mantenimiento)</v>
      </c>
      <c r="D155" s="26"/>
      <c r="E155" s="26"/>
      <c r="F155" s="28" t="n">
        <v>1</v>
      </c>
      <c r="G155" s="25" t="s">
        <v>1184</v>
      </c>
      <c r="H155" s="29"/>
      <c r="I155" s="30"/>
      <c r="J155" s="30"/>
      <c r="K155" s="30"/>
      <c r="L155" s="30"/>
      <c r="M155" s="30" t="n">
        <f aca="false">IF(SUMIF(A156:A157,2,M156:M157)=0,"",SUMIF(A156:A157,2,M156:M157))</f>
        <v>48.5</v>
      </c>
      <c r="N155" s="30"/>
      <c r="O155" s="30" t="n">
        <f aca="false">IF(SUMIF(A156:A157,2,O156:O157)=0,"",SUMIF(A156:A157,2,O156:O157))</f>
        <v>48.5</v>
      </c>
      <c r="P155" s="30" t="n">
        <f aca="false">IF(SUMIF(A156:A157,2,P156:P157)=0,"",SUMIF(A156:A157,2,P156:P157))</f>
        <v>50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1298</v>
      </c>
      <c r="C156" s="37" t="s">
        <v>1281</v>
      </c>
      <c r="D156" s="36" t="s">
        <v>37</v>
      </c>
      <c r="E156" s="36" t="str">
        <f aca="false">INDEX(REF_DATO,MATCH(D156,REF_ID,0))</f>
        <v>Polvo ABC asentado en el recipiente</v>
      </c>
      <c r="F156" s="38" t="n">
        <f aca="false">(MODELOS!$L$17-MODELOS!$AN$17)</f>
        <v>48.5</v>
      </c>
      <c r="G156" s="35" t="s">
        <v>123</v>
      </c>
      <c r="H156" s="39" t="n">
        <f aca="false">INDEX(REF_VAL,MATCH(D156,REF_ID,0))</f>
        <v>1.1</v>
      </c>
      <c r="I156" s="40" t="n">
        <f aca="false">F156*J156</f>
        <v>44.0909090909091</v>
      </c>
      <c r="J156" s="40" t="n">
        <f aca="false">1/H156</f>
        <v>0.909090909090909</v>
      </c>
      <c r="K156" s="40" t="n">
        <f aca="false">(MODELOS!$L$17-MODELOS!$AN$17)/R156</f>
        <v>44.0909090909091</v>
      </c>
      <c r="L156" s="40" t="n">
        <f aca="false">MODELOS!$L$17/Q156</f>
        <v>45.4545454545455</v>
      </c>
      <c r="M156" s="40" t="n">
        <f aca="false">F156</f>
        <v>48.5</v>
      </c>
      <c r="N156" s="40" t="n">
        <v>1</v>
      </c>
      <c r="O156" s="40" t="n">
        <f aca="false">(MODELOS!$L$17-MODELOS!$AN$17)</f>
        <v>48.5</v>
      </c>
      <c r="P156" s="40" t="n">
        <f aca="false">MODELOS!$L$17</f>
        <v>50</v>
      </c>
      <c r="Q156" s="39" t="n">
        <f aca="false">INDEX(REF_MIN,MATCH(D156,REF_ID,0))</f>
        <v>1.1</v>
      </c>
      <c r="R156" s="39" t="n">
        <f aca="false">INDEX(REF_MAX,MATCH(D156,REF_ID,0))</f>
        <v>1.1</v>
      </c>
      <c r="S156" s="41"/>
      <c r="T156" s="42"/>
      <c r="U156" s="43"/>
      <c r="V156" s="44"/>
    </row>
    <row r="157" customFormat="false" ht="15" hidden="false" customHeight="false" outlineLevel="2" collapsed="false">
      <c r="A157" s="35" t="n">
        <v>2</v>
      </c>
      <c r="B157" s="36" t="s">
        <v>1299</v>
      </c>
      <c r="C157" s="37" t="s">
        <v>1212</v>
      </c>
      <c r="D157" s="36"/>
      <c r="E157" s="36"/>
      <c r="F157" s="38" t="n">
        <v>1</v>
      </c>
      <c r="G157" s="35" t="s">
        <v>264</v>
      </c>
      <c r="H157" s="39"/>
      <c r="I157" s="40"/>
      <c r="J157" s="40"/>
      <c r="K157" s="40"/>
      <c r="L157" s="40"/>
      <c r="M157" s="40"/>
      <c r="N157" s="40"/>
      <c r="O157" s="40"/>
      <c r="P157" s="40"/>
      <c r="Q157" s="39"/>
      <c r="R157" s="39"/>
      <c r="S157" s="41"/>
      <c r="T157" s="42"/>
      <c r="U157" s="43"/>
      <c r="V157" s="44"/>
    </row>
    <row r="158" customFormat="false" ht="15" hidden="false" customHeight="false" outlineLevel="0" collapsed="false">
      <c r="A158" s="16" t="n">
        <v>0</v>
      </c>
      <c r="B158" s="17" t="s">
        <v>1300</v>
      </c>
      <c r="C158" s="17" t="s">
        <v>241</v>
      </c>
      <c r="D158" s="17"/>
      <c r="E158" s="17"/>
      <c r="F158" s="18" t="n">
        <v>1</v>
      </c>
      <c r="G158" s="16" t="s">
        <v>264</v>
      </c>
      <c r="H158" s="19"/>
      <c r="I158" s="20"/>
      <c r="J158" s="20"/>
      <c r="K158" s="20"/>
      <c r="L158" s="20"/>
      <c r="M158" s="20"/>
      <c r="N158" s="20"/>
      <c r="O158" s="20"/>
      <c r="P158" s="20"/>
      <c r="Q158" s="19"/>
      <c r="R158" s="19"/>
      <c r="S158" s="21"/>
      <c r="T158" s="22"/>
      <c r="U158" s="23"/>
      <c r="V158" s="24"/>
    </row>
    <row r="159" customFormat="false" ht="15" hidden="false" customHeight="false" outlineLevel="1" collapsed="false">
      <c r="A159" s="25" t="n">
        <v>1</v>
      </c>
      <c r="B159" s="26" t="s">
        <v>1301</v>
      </c>
      <c r="C159" s="27" t="s">
        <v>1183</v>
      </c>
      <c r="D159" s="26"/>
      <c r="E159" s="26"/>
      <c r="F159" s="28" t="n">
        <v>1</v>
      </c>
      <c r="G159" s="25" t="s">
        <v>1184</v>
      </c>
      <c r="H159" s="29"/>
      <c r="I159" s="30"/>
      <c r="J159" s="30"/>
      <c r="K159" s="30"/>
      <c r="L159" s="30"/>
      <c r="M159" s="30" t="str">
        <f aca="false">IF(SUMIF(A160:A160,2,M160:M160)=0,"",SUMIF(A160:A160,2,M160:M160))</f>
        <v/>
      </c>
      <c r="N159" s="30"/>
      <c r="O159" s="30" t="str">
        <f aca="false">IF(SUMIF(A160:A160,2,O160:O160)=0,"",SUMIF(A160:A160,2,O160:O160))</f>
        <v/>
      </c>
      <c r="P159" s="30" t="str">
        <f aca="false">IF(SUMIF(A160:A160,2,P160:P160)=0,"",SUMIF(A160:A160,2,P160:P160))</f>
        <v/>
      </c>
      <c r="Q159" s="29"/>
      <c r="R159" s="29"/>
      <c r="S159" s="31"/>
      <c r="T159" s="32"/>
      <c r="U159" s="33"/>
      <c r="V159" s="34"/>
    </row>
    <row r="160" customFormat="false" ht="15" hidden="false" customHeight="false" outlineLevel="2" collapsed="false">
      <c r="A160" s="35" t="n">
        <v>2</v>
      </c>
      <c r="B160" s="36" t="s">
        <v>1302</v>
      </c>
      <c r="C160" s="37" t="s">
        <v>1186</v>
      </c>
      <c r="D160" s="36"/>
      <c r="E160" s="36"/>
      <c r="F160" s="38" t="n">
        <v>1</v>
      </c>
      <c r="G160" s="35" t="s">
        <v>264</v>
      </c>
      <c r="H160" s="39"/>
      <c r="I160" s="40"/>
      <c r="J160" s="40"/>
      <c r="K160" s="40"/>
      <c r="L160" s="40"/>
      <c r="M160" s="40"/>
      <c r="N160" s="40"/>
      <c r="O160" s="40"/>
      <c r="P160" s="40"/>
      <c r="Q160" s="39"/>
      <c r="R160" s="39"/>
      <c r="S160" s="41"/>
      <c r="T160" s="42"/>
      <c r="U160" s="43"/>
      <c r="V160" s="44"/>
    </row>
    <row r="161" customFormat="false" ht="15" hidden="false" customHeight="false" outlineLevel="1" collapsed="false">
      <c r="A161" s="25" t="n">
        <v>1</v>
      </c>
      <c r="B161" s="26" t="s">
        <v>1303</v>
      </c>
      <c r="C161" s="27" t="s">
        <v>1188</v>
      </c>
      <c r="D161" s="26"/>
      <c r="E161" s="26"/>
      <c r="F161" s="28" t="n">
        <v>1</v>
      </c>
      <c r="G161" s="25" t="s">
        <v>1184</v>
      </c>
      <c r="H161" s="29"/>
      <c r="I161" s="30"/>
      <c r="J161" s="30"/>
      <c r="K161" s="30"/>
      <c r="L161" s="30"/>
      <c r="M161" s="30" t="n">
        <f aca="false">IF(SUMIF(A162:A170,2,M162:M170)=0,"",SUMIF(A162:A170,2,M162:M170))</f>
        <v>2.65820039822019</v>
      </c>
      <c r="N161" s="30"/>
      <c r="O161" s="30" t="n">
        <f aca="false">IF(SUMIF(A162:A170,2,O162:O170)=0,"",SUMIF(A162:A170,2,O162:O170))</f>
        <v>0.473063200494212</v>
      </c>
      <c r="P161" s="30" t="n">
        <f aca="false">IF(SUMIF(A162:A170,2,P162:P170)=0,"",SUMIF(A162:A170,2,P162:P170))</f>
        <v>2.75069050027922</v>
      </c>
      <c r="Q161" s="29"/>
      <c r="R161" s="29"/>
      <c r="S161" s="31"/>
      <c r="T161" s="32"/>
      <c r="U161" s="33"/>
      <c r="V161" s="34"/>
    </row>
    <row r="162" customFormat="false" ht="15" hidden="false" customHeight="false" outlineLevel="2" collapsed="false">
      <c r="A162" s="35" t="n">
        <v>2</v>
      </c>
      <c r="B162" s="36" t="s">
        <v>1304</v>
      </c>
      <c r="C162" s="37" t="s">
        <v>1269</v>
      </c>
      <c r="D162" s="36" t="s">
        <v>37</v>
      </c>
      <c r="E162" s="36" t="str">
        <f aca="false">INDEX(REF_DATO,MATCH(D162,REF_ID,0))</f>
        <v>Polvo ABC asentado en el recipiente</v>
      </c>
      <c r="F162" s="38" t="n">
        <f aca="false">MODELOS!$AN$18</f>
        <v>2.09999999999999</v>
      </c>
      <c r="G162" s="35" t="s">
        <v>123</v>
      </c>
      <c r="H162" s="39" t="n">
        <f aca="false">INDEX(REF_VAL,MATCH(D162,REF_ID,0))</f>
        <v>1.1</v>
      </c>
      <c r="I162" s="40" t="n">
        <f aca="false">F162*J162</f>
        <v>1.9090909090909</v>
      </c>
      <c r="J162" s="40" t="n">
        <f aca="false">1/H162</f>
        <v>0.909090909090909</v>
      </c>
      <c r="K162" s="40" t="n">
        <f aca="false">0/R162</f>
        <v>0</v>
      </c>
      <c r="L162" s="40" t="n">
        <f aca="false">MODELOS!$AN$18/Q162</f>
        <v>1.9090909090909</v>
      </c>
      <c r="M162" s="40" t="n">
        <f aca="false">F162</f>
        <v>2.09999999999999</v>
      </c>
      <c r="N162" s="40" t="n">
        <v>1</v>
      </c>
      <c r="O162" s="40" t="n">
        <f aca="false">0</f>
        <v>0</v>
      </c>
      <c r="P162" s="40" t="n">
        <f aca="false">MODELOS!$AN$18</f>
        <v>2.09999999999999</v>
      </c>
      <c r="Q162" s="39" t="n">
        <f aca="false">INDEX(REF_MIN,MATCH(D162,REF_ID,0))</f>
        <v>1.1</v>
      </c>
      <c r="R162" s="39" t="n">
        <f aca="false">INDEX(REF_MAX,MATCH(D162,REF_ID,0))</f>
        <v>1.1</v>
      </c>
      <c r="S162" s="41"/>
      <c r="T162" s="42"/>
      <c r="U162" s="43"/>
      <c r="V162" s="44"/>
    </row>
    <row r="163" customFormat="false" ht="15" hidden="false" customHeight="false" outlineLevel="2" collapsed="false">
      <c r="A163" s="35" t="n">
        <v>2</v>
      </c>
      <c r="B163" s="36" t="s">
        <v>1305</v>
      </c>
      <c r="C163" s="37" t="s">
        <v>316</v>
      </c>
      <c r="D163" s="36" t="s">
        <v>78</v>
      </c>
      <c r="E163" s="36" t="str">
        <f aca="false">INDEX(REF_DATO,MATCH(D163,REF_ID,0))</f>
        <v>Nitrógeno seco (densidad normal)</v>
      </c>
      <c r="F163" s="38" t="n">
        <f aca="false">MODELOS!$AF$18</f>
        <v>0.558200398220198</v>
      </c>
      <c r="G163" s="35" t="s">
        <v>123</v>
      </c>
      <c r="H163" s="39" t="n">
        <f aca="false">INDEX(REF_VAL,MATCH(D163,REF_ID,0))</f>
        <v>0.00124921923797626</v>
      </c>
      <c r="I163" s="40" t="n">
        <f aca="false">F163*J163</f>
        <v>446.839418775268</v>
      </c>
      <c r="J163" s="40" t="n">
        <f aca="false">1/H163</f>
        <v>800.5</v>
      </c>
      <c r="K163" s="40" t="n">
        <f aca="false">MODELOS!$AG$18/H163</f>
        <v>378.687091995617</v>
      </c>
      <c r="L163" s="40" t="n">
        <f aca="false">MODELOS!$AH$18/H163</f>
        <v>520.877745473522</v>
      </c>
      <c r="M163" s="40" t="n">
        <f aca="false">F163</f>
        <v>0.558200398220198</v>
      </c>
      <c r="N163" s="40" t="n">
        <v>1</v>
      </c>
      <c r="O163" s="40" t="n">
        <f aca="false">MODELOS!$AG$18</f>
        <v>0.473063200494212</v>
      </c>
      <c r="P163" s="40" t="n">
        <f aca="false">MODELOS!$AH$18</f>
        <v>0.650690500279228</v>
      </c>
      <c r="Q163" s="39"/>
      <c r="R163" s="39"/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1306</v>
      </c>
      <c r="C164" s="37" t="s">
        <v>1193</v>
      </c>
      <c r="D164" s="36"/>
      <c r="E164" s="36"/>
      <c r="F164" s="38" t="n">
        <v>1</v>
      </c>
      <c r="G164" s="35" t="s">
        <v>264</v>
      </c>
      <c r="H164" s="39"/>
      <c r="I164" s="40"/>
      <c r="J164" s="40"/>
      <c r="K164" s="40"/>
      <c r="L164" s="40"/>
      <c r="M164" s="40"/>
      <c r="N164" s="40"/>
      <c r="O164" s="40"/>
      <c r="P164" s="40"/>
      <c r="Q164" s="39"/>
      <c r="R164" s="39"/>
      <c r="S164" s="41"/>
      <c r="T164" s="42"/>
      <c r="U164" s="43"/>
      <c r="V164" s="44"/>
    </row>
    <row r="165" customFormat="false" ht="15" hidden="false" customHeight="false" outlineLevel="2" collapsed="false">
      <c r="A165" s="35" t="n">
        <v>2</v>
      </c>
      <c r="B165" s="36" t="s">
        <v>1307</v>
      </c>
      <c r="C165" s="37" t="s">
        <v>1195</v>
      </c>
      <c r="D165" s="36"/>
      <c r="E165" s="36"/>
      <c r="F165" s="38" t="n">
        <v>1</v>
      </c>
      <c r="G165" s="35" t="s">
        <v>264</v>
      </c>
      <c r="H165" s="39"/>
      <c r="I165" s="40"/>
      <c r="J165" s="40"/>
      <c r="K165" s="40"/>
      <c r="L165" s="40"/>
      <c r="M165" s="40"/>
      <c r="N165" s="40"/>
      <c r="O165" s="40"/>
      <c r="P165" s="40"/>
      <c r="Q165" s="39"/>
      <c r="R165" s="39"/>
      <c r="S165" s="41"/>
      <c r="T165" s="42"/>
      <c r="U165" s="43"/>
      <c r="V165" s="44"/>
    </row>
    <row r="166" customFormat="false" ht="15" hidden="false" customHeight="false" outlineLevel="2" collapsed="false">
      <c r="A166" s="35" t="n">
        <v>2</v>
      </c>
      <c r="B166" s="36" t="s">
        <v>1308</v>
      </c>
      <c r="C166" s="37" t="s">
        <v>1197</v>
      </c>
      <c r="D166" s="36"/>
      <c r="E166" s="36"/>
      <c r="F166" s="38" t="n">
        <v>1</v>
      </c>
      <c r="G166" s="35" t="s">
        <v>264</v>
      </c>
      <c r="H166" s="39"/>
      <c r="I166" s="40"/>
      <c r="J166" s="40"/>
      <c r="K166" s="40"/>
      <c r="L166" s="40"/>
      <c r="M166" s="40"/>
      <c r="N166" s="40"/>
      <c r="O166" s="40"/>
      <c r="P166" s="40"/>
      <c r="Q166" s="39"/>
      <c r="R166" s="39"/>
      <c r="S166" s="41"/>
      <c r="T166" s="42"/>
      <c r="U166" s="43"/>
      <c r="V166" s="44"/>
    </row>
    <row r="167" customFormat="false" ht="15" hidden="false" customHeight="false" outlineLevel="2" collapsed="false">
      <c r="A167" s="35" t="n">
        <v>2</v>
      </c>
      <c r="B167" s="36" t="s">
        <v>1309</v>
      </c>
      <c r="C167" s="37" t="s">
        <v>1199</v>
      </c>
      <c r="D167" s="36"/>
      <c r="E167" s="36"/>
      <c r="F167" s="38" t="n">
        <v>1</v>
      </c>
      <c r="G167" s="35" t="s">
        <v>264</v>
      </c>
      <c r="H167" s="39"/>
      <c r="I167" s="40"/>
      <c r="J167" s="40"/>
      <c r="K167" s="40"/>
      <c r="L167" s="40"/>
      <c r="M167" s="40"/>
      <c r="N167" s="40"/>
      <c r="O167" s="40"/>
      <c r="P167" s="40"/>
      <c r="Q167" s="39"/>
      <c r="R167" s="39"/>
      <c r="S167" s="41"/>
      <c r="T167" s="42"/>
      <c r="U167" s="43"/>
      <c r="V167" s="44"/>
    </row>
    <row r="168" customFormat="false" ht="15" hidden="false" customHeight="false" outlineLevel="2" collapsed="false">
      <c r="A168" s="35" t="n">
        <v>2</v>
      </c>
      <c r="B168" s="36" t="s">
        <v>1310</v>
      </c>
      <c r="C168" s="37" t="s">
        <v>1201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1311</v>
      </c>
      <c r="C169" s="37" t="s">
        <v>1203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2" collapsed="false">
      <c r="A170" s="35" t="n">
        <v>2</v>
      </c>
      <c r="B170" s="36" t="s">
        <v>1312</v>
      </c>
      <c r="C170" s="37" t="s">
        <v>1205</v>
      </c>
      <c r="D170" s="36"/>
      <c r="E170" s="36"/>
      <c r="F170" s="38" t="n">
        <v>1</v>
      </c>
      <c r="G170" s="35" t="s">
        <v>264</v>
      </c>
      <c r="H170" s="39"/>
      <c r="I170" s="40"/>
      <c r="J170" s="40"/>
      <c r="K170" s="40"/>
      <c r="L170" s="40"/>
      <c r="M170" s="40"/>
      <c r="N170" s="40"/>
      <c r="O170" s="40"/>
      <c r="P170" s="40"/>
      <c r="Q170" s="39"/>
      <c r="R170" s="39"/>
      <c r="S170" s="41"/>
      <c r="T170" s="42"/>
      <c r="U170" s="43"/>
      <c r="V170" s="44"/>
    </row>
    <row r="171" customFormat="false" ht="15" hidden="false" customHeight="false" outlineLevel="1" collapsed="false">
      <c r="A171" s="25" t="n">
        <v>1</v>
      </c>
      <c r="B171" s="26" t="s">
        <v>1313</v>
      </c>
      <c r="C171" s="27" t="s">
        <v>1207</v>
      </c>
      <c r="D171" s="26"/>
      <c r="E171" s="26"/>
      <c r="F171" s="28" t="n">
        <v>1</v>
      </c>
      <c r="G171" s="25" t="s">
        <v>1184</v>
      </c>
      <c r="H171" s="29"/>
      <c r="I171" s="30"/>
      <c r="J171" s="30"/>
      <c r="K171" s="30"/>
      <c r="L171" s="30"/>
      <c r="M171" s="30" t="n">
        <f aca="false">IF(SUMIF(A172:A180,2,M172:M180)=0,"",SUMIF(A172:A180,2,M172:M180))</f>
        <v>70.5582003982202</v>
      </c>
      <c r="N171" s="30"/>
      <c r="O171" s="30" t="n">
        <f aca="false">IF(SUMIF(A172:A180,2,O172:O180)=0,"",SUMIF(A172:A180,2,O172:O180))</f>
        <v>68.3730632004942</v>
      </c>
      <c r="P171" s="30" t="n">
        <f aca="false">IF(SUMIF(A172:A180,2,P172:P180)=0,"",SUMIF(A172:A180,2,P172:P180))</f>
        <v>72.7506905002792</v>
      </c>
      <c r="Q171" s="29"/>
      <c r="R171" s="29"/>
      <c r="S171" s="31"/>
      <c r="T171" s="32"/>
      <c r="U171" s="33"/>
      <c r="V171" s="34"/>
    </row>
    <row r="172" customFormat="false" ht="15" hidden="false" customHeight="false" outlineLevel="2" collapsed="false">
      <c r="A172" s="35" t="n">
        <v>2</v>
      </c>
      <c r="B172" s="36" t="s">
        <v>1304</v>
      </c>
      <c r="C172" s="37" t="s">
        <v>543</v>
      </c>
      <c r="D172" s="36" t="s">
        <v>37</v>
      </c>
      <c r="E172" s="36" t="str">
        <f aca="false">INDEX(REF_DATO,MATCH(D172,REF_ID,0))</f>
        <v>Polvo ABC asentado en el recipiente</v>
      </c>
      <c r="F172" s="38" t="n">
        <f aca="false">MODELOS!$L$18</f>
        <v>70</v>
      </c>
      <c r="G172" s="35" t="s">
        <v>123</v>
      </c>
      <c r="H172" s="39" t="n">
        <f aca="false">INDEX(REF_VAL,MATCH(D172,REF_ID,0))</f>
        <v>1.1</v>
      </c>
      <c r="I172" s="40" t="n">
        <f aca="false">F172*J172</f>
        <v>63.6363636363636</v>
      </c>
      <c r="J172" s="40" t="n">
        <f aca="false">1/H172</f>
        <v>0.909090909090909</v>
      </c>
      <c r="K172" s="40" t="n">
        <f aca="false">MODELOS!$M$18/R172</f>
        <v>61.7272727272727</v>
      </c>
      <c r="L172" s="40" t="n">
        <f aca="false">MODELOS!$N$18/Q172</f>
        <v>65.5454545454545</v>
      </c>
      <c r="M172" s="40" t="n">
        <f aca="false">F172</f>
        <v>70</v>
      </c>
      <c r="N172" s="40" t="n">
        <v>1</v>
      </c>
      <c r="O172" s="40" t="n">
        <f aca="false">MODELOS!$M$18</f>
        <v>67.9</v>
      </c>
      <c r="P172" s="40" t="n">
        <f aca="false">MODELOS!$N$18</f>
        <v>72.1</v>
      </c>
      <c r="Q172" s="39" t="n">
        <f aca="false">INDEX(REF_MIN,MATCH(D172,REF_ID,0))</f>
        <v>1.1</v>
      </c>
      <c r="R172" s="39" t="n">
        <f aca="false">INDEX(REF_MAX,MATCH(D172,REF_ID,0))</f>
        <v>1.1</v>
      </c>
      <c r="S172" s="41"/>
      <c r="T172" s="42"/>
      <c r="U172" s="43"/>
      <c r="V172" s="44"/>
    </row>
    <row r="173" customFormat="false" ht="15" hidden="false" customHeight="false" outlineLevel="2" collapsed="false">
      <c r="A173" s="35" t="n">
        <v>2</v>
      </c>
      <c r="B173" s="36" t="s">
        <v>1305</v>
      </c>
      <c r="C173" s="37" t="s">
        <v>316</v>
      </c>
      <c r="D173" s="36" t="s">
        <v>78</v>
      </c>
      <c r="E173" s="36" t="str">
        <f aca="false">INDEX(REF_DATO,MATCH(D173,REF_ID,0))</f>
        <v>Nitrógeno seco (densidad normal)</v>
      </c>
      <c r="F173" s="38" t="n">
        <f aca="false">MODELOS!$AF$18</f>
        <v>0.558200398220198</v>
      </c>
      <c r="G173" s="35" t="s">
        <v>123</v>
      </c>
      <c r="H173" s="39" t="n">
        <f aca="false">INDEX(REF_VAL,MATCH(D173,REF_ID,0))</f>
        <v>0.00124921923797626</v>
      </c>
      <c r="I173" s="40" t="n">
        <f aca="false">F173*J173</f>
        <v>446.839418775268</v>
      </c>
      <c r="J173" s="40" t="n">
        <f aca="false">1/H173</f>
        <v>800.5</v>
      </c>
      <c r="K173" s="40" t="n">
        <f aca="false">MODELOS!$AG$18/H173</f>
        <v>378.687091995617</v>
      </c>
      <c r="L173" s="40" t="n">
        <f aca="false">MODELOS!$AH$18/H173</f>
        <v>520.877745473522</v>
      </c>
      <c r="M173" s="40" t="n">
        <f aca="false">F173</f>
        <v>0.558200398220198</v>
      </c>
      <c r="N173" s="40" t="n">
        <v>1</v>
      </c>
      <c r="O173" s="40" t="n">
        <f aca="false">MODELOS!$AG$18</f>
        <v>0.473063200494212</v>
      </c>
      <c r="P173" s="40" t="n">
        <f aca="false">MODELOS!$AH$18</f>
        <v>0.650690500279228</v>
      </c>
      <c r="Q173" s="39"/>
      <c r="R173" s="39"/>
      <c r="S173" s="41"/>
      <c r="T173" s="42"/>
      <c r="U173" s="43"/>
      <c r="V173" s="44"/>
    </row>
    <row r="174" customFormat="false" ht="15" hidden="false" customHeight="false" outlineLevel="2" collapsed="false">
      <c r="A174" s="35" t="n">
        <v>2</v>
      </c>
      <c r="B174" s="36" t="s">
        <v>1306</v>
      </c>
      <c r="C174" s="37" t="s">
        <v>1193</v>
      </c>
      <c r="D174" s="36"/>
      <c r="E174" s="36"/>
      <c r="F174" s="38" t="n">
        <v>1</v>
      </c>
      <c r="G174" s="35" t="s">
        <v>264</v>
      </c>
      <c r="H174" s="39"/>
      <c r="I174" s="40"/>
      <c r="J174" s="40"/>
      <c r="K174" s="40"/>
      <c r="L174" s="40"/>
      <c r="M174" s="40"/>
      <c r="N174" s="40"/>
      <c r="O174" s="40"/>
      <c r="P174" s="40"/>
      <c r="Q174" s="39"/>
      <c r="R174" s="39"/>
      <c r="S174" s="41"/>
      <c r="T174" s="42"/>
      <c r="U174" s="43"/>
      <c r="V174" s="44"/>
    </row>
    <row r="175" customFormat="false" ht="15" hidden="false" customHeight="false" outlineLevel="2" collapsed="false">
      <c r="A175" s="35" t="n">
        <v>2</v>
      </c>
      <c r="B175" s="36" t="s">
        <v>1307</v>
      </c>
      <c r="C175" s="37" t="s">
        <v>1195</v>
      </c>
      <c r="D175" s="36"/>
      <c r="E175" s="36"/>
      <c r="F175" s="38" t="n">
        <v>1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2" collapsed="false">
      <c r="A176" s="35" t="n">
        <v>2</v>
      </c>
      <c r="B176" s="36" t="s">
        <v>1308</v>
      </c>
      <c r="C176" s="37" t="s">
        <v>1197</v>
      </c>
      <c r="D176" s="36"/>
      <c r="E176" s="36"/>
      <c r="F176" s="38" t="n">
        <v>1</v>
      </c>
      <c r="G176" s="35" t="s">
        <v>264</v>
      </c>
      <c r="H176" s="39"/>
      <c r="I176" s="40"/>
      <c r="J176" s="40"/>
      <c r="K176" s="40"/>
      <c r="L176" s="40"/>
      <c r="M176" s="40"/>
      <c r="N176" s="40"/>
      <c r="O176" s="40"/>
      <c r="P176" s="40"/>
      <c r="Q176" s="39"/>
      <c r="R176" s="39"/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1309</v>
      </c>
      <c r="C177" s="37" t="s">
        <v>1199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1310</v>
      </c>
      <c r="C178" s="37" t="s">
        <v>1201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1311</v>
      </c>
      <c r="C179" s="37" t="s">
        <v>1203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1312</v>
      </c>
      <c r="C180" s="37" t="s">
        <v>1205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1" collapsed="false">
      <c r="A181" s="25" t="n">
        <v>1</v>
      </c>
      <c r="B181" s="26" t="s">
        <v>1314</v>
      </c>
      <c r="C181" s="27" t="str">
        <f aca="false">"Prueba hidráulica (cada "&amp;MODELOS!$AO$18&amp;" años, se suma al mantenimiento)"</f>
        <v>Prueba hidráulica (cada 5 años, se suma al mantenimiento)</v>
      </c>
      <c r="D181" s="26"/>
      <c r="E181" s="26"/>
      <c r="F181" s="28" t="n">
        <v>1</v>
      </c>
      <c r="G181" s="25" t="s">
        <v>1184</v>
      </c>
      <c r="H181" s="29"/>
      <c r="I181" s="30"/>
      <c r="J181" s="30"/>
      <c r="K181" s="30"/>
      <c r="L181" s="30"/>
      <c r="M181" s="30" t="n">
        <f aca="false">IF(SUMIF(A182:A183,2,M182:M183)=0,"",SUMIF(A182:A183,2,M182:M183))</f>
        <v>67.9</v>
      </c>
      <c r="N181" s="30"/>
      <c r="O181" s="30" t="n">
        <f aca="false">IF(SUMIF(A182:A183,2,O182:O183)=0,"",SUMIF(A182:A183,2,O182:O183))</f>
        <v>67.9</v>
      </c>
      <c r="P181" s="30" t="n">
        <f aca="false">IF(SUMIF(A182:A183,2,P182:P183)=0,"",SUMIF(A182:A183,2,P182:P183))</f>
        <v>70</v>
      </c>
      <c r="Q181" s="29"/>
      <c r="R181" s="29"/>
      <c r="S181" s="31"/>
      <c r="T181" s="32"/>
      <c r="U181" s="33"/>
      <c r="V181" s="34"/>
    </row>
    <row r="182" customFormat="false" ht="15" hidden="false" customHeight="false" outlineLevel="2" collapsed="false">
      <c r="A182" s="35" t="n">
        <v>2</v>
      </c>
      <c r="B182" s="36" t="s">
        <v>1315</v>
      </c>
      <c r="C182" s="37" t="s">
        <v>1281</v>
      </c>
      <c r="D182" s="36" t="s">
        <v>37</v>
      </c>
      <c r="E182" s="36" t="str">
        <f aca="false">INDEX(REF_DATO,MATCH(D182,REF_ID,0))</f>
        <v>Polvo ABC asentado en el recipiente</v>
      </c>
      <c r="F182" s="38" t="n">
        <f aca="false">(MODELOS!$L$18-MODELOS!$AN$18)</f>
        <v>67.9</v>
      </c>
      <c r="G182" s="35" t="s">
        <v>123</v>
      </c>
      <c r="H182" s="39" t="n">
        <f aca="false">INDEX(REF_VAL,MATCH(D182,REF_ID,0))</f>
        <v>1.1</v>
      </c>
      <c r="I182" s="40" t="n">
        <f aca="false">F182*J182</f>
        <v>61.7272727272727</v>
      </c>
      <c r="J182" s="40" t="n">
        <f aca="false">1/H182</f>
        <v>0.909090909090909</v>
      </c>
      <c r="K182" s="40" t="n">
        <f aca="false">(MODELOS!$L$18-MODELOS!$AN$18)/R182</f>
        <v>61.7272727272727</v>
      </c>
      <c r="L182" s="40" t="n">
        <f aca="false">MODELOS!$L$18/Q182</f>
        <v>63.6363636363636</v>
      </c>
      <c r="M182" s="40" t="n">
        <f aca="false">F182</f>
        <v>67.9</v>
      </c>
      <c r="N182" s="40" t="n">
        <v>1</v>
      </c>
      <c r="O182" s="40" t="n">
        <f aca="false">(MODELOS!$L$18-MODELOS!$AN$18)</f>
        <v>67.9</v>
      </c>
      <c r="P182" s="40" t="n">
        <f aca="false">MODELOS!$L$18</f>
        <v>70</v>
      </c>
      <c r="Q182" s="39" t="n">
        <f aca="false">INDEX(REF_MIN,MATCH(D182,REF_ID,0))</f>
        <v>1.1</v>
      </c>
      <c r="R182" s="39" t="n">
        <f aca="false">INDEX(REF_MAX,MATCH(D182,REF_ID,0))</f>
        <v>1.1</v>
      </c>
      <c r="S182" s="41"/>
      <c r="T182" s="42"/>
      <c r="U182" s="43"/>
      <c r="V182" s="44"/>
    </row>
    <row r="183" customFormat="false" ht="15" hidden="false" customHeight="false" outlineLevel="2" collapsed="false">
      <c r="A183" s="35" t="n">
        <v>2</v>
      </c>
      <c r="B183" s="36" t="s">
        <v>1316</v>
      </c>
      <c r="C183" s="37" t="s">
        <v>1212</v>
      </c>
      <c r="D183" s="36"/>
      <c r="E183" s="36"/>
      <c r="F183" s="38" t="n">
        <v>1</v>
      </c>
      <c r="G183" s="35" t="s">
        <v>264</v>
      </c>
      <c r="H183" s="39"/>
      <c r="I183" s="40"/>
      <c r="J183" s="40"/>
      <c r="K183" s="40"/>
      <c r="L183" s="40"/>
      <c r="M183" s="40"/>
      <c r="N183" s="40"/>
      <c r="O183" s="40"/>
      <c r="P183" s="40"/>
      <c r="Q183" s="39"/>
      <c r="R183" s="39"/>
      <c r="S183" s="41"/>
      <c r="T183" s="42"/>
      <c r="U183" s="43"/>
      <c r="V183" s="44"/>
    </row>
    <row r="184" customFormat="false" ht="15" hidden="false" customHeight="false" outlineLevel="0" collapsed="false">
      <c r="A184" s="16" t="n">
        <v>0</v>
      </c>
      <c r="B184" s="17" t="s">
        <v>1317</v>
      </c>
      <c r="C184" s="17" t="s">
        <v>243</v>
      </c>
      <c r="D184" s="17"/>
      <c r="E184" s="17"/>
      <c r="F184" s="18" t="n">
        <v>1</v>
      </c>
      <c r="G184" s="16" t="s">
        <v>264</v>
      </c>
      <c r="H184" s="19"/>
      <c r="I184" s="20"/>
      <c r="J184" s="20"/>
      <c r="K184" s="20"/>
      <c r="L184" s="20"/>
      <c r="M184" s="20"/>
      <c r="N184" s="20"/>
      <c r="O184" s="20"/>
      <c r="P184" s="20"/>
      <c r="Q184" s="19"/>
      <c r="R184" s="19"/>
      <c r="S184" s="21"/>
      <c r="T184" s="22"/>
      <c r="U184" s="23"/>
      <c r="V184" s="24"/>
    </row>
    <row r="185" customFormat="false" ht="15" hidden="false" customHeight="false" outlineLevel="1" collapsed="false">
      <c r="A185" s="25" t="n">
        <v>1</v>
      </c>
      <c r="B185" s="26" t="s">
        <v>1318</v>
      </c>
      <c r="C185" s="27" t="s">
        <v>1183</v>
      </c>
      <c r="D185" s="26"/>
      <c r="E185" s="26"/>
      <c r="F185" s="28" t="n">
        <v>1</v>
      </c>
      <c r="G185" s="25" t="s">
        <v>1184</v>
      </c>
      <c r="H185" s="29"/>
      <c r="I185" s="30"/>
      <c r="J185" s="30"/>
      <c r="K185" s="30"/>
      <c r="L185" s="30"/>
      <c r="M185" s="30" t="str">
        <f aca="false">IF(SUMIF(A186:A186,2,M186:M186)=0,"",SUMIF(A186:A186,2,M186:M186))</f>
        <v/>
      </c>
      <c r="N185" s="30"/>
      <c r="O185" s="30" t="str">
        <f aca="false">IF(SUMIF(A186:A186,2,O186:O186)=0,"",SUMIF(A186:A186,2,O186:O186))</f>
        <v/>
      </c>
      <c r="P185" s="30" t="str">
        <f aca="false">IF(SUMIF(A186:A186,2,P186:P186)=0,"",SUMIF(A186:A186,2,P186:P186))</f>
        <v/>
      </c>
      <c r="Q185" s="29"/>
      <c r="R185" s="29"/>
      <c r="S185" s="31"/>
      <c r="T185" s="32"/>
      <c r="U185" s="33"/>
      <c r="V185" s="34"/>
    </row>
    <row r="186" customFormat="false" ht="15" hidden="false" customHeight="false" outlineLevel="2" collapsed="false">
      <c r="A186" s="35" t="n">
        <v>2</v>
      </c>
      <c r="B186" s="36" t="s">
        <v>1319</v>
      </c>
      <c r="C186" s="37" t="s">
        <v>1186</v>
      </c>
      <c r="D186" s="36"/>
      <c r="E186" s="36"/>
      <c r="F186" s="38" t="n">
        <v>1</v>
      </c>
      <c r="G186" s="35" t="s">
        <v>264</v>
      </c>
      <c r="H186" s="39"/>
      <c r="I186" s="40"/>
      <c r="J186" s="40"/>
      <c r="K186" s="40"/>
      <c r="L186" s="40"/>
      <c r="M186" s="40"/>
      <c r="N186" s="40"/>
      <c r="O186" s="40"/>
      <c r="P186" s="40"/>
      <c r="Q186" s="39"/>
      <c r="R186" s="39"/>
      <c r="S186" s="41"/>
      <c r="T186" s="42"/>
      <c r="U186" s="43"/>
      <c r="V186" s="44"/>
    </row>
    <row r="187" customFormat="false" ht="15" hidden="false" customHeight="false" outlineLevel="1" collapsed="false">
      <c r="A187" s="25" t="n">
        <v>1</v>
      </c>
      <c r="B187" s="26" t="s">
        <v>1320</v>
      </c>
      <c r="C187" s="27" t="s">
        <v>1188</v>
      </c>
      <c r="D187" s="26"/>
      <c r="E187" s="26"/>
      <c r="F187" s="28" t="n">
        <v>1</v>
      </c>
      <c r="G187" s="25" t="s">
        <v>1184</v>
      </c>
      <c r="H187" s="29"/>
      <c r="I187" s="30"/>
      <c r="J187" s="30"/>
      <c r="K187" s="30"/>
      <c r="L187" s="30"/>
      <c r="M187" s="30" t="n">
        <f aca="false">IF(SUMIF(A188:A196,2,M188:M196)=0,"",SUMIF(A188:A196,2,M188:M196))</f>
        <v>3.51900093205305</v>
      </c>
      <c r="N187" s="30"/>
      <c r="O187" s="30" t="n">
        <f aca="false">IF(SUMIF(A188:A196,2,O188:O196)=0,"",SUMIF(A188:A196,2,O188:O196))</f>
        <v>0.425050815966441</v>
      </c>
      <c r="P187" s="30" t="n">
        <f aca="false">IF(SUMIF(A188:A196,2,P188:P196)=0,"",SUMIF(A188:A196,2,P188:P196))</f>
        <v>3.62307498833104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1321</v>
      </c>
      <c r="C188" s="37" t="s">
        <v>1269</v>
      </c>
      <c r="D188" s="36" t="s">
        <v>37</v>
      </c>
      <c r="E188" s="36" t="str">
        <f aca="false">INDEX(REF_DATO,MATCH(D188,REF_ID,0))</f>
        <v>Polvo ABC asentado en el recipiente</v>
      </c>
      <c r="F188" s="38" t="n">
        <f aca="false">MODELOS!$AN$19</f>
        <v>3</v>
      </c>
      <c r="G188" s="35" t="s">
        <v>123</v>
      </c>
      <c r="H188" s="39" t="n">
        <f aca="false">INDEX(REF_VAL,MATCH(D188,REF_ID,0))</f>
        <v>1.1</v>
      </c>
      <c r="I188" s="40" t="n">
        <f aca="false">F188*J188</f>
        <v>2.72727272727273</v>
      </c>
      <c r="J188" s="40" t="n">
        <f aca="false">1/H188</f>
        <v>0.909090909090909</v>
      </c>
      <c r="K188" s="40" t="n">
        <f aca="false">0/R188</f>
        <v>0</v>
      </c>
      <c r="L188" s="40" t="n">
        <f aca="false">MODELOS!$AN$19/Q188</f>
        <v>2.72727272727273</v>
      </c>
      <c r="M188" s="40" t="n">
        <f aca="false">F188</f>
        <v>3</v>
      </c>
      <c r="N188" s="40" t="n">
        <v>1</v>
      </c>
      <c r="O188" s="40" t="n">
        <f aca="false">0</f>
        <v>0</v>
      </c>
      <c r="P188" s="40" t="n">
        <f aca="false">MODELOS!$AN$19</f>
        <v>3</v>
      </c>
      <c r="Q188" s="39" t="n">
        <f aca="false">INDEX(REF_MIN,MATCH(D188,REF_ID,0))</f>
        <v>1.1</v>
      </c>
      <c r="R188" s="39" t="n">
        <f aca="false">INDEX(REF_MAX,MATCH(D188,REF_ID,0))</f>
        <v>1.1</v>
      </c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1322</v>
      </c>
      <c r="C189" s="37" t="s">
        <v>316</v>
      </c>
      <c r="D189" s="36" t="s">
        <v>78</v>
      </c>
      <c r="E189" s="36" t="str">
        <f aca="false">INDEX(REF_DATO,MATCH(D189,REF_ID,0))</f>
        <v>Nitrógeno seco (densidad normal)</v>
      </c>
      <c r="F189" s="38" t="n">
        <f aca="false">MODELOS!$AF$19</f>
        <v>0.519000932053049</v>
      </c>
      <c r="G189" s="35" t="s">
        <v>123</v>
      </c>
      <c r="H189" s="39" t="n">
        <f aca="false">INDEX(REF_VAL,MATCH(D189,REF_ID,0))</f>
        <v>0.00124921923797626</v>
      </c>
      <c r="I189" s="40" t="n">
        <f aca="false">F189*J189</f>
        <v>415.460246108466</v>
      </c>
      <c r="J189" s="40" t="n">
        <f aca="false">1/H189</f>
        <v>800.5</v>
      </c>
      <c r="K189" s="40" t="n">
        <f aca="false">MODELOS!$AG$19/H189</f>
        <v>340.253178181136</v>
      </c>
      <c r="L189" s="40" t="n">
        <f aca="false">MODELOS!$AH$19/H189</f>
        <v>498.771528158996</v>
      </c>
      <c r="M189" s="40" t="n">
        <f aca="false">F189</f>
        <v>0.519000932053049</v>
      </c>
      <c r="N189" s="40" t="n">
        <v>1</v>
      </c>
      <c r="O189" s="40" t="n">
        <f aca="false">MODELOS!$AG$19</f>
        <v>0.425050815966441</v>
      </c>
      <c r="P189" s="40" t="n">
        <f aca="false">MODELOS!$AH$19</f>
        <v>0.623074988331038</v>
      </c>
      <c r="Q189" s="39"/>
      <c r="R189" s="39"/>
      <c r="S189" s="41"/>
      <c r="T189" s="42"/>
      <c r="U189" s="43"/>
      <c r="V189" s="44"/>
    </row>
    <row r="190" customFormat="false" ht="15" hidden="false" customHeight="false" outlineLevel="2" collapsed="false">
      <c r="A190" s="35" t="n">
        <v>2</v>
      </c>
      <c r="B190" s="36" t="s">
        <v>1323</v>
      </c>
      <c r="C190" s="37" t="s">
        <v>1193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1324</v>
      </c>
      <c r="C191" s="37" t="s">
        <v>1195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1325</v>
      </c>
      <c r="C192" s="37" t="s">
        <v>1197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1326</v>
      </c>
      <c r="C193" s="37" t="s">
        <v>1199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2" collapsed="false">
      <c r="A194" s="35" t="n">
        <v>2</v>
      </c>
      <c r="B194" s="36" t="s">
        <v>1327</v>
      </c>
      <c r="C194" s="37" t="s">
        <v>1201</v>
      </c>
      <c r="D194" s="36"/>
      <c r="E194" s="36"/>
      <c r="F194" s="38" t="n">
        <v>1</v>
      </c>
      <c r="G194" s="35" t="s">
        <v>264</v>
      </c>
      <c r="H194" s="39"/>
      <c r="I194" s="40"/>
      <c r="J194" s="40"/>
      <c r="K194" s="40"/>
      <c r="L194" s="40"/>
      <c r="M194" s="40"/>
      <c r="N194" s="40"/>
      <c r="O194" s="40"/>
      <c r="P194" s="40"/>
      <c r="Q194" s="39"/>
      <c r="R194" s="39"/>
      <c r="S194" s="41"/>
      <c r="T194" s="42"/>
      <c r="U194" s="43"/>
      <c r="V194" s="44"/>
    </row>
    <row r="195" customFormat="false" ht="15" hidden="false" customHeight="false" outlineLevel="2" collapsed="false">
      <c r="A195" s="35" t="n">
        <v>2</v>
      </c>
      <c r="B195" s="36" t="s">
        <v>1328</v>
      </c>
      <c r="C195" s="37" t="s">
        <v>1203</v>
      </c>
      <c r="D195" s="36"/>
      <c r="E195" s="36"/>
      <c r="F195" s="38" t="n">
        <v>1</v>
      </c>
      <c r="G195" s="35" t="s">
        <v>264</v>
      </c>
      <c r="H195" s="39"/>
      <c r="I195" s="40"/>
      <c r="J195" s="40"/>
      <c r="K195" s="40"/>
      <c r="L195" s="40"/>
      <c r="M195" s="40"/>
      <c r="N195" s="40"/>
      <c r="O195" s="40"/>
      <c r="P195" s="40"/>
      <c r="Q195" s="39"/>
      <c r="R195" s="39"/>
      <c r="S195" s="41"/>
      <c r="T195" s="42"/>
      <c r="U195" s="43"/>
      <c r="V195" s="44"/>
    </row>
    <row r="196" customFormat="false" ht="15" hidden="false" customHeight="false" outlineLevel="2" collapsed="false">
      <c r="A196" s="35" t="n">
        <v>2</v>
      </c>
      <c r="B196" s="36" t="s">
        <v>1329</v>
      </c>
      <c r="C196" s="37" t="s">
        <v>1205</v>
      </c>
      <c r="D196" s="36"/>
      <c r="E196" s="36"/>
      <c r="F196" s="38" t="n">
        <v>1</v>
      </c>
      <c r="G196" s="35" t="s">
        <v>264</v>
      </c>
      <c r="H196" s="39"/>
      <c r="I196" s="40"/>
      <c r="J196" s="40"/>
      <c r="K196" s="40"/>
      <c r="L196" s="40"/>
      <c r="M196" s="40"/>
      <c r="N196" s="40"/>
      <c r="O196" s="40"/>
      <c r="P196" s="40"/>
      <c r="Q196" s="39"/>
      <c r="R196" s="39"/>
      <c r="S196" s="41"/>
      <c r="T196" s="42"/>
      <c r="U196" s="43"/>
      <c r="V196" s="44"/>
    </row>
    <row r="197" customFormat="false" ht="15" hidden="false" customHeight="false" outlineLevel="1" collapsed="false">
      <c r="A197" s="25" t="n">
        <v>1</v>
      </c>
      <c r="B197" s="26" t="s">
        <v>1330</v>
      </c>
      <c r="C197" s="27" t="s">
        <v>1207</v>
      </c>
      <c r="D197" s="26"/>
      <c r="E197" s="26"/>
      <c r="F197" s="28" t="n">
        <v>1</v>
      </c>
      <c r="G197" s="25" t="s">
        <v>1184</v>
      </c>
      <c r="H197" s="29"/>
      <c r="I197" s="30"/>
      <c r="J197" s="30"/>
      <c r="K197" s="30"/>
      <c r="L197" s="30"/>
      <c r="M197" s="30" t="n">
        <f aca="false">IF(SUMIF(A198:A206,2,M198:M206)=0,"",SUMIF(A198:A206,2,M198:M206))</f>
        <v>100.519000932053</v>
      </c>
      <c r="N197" s="30"/>
      <c r="O197" s="30" t="n">
        <f aca="false">IF(SUMIF(A198:A206,2,O198:O206)=0,"",SUMIF(A198:A206,2,O198:O206))</f>
        <v>97.4250508159664</v>
      </c>
      <c r="P197" s="30" t="n">
        <f aca="false">IF(SUMIF(A198:A206,2,P198:P206)=0,"",SUMIF(A198:A206,2,P198:P206))</f>
        <v>103.623074988331</v>
      </c>
      <c r="Q197" s="29"/>
      <c r="R197" s="29"/>
      <c r="S197" s="31"/>
      <c r="T197" s="32"/>
      <c r="U197" s="33"/>
      <c r="V197" s="34"/>
    </row>
    <row r="198" customFormat="false" ht="15" hidden="false" customHeight="false" outlineLevel="2" collapsed="false">
      <c r="A198" s="35" t="n">
        <v>2</v>
      </c>
      <c r="B198" s="36" t="s">
        <v>1321</v>
      </c>
      <c r="C198" s="37" t="s">
        <v>543</v>
      </c>
      <c r="D198" s="36" t="s">
        <v>37</v>
      </c>
      <c r="E198" s="36" t="str">
        <f aca="false">INDEX(REF_DATO,MATCH(D198,REF_ID,0))</f>
        <v>Polvo ABC asentado en el recipiente</v>
      </c>
      <c r="F198" s="38" t="n">
        <f aca="false">MODELOS!$L$19</f>
        <v>100</v>
      </c>
      <c r="G198" s="35" t="s">
        <v>123</v>
      </c>
      <c r="H198" s="39" t="n">
        <f aca="false">INDEX(REF_VAL,MATCH(D198,REF_ID,0))</f>
        <v>1.1</v>
      </c>
      <c r="I198" s="40" t="n">
        <f aca="false">F198*J198</f>
        <v>90.9090909090909</v>
      </c>
      <c r="J198" s="40" t="n">
        <f aca="false">1/H198</f>
        <v>0.909090909090909</v>
      </c>
      <c r="K198" s="40" t="n">
        <f aca="false">MODELOS!$M$19/R198</f>
        <v>88.1818181818182</v>
      </c>
      <c r="L198" s="40" t="n">
        <f aca="false">MODELOS!$N$19/Q198</f>
        <v>93.6363636363636</v>
      </c>
      <c r="M198" s="40" t="n">
        <f aca="false">F198</f>
        <v>100</v>
      </c>
      <c r="N198" s="40" t="n">
        <v>1</v>
      </c>
      <c r="O198" s="40" t="n">
        <f aca="false">MODELOS!$M$19</f>
        <v>97</v>
      </c>
      <c r="P198" s="40" t="n">
        <f aca="false">MODELOS!$N$19</f>
        <v>103</v>
      </c>
      <c r="Q198" s="39" t="n">
        <f aca="false">INDEX(REF_MIN,MATCH(D198,REF_ID,0))</f>
        <v>1.1</v>
      </c>
      <c r="R198" s="39" t="n">
        <f aca="false">INDEX(REF_MAX,MATCH(D198,REF_ID,0))</f>
        <v>1.1</v>
      </c>
      <c r="S198" s="41"/>
      <c r="T198" s="42"/>
      <c r="U198" s="43"/>
      <c r="V198" s="44"/>
    </row>
    <row r="199" customFormat="false" ht="15" hidden="false" customHeight="false" outlineLevel="2" collapsed="false">
      <c r="A199" s="35" t="n">
        <v>2</v>
      </c>
      <c r="B199" s="36" t="s">
        <v>1322</v>
      </c>
      <c r="C199" s="37" t="s">
        <v>316</v>
      </c>
      <c r="D199" s="36" t="s">
        <v>78</v>
      </c>
      <c r="E199" s="36" t="str">
        <f aca="false">INDEX(REF_DATO,MATCH(D199,REF_ID,0))</f>
        <v>Nitrógeno seco (densidad normal)</v>
      </c>
      <c r="F199" s="38" t="n">
        <f aca="false">MODELOS!$AF$19</f>
        <v>0.519000932053049</v>
      </c>
      <c r="G199" s="35" t="s">
        <v>123</v>
      </c>
      <c r="H199" s="39" t="n">
        <f aca="false">INDEX(REF_VAL,MATCH(D199,REF_ID,0))</f>
        <v>0.00124921923797626</v>
      </c>
      <c r="I199" s="40" t="n">
        <f aca="false">F199*J199</f>
        <v>415.460246108466</v>
      </c>
      <c r="J199" s="40" t="n">
        <f aca="false">1/H199</f>
        <v>800.5</v>
      </c>
      <c r="K199" s="40" t="n">
        <f aca="false">MODELOS!$AG$19/H199</f>
        <v>340.253178181136</v>
      </c>
      <c r="L199" s="40" t="n">
        <f aca="false">MODELOS!$AH$19/H199</f>
        <v>498.771528158996</v>
      </c>
      <c r="M199" s="40" t="n">
        <f aca="false">F199</f>
        <v>0.519000932053049</v>
      </c>
      <c r="N199" s="40" t="n">
        <v>1</v>
      </c>
      <c r="O199" s="40" t="n">
        <f aca="false">MODELOS!$AG$19</f>
        <v>0.425050815966441</v>
      </c>
      <c r="P199" s="40" t="n">
        <f aca="false">MODELOS!$AH$19</f>
        <v>0.623074988331038</v>
      </c>
      <c r="Q199" s="39"/>
      <c r="R199" s="39"/>
      <c r="S199" s="41"/>
      <c r="T199" s="42"/>
      <c r="U199" s="43"/>
      <c r="V199" s="44"/>
    </row>
    <row r="200" customFormat="false" ht="15" hidden="false" customHeight="false" outlineLevel="2" collapsed="false">
      <c r="A200" s="35" t="n">
        <v>2</v>
      </c>
      <c r="B200" s="36" t="s">
        <v>1323</v>
      </c>
      <c r="C200" s="37" t="s">
        <v>1193</v>
      </c>
      <c r="D200" s="36"/>
      <c r="E200" s="36"/>
      <c r="F200" s="38" t="n">
        <v>1</v>
      </c>
      <c r="G200" s="35" t="s">
        <v>264</v>
      </c>
      <c r="H200" s="39"/>
      <c r="I200" s="40"/>
      <c r="J200" s="40"/>
      <c r="K200" s="40"/>
      <c r="L200" s="40"/>
      <c r="M200" s="40"/>
      <c r="N200" s="40"/>
      <c r="O200" s="40"/>
      <c r="P200" s="40"/>
      <c r="Q200" s="39"/>
      <c r="R200" s="39"/>
      <c r="S200" s="41"/>
      <c r="T200" s="42"/>
      <c r="U200" s="43"/>
      <c r="V200" s="44"/>
    </row>
    <row r="201" customFormat="false" ht="15" hidden="false" customHeight="false" outlineLevel="2" collapsed="false">
      <c r="A201" s="35" t="n">
        <v>2</v>
      </c>
      <c r="B201" s="36" t="s">
        <v>1324</v>
      </c>
      <c r="C201" s="37" t="s">
        <v>1195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2" collapsed="false">
      <c r="A202" s="35" t="n">
        <v>2</v>
      </c>
      <c r="B202" s="36" t="s">
        <v>1325</v>
      </c>
      <c r="C202" s="37" t="s">
        <v>1197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2" collapsed="false">
      <c r="A203" s="35" t="n">
        <v>2</v>
      </c>
      <c r="B203" s="36" t="s">
        <v>1326</v>
      </c>
      <c r="C203" s="37" t="s">
        <v>1199</v>
      </c>
      <c r="D203" s="36"/>
      <c r="E203" s="36"/>
      <c r="F203" s="38" t="n">
        <v>1</v>
      </c>
      <c r="G203" s="35" t="s">
        <v>264</v>
      </c>
      <c r="H203" s="39"/>
      <c r="I203" s="40"/>
      <c r="J203" s="40"/>
      <c r="K203" s="40"/>
      <c r="L203" s="40"/>
      <c r="M203" s="40"/>
      <c r="N203" s="40"/>
      <c r="O203" s="40"/>
      <c r="P203" s="40"/>
      <c r="Q203" s="39"/>
      <c r="R203" s="39"/>
      <c r="S203" s="41"/>
      <c r="T203" s="42"/>
      <c r="U203" s="43"/>
      <c r="V203" s="44"/>
    </row>
    <row r="204" customFormat="false" ht="15" hidden="false" customHeight="false" outlineLevel="2" collapsed="false">
      <c r="A204" s="35" t="n">
        <v>2</v>
      </c>
      <c r="B204" s="36" t="s">
        <v>1327</v>
      </c>
      <c r="C204" s="37" t="s">
        <v>1201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1328</v>
      </c>
      <c r="C205" s="37" t="s">
        <v>1203</v>
      </c>
      <c r="D205" s="36"/>
      <c r="E205" s="36"/>
      <c r="F205" s="38" t="n">
        <v>1</v>
      </c>
      <c r="G205" s="35" t="s">
        <v>264</v>
      </c>
      <c r="H205" s="39"/>
      <c r="I205" s="40"/>
      <c r="J205" s="40"/>
      <c r="K205" s="40"/>
      <c r="L205" s="40"/>
      <c r="M205" s="40"/>
      <c r="N205" s="40"/>
      <c r="O205" s="40"/>
      <c r="P205" s="40"/>
      <c r="Q205" s="39"/>
      <c r="R205" s="39"/>
      <c r="S205" s="41"/>
      <c r="T205" s="42"/>
      <c r="U205" s="43"/>
      <c r="V205" s="44"/>
    </row>
    <row r="206" customFormat="false" ht="15" hidden="false" customHeight="false" outlineLevel="2" collapsed="false">
      <c r="A206" s="35" t="n">
        <v>2</v>
      </c>
      <c r="B206" s="36" t="s">
        <v>1329</v>
      </c>
      <c r="C206" s="37" t="s">
        <v>1205</v>
      </c>
      <c r="D206" s="36"/>
      <c r="E206" s="36"/>
      <c r="F206" s="38" t="n">
        <v>1</v>
      </c>
      <c r="G206" s="35" t="s">
        <v>264</v>
      </c>
      <c r="H206" s="39"/>
      <c r="I206" s="40"/>
      <c r="J206" s="40"/>
      <c r="K206" s="40"/>
      <c r="L206" s="40"/>
      <c r="M206" s="40"/>
      <c r="N206" s="40"/>
      <c r="O206" s="40"/>
      <c r="P206" s="40"/>
      <c r="Q206" s="39"/>
      <c r="R206" s="39"/>
      <c r="S206" s="41"/>
      <c r="T206" s="42"/>
      <c r="U206" s="43"/>
      <c r="V206" s="44"/>
    </row>
    <row r="207" customFormat="false" ht="15" hidden="false" customHeight="false" outlineLevel="1" collapsed="false">
      <c r="A207" s="25" t="n">
        <v>1</v>
      </c>
      <c r="B207" s="26" t="s">
        <v>1331</v>
      </c>
      <c r="C207" s="27" t="str">
        <f aca="false">"Prueba hidráulica (cada "&amp;MODELOS!$AO$19&amp;" años, se suma al mantenimiento)"</f>
        <v>Prueba hidráulica (cada 5 años, se suma al mantenimiento)</v>
      </c>
      <c r="D207" s="26"/>
      <c r="E207" s="26"/>
      <c r="F207" s="28" t="n">
        <v>1</v>
      </c>
      <c r="G207" s="25" t="s">
        <v>1184</v>
      </c>
      <c r="H207" s="29"/>
      <c r="I207" s="30"/>
      <c r="J207" s="30"/>
      <c r="K207" s="30"/>
      <c r="L207" s="30"/>
      <c r="M207" s="30" t="n">
        <f aca="false">IF(SUMIF(A208:A209,2,M208:M209)=0,"",SUMIF(A208:A209,2,M208:M209))</f>
        <v>97</v>
      </c>
      <c r="N207" s="30"/>
      <c r="O207" s="30" t="n">
        <f aca="false">IF(SUMIF(A208:A209,2,O208:O209)=0,"",SUMIF(A208:A209,2,O208:O209))</f>
        <v>97</v>
      </c>
      <c r="P207" s="30" t="n">
        <f aca="false">IF(SUMIF(A208:A209,2,P208:P209)=0,"",SUMIF(A208:A209,2,P208:P209))</f>
        <v>100</v>
      </c>
      <c r="Q207" s="29"/>
      <c r="R207" s="29"/>
      <c r="S207" s="31"/>
      <c r="T207" s="32"/>
      <c r="U207" s="33"/>
      <c r="V207" s="34"/>
    </row>
    <row r="208" customFormat="false" ht="15" hidden="false" customHeight="false" outlineLevel="2" collapsed="false">
      <c r="A208" s="35" t="n">
        <v>2</v>
      </c>
      <c r="B208" s="36" t="s">
        <v>1332</v>
      </c>
      <c r="C208" s="37" t="s">
        <v>1281</v>
      </c>
      <c r="D208" s="36" t="s">
        <v>37</v>
      </c>
      <c r="E208" s="36" t="str">
        <f aca="false">INDEX(REF_DATO,MATCH(D208,REF_ID,0))</f>
        <v>Polvo ABC asentado en el recipiente</v>
      </c>
      <c r="F208" s="38" t="n">
        <f aca="false">(MODELOS!$L$19-MODELOS!$AN$19)</f>
        <v>97</v>
      </c>
      <c r="G208" s="35" t="s">
        <v>123</v>
      </c>
      <c r="H208" s="39" t="n">
        <f aca="false">INDEX(REF_VAL,MATCH(D208,REF_ID,0))</f>
        <v>1.1</v>
      </c>
      <c r="I208" s="40" t="n">
        <f aca="false">F208*J208</f>
        <v>88.1818181818182</v>
      </c>
      <c r="J208" s="40" t="n">
        <f aca="false">1/H208</f>
        <v>0.909090909090909</v>
      </c>
      <c r="K208" s="40" t="n">
        <f aca="false">(MODELOS!$L$19-MODELOS!$AN$19)/R208</f>
        <v>88.1818181818182</v>
      </c>
      <c r="L208" s="40" t="n">
        <f aca="false">MODELOS!$L$19/Q208</f>
        <v>90.9090909090909</v>
      </c>
      <c r="M208" s="40" t="n">
        <f aca="false">F208</f>
        <v>97</v>
      </c>
      <c r="N208" s="40" t="n">
        <v>1</v>
      </c>
      <c r="O208" s="40" t="n">
        <f aca="false">(MODELOS!$L$19-MODELOS!$AN$19)</f>
        <v>97</v>
      </c>
      <c r="P208" s="40" t="n">
        <f aca="false">MODELOS!$L$19</f>
        <v>100</v>
      </c>
      <c r="Q208" s="39" t="n">
        <f aca="false">INDEX(REF_MIN,MATCH(D208,REF_ID,0))</f>
        <v>1.1</v>
      </c>
      <c r="R208" s="39" t="n">
        <f aca="false">INDEX(REF_MAX,MATCH(D208,REF_ID,0))</f>
        <v>1.1</v>
      </c>
      <c r="S208" s="41"/>
      <c r="T208" s="42"/>
      <c r="U208" s="43"/>
      <c r="V208" s="44"/>
    </row>
    <row r="209" customFormat="false" ht="15" hidden="false" customHeight="false" outlineLevel="2" collapsed="false">
      <c r="A209" s="35" t="n">
        <v>2</v>
      </c>
      <c r="B209" s="36" t="s">
        <v>1333</v>
      </c>
      <c r="C209" s="37" t="s">
        <v>1212</v>
      </c>
      <c r="D209" s="36"/>
      <c r="E209" s="36"/>
      <c r="F209" s="38" t="n">
        <v>1</v>
      </c>
      <c r="G209" s="35" t="s">
        <v>264</v>
      </c>
      <c r="H209" s="39"/>
      <c r="I209" s="40"/>
      <c r="J209" s="40"/>
      <c r="K209" s="40"/>
      <c r="L209" s="40"/>
      <c r="M209" s="40"/>
      <c r="N209" s="40"/>
      <c r="O209" s="40"/>
      <c r="P209" s="40"/>
      <c r="Q209" s="39"/>
      <c r="R209" s="39"/>
      <c r="S209" s="41"/>
      <c r="T209" s="42"/>
      <c r="U209" s="43"/>
      <c r="V209" s="44"/>
    </row>
    <row r="210" customFormat="false" ht="15" hidden="false" customHeight="false" outlineLevel="0" collapsed="false">
      <c r="A210" s="16" t="n">
        <v>0</v>
      </c>
      <c r="B210" s="17" t="s">
        <v>1334</v>
      </c>
      <c r="C210" s="17" t="s">
        <v>211</v>
      </c>
      <c r="D210" s="17"/>
      <c r="E210" s="17"/>
      <c r="F210" s="18" t="n">
        <v>1</v>
      </c>
      <c r="G210" s="16" t="s">
        <v>264</v>
      </c>
      <c r="H210" s="19"/>
      <c r="I210" s="20"/>
      <c r="J210" s="20"/>
      <c r="K210" s="20"/>
      <c r="L210" s="20"/>
      <c r="M210" s="20"/>
      <c r="N210" s="20"/>
      <c r="O210" s="20"/>
      <c r="P210" s="20"/>
      <c r="Q210" s="19"/>
      <c r="R210" s="19"/>
      <c r="S210" s="21"/>
      <c r="T210" s="22"/>
      <c r="U210" s="23"/>
      <c r="V210" s="24"/>
    </row>
    <row r="211" customFormat="false" ht="15" hidden="false" customHeight="false" outlineLevel="1" collapsed="false">
      <c r="A211" s="25" t="n">
        <v>1</v>
      </c>
      <c r="B211" s="26" t="s">
        <v>1335</v>
      </c>
      <c r="C211" s="27" t="s">
        <v>1183</v>
      </c>
      <c r="D211" s="26"/>
      <c r="E211" s="26"/>
      <c r="F211" s="28" t="n">
        <v>1</v>
      </c>
      <c r="G211" s="25" t="s">
        <v>1184</v>
      </c>
      <c r="H211" s="29"/>
      <c r="I211" s="30"/>
      <c r="J211" s="30"/>
      <c r="K211" s="30"/>
      <c r="L211" s="30"/>
      <c r="M211" s="30" t="str">
        <f aca="false">IF(SUMIF(A212:A212,2,M212:M212)=0,"",SUMIF(A212:A212,2,M212:M212))</f>
        <v/>
      </c>
      <c r="N211" s="30"/>
      <c r="O211" s="30" t="str">
        <f aca="false">IF(SUMIF(A212:A212,2,O212:O212)=0,"",SUMIF(A212:A212,2,O212:O212))</f>
        <v/>
      </c>
      <c r="P211" s="30" t="str">
        <f aca="false">IF(SUMIF(A212:A212,2,P212:P212)=0,"",SUMIF(A212:A212,2,P212:P212))</f>
        <v/>
      </c>
      <c r="Q211" s="29"/>
      <c r="R211" s="29"/>
      <c r="S211" s="31"/>
      <c r="T211" s="32"/>
      <c r="U211" s="33"/>
      <c r="V211" s="34"/>
    </row>
    <row r="212" customFormat="false" ht="15" hidden="false" customHeight="false" outlineLevel="2" collapsed="false">
      <c r="A212" s="35" t="n">
        <v>2</v>
      </c>
      <c r="B212" s="36" t="s">
        <v>1336</v>
      </c>
      <c r="C212" s="37" t="s">
        <v>1186</v>
      </c>
      <c r="D212" s="36"/>
      <c r="E212" s="36"/>
      <c r="F212" s="38" t="n">
        <v>1</v>
      </c>
      <c r="G212" s="35" t="s">
        <v>264</v>
      </c>
      <c r="H212" s="39"/>
      <c r="I212" s="40"/>
      <c r="J212" s="40"/>
      <c r="K212" s="40"/>
      <c r="L212" s="40"/>
      <c r="M212" s="40"/>
      <c r="N212" s="40"/>
      <c r="O212" s="40"/>
      <c r="P212" s="40"/>
      <c r="Q212" s="39"/>
      <c r="R212" s="39"/>
      <c r="S212" s="41"/>
      <c r="T212" s="42"/>
      <c r="U212" s="43"/>
      <c r="V212" s="44"/>
    </row>
    <row r="213" customFormat="false" ht="15" hidden="false" customHeight="false" outlineLevel="1" collapsed="false">
      <c r="A213" s="25" t="n">
        <v>1</v>
      </c>
      <c r="B213" s="26" t="s">
        <v>1337</v>
      </c>
      <c r="C213" s="27" t="s">
        <v>1188</v>
      </c>
      <c r="D213" s="26"/>
      <c r="E213" s="26"/>
      <c r="F213" s="28" t="n">
        <v>1</v>
      </c>
      <c r="G213" s="25" t="s">
        <v>1184</v>
      </c>
      <c r="H213" s="29"/>
      <c r="I213" s="30"/>
      <c r="J213" s="30"/>
      <c r="K213" s="30"/>
      <c r="L213" s="30"/>
      <c r="M213" s="30" t="n">
        <f aca="false">IF(SUMIF(A214:A222,2,M214:M222)=0,"",SUMIF(A214:A222,2,M214:M222))</f>
        <v>10.0426837500935</v>
      </c>
      <c r="N213" s="30"/>
      <c r="O213" s="30" t="n">
        <f aca="false">IF(SUMIF(A214:A222,2,O214:O222)=0,"",SUMIF(A214:A222,2,O214:O222))</f>
        <v>9.73571972043751</v>
      </c>
      <c r="P213" s="30" t="n">
        <f aca="false">IF(SUMIF(A214:A222,2,P214:P222)=0,"",SUMIF(A214:A222,2,P214:P222))</f>
        <v>10.3503185149464</v>
      </c>
      <c r="Q213" s="29"/>
      <c r="R213" s="29"/>
      <c r="S213" s="31"/>
      <c r="T213" s="32"/>
      <c r="U213" s="33"/>
      <c r="V213" s="34"/>
    </row>
    <row r="214" customFormat="false" ht="15" hidden="false" customHeight="false" outlineLevel="2" collapsed="false">
      <c r="A214" s="35" t="n">
        <v>2</v>
      </c>
      <c r="B214" s="36" t="s">
        <v>1338</v>
      </c>
      <c r="C214" s="37" t="s">
        <v>753</v>
      </c>
      <c r="D214" s="36" t="s">
        <v>55</v>
      </c>
      <c r="E214" s="36" t="str">
        <f aca="false">INDEX(REF_DATO,MATCH(D214,REF_ID,0))</f>
        <v>Agua potable</v>
      </c>
      <c r="F214" s="38" t="n">
        <f aca="false">MODELOS!$L$7</f>
        <v>10</v>
      </c>
      <c r="G214" s="35" t="s">
        <v>213</v>
      </c>
      <c r="H214" s="39" t="n">
        <f aca="false">INDEX(REF_VAL,MATCH(D214,REF_ID,0))</f>
        <v>1</v>
      </c>
      <c r="I214" s="40" t="n">
        <f aca="false">F214</f>
        <v>10</v>
      </c>
      <c r="J214" s="40" t="n">
        <v>1</v>
      </c>
      <c r="K214" s="40" t="n">
        <f aca="false">MODELOS!$M$7</f>
        <v>9.7</v>
      </c>
      <c r="L214" s="40" t="n">
        <f aca="false">MODELOS!$N$7</f>
        <v>10.3</v>
      </c>
      <c r="M214" s="40" t="n">
        <f aca="false">F214*N214</f>
        <v>10</v>
      </c>
      <c r="N214" s="40" t="n">
        <f aca="false">H214</f>
        <v>1</v>
      </c>
      <c r="O214" s="40" t="n">
        <f aca="false">MODELOS!$M$7*Q214</f>
        <v>9.7</v>
      </c>
      <c r="P214" s="40" t="n">
        <f aca="false">MODELOS!$N$7*R214</f>
        <v>10.3</v>
      </c>
      <c r="Q214" s="39" t="n">
        <f aca="false">INDEX(REF_MIN,MATCH(D214,REF_ID,0))</f>
        <v>1</v>
      </c>
      <c r="R214" s="39" t="n">
        <f aca="false">INDEX(REF_MAX,MATCH(D214,REF_ID,0))</f>
        <v>1</v>
      </c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1339</v>
      </c>
      <c r="C215" s="37" t="s">
        <v>755</v>
      </c>
      <c r="D215" s="36" t="s">
        <v>82</v>
      </c>
      <c r="E215" s="36" t="str">
        <f aca="false">INDEX(REF_DATO,MATCH(D215,REF_ID,0))</f>
        <v>Aire comprimido (densidad normal)</v>
      </c>
      <c r="F215" s="38" t="n">
        <f aca="false">MODELOS!$AF$7</f>
        <v>0.0426837500934968</v>
      </c>
      <c r="G215" s="35" t="s">
        <v>123</v>
      </c>
      <c r="H215" s="39" t="n">
        <f aca="false">INDEX(REF_VAL,MATCH(D215,REF_ID,0))</f>
        <v>0.00129383421076113</v>
      </c>
      <c r="I215" s="40" t="n">
        <f aca="false">F215*J215</f>
        <v>32.9901232619185</v>
      </c>
      <c r="J215" s="40" t="n">
        <f aca="false">1/H215</f>
        <v>772.896551724138</v>
      </c>
      <c r="K215" s="40" t="n">
        <f aca="false">MODELOS!$AG$7/H215</f>
        <v>27.6076487546993</v>
      </c>
      <c r="L215" s="40" t="n">
        <f aca="false">MODELOS!$AH$7/H215</f>
        <v>38.8910066899772</v>
      </c>
      <c r="M215" s="40" t="n">
        <f aca="false">F215</f>
        <v>0.0426837500934968</v>
      </c>
      <c r="N215" s="40" t="n">
        <v>1</v>
      </c>
      <c r="O215" s="40" t="n">
        <f aca="false">MODELOS!$AG$7</f>
        <v>0.0357197204375068</v>
      </c>
      <c r="P215" s="40" t="n">
        <f aca="false">MODELOS!$AH$7</f>
        <v>0.0503185149464326</v>
      </c>
      <c r="Q215" s="39"/>
      <c r="R215" s="39"/>
      <c r="S215" s="41"/>
      <c r="T215" s="42"/>
      <c r="U215" s="43"/>
      <c r="V215" s="44"/>
    </row>
    <row r="216" customFormat="false" ht="15" hidden="false" customHeight="false" outlineLevel="2" collapsed="false">
      <c r="A216" s="35" t="n">
        <v>2</v>
      </c>
      <c r="B216" s="36" t="s">
        <v>1340</v>
      </c>
      <c r="C216" s="37" t="s">
        <v>1193</v>
      </c>
      <c r="D216" s="36"/>
      <c r="E216" s="36"/>
      <c r="F216" s="38" t="n">
        <v>1</v>
      </c>
      <c r="G216" s="35" t="s">
        <v>264</v>
      </c>
      <c r="H216" s="39"/>
      <c r="I216" s="40"/>
      <c r="J216" s="40"/>
      <c r="K216" s="40"/>
      <c r="L216" s="40"/>
      <c r="M216" s="40"/>
      <c r="N216" s="40"/>
      <c r="O216" s="40"/>
      <c r="P216" s="40"/>
      <c r="Q216" s="39"/>
      <c r="R216" s="39"/>
      <c r="S216" s="41"/>
      <c r="T216" s="42"/>
      <c r="U216" s="43"/>
      <c r="V216" s="44"/>
    </row>
    <row r="217" customFormat="false" ht="15" hidden="false" customHeight="false" outlineLevel="2" collapsed="false">
      <c r="A217" s="35" t="n">
        <v>2</v>
      </c>
      <c r="B217" s="36" t="s">
        <v>1341</v>
      </c>
      <c r="C217" s="37" t="s">
        <v>1195</v>
      </c>
      <c r="D217" s="36"/>
      <c r="E217" s="36"/>
      <c r="F217" s="38" t="n">
        <v>1</v>
      </c>
      <c r="G217" s="35" t="s">
        <v>264</v>
      </c>
      <c r="H217" s="39"/>
      <c r="I217" s="40"/>
      <c r="J217" s="40"/>
      <c r="K217" s="40"/>
      <c r="L217" s="40"/>
      <c r="M217" s="40"/>
      <c r="N217" s="40"/>
      <c r="O217" s="40"/>
      <c r="P217" s="40"/>
      <c r="Q217" s="39"/>
      <c r="R217" s="39"/>
      <c r="S217" s="41"/>
      <c r="T217" s="42"/>
      <c r="U217" s="43"/>
      <c r="V217" s="44"/>
    </row>
    <row r="218" customFormat="false" ht="15" hidden="false" customHeight="false" outlineLevel="2" collapsed="false">
      <c r="A218" s="35" t="n">
        <v>2</v>
      </c>
      <c r="B218" s="36" t="s">
        <v>1342</v>
      </c>
      <c r="C218" s="37" t="s">
        <v>1197</v>
      </c>
      <c r="D218" s="36"/>
      <c r="E218" s="36"/>
      <c r="F218" s="38" t="n">
        <v>1</v>
      </c>
      <c r="G218" s="35" t="s">
        <v>264</v>
      </c>
      <c r="H218" s="39"/>
      <c r="I218" s="40"/>
      <c r="J218" s="40"/>
      <c r="K218" s="40"/>
      <c r="L218" s="40"/>
      <c r="M218" s="40"/>
      <c r="N218" s="40"/>
      <c r="O218" s="40"/>
      <c r="P218" s="40"/>
      <c r="Q218" s="39"/>
      <c r="R218" s="39"/>
      <c r="S218" s="41"/>
      <c r="T218" s="42"/>
      <c r="U218" s="43"/>
      <c r="V218" s="44"/>
    </row>
    <row r="219" customFormat="false" ht="15" hidden="false" customHeight="false" outlineLevel="2" collapsed="false">
      <c r="A219" s="35" t="n">
        <v>2</v>
      </c>
      <c r="B219" s="36" t="s">
        <v>1343</v>
      </c>
      <c r="C219" s="37" t="s">
        <v>1199</v>
      </c>
      <c r="D219" s="36"/>
      <c r="E219" s="36"/>
      <c r="F219" s="38" t="n">
        <v>1</v>
      </c>
      <c r="G219" s="35" t="s">
        <v>264</v>
      </c>
      <c r="H219" s="39"/>
      <c r="I219" s="40"/>
      <c r="J219" s="40"/>
      <c r="K219" s="40"/>
      <c r="L219" s="40"/>
      <c r="M219" s="40"/>
      <c r="N219" s="40"/>
      <c r="O219" s="40"/>
      <c r="P219" s="40"/>
      <c r="Q219" s="39"/>
      <c r="R219" s="39"/>
      <c r="S219" s="41"/>
      <c r="T219" s="42"/>
      <c r="U219" s="43"/>
      <c r="V219" s="44"/>
    </row>
    <row r="220" customFormat="false" ht="15" hidden="false" customHeight="false" outlineLevel="2" collapsed="false">
      <c r="A220" s="35" t="n">
        <v>2</v>
      </c>
      <c r="B220" s="36" t="s">
        <v>1344</v>
      </c>
      <c r="C220" s="37" t="s">
        <v>1201</v>
      </c>
      <c r="D220" s="36"/>
      <c r="E220" s="36"/>
      <c r="F220" s="38" t="n">
        <v>1</v>
      </c>
      <c r="G220" s="35" t="s">
        <v>264</v>
      </c>
      <c r="H220" s="39"/>
      <c r="I220" s="40"/>
      <c r="J220" s="40"/>
      <c r="K220" s="40"/>
      <c r="L220" s="40"/>
      <c r="M220" s="40"/>
      <c r="N220" s="40"/>
      <c r="O220" s="40"/>
      <c r="P220" s="40"/>
      <c r="Q220" s="39"/>
      <c r="R220" s="39"/>
      <c r="S220" s="41"/>
      <c r="T220" s="42"/>
      <c r="U220" s="43"/>
      <c r="V220" s="44"/>
    </row>
    <row r="221" customFormat="false" ht="15" hidden="false" customHeight="false" outlineLevel="2" collapsed="false">
      <c r="A221" s="35" t="n">
        <v>2</v>
      </c>
      <c r="B221" s="36" t="s">
        <v>1345</v>
      </c>
      <c r="C221" s="37" t="s">
        <v>1203</v>
      </c>
      <c r="D221" s="36"/>
      <c r="E221" s="36"/>
      <c r="F221" s="38" t="n">
        <v>1</v>
      </c>
      <c r="G221" s="35" t="s">
        <v>264</v>
      </c>
      <c r="H221" s="39"/>
      <c r="I221" s="40"/>
      <c r="J221" s="40"/>
      <c r="K221" s="40"/>
      <c r="L221" s="40"/>
      <c r="M221" s="40"/>
      <c r="N221" s="40"/>
      <c r="O221" s="40"/>
      <c r="P221" s="40"/>
      <c r="Q221" s="39"/>
      <c r="R221" s="39"/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1346</v>
      </c>
      <c r="C222" s="37" t="s">
        <v>1205</v>
      </c>
      <c r="D222" s="36"/>
      <c r="E222" s="36"/>
      <c r="F222" s="38" t="n">
        <v>1</v>
      </c>
      <c r="G222" s="35" t="s">
        <v>264</v>
      </c>
      <c r="H222" s="39"/>
      <c r="I222" s="40"/>
      <c r="J222" s="40"/>
      <c r="K222" s="40"/>
      <c r="L222" s="40"/>
      <c r="M222" s="40"/>
      <c r="N222" s="40"/>
      <c r="O222" s="40"/>
      <c r="P222" s="40"/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1347</v>
      </c>
      <c r="C223" s="27" t="s">
        <v>1207</v>
      </c>
      <c r="D223" s="26"/>
      <c r="E223" s="26"/>
      <c r="F223" s="28" t="n">
        <v>1</v>
      </c>
      <c r="G223" s="25" t="s">
        <v>1184</v>
      </c>
      <c r="H223" s="29"/>
      <c r="I223" s="30"/>
      <c r="J223" s="30"/>
      <c r="K223" s="30"/>
      <c r="L223" s="30"/>
      <c r="M223" s="30" t="n">
        <f aca="false">IF(SUMIF(A224:A232,2,M224:M232)=0,"",SUMIF(A224:A232,2,M224:M232))</f>
        <v>10.0426837500935</v>
      </c>
      <c r="N223" s="30"/>
      <c r="O223" s="30" t="n">
        <f aca="false">IF(SUMIF(A224:A232,2,O224:O232)=0,"",SUMIF(A224:A232,2,O224:O232))</f>
        <v>9.73571972043751</v>
      </c>
      <c r="P223" s="30" t="n">
        <f aca="false">IF(SUMIF(A224:A232,2,P224:P232)=0,"",SUMIF(A224:A232,2,P224:P232))</f>
        <v>10.3503185149464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1338</v>
      </c>
      <c r="C224" s="37" t="s">
        <v>753</v>
      </c>
      <c r="D224" s="36" t="s">
        <v>55</v>
      </c>
      <c r="E224" s="36" t="str">
        <f aca="false">INDEX(REF_DATO,MATCH(D224,REF_ID,0))</f>
        <v>Agua potable</v>
      </c>
      <c r="F224" s="38" t="n">
        <f aca="false">MODELOS!$L$7</f>
        <v>10</v>
      </c>
      <c r="G224" s="35" t="s">
        <v>213</v>
      </c>
      <c r="H224" s="39" t="n">
        <f aca="false">INDEX(REF_VAL,MATCH(D224,REF_ID,0))</f>
        <v>1</v>
      </c>
      <c r="I224" s="40" t="n">
        <f aca="false">F224</f>
        <v>10</v>
      </c>
      <c r="J224" s="40" t="n">
        <v>1</v>
      </c>
      <c r="K224" s="40" t="n">
        <f aca="false">MODELOS!$M$7</f>
        <v>9.7</v>
      </c>
      <c r="L224" s="40" t="n">
        <f aca="false">MODELOS!$N$7</f>
        <v>10.3</v>
      </c>
      <c r="M224" s="40" t="n">
        <f aca="false">F224*N224</f>
        <v>10</v>
      </c>
      <c r="N224" s="40" t="n">
        <f aca="false">H224</f>
        <v>1</v>
      </c>
      <c r="O224" s="40" t="n">
        <f aca="false">MODELOS!$M$7*Q224</f>
        <v>9.7</v>
      </c>
      <c r="P224" s="40" t="n">
        <f aca="false">MODELOS!$N$7*R224</f>
        <v>10.3</v>
      </c>
      <c r="Q224" s="39" t="n">
        <f aca="false">INDEX(REF_MIN,MATCH(D224,REF_ID,0))</f>
        <v>1</v>
      </c>
      <c r="R224" s="39" t="n">
        <f aca="false">INDEX(REF_MAX,MATCH(D224,REF_ID,0))</f>
        <v>1</v>
      </c>
      <c r="S224" s="41"/>
      <c r="T224" s="42"/>
      <c r="U224" s="43"/>
      <c r="V224" s="44"/>
    </row>
    <row r="225" customFormat="false" ht="15" hidden="false" customHeight="false" outlineLevel="2" collapsed="false">
      <c r="A225" s="35" t="n">
        <v>2</v>
      </c>
      <c r="B225" s="36" t="s">
        <v>1339</v>
      </c>
      <c r="C225" s="37" t="s">
        <v>755</v>
      </c>
      <c r="D225" s="36" t="s">
        <v>82</v>
      </c>
      <c r="E225" s="36" t="str">
        <f aca="false">INDEX(REF_DATO,MATCH(D225,REF_ID,0))</f>
        <v>Aire comprimido (densidad normal)</v>
      </c>
      <c r="F225" s="38" t="n">
        <f aca="false">MODELOS!$AF$7</f>
        <v>0.0426837500934968</v>
      </c>
      <c r="G225" s="35" t="s">
        <v>123</v>
      </c>
      <c r="H225" s="39" t="n">
        <f aca="false">INDEX(REF_VAL,MATCH(D225,REF_ID,0))</f>
        <v>0.00129383421076113</v>
      </c>
      <c r="I225" s="40" t="n">
        <f aca="false">F225*J225</f>
        <v>32.9901232619185</v>
      </c>
      <c r="J225" s="40" t="n">
        <f aca="false">1/H225</f>
        <v>772.896551724138</v>
      </c>
      <c r="K225" s="40" t="n">
        <f aca="false">MODELOS!$AG$7/H225</f>
        <v>27.6076487546993</v>
      </c>
      <c r="L225" s="40" t="n">
        <f aca="false">MODELOS!$AH$7/H225</f>
        <v>38.8910066899772</v>
      </c>
      <c r="M225" s="40" t="n">
        <f aca="false">F225</f>
        <v>0.0426837500934968</v>
      </c>
      <c r="N225" s="40" t="n">
        <v>1</v>
      </c>
      <c r="O225" s="40" t="n">
        <f aca="false">MODELOS!$AG$7</f>
        <v>0.0357197204375068</v>
      </c>
      <c r="P225" s="40" t="n">
        <f aca="false">MODELOS!$AH$7</f>
        <v>0.0503185149464326</v>
      </c>
      <c r="Q225" s="39"/>
      <c r="R225" s="39"/>
      <c r="S225" s="41"/>
      <c r="T225" s="42"/>
      <c r="U225" s="43"/>
      <c r="V225" s="44"/>
    </row>
    <row r="226" customFormat="false" ht="15" hidden="false" customHeight="false" outlineLevel="2" collapsed="false">
      <c r="A226" s="35" t="n">
        <v>2</v>
      </c>
      <c r="B226" s="36" t="s">
        <v>1340</v>
      </c>
      <c r="C226" s="37" t="s">
        <v>1193</v>
      </c>
      <c r="D226" s="36"/>
      <c r="E226" s="36"/>
      <c r="F226" s="38" t="n">
        <v>1</v>
      </c>
      <c r="G226" s="35" t="s">
        <v>264</v>
      </c>
      <c r="H226" s="39"/>
      <c r="I226" s="40"/>
      <c r="J226" s="40"/>
      <c r="K226" s="40"/>
      <c r="L226" s="40"/>
      <c r="M226" s="40"/>
      <c r="N226" s="40"/>
      <c r="O226" s="40"/>
      <c r="P226" s="40"/>
      <c r="Q226" s="39"/>
      <c r="R226" s="39"/>
      <c r="S226" s="41"/>
      <c r="T226" s="42"/>
      <c r="U226" s="43"/>
      <c r="V226" s="44"/>
    </row>
    <row r="227" customFormat="false" ht="15" hidden="false" customHeight="false" outlineLevel="2" collapsed="false">
      <c r="A227" s="35" t="n">
        <v>2</v>
      </c>
      <c r="B227" s="36" t="s">
        <v>1341</v>
      </c>
      <c r="C227" s="37" t="s">
        <v>1195</v>
      </c>
      <c r="D227" s="36"/>
      <c r="E227" s="36"/>
      <c r="F227" s="38" t="n">
        <v>1</v>
      </c>
      <c r="G227" s="35" t="s">
        <v>264</v>
      </c>
      <c r="H227" s="39"/>
      <c r="I227" s="40"/>
      <c r="J227" s="40"/>
      <c r="K227" s="40"/>
      <c r="L227" s="40"/>
      <c r="M227" s="40"/>
      <c r="N227" s="40"/>
      <c r="O227" s="40"/>
      <c r="P227" s="40"/>
      <c r="Q227" s="39"/>
      <c r="R227" s="39"/>
      <c r="S227" s="41"/>
      <c r="T227" s="42"/>
      <c r="U227" s="43"/>
      <c r="V227" s="44"/>
    </row>
    <row r="228" customFormat="false" ht="15" hidden="false" customHeight="false" outlineLevel="2" collapsed="false">
      <c r="A228" s="35" t="n">
        <v>2</v>
      </c>
      <c r="B228" s="36" t="s">
        <v>1342</v>
      </c>
      <c r="C228" s="37" t="s">
        <v>1197</v>
      </c>
      <c r="D228" s="36"/>
      <c r="E228" s="36"/>
      <c r="F228" s="38" t="n">
        <v>1</v>
      </c>
      <c r="G228" s="35" t="s">
        <v>264</v>
      </c>
      <c r="H228" s="39"/>
      <c r="I228" s="40"/>
      <c r="J228" s="40"/>
      <c r="K228" s="40"/>
      <c r="L228" s="40"/>
      <c r="M228" s="40"/>
      <c r="N228" s="40"/>
      <c r="O228" s="40"/>
      <c r="P228" s="40"/>
      <c r="Q228" s="39"/>
      <c r="R228" s="39"/>
      <c r="S228" s="41"/>
      <c r="T228" s="42"/>
      <c r="U228" s="43"/>
      <c r="V228" s="44"/>
    </row>
    <row r="229" customFormat="false" ht="15" hidden="false" customHeight="false" outlineLevel="2" collapsed="false">
      <c r="A229" s="35" t="n">
        <v>2</v>
      </c>
      <c r="B229" s="36" t="s">
        <v>1343</v>
      </c>
      <c r="C229" s="37" t="s">
        <v>1199</v>
      </c>
      <c r="D229" s="36"/>
      <c r="E229" s="36"/>
      <c r="F229" s="38" t="n">
        <v>1</v>
      </c>
      <c r="G229" s="35" t="s">
        <v>264</v>
      </c>
      <c r="H229" s="39"/>
      <c r="I229" s="40"/>
      <c r="J229" s="40"/>
      <c r="K229" s="40"/>
      <c r="L229" s="40"/>
      <c r="M229" s="40"/>
      <c r="N229" s="40"/>
      <c r="O229" s="40"/>
      <c r="P229" s="40"/>
      <c r="Q229" s="39"/>
      <c r="R229" s="39"/>
      <c r="S229" s="41"/>
      <c r="T229" s="42"/>
      <c r="U229" s="43"/>
      <c r="V229" s="44"/>
    </row>
    <row r="230" customFormat="false" ht="15" hidden="false" customHeight="false" outlineLevel="2" collapsed="false">
      <c r="A230" s="35" t="n">
        <v>2</v>
      </c>
      <c r="B230" s="36" t="s">
        <v>1344</v>
      </c>
      <c r="C230" s="37" t="s">
        <v>1201</v>
      </c>
      <c r="D230" s="36"/>
      <c r="E230" s="36"/>
      <c r="F230" s="38" t="n">
        <v>1</v>
      </c>
      <c r="G230" s="35" t="s">
        <v>264</v>
      </c>
      <c r="H230" s="39"/>
      <c r="I230" s="40"/>
      <c r="J230" s="40"/>
      <c r="K230" s="40"/>
      <c r="L230" s="40"/>
      <c r="M230" s="40"/>
      <c r="N230" s="40"/>
      <c r="O230" s="40"/>
      <c r="P230" s="40"/>
      <c r="Q230" s="39"/>
      <c r="R230" s="39"/>
      <c r="S230" s="41"/>
      <c r="T230" s="42"/>
      <c r="U230" s="43"/>
      <c r="V230" s="44"/>
    </row>
    <row r="231" customFormat="false" ht="15" hidden="false" customHeight="false" outlineLevel="2" collapsed="false">
      <c r="A231" s="35" t="n">
        <v>2</v>
      </c>
      <c r="B231" s="36" t="s">
        <v>1345</v>
      </c>
      <c r="C231" s="37" t="s">
        <v>1203</v>
      </c>
      <c r="D231" s="36"/>
      <c r="E231" s="36"/>
      <c r="F231" s="38" t="n">
        <v>1</v>
      </c>
      <c r="G231" s="35" t="s">
        <v>264</v>
      </c>
      <c r="H231" s="39"/>
      <c r="I231" s="40"/>
      <c r="J231" s="40"/>
      <c r="K231" s="40"/>
      <c r="L231" s="40"/>
      <c r="M231" s="40"/>
      <c r="N231" s="40"/>
      <c r="O231" s="40"/>
      <c r="P231" s="40"/>
      <c r="Q231" s="39"/>
      <c r="R231" s="39"/>
      <c r="S231" s="41"/>
      <c r="T231" s="42"/>
      <c r="U231" s="43"/>
      <c r="V231" s="44"/>
    </row>
    <row r="232" customFormat="false" ht="15" hidden="false" customHeight="false" outlineLevel="2" collapsed="false">
      <c r="A232" s="35" t="n">
        <v>2</v>
      </c>
      <c r="B232" s="36" t="s">
        <v>1346</v>
      </c>
      <c r="C232" s="37" t="s">
        <v>1205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1" collapsed="false">
      <c r="A233" s="25" t="n">
        <v>1</v>
      </c>
      <c r="B233" s="26" t="s">
        <v>1348</v>
      </c>
      <c r="C233" s="27" t="str">
        <f aca="false">"Prueba hidráulica (cada "&amp;MODELOS!$AO$7&amp;" años, se suma al mantenimiento)"</f>
        <v>Prueba hidráulica (cada 2 años, se suma al mantenimiento)</v>
      </c>
      <c r="D233" s="26"/>
      <c r="E233" s="26"/>
      <c r="F233" s="28" t="n">
        <v>1</v>
      </c>
      <c r="G233" s="25" t="s">
        <v>1184</v>
      </c>
      <c r="H233" s="29"/>
      <c r="I233" s="30"/>
      <c r="J233" s="30"/>
      <c r="K233" s="30"/>
      <c r="L233" s="30"/>
      <c r="M233" s="30" t="str">
        <f aca="false">IF(SUMIF(A234:A234,2,M234:M234)=0,"",SUMIF(A234:A234,2,M234:M234))</f>
        <v/>
      </c>
      <c r="N233" s="30"/>
      <c r="O233" s="30" t="str">
        <f aca="false">IF(SUMIF(A234:A234,2,O234:O234)=0,"",SUMIF(A234:A234,2,O234:O234))</f>
        <v/>
      </c>
      <c r="P233" s="30" t="str">
        <f aca="false">IF(SUMIF(A234:A234,2,P234:P234)=0,"",SUMIF(A234:A234,2,P234:P234))</f>
        <v/>
      </c>
      <c r="Q233" s="29"/>
      <c r="R233" s="29"/>
      <c r="S233" s="31"/>
      <c r="T233" s="32"/>
      <c r="U233" s="33"/>
      <c r="V233" s="34"/>
    </row>
    <row r="234" customFormat="false" ht="15" hidden="false" customHeight="false" outlineLevel="2" collapsed="false">
      <c r="A234" s="35" t="n">
        <v>2</v>
      </c>
      <c r="B234" s="36" t="s">
        <v>1349</v>
      </c>
      <c r="C234" s="37" t="s">
        <v>1212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0" collapsed="false">
      <c r="A235" s="16" t="n">
        <v>0</v>
      </c>
      <c r="B235" s="17" t="s">
        <v>1350</v>
      </c>
      <c r="C235" s="17" t="s">
        <v>215</v>
      </c>
      <c r="D235" s="17"/>
      <c r="E235" s="17"/>
      <c r="F235" s="18" t="n">
        <v>1</v>
      </c>
      <c r="G235" s="16" t="s">
        <v>264</v>
      </c>
      <c r="H235" s="19"/>
      <c r="I235" s="20"/>
      <c r="J235" s="20"/>
      <c r="K235" s="20"/>
      <c r="L235" s="20"/>
      <c r="M235" s="20"/>
      <c r="N235" s="20"/>
      <c r="O235" s="20"/>
      <c r="P235" s="20"/>
      <c r="Q235" s="19"/>
      <c r="R235" s="19"/>
      <c r="S235" s="21"/>
      <c r="T235" s="22"/>
      <c r="U235" s="23"/>
      <c r="V235" s="24"/>
    </row>
    <row r="236" customFormat="false" ht="15" hidden="false" customHeight="false" outlineLevel="1" collapsed="false">
      <c r="A236" s="25" t="n">
        <v>1</v>
      </c>
      <c r="B236" s="26" t="s">
        <v>1351</v>
      </c>
      <c r="C236" s="27" t="s">
        <v>1183</v>
      </c>
      <c r="D236" s="26"/>
      <c r="E236" s="26"/>
      <c r="F236" s="28" t="n">
        <v>1</v>
      </c>
      <c r="G236" s="25" t="s">
        <v>1184</v>
      </c>
      <c r="H236" s="29"/>
      <c r="I236" s="30"/>
      <c r="J236" s="30"/>
      <c r="K236" s="30"/>
      <c r="L236" s="30"/>
      <c r="M236" s="30" t="str">
        <f aca="false">IF(SUMIF(A237:A237,2,M237:M237)=0,"",SUMIF(A237:A237,2,M237:M237))</f>
        <v/>
      </c>
      <c r="N236" s="30"/>
      <c r="O236" s="30" t="str">
        <f aca="false">IF(SUMIF(A237:A237,2,O237:O237)=0,"",SUMIF(A237:A237,2,O237:O237))</f>
        <v/>
      </c>
      <c r="P236" s="30" t="str">
        <f aca="false">IF(SUMIF(A237:A237,2,P237:P237)=0,"",SUMIF(A237:A237,2,P237:P237))</f>
        <v/>
      </c>
      <c r="Q236" s="29"/>
      <c r="R236" s="29"/>
      <c r="S236" s="31"/>
      <c r="T236" s="32"/>
      <c r="U236" s="33"/>
      <c r="V236" s="34"/>
    </row>
    <row r="237" customFormat="false" ht="15" hidden="false" customHeight="false" outlineLevel="2" collapsed="false">
      <c r="A237" s="35" t="n">
        <v>2</v>
      </c>
      <c r="B237" s="36" t="s">
        <v>1352</v>
      </c>
      <c r="C237" s="37" t="s">
        <v>1186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1" collapsed="false">
      <c r="A238" s="25" t="n">
        <v>1</v>
      </c>
      <c r="B238" s="26" t="s">
        <v>1353</v>
      </c>
      <c r="C238" s="27" t="s">
        <v>1188</v>
      </c>
      <c r="D238" s="26"/>
      <c r="E238" s="26"/>
      <c r="F238" s="28" t="n">
        <v>1</v>
      </c>
      <c r="G238" s="25" t="s">
        <v>1184</v>
      </c>
      <c r="H238" s="29"/>
      <c r="I238" s="30"/>
      <c r="J238" s="30"/>
      <c r="K238" s="30"/>
      <c r="L238" s="30"/>
      <c r="M238" s="30" t="n">
        <f aca="false">IF(SUMIF(A239:A248,2,M239:M248)=0,"",SUMIF(A239:A248,2,M239:M248))</f>
        <v>10.0501837500935</v>
      </c>
      <c r="N238" s="30"/>
      <c r="O238" s="30" t="n">
        <f aca="false">IF(SUMIF(A239:A248,2,O239:O248)=0,"",SUMIF(A239:A248,2,O239:O248))</f>
        <v>9.74299472043751</v>
      </c>
      <c r="P238" s="30" t="n">
        <f aca="false">IF(SUMIF(A239:A248,2,P239:P248)=0,"",SUMIF(A239:A248,2,P239:P248))</f>
        <v>10.3580435149464</v>
      </c>
      <c r="Q238" s="29"/>
      <c r="R238" s="29"/>
      <c r="S238" s="31"/>
      <c r="T238" s="32"/>
      <c r="U238" s="33"/>
      <c r="V238" s="34"/>
    </row>
    <row r="239" customFormat="false" ht="15" hidden="false" customHeight="false" outlineLevel="2" collapsed="false">
      <c r="A239" s="35" t="n">
        <v>2</v>
      </c>
      <c r="B239" s="36" t="s">
        <v>1354</v>
      </c>
      <c r="C239" s="37" t="s">
        <v>801</v>
      </c>
      <c r="D239" s="36" t="s">
        <v>62</v>
      </c>
      <c r="E239" s="36" t="str">
        <f aca="false">INDEX(REF_DATO,MATCH(D239,REF_ID,0))</f>
        <v>Concentrado espumígeno AFFF 3 %</v>
      </c>
      <c r="F239" s="38" t="n">
        <f aca="false">MODELOS!$L$8*INDEX(REF_VAL,MATCH("AFFF_PROP",REF_ID,0))</f>
        <v>0.3</v>
      </c>
      <c r="G239" s="35" t="s">
        <v>213</v>
      </c>
      <c r="H239" s="39" t="n">
        <f aca="false">INDEX(REF_VAL,MATCH(D239,REF_ID,0))</f>
        <v>1.025</v>
      </c>
      <c r="I239" s="40" t="n">
        <f aca="false">F239</f>
        <v>0.3</v>
      </c>
      <c r="J239" s="40" t="n">
        <v>1</v>
      </c>
      <c r="K239" s="40" t="n">
        <f aca="false">MODELOS!$M$8*INDEX(REF_VAL,MATCH("AFFF_PROP",REF_ID,0))</f>
        <v>0.291</v>
      </c>
      <c r="L239" s="40" t="n">
        <f aca="false">MODELOS!$N$8*INDEX(REF_VAL,MATCH("AFFF_PROP",REF_ID,0))</f>
        <v>0.309</v>
      </c>
      <c r="M239" s="40" t="n">
        <f aca="false">F239*N239</f>
        <v>0.3075</v>
      </c>
      <c r="N239" s="40" t="n">
        <f aca="false">H239</f>
        <v>1.025</v>
      </c>
      <c r="O239" s="40" t="n">
        <f aca="false">MODELOS!$M$8*INDEX(REF_VAL,MATCH("AFFF_PROP",REF_ID,0))*Q239</f>
        <v>0.298275</v>
      </c>
      <c r="P239" s="40" t="n">
        <f aca="false">MODELOS!$N$8*INDEX(REF_VAL,MATCH("AFFF_PROP",REF_ID,0))*R239</f>
        <v>0.316725</v>
      </c>
      <c r="Q239" s="39" t="n">
        <f aca="false">INDEX(REF_MIN,MATCH(D239,REF_ID,0))</f>
        <v>1.025</v>
      </c>
      <c r="R239" s="39" t="n">
        <f aca="false">INDEX(REF_MAX,MATCH(D239,REF_ID,0))</f>
        <v>1.025</v>
      </c>
      <c r="S239" s="41"/>
      <c r="T239" s="42"/>
      <c r="U239" s="43"/>
      <c r="V239" s="44"/>
    </row>
    <row r="240" customFormat="false" ht="15" hidden="false" customHeight="false" outlineLevel="2" collapsed="false">
      <c r="A240" s="35" t="n">
        <v>2</v>
      </c>
      <c r="B240" s="36" t="s">
        <v>1355</v>
      </c>
      <c r="C240" s="37" t="s">
        <v>803</v>
      </c>
      <c r="D240" s="36" t="s">
        <v>55</v>
      </c>
      <c r="E240" s="36" t="str">
        <f aca="false">INDEX(REF_DATO,MATCH(D240,REF_ID,0))</f>
        <v>Agua potable</v>
      </c>
      <c r="F240" s="38" t="n">
        <f aca="false">MODELOS!$L$8*(1-INDEX(REF_VAL,MATCH("AFFF_PROP",REF_ID,0)))</f>
        <v>9.7</v>
      </c>
      <c r="G240" s="35" t="s">
        <v>213</v>
      </c>
      <c r="H240" s="39" t="n">
        <f aca="false">INDEX(REF_VAL,MATCH(D240,REF_ID,0))</f>
        <v>1</v>
      </c>
      <c r="I240" s="40" t="n">
        <f aca="false">F240</f>
        <v>9.7</v>
      </c>
      <c r="J240" s="40" t="n">
        <v>1</v>
      </c>
      <c r="K240" s="40" t="n">
        <f aca="false">MODELOS!$M$8*(1-INDEX(REF_VAL,MATCH("AFFF_PROP",REF_ID,0)))</f>
        <v>9.409</v>
      </c>
      <c r="L240" s="40" t="n">
        <f aca="false">MODELOS!$N$8*(1-INDEX(REF_VAL,MATCH("AFFF_PROP",REF_ID,0)))</f>
        <v>9.991</v>
      </c>
      <c r="M240" s="40" t="n">
        <f aca="false">F240*N240</f>
        <v>9.7</v>
      </c>
      <c r="N240" s="40" t="n">
        <f aca="false">H240</f>
        <v>1</v>
      </c>
      <c r="O240" s="40" t="n">
        <f aca="false">MODELOS!$M$8*(1-INDEX(REF_VAL,MATCH("AFFF_PROP",REF_ID,0)))*Q240</f>
        <v>9.409</v>
      </c>
      <c r="P240" s="40" t="n">
        <f aca="false">MODELOS!$N$8*(1-INDEX(REF_VAL,MATCH("AFFF_PROP",REF_ID,0)))*R240</f>
        <v>9.991</v>
      </c>
      <c r="Q240" s="39" t="n">
        <f aca="false">INDEX(REF_MIN,MATCH(D240,REF_ID,0))</f>
        <v>1</v>
      </c>
      <c r="R240" s="39" t="n">
        <f aca="false">INDEX(REF_MAX,MATCH(D240,REF_ID,0))</f>
        <v>1</v>
      </c>
      <c r="S240" s="41"/>
      <c r="T240" s="42"/>
      <c r="U240" s="43"/>
      <c r="V240" s="44"/>
    </row>
    <row r="241" customFormat="false" ht="15" hidden="false" customHeight="false" outlineLevel="2" collapsed="false">
      <c r="A241" s="35" t="n">
        <v>2</v>
      </c>
      <c r="B241" s="36" t="s">
        <v>1356</v>
      </c>
      <c r="C241" s="37" t="s">
        <v>755</v>
      </c>
      <c r="D241" s="36" t="s">
        <v>82</v>
      </c>
      <c r="E241" s="36" t="str">
        <f aca="false">INDEX(REF_DATO,MATCH(D241,REF_ID,0))</f>
        <v>Aire comprimido (densidad normal)</v>
      </c>
      <c r="F241" s="38" t="n">
        <f aca="false">MODELOS!$AF$8</f>
        <v>0.0426837500934968</v>
      </c>
      <c r="G241" s="35" t="s">
        <v>123</v>
      </c>
      <c r="H241" s="39" t="n">
        <f aca="false">INDEX(REF_VAL,MATCH(D241,REF_ID,0))</f>
        <v>0.00129383421076113</v>
      </c>
      <c r="I241" s="40" t="n">
        <f aca="false">F241*J241</f>
        <v>32.9901232619185</v>
      </c>
      <c r="J241" s="40" t="n">
        <f aca="false">1/H241</f>
        <v>772.896551724138</v>
      </c>
      <c r="K241" s="40" t="n">
        <f aca="false">MODELOS!$AG$8/H241</f>
        <v>27.6076487546993</v>
      </c>
      <c r="L241" s="40" t="n">
        <f aca="false">MODELOS!$AH$8/H241</f>
        <v>38.8910066899772</v>
      </c>
      <c r="M241" s="40" t="n">
        <f aca="false">F241</f>
        <v>0.0426837500934968</v>
      </c>
      <c r="N241" s="40" t="n">
        <v>1</v>
      </c>
      <c r="O241" s="40" t="n">
        <f aca="false">MODELOS!$AG$8</f>
        <v>0.0357197204375068</v>
      </c>
      <c r="P241" s="40" t="n">
        <f aca="false">MODELOS!$AH$8</f>
        <v>0.0503185149464326</v>
      </c>
      <c r="Q241" s="39"/>
      <c r="R241" s="39"/>
      <c r="S241" s="41"/>
      <c r="T241" s="42"/>
      <c r="U241" s="43"/>
      <c r="V241" s="44"/>
    </row>
    <row r="242" customFormat="false" ht="15" hidden="false" customHeight="false" outlineLevel="2" collapsed="false">
      <c r="A242" s="35" t="n">
        <v>2</v>
      </c>
      <c r="B242" s="36" t="s">
        <v>1357</v>
      </c>
      <c r="C242" s="37" t="s">
        <v>1193</v>
      </c>
      <c r="D242" s="36"/>
      <c r="E242" s="36"/>
      <c r="F242" s="38" t="n">
        <v>1</v>
      </c>
      <c r="G242" s="35" t="s">
        <v>264</v>
      </c>
      <c r="H242" s="39"/>
      <c r="I242" s="40"/>
      <c r="J242" s="40"/>
      <c r="K242" s="40"/>
      <c r="L242" s="40"/>
      <c r="M242" s="40"/>
      <c r="N242" s="40"/>
      <c r="O242" s="40"/>
      <c r="P242" s="40"/>
      <c r="Q242" s="39"/>
      <c r="R242" s="39"/>
      <c r="S242" s="41"/>
      <c r="T242" s="42"/>
      <c r="U242" s="43"/>
      <c r="V242" s="44"/>
    </row>
    <row r="243" customFormat="false" ht="15" hidden="false" customHeight="false" outlineLevel="2" collapsed="false">
      <c r="A243" s="35" t="n">
        <v>2</v>
      </c>
      <c r="B243" s="36" t="s">
        <v>1358</v>
      </c>
      <c r="C243" s="37" t="s">
        <v>1195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1359</v>
      </c>
      <c r="C244" s="37" t="s">
        <v>1197</v>
      </c>
      <c r="D244" s="36"/>
      <c r="E244" s="36"/>
      <c r="F244" s="38" t="n">
        <v>1</v>
      </c>
      <c r="G244" s="35" t="s">
        <v>264</v>
      </c>
      <c r="H244" s="39"/>
      <c r="I244" s="40"/>
      <c r="J244" s="40"/>
      <c r="K244" s="40"/>
      <c r="L244" s="40"/>
      <c r="M244" s="40"/>
      <c r="N244" s="40"/>
      <c r="O244" s="40"/>
      <c r="P244" s="40"/>
      <c r="Q244" s="39"/>
      <c r="R244" s="39"/>
      <c r="S244" s="41"/>
      <c r="T244" s="42"/>
      <c r="U244" s="43"/>
      <c r="V244" s="44"/>
    </row>
    <row r="245" customFormat="false" ht="15" hidden="false" customHeight="false" outlineLevel="2" collapsed="false">
      <c r="A245" s="35" t="n">
        <v>2</v>
      </c>
      <c r="B245" s="36" t="s">
        <v>1360</v>
      </c>
      <c r="C245" s="37" t="s">
        <v>1199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/>
      <c r="N245" s="40"/>
      <c r="O245" s="40"/>
      <c r="P245" s="40"/>
      <c r="Q245" s="39"/>
      <c r="R245" s="39"/>
      <c r="S245" s="41"/>
      <c r="T245" s="42"/>
      <c r="U245" s="43"/>
      <c r="V245" s="44"/>
    </row>
    <row r="246" customFormat="false" ht="15" hidden="false" customHeight="false" outlineLevel="2" collapsed="false">
      <c r="A246" s="35" t="n">
        <v>2</v>
      </c>
      <c r="B246" s="36" t="s">
        <v>1361</v>
      </c>
      <c r="C246" s="37" t="s">
        <v>1201</v>
      </c>
      <c r="D246" s="36"/>
      <c r="E246" s="36"/>
      <c r="F246" s="38" t="n">
        <v>1</v>
      </c>
      <c r="G246" s="35" t="s">
        <v>264</v>
      </c>
      <c r="H246" s="39"/>
      <c r="I246" s="40"/>
      <c r="J246" s="40"/>
      <c r="K246" s="40"/>
      <c r="L246" s="40"/>
      <c r="M246" s="40"/>
      <c r="N246" s="40"/>
      <c r="O246" s="40"/>
      <c r="P246" s="40"/>
      <c r="Q246" s="39"/>
      <c r="R246" s="39"/>
      <c r="S246" s="41"/>
      <c r="T246" s="42"/>
      <c r="U246" s="43"/>
      <c r="V246" s="44"/>
    </row>
    <row r="247" customFormat="false" ht="15" hidden="false" customHeight="false" outlineLevel="2" collapsed="false">
      <c r="A247" s="35" t="n">
        <v>2</v>
      </c>
      <c r="B247" s="36" t="s">
        <v>1362</v>
      </c>
      <c r="C247" s="37" t="s">
        <v>1203</v>
      </c>
      <c r="D247" s="36"/>
      <c r="E247" s="36"/>
      <c r="F247" s="38" t="n">
        <v>1</v>
      </c>
      <c r="G247" s="35" t="s">
        <v>264</v>
      </c>
      <c r="H247" s="39"/>
      <c r="I247" s="40"/>
      <c r="J247" s="40"/>
      <c r="K247" s="40"/>
      <c r="L247" s="40"/>
      <c r="M247" s="40"/>
      <c r="N247" s="40"/>
      <c r="O247" s="40"/>
      <c r="P247" s="40"/>
      <c r="Q247" s="39"/>
      <c r="R247" s="39"/>
      <c r="S247" s="41"/>
      <c r="T247" s="42"/>
      <c r="U247" s="43"/>
      <c r="V247" s="44"/>
    </row>
    <row r="248" customFormat="false" ht="15" hidden="false" customHeight="false" outlineLevel="2" collapsed="false">
      <c r="A248" s="35" t="n">
        <v>2</v>
      </c>
      <c r="B248" s="36" t="s">
        <v>1363</v>
      </c>
      <c r="C248" s="37" t="s">
        <v>1205</v>
      </c>
      <c r="D248" s="36"/>
      <c r="E248" s="36"/>
      <c r="F248" s="38" t="n">
        <v>1</v>
      </c>
      <c r="G248" s="35" t="s">
        <v>264</v>
      </c>
      <c r="H248" s="39"/>
      <c r="I248" s="40"/>
      <c r="J248" s="40"/>
      <c r="K248" s="40"/>
      <c r="L248" s="40"/>
      <c r="M248" s="40"/>
      <c r="N248" s="40"/>
      <c r="O248" s="40"/>
      <c r="P248" s="40"/>
      <c r="Q248" s="39"/>
      <c r="R248" s="39"/>
      <c r="S248" s="41"/>
      <c r="T248" s="42"/>
      <c r="U248" s="43"/>
      <c r="V248" s="44"/>
    </row>
    <row r="249" customFormat="false" ht="15" hidden="false" customHeight="false" outlineLevel="1" collapsed="false">
      <c r="A249" s="25" t="n">
        <v>1</v>
      </c>
      <c r="B249" s="26" t="s">
        <v>1364</v>
      </c>
      <c r="C249" s="27" t="s">
        <v>1207</v>
      </c>
      <c r="D249" s="26"/>
      <c r="E249" s="26"/>
      <c r="F249" s="28" t="n">
        <v>1</v>
      </c>
      <c r="G249" s="25" t="s">
        <v>1184</v>
      </c>
      <c r="H249" s="29"/>
      <c r="I249" s="30"/>
      <c r="J249" s="30"/>
      <c r="K249" s="30"/>
      <c r="L249" s="30"/>
      <c r="M249" s="30" t="n">
        <f aca="false">IF(SUMIF(A250:A259,2,M250:M259)=0,"",SUMIF(A250:A259,2,M250:M259))</f>
        <v>10.0501837500935</v>
      </c>
      <c r="N249" s="30"/>
      <c r="O249" s="30" t="n">
        <f aca="false">IF(SUMIF(A250:A259,2,O250:O259)=0,"",SUMIF(A250:A259,2,O250:O259))</f>
        <v>9.74299472043751</v>
      </c>
      <c r="P249" s="30" t="n">
        <f aca="false">IF(SUMIF(A250:A259,2,P250:P259)=0,"",SUMIF(A250:A259,2,P250:P259))</f>
        <v>10.3580435149464</v>
      </c>
      <c r="Q249" s="29"/>
      <c r="R249" s="29"/>
      <c r="S249" s="31"/>
      <c r="T249" s="32"/>
      <c r="U249" s="33"/>
      <c r="V249" s="34"/>
    </row>
    <row r="250" customFormat="false" ht="15" hidden="false" customHeight="false" outlineLevel="2" collapsed="false">
      <c r="A250" s="35" t="n">
        <v>2</v>
      </c>
      <c r="B250" s="36" t="s">
        <v>1354</v>
      </c>
      <c r="C250" s="37" t="s">
        <v>801</v>
      </c>
      <c r="D250" s="36" t="s">
        <v>62</v>
      </c>
      <c r="E250" s="36" t="str">
        <f aca="false">INDEX(REF_DATO,MATCH(D250,REF_ID,0))</f>
        <v>Concentrado espumígeno AFFF 3 %</v>
      </c>
      <c r="F250" s="38" t="n">
        <f aca="false">MODELOS!$L$8*INDEX(REF_VAL,MATCH("AFFF_PROP",REF_ID,0))</f>
        <v>0.3</v>
      </c>
      <c r="G250" s="35" t="s">
        <v>213</v>
      </c>
      <c r="H250" s="39" t="n">
        <f aca="false">INDEX(REF_VAL,MATCH(D250,REF_ID,0))</f>
        <v>1.025</v>
      </c>
      <c r="I250" s="40" t="n">
        <f aca="false">F250</f>
        <v>0.3</v>
      </c>
      <c r="J250" s="40" t="n">
        <v>1</v>
      </c>
      <c r="K250" s="40" t="n">
        <f aca="false">MODELOS!$M$8*INDEX(REF_VAL,MATCH("AFFF_PROP",REF_ID,0))</f>
        <v>0.291</v>
      </c>
      <c r="L250" s="40" t="n">
        <f aca="false">MODELOS!$N$8*INDEX(REF_VAL,MATCH("AFFF_PROP",REF_ID,0))</f>
        <v>0.309</v>
      </c>
      <c r="M250" s="40" t="n">
        <f aca="false">F250*N250</f>
        <v>0.3075</v>
      </c>
      <c r="N250" s="40" t="n">
        <f aca="false">H250</f>
        <v>1.025</v>
      </c>
      <c r="O250" s="40" t="n">
        <f aca="false">MODELOS!$M$8*INDEX(REF_VAL,MATCH("AFFF_PROP",REF_ID,0))*Q250</f>
        <v>0.298275</v>
      </c>
      <c r="P250" s="40" t="n">
        <f aca="false">MODELOS!$N$8*INDEX(REF_VAL,MATCH("AFFF_PROP",REF_ID,0))*R250</f>
        <v>0.316725</v>
      </c>
      <c r="Q250" s="39" t="n">
        <f aca="false">INDEX(REF_MIN,MATCH(D250,REF_ID,0))</f>
        <v>1.025</v>
      </c>
      <c r="R250" s="39" t="n">
        <f aca="false">INDEX(REF_MAX,MATCH(D250,REF_ID,0))</f>
        <v>1.025</v>
      </c>
      <c r="S250" s="41"/>
      <c r="T250" s="42"/>
      <c r="U250" s="43"/>
      <c r="V250" s="44"/>
    </row>
    <row r="251" customFormat="false" ht="15" hidden="false" customHeight="false" outlineLevel="2" collapsed="false">
      <c r="A251" s="35" t="n">
        <v>2</v>
      </c>
      <c r="B251" s="36" t="s">
        <v>1355</v>
      </c>
      <c r="C251" s="37" t="s">
        <v>803</v>
      </c>
      <c r="D251" s="36" t="s">
        <v>55</v>
      </c>
      <c r="E251" s="36" t="str">
        <f aca="false">INDEX(REF_DATO,MATCH(D251,REF_ID,0))</f>
        <v>Agua potable</v>
      </c>
      <c r="F251" s="38" t="n">
        <f aca="false">MODELOS!$L$8*(1-INDEX(REF_VAL,MATCH("AFFF_PROP",REF_ID,0)))</f>
        <v>9.7</v>
      </c>
      <c r="G251" s="35" t="s">
        <v>213</v>
      </c>
      <c r="H251" s="39" t="n">
        <f aca="false">INDEX(REF_VAL,MATCH(D251,REF_ID,0))</f>
        <v>1</v>
      </c>
      <c r="I251" s="40" t="n">
        <f aca="false">F251</f>
        <v>9.7</v>
      </c>
      <c r="J251" s="40" t="n">
        <v>1</v>
      </c>
      <c r="K251" s="40" t="n">
        <f aca="false">MODELOS!$M$8*(1-INDEX(REF_VAL,MATCH("AFFF_PROP",REF_ID,0)))</f>
        <v>9.409</v>
      </c>
      <c r="L251" s="40" t="n">
        <f aca="false">MODELOS!$N$8*(1-INDEX(REF_VAL,MATCH("AFFF_PROP",REF_ID,0)))</f>
        <v>9.991</v>
      </c>
      <c r="M251" s="40" t="n">
        <f aca="false">F251*N251</f>
        <v>9.7</v>
      </c>
      <c r="N251" s="40" t="n">
        <f aca="false">H251</f>
        <v>1</v>
      </c>
      <c r="O251" s="40" t="n">
        <f aca="false">MODELOS!$M$8*(1-INDEX(REF_VAL,MATCH("AFFF_PROP",REF_ID,0)))*Q251</f>
        <v>9.409</v>
      </c>
      <c r="P251" s="40" t="n">
        <f aca="false">MODELOS!$N$8*(1-INDEX(REF_VAL,MATCH("AFFF_PROP",REF_ID,0)))*R251</f>
        <v>9.991</v>
      </c>
      <c r="Q251" s="39" t="n">
        <f aca="false">INDEX(REF_MIN,MATCH(D251,REF_ID,0))</f>
        <v>1</v>
      </c>
      <c r="R251" s="39" t="n">
        <f aca="false">INDEX(REF_MAX,MATCH(D251,REF_ID,0))</f>
        <v>1</v>
      </c>
      <c r="S251" s="41"/>
      <c r="T251" s="42"/>
      <c r="U251" s="43"/>
      <c r="V251" s="44"/>
    </row>
    <row r="252" customFormat="false" ht="15" hidden="false" customHeight="false" outlineLevel="2" collapsed="false">
      <c r="A252" s="35" t="n">
        <v>2</v>
      </c>
      <c r="B252" s="36" t="s">
        <v>1356</v>
      </c>
      <c r="C252" s="37" t="s">
        <v>755</v>
      </c>
      <c r="D252" s="36" t="s">
        <v>82</v>
      </c>
      <c r="E252" s="36" t="str">
        <f aca="false">INDEX(REF_DATO,MATCH(D252,REF_ID,0))</f>
        <v>Aire comprimido (densidad normal)</v>
      </c>
      <c r="F252" s="38" t="n">
        <f aca="false">MODELOS!$AF$8</f>
        <v>0.0426837500934968</v>
      </c>
      <c r="G252" s="35" t="s">
        <v>123</v>
      </c>
      <c r="H252" s="39" t="n">
        <f aca="false">INDEX(REF_VAL,MATCH(D252,REF_ID,0))</f>
        <v>0.00129383421076113</v>
      </c>
      <c r="I252" s="40" t="n">
        <f aca="false">F252*J252</f>
        <v>32.9901232619185</v>
      </c>
      <c r="J252" s="40" t="n">
        <f aca="false">1/H252</f>
        <v>772.896551724138</v>
      </c>
      <c r="K252" s="40" t="n">
        <f aca="false">MODELOS!$AG$8/H252</f>
        <v>27.6076487546993</v>
      </c>
      <c r="L252" s="40" t="n">
        <f aca="false">MODELOS!$AH$8/H252</f>
        <v>38.8910066899772</v>
      </c>
      <c r="M252" s="40" t="n">
        <f aca="false">F252</f>
        <v>0.0426837500934968</v>
      </c>
      <c r="N252" s="40" t="n">
        <v>1</v>
      </c>
      <c r="O252" s="40" t="n">
        <f aca="false">MODELOS!$AG$8</f>
        <v>0.0357197204375068</v>
      </c>
      <c r="P252" s="40" t="n">
        <f aca="false">MODELOS!$AH$8</f>
        <v>0.0503185149464326</v>
      </c>
      <c r="Q252" s="39"/>
      <c r="R252" s="39"/>
      <c r="S252" s="41"/>
      <c r="T252" s="42"/>
      <c r="U252" s="43"/>
      <c r="V252" s="44"/>
    </row>
    <row r="253" customFormat="false" ht="15" hidden="false" customHeight="false" outlineLevel="2" collapsed="false">
      <c r="A253" s="35" t="n">
        <v>2</v>
      </c>
      <c r="B253" s="36" t="s">
        <v>1357</v>
      </c>
      <c r="C253" s="37" t="s">
        <v>1193</v>
      </c>
      <c r="D253" s="36"/>
      <c r="E253" s="36"/>
      <c r="F253" s="38" t="n">
        <v>1</v>
      </c>
      <c r="G253" s="35" t="s">
        <v>264</v>
      </c>
      <c r="H253" s="39"/>
      <c r="I253" s="40"/>
      <c r="J253" s="40"/>
      <c r="K253" s="40"/>
      <c r="L253" s="40"/>
      <c r="M253" s="40"/>
      <c r="N253" s="40"/>
      <c r="O253" s="40"/>
      <c r="P253" s="40"/>
      <c r="Q253" s="39"/>
      <c r="R253" s="39"/>
      <c r="S253" s="41"/>
      <c r="T253" s="42"/>
      <c r="U253" s="43"/>
      <c r="V253" s="44"/>
    </row>
    <row r="254" customFormat="false" ht="15" hidden="false" customHeight="false" outlineLevel="2" collapsed="false">
      <c r="A254" s="35" t="n">
        <v>2</v>
      </c>
      <c r="B254" s="36" t="s">
        <v>1358</v>
      </c>
      <c r="C254" s="37" t="s">
        <v>1195</v>
      </c>
      <c r="D254" s="36"/>
      <c r="E254" s="36"/>
      <c r="F254" s="38" t="n">
        <v>1</v>
      </c>
      <c r="G254" s="35" t="s">
        <v>264</v>
      </c>
      <c r="H254" s="39"/>
      <c r="I254" s="40"/>
      <c r="J254" s="40"/>
      <c r="K254" s="40"/>
      <c r="L254" s="40"/>
      <c r="M254" s="40"/>
      <c r="N254" s="40"/>
      <c r="O254" s="40"/>
      <c r="P254" s="40"/>
      <c r="Q254" s="39"/>
      <c r="R254" s="39"/>
      <c r="S254" s="41"/>
      <c r="T254" s="42"/>
      <c r="U254" s="43"/>
      <c r="V254" s="44"/>
    </row>
    <row r="255" customFormat="false" ht="15" hidden="false" customHeight="false" outlineLevel="2" collapsed="false">
      <c r="A255" s="35" t="n">
        <v>2</v>
      </c>
      <c r="B255" s="36" t="s">
        <v>1359</v>
      </c>
      <c r="C255" s="37" t="s">
        <v>1197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2" collapsed="false">
      <c r="A256" s="35" t="n">
        <v>2</v>
      </c>
      <c r="B256" s="36" t="s">
        <v>1360</v>
      </c>
      <c r="C256" s="37" t="s">
        <v>1199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2" collapsed="false">
      <c r="A257" s="35" t="n">
        <v>2</v>
      </c>
      <c r="B257" s="36" t="s">
        <v>1361</v>
      </c>
      <c r="C257" s="37" t="s">
        <v>1201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2" collapsed="false">
      <c r="A258" s="35" t="n">
        <v>2</v>
      </c>
      <c r="B258" s="36" t="s">
        <v>1362</v>
      </c>
      <c r="C258" s="37" t="s">
        <v>1203</v>
      </c>
      <c r="D258" s="36"/>
      <c r="E258" s="36"/>
      <c r="F258" s="38" t="n">
        <v>1</v>
      </c>
      <c r="G258" s="35" t="s">
        <v>264</v>
      </c>
      <c r="H258" s="39"/>
      <c r="I258" s="40"/>
      <c r="J258" s="40"/>
      <c r="K258" s="40"/>
      <c r="L258" s="40"/>
      <c r="M258" s="40"/>
      <c r="N258" s="40"/>
      <c r="O258" s="40"/>
      <c r="P258" s="40"/>
      <c r="Q258" s="39"/>
      <c r="R258" s="39"/>
      <c r="S258" s="41"/>
      <c r="T258" s="42"/>
      <c r="U258" s="43"/>
      <c r="V258" s="44"/>
    </row>
    <row r="259" customFormat="false" ht="15" hidden="false" customHeight="false" outlineLevel="2" collapsed="false">
      <c r="A259" s="35" t="n">
        <v>2</v>
      </c>
      <c r="B259" s="36" t="s">
        <v>1363</v>
      </c>
      <c r="C259" s="37" t="s">
        <v>1205</v>
      </c>
      <c r="D259" s="36"/>
      <c r="E259" s="36"/>
      <c r="F259" s="38" t="n">
        <v>1</v>
      </c>
      <c r="G259" s="35" t="s">
        <v>264</v>
      </c>
      <c r="H259" s="39"/>
      <c r="I259" s="40"/>
      <c r="J259" s="40"/>
      <c r="K259" s="40"/>
      <c r="L259" s="40"/>
      <c r="M259" s="40"/>
      <c r="N259" s="40"/>
      <c r="O259" s="40"/>
      <c r="P259" s="40"/>
      <c r="Q259" s="39"/>
      <c r="R259" s="39"/>
      <c r="S259" s="41"/>
      <c r="T259" s="42"/>
      <c r="U259" s="43"/>
      <c r="V259" s="44"/>
    </row>
    <row r="260" customFormat="false" ht="15" hidden="false" customHeight="false" outlineLevel="1" collapsed="false">
      <c r="A260" s="25" t="n">
        <v>1</v>
      </c>
      <c r="B260" s="26" t="s">
        <v>1365</v>
      </c>
      <c r="C260" s="27" t="str">
        <f aca="false">"Prueba hidráulica (cada "&amp;MODELOS!$AO$8&amp;" años, se suma al mantenimiento)"</f>
        <v>Prueba hidráulica (cada 2 años, se suma al mantenimiento)</v>
      </c>
      <c r="D260" s="26"/>
      <c r="E260" s="26"/>
      <c r="F260" s="28" t="n">
        <v>1</v>
      </c>
      <c r="G260" s="25" t="s">
        <v>1184</v>
      </c>
      <c r="H260" s="29"/>
      <c r="I260" s="30"/>
      <c r="J260" s="30"/>
      <c r="K260" s="30"/>
      <c r="L260" s="30"/>
      <c r="M260" s="30" t="str">
        <f aca="false">IF(SUMIF(A261:A261,2,M261:M261)=0,"",SUMIF(A261:A261,2,M261:M261))</f>
        <v/>
      </c>
      <c r="N260" s="30"/>
      <c r="O260" s="30" t="str">
        <f aca="false">IF(SUMIF(A261:A261,2,O261:O261)=0,"",SUMIF(A261:A261,2,O261:O261))</f>
        <v/>
      </c>
      <c r="P260" s="30" t="str">
        <f aca="false">IF(SUMIF(A261:A261,2,P261:P261)=0,"",SUMIF(A261:A261,2,P261:P261))</f>
        <v/>
      </c>
      <c r="Q260" s="29"/>
      <c r="R260" s="29"/>
      <c r="S260" s="31"/>
      <c r="T260" s="32"/>
      <c r="U260" s="33"/>
      <c r="V260" s="34"/>
    </row>
    <row r="261" customFormat="false" ht="15" hidden="false" customHeight="false" outlineLevel="2" collapsed="false">
      <c r="A261" s="35" t="n">
        <v>2</v>
      </c>
      <c r="B261" s="36" t="s">
        <v>1366</v>
      </c>
      <c r="C261" s="37" t="s">
        <v>1212</v>
      </c>
      <c r="D261" s="36"/>
      <c r="E261" s="36"/>
      <c r="F261" s="38" t="n">
        <v>1</v>
      </c>
      <c r="G261" s="35" t="s">
        <v>264</v>
      </c>
      <c r="H261" s="39"/>
      <c r="I261" s="40"/>
      <c r="J261" s="40"/>
      <c r="K261" s="40"/>
      <c r="L261" s="40"/>
      <c r="M261" s="40"/>
      <c r="N261" s="40"/>
      <c r="O261" s="40"/>
      <c r="P261" s="40"/>
      <c r="Q261" s="39"/>
      <c r="R261" s="39"/>
      <c r="S261" s="41"/>
      <c r="T261" s="42"/>
      <c r="U261" s="43"/>
      <c r="V261" s="44"/>
    </row>
    <row r="262" customFormat="false" ht="15" hidden="false" customHeight="false" outlineLevel="0" collapsed="false">
      <c r="A262" s="16" t="n">
        <v>0</v>
      </c>
      <c r="B262" s="17" t="s">
        <v>1367</v>
      </c>
      <c r="C262" s="17" t="s">
        <v>218</v>
      </c>
      <c r="D262" s="17"/>
      <c r="E262" s="17"/>
      <c r="F262" s="18" t="n">
        <v>1</v>
      </c>
      <c r="G262" s="16" t="s">
        <v>264</v>
      </c>
      <c r="H262" s="19"/>
      <c r="I262" s="20"/>
      <c r="J262" s="20"/>
      <c r="K262" s="20"/>
      <c r="L262" s="20"/>
      <c r="M262" s="20"/>
      <c r="N262" s="20"/>
      <c r="O262" s="20"/>
      <c r="P262" s="20"/>
      <c r="Q262" s="19"/>
      <c r="R262" s="19"/>
      <c r="S262" s="21"/>
      <c r="T262" s="22"/>
      <c r="U262" s="23"/>
      <c r="V262" s="24"/>
    </row>
    <row r="263" customFormat="false" ht="15" hidden="false" customHeight="false" outlineLevel="1" collapsed="false">
      <c r="A263" s="25" t="n">
        <v>1</v>
      </c>
      <c r="B263" s="26" t="s">
        <v>1368</v>
      </c>
      <c r="C263" s="27" t="s">
        <v>1183</v>
      </c>
      <c r="D263" s="26"/>
      <c r="E263" s="26"/>
      <c r="F263" s="28" t="n">
        <v>1</v>
      </c>
      <c r="G263" s="25" t="s">
        <v>1184</v>
      </c>
      <c r="H263" s="29"/>
      <c r="I263" s="30"/>
      <c r="J263" s="30"/>
      <c r="K263" s="30"/>
      <c r="L263" s="30"/>
      <c r="M263" s="30" t="str">
        <f aca="false">IF(SUMIF(A264:A264,2,M264:M264)=0,"",SUMIF(A264:A264,2,M264:M264))</f>
        <v/>
      </c>
      <c r="N263" s="30"/>
      <c r="O263" s="30" t="str">
        <f aca="false">IF(SUMIF(A264:A264,2,O264:O264)=0,"",SUMIF(A264:A264,2,O264:O264))</f>
        <v/>
      </c>
      <c r="P263" s="30" t="str">
        <f aca="false">IF(SUMIF(A264:A264,2,P264:P264)=0,"",SUMIF(A264:A264,2,P264:P264))</f>
        <v/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1369</v>
      </c>
      <c r="C264" s="37" t="s">
        <v>1186</v>
      </c>
      <c r="D264" s="36"/>
      <c r="E264" s="36"/>
      <c r="F264" s="38" t="n">
        <v>1</v>
      </c>
      <c r="G264" s="35" t="s">
        <v>264</v>
      </c>
      <c r="H264" s="39"/>
      <c r="I264" s="40"/>
      <c r="J264" s="40"/>
      <c r="K264" s="40"/>
      <c r="L264" s="40"/>
      <c r="M264" s="40"/>
      <c r="N264" s="40"/>
      <c r="O264" s="40"/>
      <c r="P264" s="40"/>
      <c r="Q264" s="39"/>
      <c r="R264" s="39"/>
      <c r="S264" s="41"/>
      <c r="T264" s="42"/>
      <c r="U264" s="43"/>
      <c r="V264" s="44"/>
    </row>
    <row r="265" customFormat="false" ht="15" hidden="false" customHeight="false" outlineLevel="1" collapsed="false">
      <c r="A265" s="25" t="n">
        <v>1</v>
      </c>
      <c r="B265" s="26" t="s">
        <v>1370</v>
      </c>
      <c r="C265" s="27" t="s">
        <v>1188</v>
      </c>
      <c r="D265" s="26"/>
      <c r="E265" s="26"/>
      <c r="F265" s="28" t="n">
        <v>1</v>
      </c>
      <c r="G265" s="25" t="s">
        <v>1184</v>
      </c>
      <c r="H265" s="29"/>
      <c r="I265" s="30"/>
      <c r="J265" s="30"/>
      <c r="K265" s="30"/>
      <c r="L265" s="30"/>
      <c r="M265" s="30" t="n">
        <f aca="false">IF(SUMIF(A266:A275,2,M266:M275)=0,"",SUMIF(A266:A275,2,M266:M275))</f>
        <v>50.164049811835</v>
      </c>
      <c r="N265" s="30"/>
      <c r="O265" s="30" t="n">
        <f aca="false">IF(SUMIF(A266:A275,2,O266:O275)=0,"",SUMIF(A266:A275,2,O266:O275))</f>
        <v>48.6363513914419</v>
      </c>
      <c r="P265" s="30" t="n">
        <f aca="false">IF(SUMIF(A266:A275,2,P266:P275)=0,"",SUMIF(A266:A275,2,P266:P275))</f>
        <v>51.6949886095298</v>
      </c>
      <c r="Q265" s="29"/>
      <c r="R265" s="29"/>
      <c r="S265" s="31"/>
      <c r="T265" s="32"/>
      <c r="U265" s="33"/>
      <c r="V265" s="34"/>
    </row>
    <row r="266" customFormat="false" ht="15" hidden="false" customHeight="false" outlineLevel="2" collapsed="false">
      <c r="A266" s="35" t="n">
        <v>2</v>
      </c>
      <c r="B266" s="36" t="s">
        <v>1371</v>
      </c>
      <c r="C266" s="37" t="s">
        <v>801</v>
      </c>
      <c r="D266" s="36" t="s">
        <v>62</v>
      </c>
      <c r="E266" s="36" t="str">
        <f aca="false">INDEX(REF_DATO,MATCH(D266,REF_ID,0))</f>
        <v>Concentrado espumígeno AFFF 3 %</v>
      </c>
      <c r="F266" s="38" t="n">
        <f aca="false">MODELOS!$L$9*INDEX(REF_VAL,MATCH("AFFF_PROP",REF_ID,0))</f>
        <v>1.5</v>
      </c>
      <c r="G266" s="35" t="s">
        <v>213</v>
      </c>
      <c r="H266" s="39" t="n">
        <f aca="false">INDEX(REF_VAL,MATCH(D266,REF_ID,0))</f>
        <v>1.025</v>
      </c>
      <c r="I266" s="40" t="n">
        <f aca="false">F266</f>
        <v>1.5</v>
      </c>
      <c r="J266" s="40" t="n">
        <v>1</v>
      </c>
      <c r="K266" s="40" t="n">
        <f aca="false">MODELOS!$M$9*INDEX(REF_VAL,MATCH("AFFF_PROP",REF_ID,0))</f>
        <v>1.455</v>
      </c>
      <c r="L266" s="40" t="n">
        <f aca="false">MODELOS!$N$9*INDEX(REF_VAL,MATCH("AFFF_PROP",REF_ID,0))</f>
        <v>1.545</v>
      </c>
      <c r="M266" s="40" t="n">
        <f aca="false">F266*N266</f>
        <v>1.5375</v>
      </c>
      <c r="N266" s="40" t="n">
        <f aca="false">H266</f>
        <v>1.025</v>
      </c>
      <c r="O266" s="40" t="n">
        <f aca="false">MODELOS!$M$9*INDEX(REF_VAL,MATCH("AFFF_PROP",REF_ID,0))*Q266</f>
        <v>1.491375</v>
      </c>
      <c r="P266" s="40" t="n">
        <f aca="false">MODELOS!$N$9*INDEX(REF_VAL,MATCH("AFFF_PROP",REF_ID,0))*R266</f>
        <v>1.583625</v>
      </c>
      <c r="Q266" s="39" t="n">
        <f aca="false">INDEX(REF_MIN,MATCH(D266,REF_ID,0))</f>
        <v>1.025</v>
      </c>
      <c r="R266" s="39" t="n">
        <f aca="false">INDEX(REF_MAX,MATCH(D266,REF_ID,0))</f>
        <v>1.025</v>
      </c>
      <c r="S266" s="41"/>
      <c r="T266" s="42"/>
      <c r="U266" s="43"/>
      <c r="V266" s="44"/>
    </row>
    <row r="267" customFormat="false" ht="15" hidden="false" customHeight="false" outlineLevel="2" collapsed="false">
      <c r="A267" s="35" t="n">
        <v>2</v>
      </c>
      <c r="B267" s="36" t="s">
        <v>1372</v>
      </c>
      <c r="C267" s="37" t="s">
        <v>803</v>
      </c>
      <c r="D267" s="36" t="s">
        <v>55</v>
      </c>
      <c r="E267" s="36" t="str">
        <f aca="false">INDEX(REF_DATO,MATCH(D267,REF_ID,0))</f>
        <v>Agua potable</v>
      </c>
      <c r="F267" s="38" t="n">
        <f aca="false">MODELOS!$L$9*(1-INDEX(REF_VAL,MATCH("AFFF_PROP",REF_ID,0)))</f>
        <v>48.5</v>
      </c>
      <c r="G267" s="35" t="s">
        <v>213</v>
      </c>
      <c r="H267" s="39" t="n">
        <f aca="false">INDEX(REF_VAL,MATCH(D267,REF_ID,0))</f>
        <v>1</v>
      </c>
      <c r="I267" s="40" t="n">
        <f aca="false">F267</f>
        <v>48.5</v>
      </c>
      <c r="J267" s="40" t="n">
        <v>1</v>
      </c>
      <c r="K267" s="40" t="n">
        <f aca="false">MODELOS!$M$9*(1-INDEX(REF_VAL,MATCH("AFFF_PROP",REF_ID,0)))</f>
        <v>47.045</v>
      </c>
      <c r="L267" s="40" t="n">
        <f aca="false">MODELOS!$N$9*(1-INDEX(REF_VAL,MATCH("AFFF_PROP",REF_ID,0)))</f>
        <v>49.955</v>
      </c>
      <c r="M267" s="40" t="n">
        <f aca="false">F267*N267</f>
        <v>48.5</v>
      </c>
      <c r="N267" s="40" t="n">
        <f aca="false">H267</f>
        <v>1</v>
      </c>
      <c r="O267" s="40" t="n">
        <f aca="false">MODELOS!$M$9*(1-INDEX(REF_VAL,MATCH("AFFF_PROP",REF_ID,0)))*Q267</f>
        <v>47.045</v>
      </c>
      <c r="P267" s="40" t="n">
        <f aca="false">MODELOS!$N$9*(1-INDEX(REF_VAL,MATCH("AFFF_PROP",REF_ID,0)))*R267</f>
        <v>49.955</v>
      </c>
      <c r="Q267" s="39" t="n">
        <f aca="false">INDEX(REF_MIN,MATCH(D267,REF_ID,0))</f>
        <v>1</v>
      </c>
      <c r="R267" s="39" t="n">
        <f aca="false">INDEX(REF_MAX,MATCH(D267,REF_ID,0))</f>
        <v>1</v>
      </c>
      <c r="S267" s="41"/>
      <c r="T267" s="42"/>
      <c r="U267" s="43"/>
      <c r="V267" s="44"/>
    </row>
    <row r="268" customFormat="false" ht="15" hidden="false" customHeight="false" outlineLevel="2" collapsed="false">
      <c r="A268" s="35" t="n">
        <v>2</v>
      </c>
      <c r="B268" s="36" t="s">
        <v>1373</v>
      </c>
      <c r="C268" s="37" t="s">
        <v>755</v>
      </c>
      <c r="D268" s="36" t="s">
        <v>82</v>
      </c>
      <c r="E268" s="36" t="str">
        <f aca="false">INDEX(REF_DATO,MATCH(D268,REF_ID,0))</f>
        <v>Aire comprimido (densidad normal)</v>
      </c>
      <c r="F268" s="38" t="n">
        <f aca="false">MODELOS!$AF$9</f>
        <v>0.126549811834991</v>
      </c>
      <c r="G268" s="35" t="s">
        <v>123</v>
      </c>
      <c r="H268" s="39" t="n">
        <f aca="false">INDEX(REF_VAL,MATCH(D268,REF_ID,0))</f>
        <v>0.00129383421076113</v>
      </c>
      <c r="I268" s="40" t="n">
        <f aca="false">F268*J268</f>
        <v>97.8099131886027</v>
      </c>
      <c r="J268" s="40" t="n">
        <f aca="false">1/H268</f>
        <v>772.896551724138</v>
      </c>
      <c r="K268" s="40" t="n">
        <f aca="false">MODELOS!$AG$9/H268</f>
        <v>77.2714081992941</v>
      </c>
      <c r="L268" s="40" t="n">
        <f aca="false">MODELOS!$AH$9/H268</f>
        <v>120.852894620724</v>
      </c>
      <c r="M268" s="40" t="n">
        <f aca="false">F268</f>
        <v>0.126549811834991</v>
      </c>
      <c r="N268" s="40" t="n">
        <v>1</v>
      </c>
      <c r="O268" s="40" t="n">
        <f aca="false">MODELOS!$AG$9</f>
        <v>0.0999763914419349</v>
      </c>
      <c r="P268" s="40" t="n">
        <f aca="false">MODELOS!$AH$9</f>
        <v>0.156363609529802</v>
      </c>
      <c r="Q268" s="39"/>
      <c r="R268" s="39"/>
      <c r="S268" s="41"/>
      <c r="T268" s="42"/>
      <c r="U268" s="43"/>
      <c r="V268" s="44"/>
    </row>
    <row r="269" customFormat="false" ht="15" hidden="false" customHeight="false" outlineLevel="2" collapsed="false">
      <c r="A269" s="35" t="n">
        <v>2</v>
      </c>
      <c r="B269" s="36" t="s">
        <v>1374</v>
      </c>
      <c r="C269" s="37" t="s">
        <v>1193</v>
      </c>
      <c r="D269" s="36"/>
      <c r="E269" s="36"/>
      <c r="F269" s="38" t="n">
        <v>1</v>
      </c>
      <c r="G269" s="35" t="s">
        <v>264</v>
      </c>
      <c r="H269" s="39"/>
      <c r="I269" s="40"/>
      <c r="J269" s="40"/>
      <c r="K269" s="40"/>
      <c r="L269" s="40"/>
      <c r="M269" s="40"/>
      <c r="N269" s="40"/>
      <c r="O269" s="40"/>
      <c r="P269" s="40"/>
      <c r="Q269" s="39"/>
      <c r="R269" s="39"/>
      <c r="S269" s="41"/>
      <c r="T269" s="42"/>
      <c r="U269" s="43"/>
      <c r="V269" s="44"/>
    </row>
    <row r="270" customFormat="false" ht="15" hidden="false" customHeight="false" outlineLevel="2" collapsed="false">
      <c r="A270" s="35" t="n">
        <v>2</v>
      </c>
      <c r="B270" s="36" t="s">
        <v>1375</v>
      </c>
      <c r="C270" s="37" t="s">
        <v>1195</v>
      </c>
      <c r="D270" s="36"/>
      <c r="E270" s="36"/>
      <c r="F270" s="38" t="n">
        <v>1</v>
      </c>
      <c r="G270" s="35" t="s">
        <v>264</v>
      </c>
      <c r="H270" s="39"/>
      <c r="I270" s="40"/>
      <c r="J270" s="40"/>
      <c r="K270" s="40"/>
      <c r="L270" s="40"/>
      <c r="M270" s="40"/>
      <c r="N270" s="40"/>
      <c r="O270" s="40"/>
      <c r="P270" s="40"/>
      <c r="Q270" s="39"/>
      <c r="R270" s="39"/>
      <c r="S270" s="41"/>
      <c r="T270" s="42"/>
      <c r="U270" s="43"/>
      <c r="V270" s="44"/>
    </row>
    <row r="271" customFormat="false" ht="15" hidden="false" customHeight="false" outlineLevel="2" collapsed="false">
      <c r="A271" s="35" t="n">
        <v>2</v>
      </c>
      <c r="B271" s="36" t="s">
        <v>1376</v>
      </c>
      <c r="C271" s="37" t="s">
        <v>1197</v>
      </c>
      <c r="D271" s="36"/>
      <c r="E271" s="36"/>
      <c r="F271" s="38" t="n">
        <v>1</v>
      </c>
      <c r="G271" s="35" t="s">
        <v>264</v>
      </c>
      <c r="H271" s="39"/>
      <c r="I271" s="40"/>
      <c r="J271" s="40"/>
      <c r="K271" s="40"/>
      <c r="L271" s="40"/>
      <c r="M271" s="40"/>
      <c r="N271" s="40"/>
      <c r="O271" s="40"/>
      <c r="P271" s="40"/>
      <c r="Q271" s="39"/>
      <c r="R271" s="39"/>
      <c r="S271" s="41"/>
      <c r="T271" s="42"/>
      <c r="U271" s="43"/>
      <c r="V271" s="44"/>
    </row>
    <row r="272" customFormat="false" ht="15" hidden="false" customHeight="false" outlineLevel="2" collapsed="false">
      <c r="A272" s="35" t="n">
        <v>2</v>
      </c>
      <c r="B272" s="36" t="s">
        <v>1377</v>
      </c>
      <c r="C272" s="37" t="s">
        <v>1199</v>
      </c>
      <c r="D272" s="36"/>
      <c r="E272" s="36"/>
      <c r="F272" s="38" t="n">
        <v>1</v>
      </c>
      <c r="G272" s="35" t="s">
        <v>264</v>
      </c>
      <c r="H272" s="39"/>
      <c r="I272" s="40"/>
      <c r="J272" s="40"/>
      <c r="K272" s="40"/>
      <c r="L272" s="40"/>
      <c r="M272" s="40"/>
      <c r="N272" s="40"/>
      <c r="O272" s="40"/>
      <c r="P272" s="40"/>
      <c r="Q272" s="39"/>
      <c r="R272" s="39"/>
      <c r="S272" s="41"/>
      <c r="T272" s="42"/>
      <c r="U272" s="43"/>
      <c r="V272" s="44"/>
    </row>
    <row r="273" customFormat="false" ht="15" hidden="false" customHeight="false" outlineLevel="2" collapsed="false">
      <c r="A273" s="35" t="n">
        <v>2</v>
      </c>
      <c r="B273" s="36" t="s">
        <v>1378</v>
      </c>
      <c r="C273" s="37" t="s">
        <v>1201</v>
      </c>
      <c r="D273" s="36"/>
      <c r="E273" s="36"/>
      <c r="F273" s="38" t="n">
        <v>1</v>
      </c>
      <c r="G273" s="35" t="s">
        <v>264</v>
      </c>
      <c r="H273" s="39"/>
      <c r="I273" s="40"/>
      <c r="J273" s="40"/>
      <c r="K273" s="40"/>
      <c r="L273" s="40"/>
      <c r="M273" s="40"/>
      <c r="N273" s="40"/>
      <c r="O273" s="40"/>
      <c r="P273" s="40"/>
      <c r="Q273" s="39"/>
      <c r="R273" s="39"/>
      <c r="S273" s="41"/>
      <c r="T273" s="42"/>
      <c r="U273" s="43"/>
      <c r="V273" s="44"/>
    </row>
    <row r="274" customFormat="false" ht="15" hidden="false" customHeight="false" outlineLevel="2" collapsed="false">
      <c r="A274" s="35" t="n">
        <v>2</v>
      </c>
      <c r="B274" s="36" t="s">
        <v>1379</v>
      </c>
      <c r="C274" s="37" t="s">
        <v>1203</v>
      </c>
      <c r="D274" s="36"/>
      <c r="E274" s="36"/>
      <c r="F274" s="38" t="n">
        <v>1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2" collapsed="false">
      <c r="A275" s="35" t="n">
        <v>2</v>
      </c>
      <c r="B275" s="36" t="s">
        <v>1380</v>
      </c>
      <c r="C275" s="37" t="s">
        <v>1205</v>
      </c>
      <c r="D275" s="36"/>
      <c r="E275" s="36"/>
      <c r="F275" s="38" t="n">
        <v>1</v>
      </c>
      <c r="G275" s="35" t="s">
        <v>264</v>
      </c>
      <c r="H275" s="39"/>
      <c r="I275" s="40"/>
      <c r="J275" s="40"/>
      <c r="K275" s="40"/>
      <c r="L275" s="40"/>
      <c r="M275" s="40"/>
      <c r="N275" s="40"/>
      <c r="O275" s="40"/>
      <c r="P275" s="40"/>
      <c r="Q275" s="39"/>
      <c r="R275" s="39"/>
      <c r="S275" s="41"/>
      <c r="T275" s="42"/>
      <c r="U275" s="43"/>
      <c r="V275" s="44"/>
    </row>
    <row r="276" customFormat="false" ht="15" hidden="false" customHeight="false" outlineLevel="1" collapsed="false">
      <c r="A276" s="25" t="n">
        <v>1</v>
      </c>
      <c r="B276" s="26" t="s">
        <v>1381</v>
      </c>
      <c r="C276" s="27" t="s">
        <v>1207</v>
      </c>
      <c r="D276" s="26"/>
      <c r="E276" s="26"/>
      <c r="F276" s="28" t="n">
        <v>1</v>
      </c>
      <c r="G276" s="25" t="s">
        <v>1184</v>
      </c>
      <c r="H276" s="29"/>
      <c r="I276" s="30"/>
      <c r="J276" s="30"/>
      <c r="K276" s="30"/>
      <c r="L276" s="30"/>
      <c r="M276" s="30" t="n">
        <f aca="false">IF(SUMIF(A277:A286,2,M277:M286)=0,"",SUMIF(A277:A286,2,M277:M286))</f>
        <v>50.164049811835</v>
      </c>
      <c r="N276" s="30"/>
      <c r="O276" s="30" t="n">
        <f aca="false">IF(SUMIF(A277:A286,2,O277:O286)=0,"",SUMIF(A277:A286,2,O277:O286))</f>
        <v>48.6363513914419</v>
      </c>
      <c r="P276" s="30" t="n">
        <f aca="false">IF(SUMIF(A277:A286,2,P277:P286)=0,"",SUMIF(A277:A286,2,P277:P286))</f>
        <v>51.6949886095298</v>
      </c>
      <c r="Q276" s="29"/>
      <c r="R276" s="29"/>
      <c r="S276" s="31"/>
      <c r="T276" s="32"/>
      <c r="U276" s="33"/>
      <c r="V276" s="34"/>
    </row>
    <row r="277" customFormat="false" ht="15" hidden="false" customHeight="false" outlineLevel="2" collapsed="false">
      <c r="A277" s="35" t="n">
        <v>2</v>
      </c>
      <c r="B277" s="36" t="s">
        <v>1371</v>
      </c>
      <c r="C277" s="37" t="s">
        <v>801</v>
      </c>
      <c r="D277" s="36" t="s">
        <v>62</v>
      </c>
      <c r="E277" s="36" t="str">
        <f aca="false">INDEX(REF_DATO,MATCH(D277,REF_ID,0))</f>
        <v>Concentrado espumígeno AFFF 3 %</v>
      </c>
      <c r="F277" s="38" t="n">
        <f aca="false">MODELOS!$L$9*INDEX(REF_VAL,MATCH("AFFF_PROP",REF_ID,0))</f>
        <v>1.5</v>
      </c>
      <c r="G277" s="35" t="s">
        <v>213</v>
      </c>
      <c r="H277" s="39" t="n">
        <f aca="false">INDEX(REF_VAL,MATCH(D277,REF_ID,0))</f>
        <v>1.025</v>
      </c>
      <c r="I277" s="40" t="n">
        <f aca="false">F277</f>
        <v>1.5</v>
      </c>
      <c r="J277" s="40" t="n">
        <v>1</v>
      </c>
      <c r="K277" s="40" t="n">
        <f aca="false">MODELOS!$M$9*INDEX(REF_VAL,MATCH("AFFF_PROP",REF_ID,0))</f>
        <v>1.455</v>
      </c>
      <c r="L277" s="40" t="n">
        <f aca="false">MODELOS!$N$9*INDEX(REF_VAL,MATCH("AFFF_PROP",REF_ID,0))</f>
        <v>1.545</v>
      </c>
      <c r="M277" s="40" t="n">
        <f aca="false">F277*N277</f>
        <v>1.5375</v>
      </c>
      <c r="N277" s="40" t="n">
        <f aca="false">H277</f>
        <v>1.025</v>
      </c>
      <c r="O277" s="40" t="n">
        <f aca="false">MODELOS!$M$9*INDEX(REF_VAL,MATCH("AFFF_PROP",REF_ID,0))*Q277</f>
        <v>1.491375</v>
      </c>
      <c r="P277" s="40" t="n">
        <f aca="false">MODELOS!$N$9*INDEX(REF_VAL,MATCH("AFFF_PROP",REF_ID,0))*R277</f>
        <v>1.583625</v>
      </c>
      <c r="Q277" s="39" t="n">
        <f aca="false">INDEX(REF_MIN,MATCH(D277,REF_ID,0))</f>
        <v>1.025</v>
      </c>
      <c r="R277" s="39" t="n">
        <f aca="false">INDEX(REF_MAX,MATCH(D277,REF_ID,0))</f>
        <v>1.025</v>
      </c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1372</v>
      </c>
      <c r="C278" s="37" t="s">
        <v>803</v>
      </c>
      <c r="D278" s="36" t="s">
        <v>55</v>
      </c>
      <c r="E278" s="36" t="str">
        <f aca="false">INDEX(REF_DATO,MATCH(D278,REF_ID,0))</f>
        <v>Agua potable</v>
      </c>
      <c r="F278" s="38" t="n">
        <f aca="false">MODELOS!$L$9*(1-INDEX(REF_VAL,MATCH("AFFF_PROP",REF_ID,0)))</f>
        <v>48.5</v>
      </c>
      <c r="G278" s="35" t="s">
        <v>213</v>
      </c>
      <c r="H278" s="39" t="n">
        <f aca="false">INDEX(REF_VAL,MATCH(D278,REF_ID,0))</f>
        <v>1</v>
      </c>
      <c r="I278" s="40" t="n">
        <f aca="false">F278</f>
        <v>48.5</v>
      </c>
      <c r="J278" s="40" t="n">
        <v>1</v>
      </c>
      <c r="K278" s="40" t="n">
        <f aca="false">MODELOS!$M$9*(1-INDEX(REF_VAL,MATCH("AFFF_PROP",REF_ID,0)))</f>
        <v>47.045</v>
      </c>
      <c r="L278" s="40" t="n">
        <f aca="false">MODELOS!$N$9*(1-INDEX(REF_VAL,MATCH("AFFF_PROP",REF_ID,0)))</f>
        <v>49.955</v>
      </c>
      <c r="M278" s="40" t="n">
        <f aca="false">F278*N278</f>
        <v>48.5</v>
      </c>
      <c r="N278" s="40" t="n">
        <f aca="false">H278</f>
        <v>1</v>
      </c>
      <c r="O278" s="40" t="n">
        <f aca="false">MODELOS!$M$9*(1-INDEX(REF_VAL,MATCH("AFFF_PROP",REF_ID,0)))*Q278</f>
        <v>47.045</v>
      </c>
      <c r="P278" s="40" t="n">
        <f aca="false">MODELOS!$N$9*(1-INDEX(REF_VAL,MATCH("AFFF_PROP",REF_ID,0)))*R278</f>
        <v>49.955</v>
      </c>
      <c r="Q278" s="39" t="n">
        <f aca="false">INDEX(REF_MIN,MATCH(D278,REF_ID,0))</f>
        <v>1</v>
      </c>
      <c r="R278" s="39" t="n">
        <f aca="false">INDEX(REF_MAX,MATCH(D278,REF_ID,0))</f>
        <v>1</v>
      </c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1373</v>
      </c>
      <c r="C279" s="37" t="s">
        <v>755</v>
      </c>
      <c r="D279" s="36" t="s">
        <v>82</v>
      </c>
      <c r="E279" s="36" t="str">
        <f aca="false">INDEX(REF_DATO,MATCH(D279,REF_ID,0))</f>
        <v>Aire comprimido (densidad normal)</v>
      </c>
      <c r="F279" s="38" t="n">
        <f aca="false">MODELOS!$AF$9</f>
        <v>0.126549811834991</v>
      </c>
      <c r="G279" s="35" t="s">
        <v>123</v>
      </c>
      <c r="H279" s="39" t="n">
        <f aca="false">INDEX(REF_VAL,MATCH(D279,REF_ID,0))</f>
        <v>0.00129383421076113</v>
      </c>
      <c r="I279" s="40" t="n">
        <f aca="false">F279*J279</f>
        <v>97.8099131886027</v>
      </c>
      <c r="J279" s="40" t="n">
        <f aca="false">1/H279</f>
        <v>772.896551724138</v>
      </c>
      <c r="K279" s="40" t="n">
        <f aca="false">MODELOS!$AG$9/H279</f>
        <v>77.2714081992941</v>
      </c>
      <c r="L279" s="40" t="n">
        <f aca="false">MODELOS!$AH$9/H279</f>
        <v>120.852894620724</v>
      </c>
      <c r="M279" s="40" t="n">
        <f aca="false">F279</f>
        <v>0.126549811834991</v>
      </c>
      <c r="N279" s="40" t="n">
        <v>1</v>
      </c>
      <c r="O279" s="40" t="n">
        <f aca="false">MODELOS!$AG$9</f>
        <v>0.0999763914419349</v>
      </c>
      <c r="P279" s="40" t="n">
        <f aca="false">MODELOS!$AH$9</f>
        <v>0.156363609529802</v>
      </c>
      <c r="Q279" s="39"/>
      <c r="R279" s="39"/>
      <c r="S279" s="41"/>
      <c r="T279" s="42"/>
      <c r="U279" s="43"/>
      <c r="V279" s="44"/>
    </row>
    <row r="280" customFormat="false" ht="15" hidden="false" customHeight="false" outlineLevel="2" collapsed="false">
      <c r="A280" s="35" t="n">
        <v>2</v>
      </c>
      <c r="B280" s="36" t="s">
        <v>1374</v>
      </c>
      <c r="C280" s="37" t="s">
        <v>1193</v>
      </c>
      <c r="D280" s="36"/>
      <c r="E280" s="36"/>
      <c r="F280" s="38" t="n">
        <v>1</v>
      </c>
      <c r="G280" s="35" t="s">
        <v>264</v>
      </c>
      <c r="H280" s="39"/>
      <c r="I280" s="40"/>
      <c r="J280" s="40"/>
      <c r="K280" s="40"/>
      <c r="L280" s="40"/>
      <c r="M280" s="40"/>
      <c r="N280" s="40"/>
      <c r="O280" s="40"/>
      <c r="P280" s="40"/>
      <c r="Q280" s="39"/>
      <c r="R280" s="39"/>
      <c r="S280" s="41"/>
      <c r="T280" s="42"/>
      <c r="U280" s="43"/>
      <c r="V280" s="44"/>
    </row>
    <row r="281" customFormat="false" ht="15" hidden="false" customHeight="false" outlineLevel="2" collapsed="false">
      <c r="A281" s="35" t="n">
        <v>2</v>
      </c>
      <c r="B281" s="36" t="s">
        <v>1375</v>
      </c>
      <c r="C281" s="37" t="s">
        <v>1195</v>
      </c>
      <c r="D281" s="36"/>
      <c r="E281" s="36"/>
      <c r="F281" s="38" t="n">
        <v>1</v>
      </c>
      <c r="G281" s="35" t="s">
        <v>264</v>
      </c>
      <c r="H281" s="39"/>
      <c r="I281" s="40"/>
      <c r="J281" s="40"/>
      <c r="K281" s="40"/>
      <c r="L281" s="40"/>
      <c r="M281" s="40"/>
      <c r="N281" s="40"/>
      <c r="O281" s="40"/>
      <c r="P281" s="40"/>
      <c r="Q281" s="39"/>
      <c r="R281" s="39"/>
      <c r="S281" s="41"/>
      <c r="T281" s="42"/>
      <c r="U281" s="43"/>
      <c r="V281" s="44"/>
    </row>
    <row r="282" customFormat="false" ht="15" hidden="false" customHeight="false" outlineLevel="2" collapsed="false">
      <c r="A282" s="35" t="n">
        <v>2</v>
      </c>
      <c r="B282" s="36" t="s">
        <v>1376</v>
      </c>
      <c r="C282" s="37" t="s">
        <v>1197</v>
      </c>
      <c r="D282" s="36"/>
      <c r="E282" s="36"/>
      <c r="F282" s="38" t="n">
        <v>1</v>
      </c>
      <c r="G282" s="35" t="s">
        <v>264</v>
      </c>
      <c r="H282" s="39"/>
      <c r="I282" s="40"/>
      <c r="J282" s="40"/>
      <c r="K282" s="40"/>
      <c r="L282" s="40"/>
      <c r="M282" s="40"/>
      <c r="N282" s="40"/>
      <c r="O282" s="40"/>
      <c r="P282" s="40"/>
      <c r="Q282" s="39"/>
      <c r="R282" s="39"/>
      <c r="S282" s="41"/>
      <c r="T282" s="42"/>
      <c r="U282" s="43"/>
      <c r="V282" s="44"/>
    </row>
    <row r="283" customFormat="false" ht="15" hidden="false" customHeight="false" outlineLevel="2" collapsed="false">
      <c r="A283" s="35" t="n">
        <v>2</v>
      </c>
      <c r="B283" s="36" t="s">
        <v>1377</v>
      </c>
      <c r="C283" s="37" t="s">
        <v>1199</v>
      </c>
      <c r="D283" s="36"/>
      <c r="E283" s="36"/>
      <c r="F283" s="38" t="n">
        <v>1</v>
      </c>
      <c r="G283" s="35" t="s">
        <v>264</v>
      </c>
      <c r="H283" s="39"/>
      <c r="I283" s="40"/>
      <c r="J283" s="40"/>
      <c r="K283" s="40"/>
      <c r="L283" s="40"/>
      <c r="M283" s="40"/>
      <c r="N283" s="40"/>
      <c r="O283" s="40"/>
      <c r="P283" s="40"/>
      <c r="Q283" s="39"/>
      <c r="R283" s="39"/>
      <c r="S283" s="41"/>
      <c r="T283" s="42"/>
      <c r="U283" s="43"/>
      <c r="V283" s="44"/>
    </row>
    <row r="284" customFormat="false" ht="15" hidden="false" customHeight="false" outlineLevel="2" collapsed="false">
      <c r="A284" s="35" t="n">
        <v>2</v>
      </c>
      <c r="B284" s="36" t="s">
        <v>1378</v>
      </c>
      <c r="C284" s="37" t="s">
        <v>1201</v>
      </c>
      <c r="D284" s="36"/>
      <c r="E284" s="36"/>
      <c r="F284" s="38" t="n">
        <v>1</v>
      </c>
      <c r="G284" s="35" t="s">
        <v>264</v>
      </c>
      <c r="H284" s="39"/>
      <c r="I284" s="40"/>
      <c r="J284" s="40"/>
      <c r="K284" s="40"/>
      <c r="L284" s="40"/>
      <c r="M284" s="40"/>
      <c r="N284" s="40"/>
      <c r="O284" s="40"/>
      <c r="P284" s="40"/>
      <c r="Q284" s="39"/>
      <c r="R284" s="39"/>
      <c r="S284" s="41"/>
      <c r="T284" s="42"/>
      <c r="U284" s="43"/>
      <c r="V284" s="44"/>
    </row>
    <row r="285" customFormat="false" ht="15" hidden="false" customHeight="false" outlineLevel="2" collapsed="false">
      <c r="A285" s="35" t="n">
        <v>2</v>
      </c>
      <c r="B285" s="36" t="s">
        <v>1379</v>
      </c>
      <c r="C285" s="37" t="s">
        <v>1203</v>
      </c>
      <c r="D285" s="36"/>
      <c r="E285" s="36"/>
      <c r="F285" s="38" t="n">
        <v>1</v>
      </c>
      <c r="G285" s="35" t="s">
        <v>264</v>
      </c>
      <c r="H285" s="39"/>
      <c r="I285" s="40"/>
      <c r="J285" s="40"/>
      <c r="K285" s="40"/>
      <c r="L285" s="40"/>
      <c r="M285" s="40"/>
      <c r="N285" s="40"/>
      <c r="O285" s="40"/>
      <c r="P285" s="40"/>
      <c r="Q285" s="39"/>
      <c r="R285" s="39"/>
      <c r="S285" s="41"/>
      <c r="T285" s="42"/>
      <c r="U285" s="43"/>
      <c r="V285" s="44"/>
    </row>
    <row r="286" customFormat="false" ht="15" hidden="false" customHeight="false" outlineLevel="2" collapsed="false">
      <c r="A286" s="35" t="n">
        <v>2</v>
      </c>
      <c r="B286" s="36" t="s">
        <v>1380</v>
      </c>
      <c r="C286" s="37" t="s">
        <v>1205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1" collapsed="false">
      <c r="A287" s="25" t="n">
        <v>1</v>
      </c>
      <c r="B287" s="26" t="s">
        <v>1382</v>
      </c>
      <c r="C287" s="27" t="str">
        <f aca="false">"Prueba hidráulica (cada "&amp;MODELOS!$AO$9&amp;" años, se suma al mantenimiento)"</f>
        <v>Prueba hidráulica (cada 2 años, se suma al mantenimiento)</v>
      </c>
      <c r="D287" s="26"/>
      <c r="E287" s="26"/>
      <c r="F287" s="28" t="n">
        <v>1</v>
      </c>
      <c r="G287" s="25" t="s">
        <v>1184</v>
      </c>
      <c r="H287" s="29"/>
      <c r="I287" s="30"/>
      <c r="J287" s="30"/>
      <c r="K287" s="30"/>
      <c r="L287" s="30"/>
      <c r="M287" s="30" t="str">
        <f aca="false">IF(SUMIF(A288:A288,2,M288:M288)=0,"",SUMIF(A288:A288,2,M288:M288))</f>
        <v/>
      </c>
      <c r="N287" s="30"/>
      <c r="O287" s="30" t="str">
        <f aca="false">IF(SUMIF(A288:A288,2,O288:O288)=0,"",SUMIF(A288:A288,2,O288:O288))</f>
        <v/>
      </c>
      <c r="P287" s="30" t="str">
        <f aca="false">IF(SUMIF(A288:A288,2,P288:P288)=0,"",SUMIF(A288:A288,2,P288:P288))</f>
        <v/>
      </c>
      <c r="Q287" s="29"/>
      <c r="R287" s="29"/>
      <c r="S287" s="31"/>
      <c r="T287" s="32"/>
      <c r="U287" s="33"/>
      <c r="V287" s="34"/>
    </row>
    <row r="288" customFormat="false" ht="15" hidden="false" customHeight="false" outlineLevel="2" collapsed="false">
      <c r="A288" s="35" t="n">
        <v>2</v>
      </c>
      <c r="B288" s="36" t="s">
        <v>1383</v>
      </c>
      <c r="C288" s="37" t="s">
        <v>1212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0" collapsed="false">
      <c r="A289" s="16" t="n">
        <v>0</v>
      </c>
      <c r="B289" s="17" t="s">
        <v>1384</v>
      </c>
      <c r="C289" s="17" t="s">
        <v>221</v>
      </c>
      <c r="D289" s="17"/>
      <c r="E289" s="17"/>
      <c r="F289" s="18" t="n">
        <v>1</v>
      </c>
      <c r="G289" s="16" t="s">
        <v>264</v>
      </c>
      <c r="H289" s="19"/>
      <c r="I289" s="20"/>
      <c r="J289" s="20"/>
      <c r="K289" s="20"/>
      <c r="L289" s="20"/>
      <c r="M289" s="20"/>
      <c r="N289" s="20"/>
      <c r="O289" s="20"/>
      <c r="P289" s="20"/>
      <c r="Q289" s="19"/>
      <c r="R289" s="19"/>
      <c r="S289" s="21"/>
      <c r="T289" s="22"/>
      <c r="U289" s="23"/>
      <c r="V289" s="24"/>
    </row>
    <row r="290" customFormat="false" ht="15" hidden="false" customHeight="false" outlineLevel="1" collapsed="false">
      <c r="A290" s="25" t="n">
        <v>1</v>
      </c>
      <c r="B290" s="26" t="s">
        <v>1385</v>
      </c>
      <c r="C290" s="27" t="s">
        <v>1183</v>
      </c>
      <c r="D290" s="26"/>
      <c r="E290" s="26"/>
      <c r="F290" s="28" t="n">
        <v>1</v>
      </c>
      <c r="G290" s="25" t="s">
        <v>1184</v>
      </c>
      <c r="H290" s="29"/>
      <c r="I290" s="30"/>
      <c r="J290" s="30"/>
      <c r="K290" s="30"/>
      <c r="L290" s="30"/>
      <c r="M290" s="30" t="str">
        <f aca="false">IF(SUMIF(A291:A291,2,M291:M291)=0,"",SUMIF(A291:A291,2,M291:M291))</f>
        <v/>
      </c>
      <c r="N290" s="30"/>
      <c r="O290" s="30" t="str">
        <f aca="false">IF(SUMIF(A291:A291,2,O291:O291)=0,"",SUMIF(A291:A291,2,O291:O291))</f>
        <v/>
      </c>
      <c r="P290" s="30" t="str">
        <f aca="false">IF(SUMIF(A291:A291,2,P291:P291)=0,"",SUMIF(A291:A291,2,P291:P291))</f>
        <v/>
      </c>
      <c r="Q290" s="29"/>
      <c r="R290" s="29"/>
      <c r="S290" s="31"/>
      <c r="T290" s="32"/>
      <c r="U290" s="33"/>
      <c r="V290" s="34"/>
    </row>
    <row r="291" customFormat="false" ht="15" hidden="false" customHeight="false" outlineLevel="2" collapsed="false">
      <c r="A291" s="35" t="n">
        <v>2</v>
      </c>
      <c r="B291" s="36" t="s">
        <v>1386</v>
      </c>
      <c r="C291" s="37" t="s">
        <v>1186</v>
      </c>
      <c r="D291" s="36"/>
      <c r="E291" s="36"/>
      <c r="F291" s="38" t="n">
        <v>1</v>
      </c>
      <c r="G291" s="35" t="s">
        <v>264</v>
      </c>
      <c r="H291" s="39"/>
      <c r="I291" s="40"/>
      <c r="J291" s="40"/>
      <c r="K291" s="40"/>
      <c r="L291" s="40"/>
      <c r="M291" s="40"/>
      <c r="N291" s="40"/>
      <c r="O291" s="40"/>
      <c r="P291" s="40"/>
      <c r="Q291" s="39"/>
      <c r="R291" s="39"/>
      <c r="S291" s="41"/>
      <c r="T291" s="42"/>
      <c r="U291" s="43"/>
      <c r="V291" s="44"/>
    </row>
    <row r="292" customFormat="false" ht="15" hidden="false" customHeight="false" outlineLevel="1" collapsed="false">
      <c r="A292" s="25" t="n">
        <v>1</v>
      </c>
      <c r="B292" s="26" t="s">
        <v>1387</v>
      </c>
      <c r="C292" s="27" t="s">
        <v>1188</v>
      </c>
      <c r="D292" s="26"/>
      <c r="E292" s="26"/>
      <c r="F292" s="28" t="n">
        <v>1</v>
      </c>
      <c r="G292" s="25" t="s">
        <v>1184</v>
      </c>
      <c r="H292" s="29"/>
      <c r="I292" s="30"/>
      <c r="J292" s="30"/>
      <c r="K292" s="30"/>
      <c r="L292" s="30"/>
      <c r="M292" s="30" t="n">
        <f aca="false">IF(SUMIF(A293:A301,2,M293:M301)=0,"",SUMIF(A293:A301,2,M293:M301))</f>
        <v>0.154791045864874</v>
      </c>
      <c r="N292" s="30"/>
      <c r="O292" s="30" t="str">
        <f aca="false">IF(SUMIF(A293:A301,2,O293:O301)=0,"",SUMIF(A293:A301,2,O293:O301))</f>
        <v/>
      </c>
      <c r="P292" s="30" t="n">
        <f aca="false">IF(SUMIF(A293:A301,2,P293:P301)=0,"",SUMIF(A293:A301,2,P293:P301))</f>
        <v>0.168985664464381</v>
      </c>
      <c r="Q292" s="29"/>
      <c r="R292" s="29"/>
      <c r="S292" s="31"/>
      <c r="T292" s="32"/>
      <c r="U292" s="33"/>
      <c r="V292" s="34"/>
    </row>
    <row r="293" customFormat="false" ht="15" hidden="false" customHeight="false" outlineLevel="2" collapsed="false">
      <c r="A293" s="35" t="n">
        <v>2</v>
      </c>
      <c r="B293" s="36" t="s">
        <v>1388</v>
      </c>
      <c r="C293" s="37" t="s">
        <v>1389</v>
      </c>
      <c r="D293" s="36" t="s">
        <v>45</v>
      </c>
      <c r="E293" s="36" t="str">
        <f aca="false">INDEX(REF_DATO,MATCH(D293,REF_ID,0))</f>
        <v>Polvo BC (bicarbonato de sodio)</v>
      </c>
      <c r="F293" s="38" t="n">
        <f aca="false">MODELOS!$AN$10</f>
        <v>0.15</v>
      </c>
      <c r="G293" s="35" t="s">
        <v>123</v>
      </c>
      <c r="H293" s="39" t="n">
        <f aca="false">INDEX(REF_VAL,MATCH(D293,REF_ID,0))</f>
        <v>0.9</v>
      </c>
      <c r="I293" s="40" t="n">
        <f aca="false">F293*J293</f>
        <v>0.166666666666667</v>
      </c>
      <c r="J293" s="40" t="n">
        <f aca="false">1/H293</f>
        <v>1.11111111111111</v>
      </c>
      <c r="K293" s="40" t="n">
        <f aca="false">0/R293</f>
        <v>0</v>
      </c>
      <c r="L293" s="40" t="n">
        <f aca="false">MODELOS!$AN$10/Q293</f>
        <v>0.176470588235295</v>
      </c>
      <c r="M293" s="40" t="n">
        <f aca="false">F293</f>
        <v>0.15</v>
      </c>
      <c r="N293" s="40" t="n">
        <v>1</v>
      </c>
      <c r="O293" s="40" t="n">
        <f aca="false">0</f>
        <v>0</v>
      </c>
      <c r="P293" s="40" t="n">
        <f aca="false">MODELOS!$AN$10</f>
        <v>0.15</v>
      </c>
      <c r="Q293" s="39" t="n">
        <f aca="false">INDEX(REF_MIN,MATCH(D293,REF_ID,0))</f>
        <v>0.85</v>
      </c>
      <c r="R293" s="39" t="n">
        <f aca="false">INDEX(REF_MAX,MATCH(D293,REF_ID,0))</f>
        <v>1</v>
      </c>
      <c r="S293" s="41"/>
      <c r="T293" s="42"/>
      <c r="U293" s="43"/>
      <c r="V293" s="44"/>
    </row>
    <row r="294" customFormat="false" ht="15" hidden="false" customHeight="false" outlineLevel="2" collapsed="false">
      <c r="A294" s="35" t="n">
        <v>2</v>
      </c>
      <c r="B294" s="36" t="s">
        <v>1390</v>
      </c>
      <c r="C294" s="37" t="s">
        <v>316</v>
      </c>
      <c r="D294" s="36" t="s">
        <v>78</v>
      </c>
      <c r="E294" s="36" t="str">
        <f aca="false">INDEX(REF_DATO,MATCH(D294,REF_ID,0))</f>
        <v>Nitrógeno seco (densidad normal)</v>
      </c>
      <c r="F294" s="38" t="n">
        <f aca="false">MODELOS!$AF$10</f>
        <v>0.00479104586487373</v>
      </c>
      <c r="G294" s="35" t="s">
        <v>123</v>
      </c>
      <c r="H294" s="39" t="n">
        <f aca="false">INDEX(REF_VAL,MATCH(D294,REF_ID,0))</f>
        <v>0.00124921923797626</v>
      </c>
      <c r="I294" s="40" t="n">
        <f aca="false">F294*J294</f>
        <v>3.83523221483142</v>
      </c>
      <c r="J294" s="40" t="n">
        <f aca="false">1/H294</f>
        <v>800.5</v>
      </c>
      <c r="K294" s="40" t="n">
        <f aca="false">MODELOS!$AG$10/H294</f>
        <v>0</v>
      </c>
      <c r="L294" s="40" t="n">
        <f aca="false">MODELOS!$AH$10/H294</f>
        <v>15.1980244037367</v>
      </c>
      <c r="M294" s="40" t="n">
        <f aca="false">F294</f>
        <v>0.00479104586487373</v>
      </c>
      <c r="N294" s="40" t="n">
        <v>1</v>
      </c>
      <c r="O294" s="40" t="n">
        <f aca="false">MODELOS!$AG$10</f>
        <v>0</v>
      </c>
      <c r="P294" s="40" t="n">
        <f aca="false">MODELOS!$AH$10</f>
        <v>0.0189856644643807</v>
      </c>
      <c r="Q294" s="39"/>
      <c r="R294" s="39"/>
      <c r="S294" s="41"/>
      <c r="T294" s="42"/>
      <c r="U294" s="43"/>
      <c r="V294" s="44"/>
    </row>
    <row r="295" customFormat="false" ht="15" hidden="false" customHeight="false" outlineLevel="2" collapsed="false">
      <c r="A295" s="35" t="n">
        <v>2</v>
      </c>
      <c r="B295" s="36" t="s">
        <v>1391</v>
      </c>
      <c r="C295" s="37" t="s">
        <v>1193</v>
      </c>
      <c r="D295" s="36"/>
      <c r="E295" s="36"/>
      <c r="F295" s="38" t="n">
        <v>1</v>
      </c>
      <c r="G295" s="35" t="s">
        <v>264</v>
      </c>
      <c r="H295" s="39"/>
      <c r="I295" s="40"/>
      <c r="J295" s="40"/>
      <c r="K295" s="40"/>
      <c r="L295" s="40"/>
      <c r="M295" s="40"/>
      <c r="N295" s="40"/>
      <c r="O295" s="40"/>
      <c r="P295" s="40"/>
      <c r="Q295" s="39"/>
      <c r="R295" s="39"/>
      <c r="S295" s="41"/>
      <c r="T295" s="42"/>
      <c r="U295" s="43"/>
      <c r="V295" s="44"/>
    </row>
    <row r="296" customFormat="false" ht="15" hidden="false" customHeight="false" outlineLevel="2" collapsed="false">
      <c r="A296" s="35" t="n">
        <v>2</v>
      </c>
      <c r="B296" s="36" t="s">
        <v>1392</v>
      </c>
      <c r="C296" s="37" t="s">
        <v>1195</v>
      </c>
      <c r="D296" s="36"/>
      <c r="E296" s="36"/>
      <c r="F296" s="38" t="n">
        <v>1</v>
      </c>
      <c r="G296" s="35" t="s">
        <v>264</v>
      </c>
      <c r="H296" s="39"/>
      <c r="I296" s="40"/>
      <c r="J296" s="40"/>
      <c r="K296" s="40"/>
      <c r="L296" s="40"/>
      <c r="M296" s="40"/>
      <c r="N296" s="40"/>
      <c r="O296" s="40"/>
      <c r="P296" s="40"/>
      <c r="Q296" s="39"/>
      <c r="R296" s="39"/>
      <c r="S296" s="41"/>
      <c r="T296" s="42"/>
      <c r="U296" s="43"/>
      <c r="V296" s="44"/>
    </row>
    <row r="297" customFormat="false" ht="15" hidden="false" customHeight="false" outlineLevel="2" collapsed="false">
      <c r="A297" s="35" t="n">
        <v>2</v>
      </c>
      <c r="B297" s="36" t="s">
        <v>1393</v>
      </c>
      <c r="C297" s="37" t="s">
        <v>1197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2" collapsed="false">
      <c r="A298" s="35" t="n">
        <v>2</v>
      </c>
      <c r="B298" s="36" t="s">
        <v>1394</v>
      </c>
      <c r="C298" s="37" t="s">
        <v>1199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1395</v>
      </c>
      <c r="C299" s="37" t="s">
        <v>1201</v>
      </c>
      <c r="D299" s="36"/>
      <c r="E299" s="36"/>
      <c r="F299" s="38" t="n">
        <v>1</v>
      </c>
      <c r="G299" s="35" t="s">
        <v>264</v>
      </c>
      <c r="H299" s="39"/>
      <c r="I299" s="40"/>
      <c r="J299" s="40"/>
      <c r="K299" s="40"/>
      <c r="L299" s="40"/>
      <c r="M299" s="40"/>
      <c r="N299" s="40"/>
      <c r="O299" s="40"/>
      <c r="P299" s="40"/>
      <c r="Q299" s="39"/>
      <c r="R299" s="39"/>
      <c r="S299" s="41"/>
      <c r="T299" s="42"/>
      <c r="U299" s="43"/>
      <c r="V299" s="44"/>
    </row>
    <row r="300" customFormat="false" ht="15" hidden="false" customHeight="false" outlineLevel="2" collapsed="false">
      <c r="A300" s="35" t="n">
        <v>2</v>
      </c>
      <c r="B300" s="36" t="s">
        <v>1396</v>
      </c>
      <c r="C300" s="37" t="s">
        <v>1203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/>
      <c r="N300" s="40"/>
      <c r="O300" s="40"/>
      <c r="P300" s="40"/>
      <c r="Q300" s="39"/>
      <c r="R300" s="39"/>
      <c r="S300" s="41"/>
      <c r="T300" s="42"/>
      <c r="U300" s="43"/>
      <c r="V300" s="44"/>
    </row>
    <row r="301" customFormat="false" ht="15" hidden="false" customHeight="false" outlineLevel="2" collapsed="false">
      <c r="A301" s="35" t="n">
        <v>2</v>
      </c>
      <c r="B301" s="36" t="s">
        <v>1397</v>
      </c>
      <c r="C301" s="37" t="s">
        <v>1205</v>
      </c>
      <c r="D301" s="36"/>
      <c r="E301" s="36"/>
      <c r="F301" s="38" t="n">
        <v>1</v>
      </c>
      <c r="G301" s="35" t="s">
        <v>264</v>
      </c>
      <c r="H301" s="39"/>
      <c r="I301" s="40"/>
      <c r="J301" s="40"/>
      <c r="K301" s="40"/>
      <c r="L301" s="40"/>
      <c r="M301" s="40"/>
      <c r="N301" s="40"/>
      <c r="O301" s="40"/>
      <c r="P301" s="40"/>
      <c r="Q301" s="39"/>
      <c r="R301" s="39"/>
      <c r="S301" s="41"/>
      <c r="T301" s="42"/>
      <c r="U301" s="43"/>
      <c r="V301" s="44"/>
    </row>
    <row r="302" customFormat="false" ht="15" hidden="false" customHeight="false" outlineLevel="1" collapsed="false">
      <c r="A302" s="25" t="n">
        <v>1</v>
      </c>
      <c r="B302" s="26" t="s">
        <v>1398</v>
      </c>
      <c r="C302" s="27" t="s">
        <v>1207</v>
      </c>
      <c r="D302" s="26"/>
      <c r="E302" s="26"/>
      <c r="F302" s="28" t="n">
        <v>1</v>
      </c>
      <c r="G302" s="25" t="s">
        <v>1184</v>
      </c>
      <c r="H302" s="29"/>
      <c r="I302" s="30"/>
      <c r="J302" s="30"/>
      <c r="K302" s="30"/>
      <c r="L302" s="30"/>
      <c r="M302" s="30" t="n">
        <f aca="false">IF(SUMIF(A303:A311,2,M303:M311)=0,"",SUMIF(A303:A311,2,M303:M311))</f>
        <v>5.15479104586487</v>
      </c>
      <c r="N302" s="30"/>
      <c r="O302" s="30" t="n">
        <f aca="false">IF(SUMIF(A303:A311,2,O303:O311)=0,"",SUMIF(A303:A311,2,O303:O311))</f>
        <v>5</v>
      </c>
      <c r="P302" s="30" t="n">
        <f aca="false">IF(SUMIF(A303:A311,2,P303:P311)=0,"",SUMIF(A303:A311,2,P303:P311))</f>
        <v>5.31898566446438</v>
      </c>
      <c r="Q302" s="29"/>
      <c r="R302" s="29"/>
      <c r="S302" s="31"/>
      <c r="T302" s="32"/>
      <c r="U302" s="33"/>
      <c r="V302" s="34"/>
    </row>
    <row r="303" customFormat="false" ht="15" hidden="false" customHeight="false" outlineLevel="2" collapsed="false">
      <c r="A303" s="35" t="n">
        <v>2</v>
      </c>
      <c r="B303" s="36" t="s">
        <v>1388</v>
      </c>
      <c r="C303" s="37" t="s">
        <v>901</v>
      </c>
      <c r="D303" s="36" t="s">
        <v>45</v>
      </c>
      <c r="E303" s="36" t="str">
        <f aca="false">INDEX(REF_DATO,MATCH(D303,REF_ID,0))</f>
        <v>Polvo BC (bicarbonato de sodio)</v>
      </c>
      <c r="F303" s="38" t="n">
        <f aca="false">MODELOS!$L$10</f>
        <v>5.15</v>
      </c>
      <c r="G303" s="35" t="s">
        <v>123</v>
      </c>
      <c r="H303" s="39" t="n">
        <f aca="false">INDEX(REF_VAL,MATCH(D303,REF_ID,0))</f>
        <v>0.9</v>
      </c>
      <c r="I303" s="40" t="n">
        <f aca="false">F303*J303</f>
        <v>5.72222222222222</v>
      </c>
      <c r="J303" s="40" t="n">
        <f aca="false">1/H303</f>
        <v>1.11111111111111</v>
      </c>
      <c r="K303" s="40" t="n">
        <f aca="false">MODELOS!$M$10/R303</f>
        <v>5</v>
      </c>
      <c r="L303" s="40" t="n">
        <f aca="false">MODELOS!$N$10/Q303</f>
        <v>6.23529411764706</v>
      </c>
      <c r="M303" s="40" t="n">
        <f aca="false">F303</f>
        <v>5.15</v>
      </c>
      <c r="N303" s="40" t="n">
        <v>1</v>
      </c>
      <c r="O303" s="40" t="n">
        <f aca="false">MODELOS!$M$10</f>
        <v>5</v>
      </c>
      <c r="P303" s="40" t="n">
        <f aca="false">MODELOS!$N$10</f>
        <v>5.3</v>
      </c>
      <c r="Q303" s="39" t="n">
        <f aca="false">INDEX(REF_MIN,MATCH(D303,REF_ID,0))</f>
        <v>0.85</v>
      </c>
      <c r="R303" s="39" t="n">
        <f aca="false">INDEX(REF_MAX,MATCH(D303,REF_ID,0))</f>
        <v>1</v>
      </c>
      <c r="S303" s="41"/>
      <c r="T303" s="42"/>
      <c r="U303" s="43"/>
      <c r="V303" s="44"/>
    </row>
    <row r="304" customFormat="false" ht="15" hidden="false" customHeight="false" outlineLevel="2" collapsed="false">
      <c r="A304" s="35" t="n">
        <v>2</v>
      </c>
      <c r="B304" s="36" t="s">
        <v>1390</v>
      </c>
      <c r="C304" s="37" t="s">
        <v>316</v>
      </c>
      <c r="D304" s="36" t="s">
        <v>78</v>
      </c>
      <c r="E304" s="36" t="str">
        <f aca="false">INDEX(REF_DATO,MATCH(D304,REF_ID,0))</f>
        <v>Nitrógeno seco (densidad normal)</v>
      </c>
      <c r="F304" s="38" t="n">
        <f aca="false">MODELOS!$AF$10</f>
        <v>0.00479104586487373</v>
      </c>
      <c r="G304" s="35" t="s">
        <v>123</v>
      </c>
      <c r="H304" s="39" t="n">
        <f aca="false">INDEX(REF_VAL,MATCH(D304,REF_ID,0))</f>
        <v>0.00124921923797626</v>
      </c>
      <c r="I304" s="40" t="n">
        <f aca="false">F304*J304</f>
        <v>3.83523221483142</v>
      </c>
      <c r="J304" s="40" t="n">
        <f aca="false">1/H304</f>
        <v>800.5</v>
      </c>
      <c r="K304" s="40" t="n">
        <f aca="false">MODELOS!$AG$10/H304</f>
        <v>0</v>
      </c>
      <c r="L304" s="40" t="n">
        <f aca="false">MODELOS!$AH$10/H304</f>
        <v>15.1980244037367</v>
      </c>
      <c r="M304" s="40" t="n">
        <f aca="false">F304</f>
        <v>0.00479104586487373</v>
      </c>
      <c r="N304" s="40" t="n">
        <v>1</v>
      </c>
      <c r="O304" s="40" t="n">
        <f aca="false">MODELOS!$AG$10</f>
        <v>0</v>
      </c>
      <c r="P304" s="40" t="n">
        <f aca="false">MODELOS!$AH$10</f>
        <v>0.0189856644643807</v>
      </c>
      <c r="Q304" s="39"/>
      <c r="R304" s="39"/>
      <c r="S304" s="41"/>
      <c r="T304" s="42"/>
      <c r="U304" s="43"/>
      <c r="V304" s="44"/>
    </row>
    <row r="305" customFormat="false" ht="15" hidden="false" customHeight="false" outlineLevel="2" collapsed="false">
      <c r="A305" s="35" t="n">
        <v>2</v>
      </c>
      <c r="B305" s="36" t="s">
        <v>1391</v>
      </c>
      <c r="C305" s="37" t="s">
        <v>1193</v>
      </c>
      <c r="D305" s="36"/>
      <c r="E305" s="36"/>
      <c r="F305" s="38" t="n">
        <v>1</v>
      </c>
      <c r="G305" s="35" t="s">
        <v>264</v>
      </c>
      <c r="H305" s="39"/>
      <c r="I305" s="40"/>
      <c r="J305" s="40"/>
      <c r="K305" s="40"/>
      <c r="L305" s="40"/>
      <c r="M305" s="40"/>
      <c r="N305" s="40"/>
      <c r="O305" s="40"/>
      <c r="P305" s="40"/>
      <c r="Q305" s="39"/>
      <c r="R305" s="39"/>
      <c r="S305" s="41"/>
      <c r="T305" s="42"/>
      <c r="U305" s="43"/>
      <c r="V305" s="44"/>
    </row>
    <row r="306" customFormat="false" ht="15" hidden="false" customHeight="false" outlineLevel="2" collapsed="false">
      <c r="A306" s="35" t="n">
        <v>2</v>
      </c>
      <c r="B306" s="36" t="s">
        <v>1392</v>
      </c>
      <c r="C306" s="37" t="s">
        <v>1195</v>
      </c>
      <c r="D306" s="36"/>
      <c r="E306" s="36"/>
      <c r="F306" s="38" t="n">
        <v>1</v>
      </c>
      <c r="G306" s="35" t="s">
        <v>264</v>
      </c>
      <c r="H306" s="39"/>
      <c r="I306" s="40"/>
      <c r="J306" s="40"/>
      <c r="K306" s="40"/>
      <c r="L306" s="40"/>
      <c r="M306" s="40"/>
      <c r="N306" s="40"/>
      <c r="O306" s="40"/>
      <c r="P306" s="40"/>
      <c r="Q306" s="39"/>
      <c r="R306" s="39"/>
      <c r="S306" s="41"/>
      <c r="T306" s="42"/>
      <c r="U306" s="43"/>
      <c r="V306" s="44"/>
    </row>
    <row r="307" customFormat="false" ht="15" hidden="false" customHeight="false" outlineLevel="2" collapsed="false">
      <c r="A307" s="35" t="n">
        <v>2</v>
      </c>
      <c r="B307" s="36" t="s">
        <v>1393</v>
      </c>
      <c r="C307" s="37" t="s">
        <v>1197</v>
      </c>
      <c r="D307" s="36"/>
      <c r="E307" s="36"/>
      <c r="F307" s="38" t="n">
        <v>1</v>
      </c>
      <c r="G307" s="35" t="s">
        <v>264</v>
      </c>
      <c r="H307" s="39"/>
      <c r="I307" s="40"/>
      <c r="J307" s="40"/>
      <c r="K307" s="40"/>
      <c r="L307" s="40"/>
      <c r="M307" s="40"/>
      <c r="N307" s="40"/>
      <c r="O307" s="40"/>
      <c r="P307" s="40"/>
      <c r="Q307" s="39"/>
      <c r="R307" s="39"/>
      <c r="S307" s="41"/>
      <c r="T307" s="42"/>
      <c r="U307" s="43"/>
      <c r="V307" s="44"/>
    </row>
    <row r="308" customFormat="false" ht="15" hidden="false" customHeight="false" outlineLevel="2" collapsed="false">
      <c r="A308" s="35" t="n">
        <v>2</v>
      </c>
      <c r="B308" s="36" t="s">
        <v>1394</v>
      </c>
      <c r="C308" s="37" t="s">
        <v>1199</v>
      </c>
      <c r="D308" s="36"/>
      <c r="E308" s="36"/>
      <c r="F308" s="38" t="n">
        <v>1</v>
      </c>
      <c r="G308" s="35" t="s">
        <v>264</v>
      </c>
      <c r="H308" s="39"/>
      <c r="I308" s="40"/>
      <c r="J308" s="40"/>
      <c r="K308" s="40"/>
      <c r="L308" s="40"/>
      <c r="M308" s="40"/>
      <c r="N308" s="40"/>
      <c r="O308" s="40"/>
      <c r="P308" s="40"/>
      <c r="Q308" s="39"/>
      <c r="R308" s="39"/>
      <c r="S308" s="41"/>
      <c r="T308" s="42"/>
      <c r="U308" s="43"/>
      <c r="V308" s="44"/>
    </row>
    <row r="309" customFormat="false" ht="15" hidden="false" customHeight="false" outlineLevel="2" collapsed="false">
      <c r="A309" s="35" t="n">
        <v>2</v>
      </c>
      <c r="B309" s="36" t="s">
        <v>1395</v>
      </c>
      <c r="C309" s="37" t="s">
        <v>1201</v>
      </c>
      <c r="D309" s="36"/>
      <c r="E309" s="36"/>
      <c r="F309" s="38" t="n">
        <v>1</v>
      </c>
      <c r="G309" s="35" t="s">
        <v>264</v>
      </c>
      <c r="H309" s="39"/>
      <c r="I309" s="40"/>
      <c r="J309" s="40"/>
      <c r="K309" s="40"/>
      <c r="L309" s="40"/>
      <c r="M309" s="40"/>
      <c r="N309" s="40"/>
      <c r="O309" s="40"/>
      <c r="P309" s="40"/>
      <c r="Q309" s="39"/>
      <c r="R309" s="39"/>
      <c r="S309" s="41"/>
      <c r="T309" s="42"/>
      <c r="U309" s="43"/>
      <c r="V309" s="44"/>
    </row>
    <row r="310" customFormat="false" ht="15" hidden="false" customHeight="false" outlineLevel="2" collapsed="false">
      <c r="A310" s="35" t="n">
        <v>2</v>
      </c>
      <c r="B310" s="36" t="s">
        <v>1396</v>
      </c>
      <c r="C310" s="37" t="s">
        <v>1203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2" collapsed="false">
      <c r="A311" s="35" t="n">
        <v>2</v>
      </c>
      <c r="B311" s="36" t="s">
        <v>1397</v>
      </c>
      <c r="C311" s="37" t="s">
        <v>1205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1399</v>
      </c>
      <c r="C312" s="27" t="str">
        <f aca="false">"Prueba hidráulica (cada "&amp;MODELOS!$AO$10&amp;" años, se suma al mantenimiento)"</f>
        <v>Prueba hidráulica (cada 5 años, se suma al mantenimiento)</v>
      </c>
      <c r="D312" s="26"/>
      <c r="E312" s="26"/>
      <c r="F312" s="28" t="n">
        <v>1</v>
      </c>
      <c r="G312" s="25" t="s">
        <v>1184</v>
      </c>
      <c r="H312" s="29"/>
      <c r="I312" s="30"/>
      <c r="J312" s="30"/>
      <c r="K312" s="30"/>
      <c r="L312" s="30"/>
      <c r="M312" s="30" t="n">
        <f aca="false">IF(SUMIF(A313:A314,2,M313:M314)=0,"",SUMIF(A313:A314,2,M313:M314))</f>
        <v>5</v>
      </c>
      <c r="N312" s="30"/>
      <c r="O312" s="30" t="n">
        <f aca="false">IF(SUMIF(A313:A314,2,O313:O314)=0,"",SUMIF(A313:A314,2,O313:O314))</f>
        <v>5</v>
      </c>
      <c r="P312" s="30" t="n">
        <f aca="false">IF(SUMIF(A313:A314,2,P313:P314)=0,"",SUMIF(A313:A314,2,P313:P314))</f>
        <v>5.15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1400</v>
      </c>
      <c r="C313" s="37" t="s">
        <v>1401</v>
      </c>
      <c r="D313" s="36" t="s">
        <v>45</v>
      </c>
      <c r="E313" s="36" t="str">
        <f aca="false">INDEX(REF_DATO,MATCH(D313,REF_ID,0))</f>
        <v>Polvo BC (bicarbonato de sodio)</v>
      </c>
      <c r="F313" s="38" t="n">
        <f aca="false">(MODELOS!$L$10-MODELOS!$AN$10)</f>
        <v>5</v>
      </c>
      <c r="G313" s="35" t="s">
        <v>123</v>
      </c>
      <c r="H313" s="39" t="n">
        <f aca="false">INDEX(REF_VAL,MATCH(D313,REF_ID,0))</f>
        <v>0.9</v>
      </c>
      <c r="I313" s="40" t="n">
        <f aca="false">F313*J313</f>
        <v>5.55555555555556</v>
      </c>
      <c r="J313" s="40" t="n">
        <f aca="false">1/H313</f>
        <v>1.11111111111111</v>
      </c>
      <c r="K313" s="40" t="n">
        <f aca="false">(MODELOS!$L$10-MODELOS!$AN$10)/R313</f>
        <v>5</v>
      </c>
      <c r="L313" s="40" t="n">
        <f aca="false">MODELOS!$L$10/Q313</f>
        <v>6.05882352941177</v>
      </c>
      <c r="M313" s="40" t="n">
        <f aca="false">F313</f>
        <v>5</v>
      </c>
      <c r="N313" s="40" t="n">
        <v>1</v>
      </c>
      <c r="O313" s="40" t="n">
        <f aca="false">(MODELOS!$L$10-MODELOS!$AN$10)</f>
        <v>5</v>
      </c>
      <c r="P313" s="40" t="n">
        <f aca="false">MODELOS!$L$10</f>
        <v>5.15</v>
      </c>
      <c r="Q313" s="39" t="n">
        <f aca="false">INDEX(REF_MIN,MATCH(D313,REF_ID,0))</f>
        <v>0.85</v>
      </c>
      <c r="R313" s="39" t="n">
        <f aca="false">INDEX(REF_MAX,MATCH(D313,REF_ID,0))</f>
        <v>1</v>
      </c>
      <c r="S313" s="41"/>
      <c r="T313" s="42"/>
      <c r="U313" s="43"/>
      <c r="V313" s="44"/>
    </row>
    <row r="314" customFormat="false" ht="15" hidden="false" customHeight="false" outlineLevel="2" collapsed="false">
      <c r="A314" s="35" t="n">
        <v>2</v>
      </c>
      <c r="B314" s="36" t="s">
        <v>1402</v>
      </c>
      <c r="C314" s="37" t="s">
        <v>1212</v>
      </c>
      <c r="D314" s="36"/>
      <c r="E314" s="36"/>
      <c r="F314" s="38" t="n">
        <v>1</v>
      </c>
      <c r="G314" s="35" t="s">
        <v>264</v>
      </c>
      <c r="H314" s="39"/>
      <c r="I314" s="40"/>
      <c r="J314" s="40"/>
      <c r="K314" s="40"/>
      <c r="L314" s="40"/>
      <c r="M314" s="40"/>
      <c r="N314" s="40"/>
      <c r="O314" s="40"/>
      <c r="P314" s="40"/>
      <c r="Q314" s="39"/>
      <c r="R314" s="39"/>
      <c r="S314" s="41"/>
      <c r="T314" s="42"/>
      <c r="U314" s="43"/>
      <c r="V314" s="44"/>
    </row>
    <row r="315" customFormat="false" ht="15" hidden="false" customHeight="false" outlineLevel="0" collapsed="false">
      <c r="A315" s="16" t="n">
        <v>0</v>
      </c>
      <c r="B315" s="17" t="s">
        <v>1403</v>
      </c>
      <c r="C315" s="17" t="s">
        <v>223</v>
      </c>
      <c r="D315" s="17"/>
      <c r="E315" s="17"/>
      <c r="F315" s="18" t="n">
        <v>1</v>
      </c>
      <c r="G315" s="16" t="s">
        <v>264</v>
      </c>
      <c r="H315" s="19"/>
      <c r="I315" s="20"/>
      <c r="J315" s="20"/>
      <c r="K315" s="20"/>
      <c r="L315" s="20"/>
      <c r="M315" s="20"/>
      <c r="N315" s="20"/>
      <c r="O315" s="20"/>
      <c r="P315" s="20"/>
      <c r="Q315" s="19"/>
      <c r="R315" s="19"/>
      <c r="S315" s="21"/>
      <c r="T315" s="22"/>
      <c r="U315" s="23"/>
      <c r="V315" s="24"/>
    </row>
    <row r="316" customFormat="false" ht="15" hidden="false" customHeight="false" outlineLevel="1" collapsed="false">
      <c r="A316" s="25" t="n">
        <v>1</v>
      </c>
      <c r="B316" s="26" t="s">
        <v>1404</v>
      </c>
      <c r="C316" s="27" t="s">
        <v>1183</v>
      </c>
      <c r="D316" s="26"/>
      <c r="E316" s="26"/>
      <c r="F316" s="28" t="n">
        <v>1</v>
      </c>
      <c r="G316" s="25" t="s">
        <v>1184</v>
      </c>
      <c r="H316" s="29"/>
      <c r="I316" s="30"/>
      <c r="J316" s="30"/>
      <c r="K316" s="30"/>
      <c r="L316" s="30"/>
      <c r="M316" s="30" t="str">
        <f aca="false">IF(SUMIF(A317:A317,2,M317:M317)=0,"",SUMIF(A317:A317,2,M317:M317))</f>
        <v/>
      </c>
      <c r="N316" s="30"/>
      <c r="O316" s="30" t="str">
        <f aca="false">IF(SUMIF(A317:A317,2,O317:O317)=0,"",SUMIF(A317:A317,2,O317:O317))</f>
        <v/>
      </c>
      <c r="P316" s="30" t="str">
        <f aca="false">IF(SUMIF(A317:A317,2,P317:P317)=0,"",SUMIF(A317:A317,2,P317:P317))</f>
        <v/>
      </c>
      <c r="Q316" s="29"/>
      <c r="R316" s="29"/>
      <c r="S316" s="31"/>
      <c r="T316" s="32"/>
      <c r="U316" s="33"/>
      <c r="V316" s="34"/>
    </row>
    <row r="317" customFormat="false" ht="15" hidden="false" customHeight="false" outlineLevel="2" collapsed="false">
      <c r="A317" s="35" t="n">
        <v>2</v>
      </c>
      <c r="B317" s="36" t="s">
        <v>1405</v>
      </c>
      <c r="C317" s="37" t="s">
        <v>1186</v>
      </c>
      <c r="D317" s="36"/>
      <c r="E317" s="36"/>
      <c r="F317" s="38" t="n">
        <v>1</v>
      </c>
      <c r="G317" s="35" t="s">
        <v>264</v>
      </c>
      <c r="H317" s="39"/>
      <c r="I317" s="40"/>
      <c r="J317" s="40"/>
      <c r="K317" s="40"/>
      <c r="L317" s="40"/>
      <c r="M317" s="40"/>
      <c r="N317" s="40"/>
      <c r="O317" s="40"/>
      <c r="P317" s="40"/>
      <c r="Q317" s="39"/>
      <c r="R317" s="39"/>
      <c r="S317" s="41"/>
      <c r="T317" s="42"/>
      <c r="U317" s="43"/>
      <c r="V317" s="44"/>
    </row>
    <row r="318" customFormat="false" ht="15" hidden="false" customHeight="false" outlineLevel="1" collapsed="false">
      <c r="A318" s="25" t="n">
        <v>1</v>
      </c>
      <c r="B318" s="26" t="s">
        <v>1406</v>
      </c>
      <c r="C318" s="27" t="s">
        <v>1188</v>
      </c>
      <c r="D318" s="26"/>
      <c r="E318" s="26"/>
      <c r="F318" s="28" t="n">
        <v>1</v>
      </c>
      <c r="G318" s="25" t="s">
        <v>1184</v>
      </c>
      <c r="H318" s="29"/>
      <c r="I318" s="30"/>
      <c r="J318" s="30"/>
      <c r="K318" s="30"/>
      <c r="L318" s="30"/>
      <c r="M318" s="30" t="n">
        <f aca="false">IF(SUMIF(A319:A327,2,M319:M327)=0,"",SUMIF(A319:A327,2,M319:M327))</f>
        <v>7.946718126473</v>
      </c>
      <c r="N318" s="30"/>
      <c r="O318" s="30" t="n">
        <f aca="false">IF(SUMIF(A319:A327,2,O319:O327)=0,"",SUMIF(A319:A327,2,O319:O327))</f>
        <v>7.82605343926964</v>
      </c>
      <c r="P318" s="30" t="n">
        <f aca="false">IF(SUMIF(A319:A327,2,P319:P327)=0,"",SUMIF(A319:A327,2,P319:P327))</f>
        <v>8.06759973025105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1407</v>
      </c>
      <c r="C319" s="37" t="s">
        <v>948</v>
      </c>
      <c r="D319" s="36" t="s">
        <v>68</v>
      </c>
      <c r="E319" s="36" t="str">
        <f aca="false">INDEX(REF_DATO,MATCH(D319,REF_ID,0))</f>
        <v>Acetato de potasio (sales K)</v>
      </c>
      <c r="F319" s="38" t="n">
        <f aca="false">MODELOS!$L$11</f>
        <v>6.09</v>
      </c>
      <c r="G319" s="35" t="s">
        <v>213</v>
      </c>
      <c r="H319" s="39" t="n">
        <f aca="false">INDEX(REF_VAL,MATCH(D319,REF_ID,0))</f>
        <v>1.3</v>
      </c>
      <c r="I319" s="40" t="n">
        <f aca="false">F319</f>
        <v>6.09</v>
      </c>
      <c r="J319" s="40" t="n">
        <v>1</v>
      </c>
      <c r="K319" s="40" t="n">
        <f aca="false">MODELOS!$M$11</f>
        <v>6</v>
      </c>
      <c r="L319" s="40" t="n">
        <f aca="false">MODELOS!$N$11</f>
        <v>6.18</v>
      </c>
      <c r="M319" s="40" t="n">
        <f aca="false">F319*N319</f>
        <v>7.917</v>
      </c>
      <c r="N319" s="40" t="n">
        <f aca="false">H319</f>
        <v>1.3</v>
      </c>
      <c r="O319" s="40" t="n">
        <f aca="false">MODELOS!$M$11*Q319</f>
        <v>7.8</v>
      </c>
      <c r="P319" s="40" t="n">
        <f aca="false">MODELOS!$N$11*R319</f>
        <v>8.034</v>
      </c>
      <c r="Q319" s="39" t="n">
        <f aca="false">INDEX(REF_MIN,MATCH(D319,REF_ID,0))</f>
        <v>1.3</v>
      </c>
      <c r="R319" s="39" t="n">
        <f aca="false">INDEX(REF_MAX,MATCH(D319,REF_ID,0))</f>
        <v>1.3</v>
      </c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1408</v>
      </c>
      <c r="C320" s="37" t="s">
        <v>316</v>
      </c>
      <c r="D320" s="36" t="s">
        <v>78</v>
      </c>
      <c r="E320" s="36" t="str">
        <f aca="false">INDEX(REF_DATO,MATCH(D320,REF_ID,0))</f>
        <v>Nitrógeno seco (densidad normal)</v>
      </c>
      <c r="F320" s="38" t="n">
        <f aca="false">MODELOS!$AF$11</f>
        <v>0.0297181264729978</v>
      </c>
      <c r="G320" s="35" t="s">
        <v>123</v>
      </c>
      <c r="H320" s="39" t="n">
        <f aca="false">INDEX(REF_VAL,MATCH(D320,REF_ID,0))</f>
        <v>0.00124921923797626</v>
      </c>
      <c r="I320" s="40" t="n">
        <f aca="false">F320*J320</f>
        <v>23.7893602416347</v>
      </c>
      <c r="J320" s="40" t="n">
        <f aca="false">1/H320</f>
        <v>800.5</v>
      </c>
      <c r="K320" s="40" t="n">
        <f aca="false">MODELOS!$AG$11/H320</f>
        <v>20.8557781353435</v>
      </c>
      <c r="L320" s="40" t="n">
        <f aca="false">MODELOS!$AH$11/H320</f>
        <v>26.8965840659656</v>
      </c>
      <c r="M320" s="40" t="n">
        <f aca="false">F320</f>
        <v>0.0297181264729978</v>
      </c>
      <c r="N320" s="40" t="n">
        <v>1</v>
      </c>
      <c r="O320" s="40" t="n">
        <f aca="false">MODELOS!$AG$11</f>
        <v>0.0260534392696358</v>
      </c>
      <c r="P320" s="40" t="n">
        <f aca="false">MODELOS!$AH$11</f>
        <v>0.03359973025105</v>
      </c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1409</v>
      </c>
      <c r="C321" s="37" t="s">
        <v>1193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2" collapsed="false">
      <c r="A322" s="35" t="n">
        <v>2</v>
      </c>
      <c r="B322" s="36" t="s">
        <v>1410</v>
      </c>
      <c r="C322" s="37" t="s">
        <v>1195</v>
      </c>
      <c r="D322" s="36"/>
      <c r="E322" s="36"/>
      <c r="F322" s="38" t="n">
        <v>1</v>
      </c>
      <c r="G322" s="35" t="s">
        <v>264</v>
      </c>
      <c r="H322" s="39"/>
      <c r="I322" s="40"/>
      <c r="J322" s="40"/>
      <c r="K322" s="40"/>
      <c r="L322" s="40"/>
      <c r="M322" s="40"/>
      <c r="N322" s="40"/>
      <c r="O322" s="40"/>
      <c r="P322" s="40"/>
      <c r="Q322" s="39"/>
      <c r="R322" s="39"/>
      <c r="S322" s="41"/>
      <c r="T322" s="42"/>
      <c r="U322" s="43"/>
      <c r="V322" s="44"/>
    </row>
    <row r="323" customFormat="false" ht="15" hidden="false" customHeight="false" outlineLevel="2" collapsed="false">
      <c r="A323" s="35" t="n">
        <v>2</v>
      </c>
      <c r="B323" s="36" t="s">
        <v>1411</v>
      </c>
      <c r="C323" s="37" t="s">
        <v>1197</v>
      </c>
      <c r="D323" s="36"/>
      <c r="E323" s="36"/>
      <c r="F323" s="38" t="n">
        <v>1</v>
      </c>
      <c r="G323" s="35" t="s">
        <v>264</v>
      </c>
      <c r="H323" s="39"/>
      <c r="I323" s="40"/>
      <c r="J323" s="40"/>
      <c r="K323" s="40"/>
      <c r="L323" s="40"/>
      <c r="M323" s="40"/>
      <c r="N323" s="40"/>
      <c r="O323" s="40"/>
      <c r="P323" s="40"/>
      <c r="Q323" s="39"/>
      <c r="R323" s="39"/>
      <c r="S323" s="41"/>
      <c r="T323" s="42"/>
      <c r="U323" s="43"/>
      <c r="V323" s="44"/>
    </row>
    <row r="324" customFormat="false" ht="15" hidden="false" customHeight="false" outlineLevel="2" collapsed="false">
      <c r="A324" s="35" t="n">
        <v>2</v>
      </c>
      <c r="B324" s="36" t="s">
        <v>1412</v>
      </c>
      <c r="C324" s="37" t="s">
        <v>1199</v>
      </c>
      <c r="D324" s="36"/>
      <c r="E324" s="36"/>
      <c r="F324" s="38" t="n">
        <v>1</v>
      </c>
      <c r="G324" s="35" t="s">
        <v>264</v>
      </c>
      <c r="H324" s="39"/>
      <c r="I324" s="40"/>
      <c r="J324" s="40"/>
      <c r="K324" s="40"/>
      <c r="L324" s="40"/>
      <c r="M324" s="40"/>
      <c r="N324" s="40"/>
      <c r="O324" s="40"/>
      <c r="P324" s="40"/>
      <c r="Q324" s="39"/>
      <c r="R324" s="39"/>
      <c r="S324" s="41"/>
      <c r="T324" s="42"/>
      <c r="U324" s="43"/>
      <c r="V324" s="44"/>
    </row>
    <row r="325" customFormat="false" ht="15" hidden="false" customHeight="false" outlineLevel="2" collapsed="false">
      <c r="A325" s="35" t="n">
        <v>2</v>
      </c>
      <c r="B325" s="36" t="s">
        <v>1413</v>
      </c>
      <c r="C325" s="37" t="s">
        <v>1201</v>
      </c>
      <c r="D325" s="36"/>
      <c r="E325" s="36"/>
      <c r="F325" s="38" t="n">
        <v>1</v>
      </c>
      <c r="G325" s="35" t="s">
        <v>264</v>
      </c>
      <c r="H325" s="39"/>
      <c r="I325" s="40"/>
      <c r="J325" s="40"/>
      <c r="K325" s="40"/>
      <c r="L325" s="40"/>
      <c r="M325" s="40"/>
      <c r="N325" s="40"/>
      <c r="O325" s="40"/>
      <c r="P325" s="40"/>
      <c r="Q325" s="39"/>
      <c r="R325" s="39"/>
      <c r="S325" s="41"/>
      <c r="T325" s="42"/>
      <c r="U325" s="43"/>
      <c r="V325" s="44"/>
    </row>
    <row r="326" customFormat="false" ht="15" hidden="false" customHeight="false" outlineLevel="2" collapsed="false">
      <c r="A326" s="35" t="n">
        <v>2</v>
      </c>
      <c r="B326" s="36" t="s">
        <v>1414</v>
      </c>
      <c r="C326" s="37" t="s">
        <v>1203</v>
      </c>
      <c r="D326" s="36"/>
      <c r="E326" s="36"/>
      <c r="F326" s="38" t="n">
        <v>1</v>
      </c>
      <c r="G326" s="35" t="s">
        <v>264</v>
      </c>
      <c r="H326" s="39"/>
      <c r="I326" s="40"/>
      <c r="J326" s="40"/>
      <c r="K326" s="40"/>
      <c r="L326" s="40"/>
      <c r="M326" s="40"/>
      <c r="N326" s="40"/>
      <c r="O326" s="40"/>
      <c r="P326" s="40"/>
      <c r="Q326" s="39"/>
      <c r="R326" s="39"/>
      <c r="S326" s="41"/>
      <c r="T326" s="42"/>
      <c r="U326" s="43"/>
      <c r="V326" s="44"/>
    </row>
    <row r="327" customFormat="false" ht="15" hidden="false" customHeight="false" outlineLevel="2" collapsed="false">
      <c r="A327" s="35" t="n">
        <v>2</v>
      </c>
      <c r="B327" s="36" t="s">
        <v>1415</v>
      </c>
      <c r="C327" s="37" t="s">
        <v>1205</v>
      </c>
      <c r="D327" s="36"/>
      <c r="E327" s="36"/>
      <c r="F327" s="38" t="n">
        <v>1</v>
      </c>
      <c r="G327" s="35" t="s">
        <v>264</v>
      </c>
      <c r="H327" s="39"/>
      <c r="I327" s="40"/>
      <c r="J327" s="40"/>
      <c r="K327" s="40"/>
      <c r="L327" s="40"/>
      <c r="M327" s="40"/>
      <c r="N327" s="40"/>
      <c r="O327" s="40"/>
      <c r="P327" s="40"/>
      <c r="Q327" s="39"/>
      <c r="R327" s="39"/>
      <c r="S327" s="41"/>
      <c r="T327" s="42"/>
      <c r="U327" s="43"/>
      <c r="V327" s="44"/>
    </row>
    <row r="328" customFormat="false" ht="15" hidden="false" customHeight="false" outlineLevel="1" collapsed="false">
      <c r="A328" s="25" t="n">
        <v>1</v>
      </c>
      <c r="B328" s="26" t="s">
        <v>1416</v>
      </c>
      <c r="C328" s="27" t="s">
        <v>1207</v>
      </c>
      <c r="D328" s="26"/>
      <c r="E328" s="26"/>
      <c r="F328" s="28" t="n">
        <v>1</v>
      </c>
      <c r="G328" s="25" t="s">
        <v>1184</v>
      </c>
      <c r="H328" s="29"/>
      <c r="I328" s="30"/>
      <c r="J328" s="30"/>
      <c r="K328" s="30"/>
      <c r="L328" s="30"/>
      <c r="M328" s="30" t="n">
        <f aca="false">IF(SUMIF(A329:A337,2,M329:M337)=0,"",SUMIF(A329:A337,2,M329:M337))</f>
        <v>7.946718126473</v>
      </c>
      <c r="N328" s="30"/>
      <c r="O328" s="30" t="n">
        <f aca="false">IF(SUMIF(A329:A337,2,O329:O337)=0,"",SUMIF(A329:A337,2,O329:O337))</f>
        <v>7.82605343926964</v>
      </c>
      <c r="P328" s="30" t="n">
        <f aca="false">IF(SUMIF(A329:A337,2,P329:P337)=0,"",SUMIF(A329:A337,2,P329:P337))</f>
        <v>8.06759973025105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1407</v>
      </c>
      <c r="C329" s="37" t="s">
        <v>948</v>
      </c>
      <c r="D329" s="36" t="s">
        <v>68</v>
      </c>
      <c r="E329" s="36" t="str">
        <f aca="false">INDEX(REF_DATO,MATCH(D329,REF_ID,0))</f>
        <v>Acetato de potasio (sales K)</v>
      </c>
      <c r="F329" s="38" t="n">
        <f aca="false">MODELOS!$L$11</f>
        <v>6.09</v>
      </c>
      <c r="G329" s="35" t="s">
        <v>213</v>
      </c>
      <c r="H329" s="39" t="n">
        <f aca="false">INDEX(REF_VAL,MATCH(D329,REF_ID,0))</f>
        <v>1.3</v>
      </c>
      <c r="I329" s="40" t="n">
        <f aca="false">F329</f>
        <v>6.09</v>
      </c>
      <c r="J329" s="40" t="n">
        <v>1</v>
      </c>
      <c r="K329" s="40" t="n">
        <f aca="false">MODELOS!$M$11</f>
        <v>6</v>
      </c>
      <c r="L329" s="40" t="n">
        <f aca="false">MODELOS!$N$11</f>
        <v>6.18</v>
      </c>
      <c r="M329" s="40" t="n">
        <f aca="false">F329*N329</f>
        <v>7.917</v>
      </c>
      <c r="N329" s="40" t="n">
        <f aca="false">H329</f>
        <v>1.3</v>
      </c>
      <c r="O329" s="40" t="n">
        <f aca="false">MODELOS!$M$11*Q329</f>
        <v>7.8</v>
      </c>
      <c r="P329" s="40" t="n">
        <f aca="false">MODELOS!$N$11*R329</f>
        <v>8.034</v>
      </c>
      <c r="Q329" s="39" t="n">
        <f aca="false">INDEX(REF_MIN,MATCH(D329,REF_ID,0))</f>
        <v>1.3</v>
      </c>
      <c r="R329" s="39" t="n">
        <f aca="false">INDEX(REF_MAX,MATCH(D329,REF_ID,0))</f>
        <v>1.3</v>
      </c>
      <c r="S329" s="41"/>
      <c r="T329" s="42"/>
      <c r="U329" s="43"/>
      <c r="V329" s="44"/>
    </row>
    <row r="330" customFormat="false" ht="15" hidden="false" customHeight="false" outlineLevel="2" collapsed="false">
      <c r="A330" s="35" t="n">
        <v>2</v>
      </c>
      <c r="B330" s="36" t="s">
        <v>1408</v>
      </c>
      <c r="C330" s="37" t="s">
        <v>316</v>
      </c>
      <c r="D330" s="36" t="s">
        <v>78</v>
      </c>
      <c r="E330" s="36" t="str">
        <f aca="false">INDEX(REF_DATO,MATCH(D330,REF_ID,0))</f>
        <v>Nitrógeno seco (densidad normal)</v>
      </c>
      <c r="F330" s="38" t="n">
        <f aca="false">MODELOS!$AF$11</f>
        <v>0.0297181264729978</v>
      </c>
      <c r="G330" s="35" t="s">
        <v>123</v>
      </c>
      <c r="H330" s="39" t="n">
        <f aca="false">INDEX(REF_VAL,MATCH(D330,REF_ID,0))</f>
        <v>0.00124921923797626</v>
      </c>
      <c r="I330" s="40" t="n">
        <f aca="false">F330*J330</f>
        <v>23.7893602416347</v>
      </c>
      <c r="J330" s="40" t="n">
        <f aca="false">1/H330</f>
        <v>800.5</v>
      </c>
      <c r="K330" s="40" t="n">
        <f aca="false">MODELOS!$AG$11/H330</f>
        <v>20.8557781353435</v>
      </c>
      <c r="L330" s="40" t="n">
        <f aca="false">MODELOS!$AH$11/H330</f>
        <v>26.8965840659656</v>
      </c>
      <c r="M330" s="40" t="n">
        <f aca="false">F330</f>
        <v>0.0297181264729978</v>
      </c>
      <c r="N330" s="40" t="n">
        <v>1</v>
      </c>
      <c r="O330" s="40" t="n">
        <f aca="false">MODELOS!$AG$11</f>
        <v>0.0260534392696358</v>
      </c>
      <c r="P330" s="40" t="n">
        <f aca="false">MODELOS!$AH$11</f>
        <v>0.03359973025105</v>
      </c>
      <c r="Q330" s="39"/>
      <c r="R330" s="39"/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1409</v>
      </c>
      <c r="C331" s="37" t="s">
        <v>1193</v>
      </c>
      <c r="D331" s="36"/>
      <c r="E331" s="36"/>
      <c r="F331" s="38" t="n">
        <v>1</v>
      </c>
      <c r="G331" s="35" t="s">
        <v>264</v>
      </c>
      <c r="H331" s="39"/>
      <c r="I331" s="40"/>
      <c r="J331" s="40"/>
      <c r="K331" s="40"/>
      <c r="L331" s="40"/>
      <c r="M331" s="40"/>
      <c r="N331" s="40"/>
      <c r="O331" s="40"/>
      <c r="P331" s="40"/>
      <c r="Q331" s="39"/>
      <c r="R331" s="39"/>
      <c r="S331" s="41"/>
      <c r="T331" s="42"/>
      <c r="U331" s="43"/>
      <c r="V331" s="44"/>
    </row>
    <row r="332" customFormat="false" ht="15" hidden="false" customHeight="false" outlineLevel="2" collapsed="false">
      <c r="A332" s="35" t="n">
        <v>2</v>
      </c>
      <c r="B332" s="36" t="s">
        <v>1410</v>
      </c>
      <c r="C332" s="37" t="s">
        <v>1195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1411</v>
      </c>
      <c r="C333" s="37" t="s">
        <v>1197</v>
      </c>
      <c r="D333" s="36"/>
      <c r="E333" s="36"/>
      <c r="F333" s="38" t="n">
        <v>1</v>
      </c>
      <c r="G333" s="35" t="s">
        <v>264</v>
      </c>
      <c r="H333" s="39"/>
      <c r="I333" s="40"/>
      <c r="J333" s="40"/>
      <c r="K333" s="40"/>
      <c r="L333" s="40"/>
      <c r="M333" s="40"/>
      <c r="N333" s="40"/>
      <c r="O333" s="40"/>
      <c r="P333" s="40"/>
      <c r="Q333" s="39"/>
      <c r="R333" s="39"/>
      <c r="S333" s="41"/>
      <c r="T333" s="42"/>
      <c r="U333" s="43"/>
      <c r="V333" s="44"/>
    </row>
    <row r="334" customFormat="false" ht="15" hidden="false" customHeight="false" outlineLevel="2" collapsed="false">
      <c r="A334" s="35" t="n">
        <v>2</v>
      </c>
      <c r="B334" s="36" t="s">
        <v>1412</v>
      </c>
      <c r="C334" s="37" t="s">
        <v>1199</v>
      </c>
      <c r="D334" s="36"/>
      <c r="E334" s="36"/>
      <c r="F334" s="38" t="n">
        <v>1</v>
      </c>
      <c r="G334" s="35" t="s">
        <v>264</v>
      </c>
      <c r="H334" s="39"/>
      <c r="I334" s="40"/>
      <c r="J334" s="40"/>
      <c r="K334" s="40"/>
      <c r="L334" s="40"/>
      <c r="M334" s="40"/>
      <c r="N334" s="40"/>
      <c r="O334" s="40"/>
      <c r="P334" s="40"/>
      <c r="Q334" s="39"/>
      <c r="R334" s="39"/>
      <c r="S334" s="41"/>
      <c r="T334" s="42"/>
      <c r="U334" s="43"/>
      <c r="V334" s="44"/>
    </row>
    <row r="335" customFormat="false" ht="15" hidden="false" customHeight="false" outlineLevel="2" collapsed="false">
      <c r="A335" s="35" t="n">
        <v>2</v>
      </c>
      <c r="B335" s="36" t="s">
        <v>1413</v>
      </c>
      <c r="C335" s="37" t="s">
        <v>1201</v>
      </c>
      <c r="D335" s="36"/>
      <c r="E335" s="36"/>
      <c r="F335" s="38" t="n">
        <v>1</v>
      </c>
      <c r="G335" s="35" t="s">
        <v>264</v>
      </c>
      <c r="H335" s="39"/>
      <c r="I335" s="40"/>
      <c r="J335" s="40"/>
      <c r="K335" s="40"/>
      <c r="L335" s="40"/>
      <c r="M335" s="40"/>
      <c r="N335" s="40"/>
      <c r="O335" s="40"/>
      <c r="P335" s="40"/>
      <c r="Q335" s="39"/>
      <c r="R335" s="39"/>
      <c r="S335" s="41"/>
      <c r="T335" s="42"/>
      <c r="U335" s="43"/>
      <c r="V335" s="44"/>
    </row>
    <row r="336" customFormat="false" ht="15" hidden="false" customHeight="false" outlineLevel="2" collapsed="false">
      <c r="A336" s="35" t="n">
        <v>2</v>
      </c>
      <c r="B336" s="36" t="s">
        <v>1414</v>
      </c>
      <c r="C336" s="37" t="s">
        <v>1203</v>
      </c>
      <c r="D336" s="36"/>
      <c r="E336" s="36"/>
      <c r="F336" s="38" t="n">
        <v>1</v>
      </c>
      <c r="G336" s="35" t="s">
        <v>264</v>
      </c>
      <c r="H336" s="39"/>
      <c r="I336" s="40"/>
      <c r="J336" s="40"/>
      <c r="K336" s="40"/>
      <c r="L336" s="40"/>
      <c r="M336" s="40"/>
      <c r="N336" s="40"/>
      <c r="O336" s="40"/>
      <c r="P336" s="40"/>
      <c r="Q336" s="39"/>
      <c r="R336" s="39"/>
      <c r="S336" s="41"/>
      <c r="T336" s="42"/>
      <c r="U336" s="43"/>
      <c r="V336" s="44"/>
    </row>
    <row r="337" customFormat="false" ht="15" hidden="false" customHeight="false" outlineLevel="2" collapsed="false">
      <c r="A337" s="35" t="n">
        <v>2</v>
      </c>
      <c r="B337" s="36" t="s">
        <v>1415</v>
      </c>
      <c r="C337" s="37" t="s">
        <v>1205</v>
      </c>
      <c r="D337" s="36"/>
      <c r="E337" s="36"/>
      <c r="F337" s="38" t="n">
        <v>1</v>
      </c>
      <c r="G337" s="35" t="s">
        <v>264</v>
      </c>
      <c r="H337" s="39"/>
      <c r="I337" s="40"/>
      <c r="J337" s="40"/>
      <c r="K337" s="40"/>
      <c r="L337" s="40"/>
      <c r="M337" s="40"/>
      <c r="N337" s="40"/>
      <c r="O337" s="40"/>
      <c r="P337" s="40"/>
      <c r="Q337" s="39"/>
      <c r="R337" s="39"/>
      <c r="S337" s="41"/>
      <c r="T337" s="42"/>
      <c r="U337" s="43"/>
      <c r="V337" s="44"/>
    </row>
    <row r="338" customFormat="false" ht="15" hidden="false" customHeight="false" outlineLevel="1" collapsed="false">
      <c r="A338" s="25" t="n">
        <v>1</v>
      </c>
      <c r="B338" s="26" t="s">
        <v>1417</v>
      </c>
      <c r="C338" s="27" t="str">
        <f aca="false">"Prueba hidráulica (cada "&amp;MODELOS!$AO$11&amp;" años, se suma al mantenimiento)"</f>
        <v>Prueba hidráulica (cada 2 años, se suma al mantenimiento)</v>
      </c>
      <c r="D338" s="26"/>
      <c r="E338" s="26"/>
      <c r="F338" s="28" t="n">
        <v>1</v>
      </c>
      <c r="G338" s="25" t="s">
        <v>1184</v>
      </c>
      <c r="H338" s="29"/>
      <c r="I338" s="30"/>
      <c r="J338" s="30"/>
      <c r="K338" s="30"/>
      <c r="L338" s="30"/>
      <c r="M338" s="30" t="str">
        <f aca="false">IF(SUMIF(A339:A339,2,M339:M339)=0,"",SUMIF(A339:A339,2,M339:M339))</f>
        <v/>
      </c>
      <c r="N338" s="30"/>
      <c r="O338" s="30" t="str">
        <f aca="false">IF(SUMIF(A339:A339,2,O339:O339)=0,"",SUMIF(A339:A339,2,O339:O339))</f>
        <v/>
      </c>
      <c r="P338" s="30" t="str">
        <f aca="false">IF(SUMIF(A339:A339,2,P339:P339)=0,"",SUMIF(A339:A339,2,P339:P339))</f>
        <v/>
      </c>
      <c r="Q338" s="29"/>
      <c r="R338" s="29"/>
      <c r="S338" s="31"/>
      <c r="T338" s="32"/>
      <c r="U338" s="33"/>
      <c r="V338" s="34"/>
    </row>
    <row r="339" customFormat="false" ht="15" hidden="false" customHeight="false" outlineLevel="2" collapsed="false">
      <c r="A339" s="35" t="n">
        <v>2</v>
      </c>
      <c r="B339" s="36" t="s">
        <v>1418</v>
      </c>
      <c r="C339" s="37" t="s">
        <v>1212</v>
      </c>
      <c r="D339" s="36"/>
      <c r="E339" s="36"/>
      <c r="F339" s="38" t="n">
        <v>1</v>
      </c>
      <c r="G339" s="35" t="s">
        <v>264</v>
      </c>
      <c r="H339" s="39"/>
      <c r="I339" s="40"/>
      <c r="J339" s="40"/>
      <c r="K339" s="40"/>
      <c r="L339" s="40"/>
      <c r="M339" s="40"/>
      <c r="N339" s="40"/>
      <c r="O339" s="40"/>
      <c r="P339" s="40"/>
      <c r="Q339" s="39"/>
      <c r="R339" s="39"/>
      <c r="S339" s="41"/>
      <c r="T339" s="42"/>
      <c r="U339" s="43"/>
      <c r="V339" s="44"/>
    </row>
    <row r="340" customFormat="false" ht="15" hidden="false" customHeight="false" outlineLevel="0" collapsed="false">
      <c r="A340" s="16" t="n">
        <v>0</v>
      </c>
      <c r="B340" s="17" t="s">
        <v>1419</v>
      </c>
      <c r="C340" s="17" t="s">
        <v>226</v>
      </c>
      <c r="D340" s="17"/>
      <c r="E340" s="17"/>
      <c r="F340" s="18" t="n">
        <v>1</v>
      </c>
      <c r="G340" s="16" t="s">
        <v>264</v>
      </c>
      <c r="H340" s="19"/>
      <c r="I340" s="20"/>
      <c r="J340" s="20"/>
      <c r="K340" s="20"/>
      <c r="L340" s="20"/>
      <c r="M340" s="20"/>
      <c r="N340" s="20"/>
      <c r="O340" s="20"/>
      <c r="P340" s="20"/>
      <c r="Q340" s="19"/>
      <c r="R340" s="19"/>
      <c r="S340" s="21"/>
      <c r="T340" s="22"/>
      <c r="U340" s="23"/>
      <c r="V340" s="24"/>
    </row>
    <row r="341" customFormat="false" ht="15" hidden="false" customHeight="false" outlineLevel="1" collapsed="false">
      <c r="A341" s="25" t="n">
        <v>1</v>
      </c>
      <c r="B341" s="26" t="s">
        <v>1420</v>
      </c>
      <c r="C341" s="27" t="s">
        <v>1183</v>
      </c>
      <c r="D341" s="26"/>
      <c r="E341" s="26"/>
      <c r="F341" s="28" t="n">
        <v>1</v>
      </c>
      <c r="G341" s="25" t="s">
        <v>1184</v>
      </c>
      <c r="H341" s="29"/>
      <c r="I341" s="30"/>
      <c r="J341" s="30"/>
      <c r="K341" s="30"/>
      <c r="L341" s="30"/>
      <c r="M341" s="30" t="str">
        <f aca="false">IF(SUMIF(A342:A342,2,M342:M342)=0,"",SUMIF(A342:A342,2,M342:M342))</f>
        <v/>
      </c>
      <c r="N341" s="30"/>
      <c r="O341" s="30" t="str">
        <f aca="false">IF(SUMIF(A342:A342,2,O342:O342)=0,"",SUMIF(A342:A342,2,O342:O342))</f>
        <v/>
      </c>
      <c r="P341" s="30" t="str">
        <f aca="false">IF(SUMIF(A342:A342,2,P342:P342)=0,"",SUMIF(A342:A342,2,P342:P342))</f>
        <v/>
      </c>
      <c r="Q341" s="29"/>
      <c r="R341" s="29"/>
      <c r="S341" s="31"/>
      <c r="T341" s="32"/>
      <c r="U341" s="33"/>
      <c r="V341" s="34"/>
    </row>
    <row r="342" customFormat="false" ht="15" hidden="false" customHeight="false" outlineLevel="2" collapsed="false">
      <c r="A342" s="35" t="n">
        <v>2</v>
      </c>
      <c r="B342" s="36" t="s">
        <v>1421</v>
      </c>
      <c r="C342" s="37" t="s">
        <v>1186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1422</v>
      </c>
      <c r="C343" s="27" t="s">
        <v>1188</v>
      </c>
      <c r="D343" s="26"/>
      <c r="E343" s="26"/>
      <c r="F343" s="28" t="n">
        <v>1</v>
      </c>
      <c r="G343" s="25" t="s">
        <v>1184</v>
      </c>
      <c r="H343" s="29"/>
      <c r="I343" s="30"/>
      <c r="J343" s="30"/>
      <c r="K343" s="30"/>
      <c r="L343" s="30"/>
      <c r="M343" s="30" t="n">
        <f aca="false">IF(SUMIF(A344:A349,2,M344:M349)=0,"",SUMIF(A344:A349,2,M344:M349))</f>
        <v>0.1</v>
      </c>
      <c r="N343" s="30"/>
      <c r="O343" s="30" t="str">
        <f aca="false">IF(SUMIF(A344:A349,2,O344:O349)=0,"",SUMIF(A344:A349,2,O344:O349))</f>
        <v/>
      </c>
      <c r="P343" s="30" t="n">
        <f aca="false">IF(SUMIF(A344:A349,2,P344:P349)=0,"",SUMIF(A344:A349,2,P344:P349))</f>
        <v>0.1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1423</v>
      </c>
      <c r="C344" s="37" t="s">
        <v>1424</v>
      </c>
      <c r="D344" s="36" t="s">
        <v>71</v>
      </c>
      <c r="E344" s="36" t="str">
        <f aca="false">INDEX(REF_DATO,MATCH(D344,REF_ID,0))</f>
        <v>Dióxido de carbono (IRAM 41170)</v>
      </c>
      <c r="F344" s="38" t="n">
        <f aca="false">MODELOS!$AN$12</f>
        <v>0.1</v>
      </c>
      <c r="G344" s="35" t="s">
        <v>123</v>
      </c>
      <c r="H344" s="39" t="n">
        <f aca="false">MODELOS!$AJ$12</f>
        <v>0.675675675675676</v>
      </c>
      <c r="I344" s="40" t="n">
        <f aca="false">F344*J344</f>
        <v>0.148</v>
      </c>
      <c r="J344" s="40" t="n">
        <f aca="false">1/H344</f>
        <v>1.48</v>
      </c>
      <c r="K344" s="40" t="n">
        <f aca="false">0/H344</f>
        <v>0</v>
      </c>
      <c r="L344" s="40" t="n">
        <f aca="false">MODELOS!$AN$12/H344</f>
        <v>0.148</v>
      </c>
      <c r="M344" s="40" t="n">
        <f aca="false">F344</f>
        <v>0.1</v>
      </c>
      <c r="N344" s="40" t="n">
        <v>1</v>
      </c>
      <c r="O344" s="40" t="n">
        <f aca="false">0</f>
        <v>0</v>
      </c>
      <c r="P344" s="40" t="n">
        <f aca="false">MODELOS!$AN$12</f>
        <v>0.1</v>
      </c>
      <c r="Q344" s="39"/>
      <c r="R344" s="39"/>
      <c r="S344" s="41"/>
      <c r="T344" s="42"/>
      <c r="U344" s="43"/>
      <c r="V344" s="44"/>
    </row>
    <row r="345" customFormat="false" ht="15" hidden="false" customHeight="false" outlineLevel="2" collapsed="false">
      <c r="A345" s="35" t="n">
        <v>2</v>
      </c>
      <c r="B345" s="36" t="s">
        <v>1425</v>
      </c>
      <c r="C345" s="37" t="s">
        <v>1193</v>
      </c>
      <c r="D345" s="36"/>
      <c r="E345" s="36"/>
      <c r="F345" s="38" t="n">
        <v>1</v>
      </c>
      <c r="G345" s="35" t="s">
        <v>264</v>
      </c>
      <c r="H345" s="39"/>
      <c r="I345" s="40"/>
      <c r="J345" s="40"/>
      <c r="K345" s="40"/>
      <c r="L345" s="40"/>
      <c r="M345" s="40"/>
      <c r="N345" s="40"/>
      <c r="O345" s="40"/>
      <c r="P345" s="40"/>
      <c r="Q345" s="39"/>
      <c r="R345" s="39"/>
      <c r="S345" s="41"/>
      <c r="T345" s="42"/>
      <c r="U345" s="43"/>
      <c r="V345" s="44"/>
    </row>
    <row r="346" customFormat="false" ht="15" hidden="false" customHeight="false" outlineLevel="2" collapsed="false">
      <c r="A346" s="35" t="n">
        <v>2</v>
      </c>
      <c r="B346" s="36" t="s">
        <v>1426</v>
      </c>
      <c r="C346" s="37" t="s">
        <v>1197</v>
      </c>
      <c r="D346" s="36"/>
      <c r="E346" s="36"/>
      <c r="F346" s="38" t="n">
        <v>1</v>
      </c>
      <c r="G346" s="35" t="s">
        <v>264</v>
      </c>
      <c r="H346" s="39"/>
      <c r="I346" s="40"/>
      <c r="J346" s="40"/>
      <c r="K346" s="40"/>
      <c r="L346" s="40"/>
      <c r="M346" s="40"/>
      <c r="N346" s="40"/>
      <c r="O346" s="40"/>
      <c r="P346" s="40"/>
      <c r="Q346" s="39"/>
      <c r="R346" s="39"/>
      <c r="S346" s="41"/>
      <c r="T346" s="42"/>
      <c r="U346" s="43"/>
      <c r="V346" s="44"/>
    </row>
    <row r="347" customFormat="false" ht="15" hidden="false" customHeight="false" outlineLevel="2" collapsed="false">
      <c r="A347" s="35" t="n">
        <v>2</v>
      </c>
      <c r="B347" s="36" t="s">
        <v>1427</v>
      </c>
      <c r="C347" s="37" t="s">
        <v>1199</v>
      </c>
      <c r="D347" s="36"/>
      <c r="E347" s="36"/>
      <c r="F347" s="38" t="n">
        <v>1</v>
      </c>
      <c r="G347" s="35" t="s">
        <v>264</v>
      </c>
      <c r="H347" s="39"/>
      <c r="I347" s="40"/>
      <c r="J347" s="40"/>
      <c r="K347" s="40"/>
      <c r="L347" s="40"/>
      <c r="M347" s="40"/>
      <c r="N347" s="40"/>
      <c r="O347" s="40"/>
      <c r="P347" s="40"/>
      <c r="Q347" s="39"/>
      <c r="R347" s="39"/>
      <c r="S347" s="41"/>
      <c r="T347" s="42"/>
      <c r="U347" s="43"/>
      <c r="V347" s="44"/>
    </row>
    <row r="348" customFormat="false" ht="15" hidden="false" customHeight="false" outlineLevel="2" collapsed="false">
      <c r="A348" s="35" t="n">
        <v>2</v>
      </c>
      <c r="B348" s="36" t="s">
        <v>1428</v>
      </c>
      <c r="C348" s="37" t="s">
        <v>1201</v>
      </c>
      <c r="D348" s="36"/>
      <c r="E348" s="36"/>
      <c r="F348" s="38" t="n">
        <v>1</v>
      </c>
      <c r="G348" s="35" t="s">
        <v>264</v>
      </c>
      <c r="H348" s="39"/>
      <c r="I348" s="40"/>
      <c r="J348" s="40"/>
      <c r="K348" s="40"/>
      <c r="L348" s="40"/>
      <c r="M348" s="40"/>
      <c r="N348" s="40"/>
      <c r="O348" s="40"/>
      <c r="P348" s="40"/>
      <c r="Q348" s="39"/>
      <c r="R348" s="39"/>
      <c r="S348" s="41"/>
      <c r="T348" s="42"/>
      <c r="U348" s="43"/>
      <c r="V348" s="44"/>
    </row>
    <row r="349" customFormat="false" ht="15" hidden="false" customHeight="false" outlineLevel="2" collapsed="false">
      <c r="A349" s="35" t="n">
        <v>2</v>
      </c>
      <c r="B349" s="36" t="s">
        <v>1429</v>
      </c>
      <c r="C349" s="37" t="s">
        <v>1203</v>
      </c>
      <c r="D349" s="36"/>
      <c r="E349" s="36"/>
      <c r="F349" s="38" t="n">
        <v>1</v>
      </c>
      <c r="G349" s="35" t="s">
        <v>264</v>
      </c>
      <c r="H349" s="39"/>
      <c r="I349" s="40"/>
      <c r="J349" s="40"/>
      <c r="K349" s="40"/>
      <c r="L349" s="40"/>
      <c r="M349" s="40"/>
      <c r="N349" s="40"/>
      <c r="O349" s="40"/>
      <c r="P349" s="40"/>
      <c r="Q349" s="39"/>
      <c r="R349" s="39"/>
      <c r="S349" s="41"/>
      <c r="T349" s="42"/>
      <c r="U349" s="43"/>
      <c r="V349" s="44"/>
    </row>
    <row r="350" customFormat="false" ht="15" hidden="false" customHeight="false" outlineLevel="1" collapsed="false">
      <c r="A350" s="25" t="n">
        <v>1</v>
      </c>
      <c r="B350" s="26" t="s">
        <v>1430</v>
      </c>
      <c r="C350" s="27" t="s">
        <v>1207</v>
      </c>
      <c r="D350" s="26"/>
      <c r="E350" s="26"/>
      <c r="F350" s="28" t="n">
        <v>1</v>
      </c>
      <c r="G350" s="25" t="s">
        <v>1184</v>
      </c>
      <c r="H350" s="29"/>
      <c r="I350" s="30"/>
      <c r="J350" s="30"/>
      <c r="K350" s="30"/>
      <c r="L350" s="30"/>
      <c r="M350" s="30" t="n">
        <f aca="false">IF(SUMIF(A351:A357,2,M351:M357)=0,"",SUMIF(A351:A357,2,M351:M357))</f>
        <v>2</v>
      </c>
      <c r="N350" s="30"/>
      <c r="O350" s="30" t="n">
        <f aca="false">IF(SUMIF(A351:A357,2,O351:O357)=0,"",SUMIF(A351:A357,2,O351:O357))</f>
        <v>1.9</v>
      </c>
      <c r="P350" s="30" t="n">
        <f aca="false">IF(SUMIF(A351:A357,2,P351:P357)=0,"",SUMIF(A351:A357,2,P351:P357))</f>
        <v>2</v>
      </c>
      <c r="Q350" s="29"/>
      <c r="R350" s="29"/>
      <c r="S350" s="31"/>
      <c r="T350" s="32"/>
      <c r="U350" s="33"/>
      <c r="V350" s="34"/>
    </row>
    <row r="351" customFormat="false" ht="15" hidden="false" customHeight="false" outlineLevel="2" collapsed="false">
      <c r="A351" s="35" t="n">
        <v>2</v>
      </c>
      <c r="B351" s="36" t="s">
        <v>1423</v>
      </c>
      <c r="C351" s="37" t="s">
        <v>995</v>
      </c>
      <c r="D351" s="36" t="s">
        <v>71</v>
      </c>
      <c r="E351" s="36" t="str">
        <f aca="false">INDEX(REF_DATO,MATCH(D351,REF_ID,0))</f>
        <v>Dióxido de carbono (IRAM 41170)</v>
      </c>
      <c r="F351" s="38" t="n">
        <f aca="false">MODELOS!$L$12</f>
        <v>2</v>
      </c>
      <c r="G351" s="35" t="s">
        <v>123</v>
      </c>
      <c r="H351" s="39" t="n">
        <f aca="false">MODELOS!$AJ$12</f>
        <v>0.675675675675676</v>
      </c>
      <c r="I351" s="40" t="n">
        <f aca="false">F351*J351</f>
        <v>2.96</v>
      </c>
      <c r="J351" s="40" t="n">
        <f aca="false">1/H351</f>
        <v>1.48</v>
      </c>
      <c r="K351" s="40" t="n">
        <f aca="false">MODELOS!$M$12/H351</f>
        <v>2.812</v>
      </c>
      <c r="L351" s="40" t="n">
        <f aca="false">MODELOS!$N$12/H351</f>
        <v>2.96</v>
      </c>
      <c r="M351" s="40" t="n">
        <f aca="false">F351</f>
        <v>2</v>
      </c>
      <c r="N351" s="40" t="n">
        <v>1</v>
      </c>
      <c r="O351" s="40" t="n">
        <f aca="false">MODELOS!$M$12</f>
        <v>1.9</v>
      </c>
      <c r="P351" s="40" t="n">
        <f aca="false">MODELOS!$N$12</f>
        <v>2</v>
      </c>
      <c r="Q351" s="39"/>
      <c r="R351" s="39"/>
      <c r="S351" s="41"/>
      <c r="T351" s="42"/>
      <c r="U351" s="43"/>
      <c r="V351" s="44"/>
    </row>
    <row r="352" customFormat="false" ht="15" hidden="false" customHeight="false" outlineLevel="2" collapsed="false">
      <c r="A352" s="35" t="n">
        <v>2</v>
      </c>
      <c r="B352" s="36" t="s">
        <v>1425</v>
      </c>
      <c r="C352" s="37" t="s">
        <v>1193</v>
      </c>
      <c r="D352" s="36"/>
      <c r="E352" s="36"/>
      <c r="F352" s="38" t="n">
        <v>1</v>
      </c>
      <c r="G352" s="35" t="s">
        <v>264</v>
      </c>
      <c r="H352" s="39"/>
      <c r="I352" s="40"/>
      <c r="J352" s="40"/>
      <c r="K352" s="40"/>
      <c r="L352" s="40"/>
      <c r="M352" s="40"/>
      <c r="N352" s="40"/>
      <c r="O352" s="40"/>
      <c r="P352" s="40"/>
      <c r="Q352" s="39"/>
      <c r="R352" s="39"/>
      <c r="S352" s="41"/>
      <c r="T352" s="42"/>
      <c r="U352" s="43"/>
      <c r="V352" s="44"/>
    </row>
    <row r="353" customFormat="false" ht="15" hidden="false" customHeight="false" outlineLevel="2" collapsed="false">
      <c r="A353" s="35" t="n">
        <v>2</v>
      </c>
      <c r="B353" s="36" t="s">
        <v>1426</v>
      </c>
      <c r="C353" s="37" t="s">
        <v>1197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1427</v>
      </c>
      <c r="C354" s="37" t="s">
        <v>1199</v>
      </c>
      <c r="D354" s="36"/>
      <c r="E354" s="36"/>
      <c r="F354" s="38" t="n">
        <v>1</v>
      </c>
      <c r="G354" s="35" t="s">
        <v>264</v>
      </c>
      <c r="H354" s="39"/>
      <c r="I354" s="40"/>
      <c r="J354" s="40"/>
      <c r="K354" s="40"/>
      <c r="L354" s="40"/>
      <c r="M354" s="40"/>
      <c r="N354" s="40"/>
      <c r="O354" s="40"/>
      <c r="P354" s="40"/>
      <c r="Q354" s="39"/>
      <c r="R354" s="39"/>
      <c r="S354" s="41"/>
      <c r="T354" s="42"/>
      <c r="U354" s="43"/>
      <c r="V354" s="44"/>
    </row>
    <row r="355" customFormat="false" ht="15" hidden="false" customHeight="false" outlineLevel="2" collapsed="false">
      <c r="A355" s="35" t="n">
        <v>2</v>
      </c>
      <c r="B355" s="36" t="s">
        <v>1428</v>
      </c>
      <c r="C355" s="37" t="s">
        <v>1201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/>
      <c r="N355" s="40"/>
      <c r="O355" s="40"/>
      <c r="P355" s="40"/>
      <c r="Q355" s="39"/>
      <c r="R355" s="39"/>
      <c r="S355" s="41"/>
      <c r="T355" s="42"/>
      <c r="U355" s="43"/>
      <c r="V355" s="44"/>
    </row>
    <row r="356" customFormat="false" ht="15" hidden="false" customHeight="false" outlineLevel="2" collapsed="false">
      <c r="A356" s="35" t="n">
        <v>2</v>
      </c>
      <c r="B356" s="36" t="s">
        <v>1429</v>
      </c>
      <c r="C356" s="37" t="s">
        <v>1203</v>
      </c>
      <c r="D356" s="36"/>
      <c r="E356" s="36"/>
      <c r="F356" s="38" t="n">
        <v>1</v>
      </c>
      <c r="G356" s="35" t="s">
        <v>264</v>
      </c>
      <c r="H356" s="39"/>
      <c r="I356" s="40"/>
      <c r="J356" s="40"/>
      <c r="K356" s="40"/>
      <c r="L356" s="40"/>
      <c r="M356" s="40"/>
      <c r="N356" s="40"/>
      <c r="O356" s="40"/>
      <c r="P356" s="40"/>
      <c r="Q356" s="39"/>
      <c r="R356" s="39"/>
      <c r="S356" s="41"/>
      <c r="T356" s="42"/>
      <c r="U356" s="43"/>
      <c r="V356" s="44"/>
    </row>
    <row r="357" customFormat="false" ht="15" hidden="false" customHeight="false" outlineLevel="2" collapsed="false">
      <c r="A357" s="35" t="n">
        <v>2</v>
      </c>
      <c r="B357" s="36" t="s">
        <v>1431</v>
      </c>
      <c r="C357" s="37" t="s">
        <v>1432</v>
      </c>
      <c r="D357" s="36"/>
      <c r="E357" s="36"/>
      <c r="F357" s="38" t="n">
        <v>1</v>
      </c>
      <c r="G357" s="35" t="s">
        <v>264</v>
      </c>
      <c r="H357" s="39"/>
      <c r="I357" s="40"/>
      <c r="J357" s="40"/>
      <c r="K357" s="40"/>
      <c r="L357" s="40"/>
      <c r="M357" s="40"/>
      <c r="N357" s="40"/>
      <c r="O357" s="40"/>
      <c r="P357" s="40"/>
      <c r="Q357" s="39"/>
      <c r="R357" s="39"/>
      <c r="S357" s="41"/>
      <c r="T357" s="42"/>
      <c r="U357" s="43"/>
      <c r="V357" s="44"/>
    </row>
    <row r="358" customFormat="false" ht="15" hidden="false" customHeight="false" outlineLevel="1" collapsed="false">
      <c r="A358" s="25" t="n">
        <v>1</v>
      </c>
      <c r="B358" s="26" t="s">
        <v>1433</v>
      </c>
      <c r="C358" s="27" t="str">
        <f aca="false">"Prueba hidráulica (cada "&amp;MODELOS!$AO$12&amp;" años, se suma al mantenimiento)"</f>
        <v>Prueba hidráulica (cada 5 años, se suma al mantenimiento)</v>
      </c>
      <c r="D358" s="26"/>
      <c r="E358" s="26"/>
      <c r="F358" s="28" t="n">
        <v>1</v>
      </c>
      <c r="G358" s="25" t="s">
        <v>1184</v>
      </c>
      <c r="H358" s="29"/>
      <c r="I358" s="30"/>
      <c r="J358" s="30"/>
      <c r="K358" s="30"/>
      <c r="L358" s="30"/>
      <c r="M358" s="30" t="n">
        <f aca="false">IF(SUMIF(A359:A362,2,M359:M362)=0,"",SUMIF(A359:A362,2,M359:M362))</f>
        <v>2</v>
      </c>
      <c r="N358" s="30"/>
      <c r="O358" s="30" t="n">
        <f aca="false">IF(SUMIF(A359:A362,2,O359:O362)=0,"",SUMIF(A359:A362,2,O359:O362))</f>
        <v>1.9</v>
      </c>
      <c r="P358" s="30" t="n">
        <f aca="false">IF(SUMIF(A359:A362,2,P359:P362)=0,"",SUMIF(A359:A362,2,P359:P362))</f>
        <v>2</v>
      </c>
      <c r="Q358" s="29"/>
      <c r="R358" s="29"/>
      <c r="S358" s="31"/>
      <c r="T358" s="32"/>
      <c r="U358" s="33"/>
      <c r="V358" s="34"/>
    </row>
    <row r="359" customFormat="false" ht="15" hidden="false" customHeight="false" outlineLevel="2" collapsed="false">
      <c r="A359" s="35" t="n">
        <v>2</v>
      </c>
      <c r="B359" s="36" t="s">
        <v>1434</v>
      </c>
      <c r="C359" s="37" t="s">
        <v>1435</v>
      </c>
      <c r="D359" s="36" t="s">
        <v>71</v>
      </c>
      <c r="E359" s="36" t="str">
        <f aca="false">INDEX(REF_DATO,MATCH(D359,REF_ID,0))</f>
        <v>Dióxido de carbono (IRAM 41170)</v>
      </c>
      <c r="F359" s="38" t="n">
        <f aca="false">MODELOS!$L$12</f>
        <v>2</v>
      </c>
      <c r="G359" s="35" t="s">
        <v>123</v>
      </c>
      <c r="H359" s="39" t="n">
        <f aca="false">MODELOS!$AJ$12</f>
        <v>0.675675675675676</v>
      </c>
      <c r="I359" s="40" t="n">
        <f aca="false">F359*J359</f>
        <v>2.96</v>
      </c>
      <c r="J359" s="40" t="n">
        <f aca="false">1/H359</f>
        <v>1.48</v>
      </c>
      <c r="K359" s="40" t="n">
        <f aca="false">MODELOS!$M$12/H359</f>
        <v>2.812</v>
      </c>
      <c r="L359" s="40" t="n">
        <f aca="false">MODELOS!$N$12/H359</f>
        <v>2.96</v>
      </c>
      <c r="M359" s="40" t="n">
        <f aca="false">F359</f>
        <v>2</v>
      </c>
      <c r="N359" s="40" t="n">
        <v>1</v>
      </c>
      <c r="O359" s="40" t="n">
        <f aca="false">MODELOS!$M$12</f>
        <v>1.9</v>
      </c>
      <c r="P359" s="40" t="n">
        <f aca="false">MODELOS!$N$12</f>
        <v>2</v>
      </c>
      <c r="Q359" s="39"/>
      <c r="R359" s="39"/>
      <c r="S359" s="41"/>
      <c r="T359" s="42"/>
      <c r="U359" s="43"/>
      <c r="V359" s="44"/>
    </row>
    <row r="360" customFormat="false" ht="15" hidden="false" customHeight="false" outlineLevel="2" collapsed="false">
      <c r="A360" s="35" t="n">
        <v>2</v>
      </c>
      <c r="B360" s="36" t="s">
        <v>1431</v>
      </c>
      <c r="C360" s="37" t="s">
        <v>1432</v>
      </c>
      <c r="D360" s="36"/>
      <c r="E360" s="36"/>
      <c r="F360" s="38" t="n">
        <v>1</v>
      </c>
      <c r="G360" s="35" t="s">
        <v>264</v>
      </c>
      <c r="H360" s="39"/>
      <c r="I360" s="40"/>
      <c r="J360" s="40"/>
      <c r="K360" s="40"/>
      <c r="L360" s="40"/>
      <c r="M360" s="40"/>
      <c r="N360" s="40"/>
      <c r="O360" s="40"/>
      <c r="P360" s="40"/>
      <c r="Q360" s="39"/>
      <c r="R360" s="39"/>
      <c r="S360" s="41"/>
      <c r="T360" s="42"/>
      <c r="U360" s="43"/>
      <c r="V360" s="44"/>
    </row>
    <row r="361" customFormat="false" ht="15" hidden="false" customHeight="false" outlineLevel="2" collapsed="false">
      <c r="A361" s="35" t="n">
        <v>2</v>
      </c>
      <c r="B361" s="36" t="s">
        <v>1436</v>
      </c>
      <c r="C361" s="37" t="s">
        <v>1195</v>
      </c>
      <c r="D361" s="36"/>
      <c r="E361" s="36"/>
      <c r="F361" s="38" t="n">
        <v>1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2" collapsed="false">
      <c r="A362" s="35" t="n">
        <v>2</v>
      </c>
      <c r="B362" s="36" t="s">
        <v>1437</v>
      </c>
      <c r="C362" s="37" t="s">
        <v>1205</v>
      </c>
      <c r="D362" s="36"/>
      <c r="E362" s="36"/>
      <c r="F362" s="38" t="n">
        <v>1</v>
      </c>
      <c r="G362" s="35" t="s">
        <v>264</v>
      </c>
      <c r="H362" s="39"/>
      <c r="I362" s="40"/>
      <c r="J362" s="40"/>
      <c r="K362" s="40"/>
      <c r="L362" s="40"/>
      <c r="M362" s="40"/>
      <c r="N362" s="40"/>
      <c r="O362" s="40"/>
      <c r="P362" s="40"/>
      <c r="Q362" s="39"/>
      <c r="R362" s="39"/>
      <c r="S362" s="41"/>
      <c r="T362" s="42"/>
      <c r="U362" s="43"/>
      <c r="V362" s="44"/>
    </row>
    <row r="363" customFormat="false" ht="15" hidden="false" customHeight="false" outlineLevel="0" collapsed="false">
      <c r="A363" s="16" t="n">
        <v>0</v>
      </c>
      <c r="B363" s="17" t="s">
        <v>1438</v>
      </c>
      <c r="C363" s="17" t="s">
        <v>229</v>
      </c>
      <c r="D363" s="17"/>
      <c r="E363" s="17"/>
      <c r="F363" s="18" t="n">
        <v>1</v>
      </c>
      <c r="G363" s="16" t="s">
        <v>264</v>
      </c>
      <c r="H363" s="19"/>
      <c r="I363" s="20"/>
      <c r="J363" s="20"/>
      <c r="K363" s="20"/>
      <c r="L363" s="20"/>
      <c r="M363" s="20"/>
      <c r="N363" s="20"/>
      <c r="O363" s="20"/>
      <c r="P363" s="20"/>
      <c r="Q363" s="19"/>
      <c r="R363" s="19"/>
      <c r="S363" s="21"/>
      <c r="T363" s="22"/>
      <c r="U363" s="23"/>
      <c r="V363" s="24"/>
    </row>
    <row r="364" customFormat="false" ht="15" hidden="false" customHeight="false" outlineLevel="1" collapsed="false">
      <c r="A364" s="25" t="n">
        <v>1</v>
      </c>
      <c r="B364" s="26" t="s">
        <v>1439</v>
      </c>
      <c r="C364" s="27" t="s">
        <v>1183</v>
      </c>
      <c r="D364" s="26"/>
      <c r="E364" s="26"/>
      <c r="F364" s="28" t="n">
        <v>1</v>
      </c>
      <c r="G364" s="25" t="s">
        <v>1184</v>
      </c>
      <c r="H364" s="29"/>
      <c r="I364" s="30"/>
      <c r="J364" s="30"/>
      <c r="K364" s="30"/>
      <c r="L364" s="30"/>
      <c r="M364" s="30" t="str">
        <f aca="false">IF(SUMIF(A365:A365,2,M365:M365)=0,"",SUMIF(A365:A365,2,M365:M365))</f>
        <v/>
      </c>
      <c r="N364" s="30"/>
      <c r="O364" s="30" t="str">
        <f aca="false">IF(SUMIF(A365:A365,2,O365:O365)=0,"",SUMIF(A365:A365,2,O365:O365))</f>
        <v/>
      </c>
      <c r="P364" s="30" t="str">
        <f aca="false">IF(SUMIF(A365:A365,2,P365:P365)=0,"",SUMIF(A365:A365,2,P365:P365))</f>
        <v/>
      </c>
      <c r="Q364" s="29"/>
      <c r="R364" s="29"/>
      <c r="S364" s="31"/>
      <c r="T364" s="32"/>
      <c r="U364" s="33"/>
      <c r="V364" s="34"/>
    </row>
    <row r="365" customFormat="false" ht="15" hidden="false" customHeight="false" outlineLevel="2" collapsed="false">
      <c r="A365" s="35" t="n">
        <v>2</v>
      </c>
      <c r="B365" s="36" t="s">
        <v>1440</v>
      </c>
      <c r="C365" s="37" t="s">
        <v>1186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1" collapsed="false">
      <c r="A366" s="25" t="n">
        <v>1</v>
      </c>
      <c r="B366" s="26" t="s">
        <v>1441</v>
      </c>
      <c r="C366" s="27" t="s">
        <v>1188</v>
      </c>
      <c r="D366" s="26"/>
      <c r="E366" s="26"/>
      <c r="F366" s="28" t="n">
        <v>1</v>
      </c>
      <c r="G366" s="25" t="s">
        <v>1184</v>
      </c>
      <c r="H366" s="29"/>
      <c r="I366" s="30"/>
      <c r="J366" s="30"/>
      <c r="K366" s="30"/>
      <c r="L366" s="30"/>
      <c r="M366" s="30" t="n">
        <f aca="false">IF(SUMIF(A367:A372,2,M367:M372)=0,"",SUMIF(A367:A372,2,M367:M372))</f>
        <v>0.25</v>
      </c>
      <c r="N366" s="30"/>
      <c r="O366" s="30" t="str">
        <f aca="false">IF(SUMIF(A367:A372,2,O367:O372)=0,"",SUMIF(A367:A372,2,O367:O372))</f>
        <v/>
      </c>
      <c r="P366" s="30" t="n">
        <f aca="false">IF(SUMIF(A367:A372,2,P367:P372)=0,"",SUMIF(A367:A372,2,P367:P372))</f>
        <v>0.25</v>
      </c>
      <c r="Q366" s="29"/>
      <c r="R366" s="29"/>
      <c r="S366" s="31"/>
      <c r="T366" s="32"/>
      <c r="U366" s="33"/>
      <c r="V366" s="34"/>
    </row>
    <row r="367" customFormat="false" ht="15" hidden="false" customHeight="false" outlineLevel="2" collapsed="false">
      <c r="A367" s="35" t="n">
        <v>2</v>
      </c>
      <c r="B367" s="36" t="s">
        <v>1442</v>
      </c>
      <c r="C367" s="37" t="s">
        <v>1424</v>
      </c>
      <c r="D367" s="36" t="s">
        <v>71</v>
      </c>
      <c r="E367" s="36" t="str">
        <f aca="false">INDEX(REF_DATO,MATCH(D367,REF_ID,0))</f>
        <v>Dióxido de carbono (IRAM 41170)</v>
      </c>
      <c r="F367" s="38" t="n">
        <f aca="false">MODELOS!$AN$13</f>
        <v>0.25</v>
      </c>
      <c r="G367" s="35" t="s">
        <v>123</v>
      </c>
      <c r="H367" s="39" t="n">
        <f aca="false">MODELOS!$AJ$13</f>
        <v>0.631313131313131</v>
      </c>
      <c r="I367" s="40" t="n">
        <f aca="false">F367*J367</f>
        <v>0.396</v>
      </c>
      <c r="J367" s="40" t="n">
        <f aca="false">1/H367</f>
        <v>1.584</v>
      </c>
      <c r="K367" s="40" t="n">
        <f aca="false">0/H367</f>
        <v>0</v>
      </c>
      <c r="L367" s="40" t="n">
        <f aca="false">MODELOS!$AN$13/H367</f>
        <v>0.396</v>
      </c>
      <c r="M367" s="40" t="n">
        <f aca="false">F367</f>
        <v>0.25</v>
      </c>
      <c r="N367" s="40" t="n">
        <v>1</v>
      </c>
      <c r="O367" s="40" t="n">
        <f aca="false">0</f>
        <v>0</v>
      </c>
      <c r="P367" s="40" t="n">
        <f aca="false">MODELOS!$AN$13</f>
        <v>0.25</v>
      </c>
      <c r="Q367" s="39"/>
      <c r="R367" s="39"/>
      <c r="S367" s="41"/>
      <c r="T367" s="42"/>
      <c r="U367" s="43"/>
      <c r="V367" s="44"/>
    </row>
    <row r="368" customFormat="false" ht="15" hidden="false" customHeight="false" outlineLevel="2" collapsed="false">
      <c r="A368" s="35" t="n">
        <v>2</v>
      </c>
      <c r="B368" s="36" t="s">
        <v>1443</v>
      </c>
      <c r="C368" s="37" t="s">
        <v>1193</v>
      </c>
      <c r="D368" s="36"/>
      <c r="E368" s="36"/>
      <c r="F368" s="38" t="n">
        <v>1</v>
      </c>
      <c r="G368" s="35" t="s">
        <v>264</v>
      </c>
      <c r="H368" s="39"/>
      <c r="I368" s="40"/>
      <c r="J368" s="40"/>
      <c r="K368" s="40"/>
      <c r="L368" s="40"/>
      <c r="M368" s="40"/>
      <c r="N368" s="40"/>
      <c r="O368" s="40"/>
      <c r="P368" s="40"/>
      <c r="Q368" s="39"/>
      <c r="R368" s="39"/>
      <c r="S368" s="41"/>
      <c r="T368" s="42"/>
      <c r="U368" s="43"/>
      <c r="V368" s="44"/>
    </row>
    <row r="369" customFormat="false" ht="15" hidden="false" customHeight="false" outlineLevel="2" collapsed="false">
      <c r="A369" s="35" t="n">
        <v>2</v>
      </c>
      <c r="B369" s="36" t="s">
        <v>1444</v>
      </c>
      <c r="C369" s="37" t="s">
        <v>1197</v>
      </c>
      <c r="D369" s="36"/>
      <c r="E369" s="36"/>
      <c r="F369" s="38" t="n">
        <v>1</v>
      </c>
      <c r="G369" s="35" t="s">
        <v>264</v>
      </c>
      <c r="H369" s="39"/>
      <c r="I369" s="40"/>
      <c r="J369" s="40"/>
      <c r="K369" s="40"/>
      <c r="L369" s="40"/>
      <c r="M369" s="40"/>
      <c r="N369" s="40"/>
      <c r="O369" s="40"/>
      <c r="P369" s="40"/>
      <c r="Q369" s="39"/>
      <c r="R369" s="39"/>
      <c r="S369" s="41"/>
      <c r="T369" s="42"/>
      <c r="U369" s="43"/>
      <c r="V369" s="44"/>
    </row>
    <row r="370" customFormat="false" ht="15" hidden="false" customHeight="false" outlineLevel="2" collapsed="false">
      <c r="A370" s="35" t="n">
        <v>2</v>
      </c>
      <c r="B370" s="36" t="s">
        <v>1445</v>
      </c>
      <c r="C370" s="37" t="s">
        <v>1199</v>
      </c>
      <c r="D370" s="36"/>
      <c r="E370" s="36"/>
      <c r="F370" s="38" t="n">
        <v>1</v>
      </c>
      <c r="G370" s="35" t="s">
        <v>264</v>
      </c>
      <c r="H370" s="39"/>
      <c r="I370" s="40"/>
      <c r="J370" s="40"/>
      <c r="K370" s="40"/>
      <c r="L370" s="40"/>
      <c r="M370" s="40"/>
      <c r="N370" s="40"/>
      <c r="O370" s="40"/>
      <c r="P370" s="40"/>
      <c r="Q370" s="39"/>
      <c r="R370" s="39"/>
      <c r="S370" s="41"/>
      <c r="T370" s="42"/>
      <c r="U370" s="43"/>
      <c r="V370" s="44"/>
    </row>
    <row r="371" customFormat="false" ht="15" hidden="false" customHeight="false" outlineLevel="2" collapsed="false">
      <c r="A371" s="35" t="n">
        <v>2</v>
      </c>
      <c r="B371" s="36" t="s">
        <v>1446</v>
      </c>
      <c r="C371" s="37" t="s">
        <v>1201</v>
      </c>
      <c r="D371" s="36"/>
      <c r="E371" s="36"/>
      <c r="F371" s="38" t="n">
        <v>1</v>
      </c>
      <c r="G371" s="35" t="s">
        <v>264</v>
      </c>
      <c r="H371" s="39"/>
      <c r="I371" s="40"/>
      <c r="J371" s="40"/>
      <c r="K371" s="40"/>
      <c r="L371" s="40"/>
      <c r="M371" s="40"/>
      <c r="N371" s="40"/>
      <c r="O371" s="40"/>
      <c r="P371" s="40"/>
      <c r="Q371" s="39"/>
      <c r="R371" s="39"/>
      <c r="S371" s="41"/>
      <c r="T371" s="42"/>
      <c r="U371" s="43"/>
      <c r="V371" s="44"/>
    </row>
    <row r="372" customFormat="false" ht="15" hidden="false" customHeight="false" outlineLevel="2" collapsed="false">
      <c r="A372" s="35" t="n">
        <v>2</v>
      </c>
      <c r="B372" s="36" t="s">
        <v>1447</v>
      </c>
      <c r="C372" s="37" t="s">
        <v>1203</v>
      </c>
      <c r="D372" s="36"/>
      <c r="E372" s="36"/>
      <c r="F372" s="38" t="n">
        <v>1</v>
      </c>
      <c r="G372" s="35" t="s">
        <v>264</v>
      </c>
      <c r="H372" s="39"/>
      <c r="I372" s="40"/>
      <c r="J372" s="40"/>
      <c r="K372" s="40"/>
      <c r="L372" s="40"/>
      <c r="M372" s="40"/>
      <c r="N372" s="40"/>
      <c r="O372" s="40"/>
      <c r="P372" s="40"/>
      <c r="Q372" s="39"/>
      <c r="R372" s="39"/>
      <c r="S372" s="41"/>
      <c r="T372" s="42"/>
      <c r="U372" s="43"/>
      <c r="V372" s="44"/>
    </row>
    <row r="373" customFormat="false" ht="15" hidden="false" customHeight="false" outlineLevel="1" collapsed="false">
      <c r="A373" s="25" t="n">
        <v>1</v>
      </c>
      <c r="B373" s="26" t="s">
        <v>1448</v>
      </c>
      <c r="C373" s="27" t="s">
        <v>1207</v>
      </c>
      <c r="D373" s="26"/>
      <c r="E373" s="26"/>
      <c r="F373" s="28" t="n">
        <v>1</v>
      </c>
      <c r="G373" s="25" t="s">
        <v>1184</v>
      </c>
      <c r="H373" s="29"/>
      <c r="I373" s="30"/>
      <c r="J373" s="30"/>
      <c r="K373" s="30"/>
      <c r="L373" s="30"/>
      <c r="M373" s="30" t="n">
        <f aca="false">IF(SUMIF(A374:A380,2,M374:M380)=0,"",SUMIF(A374:A380,2,M374:M380))</f>
        <v>5</v>
      </c>
      <c r="N373" s="30"/>
      <c r="O373" s="30" t="n">
        <f aca="false">IF(SUMIF(A374:A380,2,O374:O380)=0,"",SUMIF(A374:A380,2,O374:O380))</f>
        <v>4.75</v>
      </c>
      <c r="P373" s="30" t="n">
        <f aca="false">IF(SUMIF(A374:A380,2,P374:P380)=0,"",SUMIF(A374:A380,2,P374:P380))</f>
        <v>5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1442</v>
      </c>
      <c r="C374" s="37" t="s">
        <v>995</v>
      </c>
      <c r="D374" s="36" t="s">
        <v>71</v>
      </c>
      <c r="E374" s="36" t="str">
        <f aca="false">INDEX(REF_DATO,MATCH(D374,REF_ID,0))</f>
        <v>Dióxido de carbono (IRAM 41170)</v>
      </c>
      <c r="F374" s="38" t="n">
        <f aca="false">MODELOS!$L$13</f>
        <v>5</v>
      </c>
      <c r="G374" s="35" t="s">
        <v>123</v>
      </c>
      <c r="H374" s="39" t="n">
        <f aca="false">MODELOS!$AJ$13</f>
        <v>0.631313131313131</v>
      </c>
      <c r="I374" s="40" t="n">
        <f aca="false">F374*J374</f>
        <v>7.92</v>
      </c>
      <c r="J374" s="40" t="n">
        <f aca="false">1/H374</f>
        <v>1.584</v>
      </c>
      <c r="K374" s="40" t="n">
        <f aca="false">MODELOS!$M$13/H374</f>
        <v>7.524</v>
      </c>
      <c r="L374" s="40" t="n">
        <f aca="false">MODELOS!$N$13/H374</f>
        <v>7.92</v>
      </c>
      <c r="M374" s="40" t="n">
        <f aca="false">F374</f>
        <v>5</v>
      </c>
      <c r="N374" s="40" t="n">
        <v>1</v>
      </c>
      <c r="O374" s="40" t="n">
        <f aca="false">MODELOS!$M$13</f>
        <v>4.75</v>
      </c>
      <c r="P374" s="40" t="n">
        <f aca="false">MODELOS!$N$13</f>
        <v>5</v>
      </c>
      <c r="Q374" s="39"/>
      <c r="R374" s="39"/>
      <c r="S374" s="41"/>
      <c r="T374" s="42"/>
      <c r="U374" s="43"/>
      <c r="V374" s="44"/>
    </row>
    <row r="375" customFormat="false" ht="15" hidden="false" customHeight="false" outlineLevel="2" collapsed="false">
      <c r="A375" s="35" t="n">
        <v>2</v>
      </c>
      <c r="B375" s="36" t="s">
        <v>1443</v>
      </c>
      <c r="C375" s="37" t="s">
        <v>1193</v>
      </c>
      <c r="D375" s="36"/>
      <c r="E375" s="36"/>
      <c r="F375" s="38" t="n">
        <v>1</v>
      </c>
      <c r="G375" s="35" t="s">
        <v>264</v>
      </c>
      <c r="H375" s="39"/>
      <c r="I375" s="40"/>
      <c r="J375" s="40"/>
      <c r="K375" s="40"/>
      <c r="L375" s="40"/>
      <c r="M375" s="40"/>
      <c r="N375" s="40"/>
      <c r="O375" s="40"/>
      <c r="P375" s="40"/>
      <c r="Q375" s="39"/>
      <c r="R375" s="39"/>
      <c r="S375" s="41"/>
      <c r="T375" s="42"/>
      <c r="U375" s="43"/>
      <c r="V375" s="44"/>
    </row>
    <row r="376" customFormat="false" ht="15" hidden="false" customHeight="false" outlineLevel="2" collapsed="false">
      <c r="A376" s="35" t="n">
        <v>2</v>
      </c>
      <c r="B376" s="36" t="s">
        <v>1444</v>
      </c>
      <c r="C376" s="37" t="s">
        <v>1197</v>
      </c>
      <c r="D376" s="36"/>
      <c r="E376" s="36"/>
      <c r="F376" s="38" t="n">
        <v>1</v>
      </c>
      <c r="G376" s="35" t="s">
        <v>264</v>
      </c>
      <c r="H376" s="39"/>
      <c r="I376" s="40"/>
      <c r="J376" s="40"/>
      <c r="K376" s="40"/>
      <c r="L376" s="40"/>
      <c r="M376" s="40"/>
      <c r="N376" s="40"/>
      <c r="O376" s="40"/>
      <c r="P376" s="40"/>
      <c r="Q376" s="39"/>
      <c r="R376" s="39"/>
      <c r="S376" s="41"/>
      <c r="T376" s="42"/>
      <c r="U376" s="43"/>
      <c r="V376" s="44"/>
    </row>
    <row r="377" customFormat="false" ht="15" hidden="false" customHeight="false" outlineLevel="2" collapsed="false">
      <c r="A377" s="35" t="n">
        <v>2</v>
      </c>
      <c r="B377" s="36" t="s">
        <v>1445</v>
      </c>
      <c r="C377" s="37" t="s">
        <v>1199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1446</v>
      </c>
      <c r="C378" s="37" t="s">
        <v>1201</v>
      </c>
      <c r="D378" s="36"/>
      <c r="E378" s="36"/>
      <c r="F378" s="38" t="n">
        <v>1</v>
      </c>
      <c r="G378" s="35" t="s">
        <v>264</v>
      </c>
      <c r="H378" s="39"/>
      <c r="I378" s="40"/>
      <c r="J378" s="40"/>
      <c r="K378" s="40"/>
      <c r="L378" s="40"/>
      <c r="M378" s="40"/>
      <c r="N378" s="40"/>
      <c r="O378" s="40"/>
      <c r="P378" s="40"/>
      <c r="Q378" s="39"/>
      <c r="R378" s="39"/>
      <c r="S378" s="41"/>
      <c r="T378" s="42"/>
      <c r="U378" s="43"/>
      <c r="V378" s="44"/>
    </row>
    <row r="379" customFormat="false" ht="15" hidden="false" customHeight="false" outlineLevel="2" collapsed="false">
      <c r="A379" s="35" t="n">
        <v>2</v>
      </c>
      <c r="B379" s="36" t="s">
        <v>1447</v>
      </c>
      <c r="C379" s="37" t="s">
        <v>1203</v>
      </c>
      <c r="D379" s="36"/>
      <c r="E379" s="36"/>
      <c r="F379" s="38" t="n">
        <v>1</v>
      </c>
      <c r="G379" s="35" t="s">
        <v>264</v>
      </c>
      <c r="H379" s="39"/>
      <c r="I379" s="40"/>
      <c r="J379" s="40"/>
      <c r="K379" s="40"/>
      <c r="L379" s="40"/>
      <c r="M379" s="40"/>
      <c r="N379" s="40"/>
      <c r="O379" s="40"/>
      <c r="P379" s="40"/>
      <c r="Q379" s="39"/>
      <c r="R379" s="39"/>
      <c r="S379" s="41"/>
      <c r="T379" s="42"/>
      <c r="U379" s="43"/>
      <c r="V379" s="44"/>
    </row>
    <row r="380" customFormat="false" ht="15" hidden="false" customHeight="false" outlineLevel="2" collapsed="false">
      <c r="A380" s="35" t="n">
        <v>2</v>
      </c>
      <c r="B380" s="36" t="s">
        <v>1449</v>
      </c>
      <c r="C380" s="37" t="s">
        <v>1432</v>
      </c>
      <c r="D380" s="36"/>
      <c r="E380" s="36"/>
      <c r="F380" s="38" t="n">
        <v>1</v>
      </c>
      <c r="G380" s="35" t="s">
        <v>264</v>
      </c>
      <c r="H380" s="39"/>
      <c r="I380" s="40"/>
      <c r="J380" s="40"/>
      <c r="K380" s="40"/>
      <c r="L380" s="40"/>
      <c r="M380" s="40"/>
      <c r="N380" s="40"/>
      <c r="O380" s="40"/>
      <c r="P380" s="40"/>
      <c r="Q380" s="39"/>
      <c r="R380" s="39"/>
      <c r="S380" s="41"/>
      <c r="T380" s="42"/>
      <c r="U380" s="43"/>
      <c r="V380" s="44"/>
    </row>
    <row r="381" customFormat="false" ht="15" hidden="false" customHeight="false" outlineLevel="1" collapsed="false">
      <c r="A381" s="25" t="n">
        <v>1</v>
      </c>
      <c r="B381" s="26" t="s">
        <v>1450</v>
      </c>
      <c r="C381" s="27" t="str">
        <f aca="false">"Prueba hidráulica (cada "&amp;MODELOS!$AO$13&amp;" años, se suma al mantenimiento)"</f>
        <v>Prueba hidráulica (cada 5 años, se suma al mantenimiento)</v>
      </c>
      <c r="D381" s="26"/>
      <c r="E381" s="26"/>
      <c r="F381" s="28" t="n">
        <v>1</v>
      </c>
      <c r="G381" s="25" t="s">
        <v>1184</v>
      </c>
      <c r="H381" s="29"/>
      <c r="I381" s="30"/>
      <c r="J381" s="30"/>
      <c r="K381" s="30"/>
      <c r="L381" s="30"/>
      <c r="M381" s="30" t="n">
        <f aca="false">IF(SUMIF(A382:A385,2,M382:M385)=0,"",SUMIF(A382:A385,2,M382:M385))</f>
        <v>5</v>
      </c>
      <c r="N381" s="30"/>
      <c r="O381" s="30" t="n">
        <f aca="false">IF(SUMIF(A382:A385,2,O382:O385)=0,"",SUMIF(A382:A385,2,O382:O385))</f>
        <v>4.75</v>
      </c>
      <c r="P381" s="30" t="n">
        <f aca="false">IF(SUMIF(A382:A385,2,P382:P385)=0,"",SUMIF(A382:A385,2,P382:P385))</f>
        <v>5</v>
      </c>
      <c r="Q381" s="29"/>
      <c r="R381" s="29"/>
      <c r="S381" s="31"/>
      <c r="T381" s="32"/>
      <c r="U381" s="33"/>
      <c r="V381" s="34"/>
    </row>
    <row r="382" customFormat="false" ht="15" hidden="false" customHeight="false" outlineLevel="2" collapsed="false">
      <c r="A382" s="35" t="n">
        <v>2</v>
      </c>
      <c r="B382" s="36" t="s">
        <v>1451</v>
      </c>
      <c r="C382" s="37" t="s">
        <v>1435</v>
      </c>
      <c r="D382" s="36" t="s">
        <v>71</v>
      </c>
      <c r="E382" s="36" t="str">
        <f aca="false">INDEX(REF_DATO,MATCH(D382,REF_ID,0))</f>
        <v>Dióxido de carbono (IRAM 41170)</v>
      </c>
      <c r="F382" s="38" t="n">
        <f aca="false">MODELOS!$L$13</f>
        <v>5</v>
      </c>
      <c r="G382" s="35" t="s">
        <v>123</v>
      </c>
      <c r="H382" s="39" t="n">
        <f aca="false">MODELOS!$AJ$13</f>
        <v>0.631313131313131</v>
      </c>
      <c r="I382" s="40" t="n">
        <f aca="false">F382*J382</f>
        <v>7.92</v>
      </c>
      <c r="J382" s="40" t="n">
        <f aca="false">1/H382</f>
        <v>1.584</v>
      </c>
      <c r="K382" s="40" t="n">
        <f aca="false">MODELOS!$M$13/H382</f>
        <v>7.524</v>
      </c>
      <c r="L382" s="40" t="n">
        <f aca="false">MODELOS!$N$13/H382</f>
        <v>7.92</v>
      </c>
      <c r="M382" s="40" t="n">
        <f aca="false">F382</f>
        <v>5</v>
      </c>
      <c r="N382" s="40" t="n">
        <v>1</v>
      </c>
      <c r="O382" s="40" t="n">
        <f aca="false">MODELOS!$M$13</f>
        <v>4.75</v>
      </c>
      <c r="P382" s="40" t="n">
        <f aca="false">MODELOS!$N$13</f>
        <v>5</v>
      </c>
      <c r="Q382" s="39"/>
      <c r="R382" s="39"/>
      <c r="S382" s="41"/>
      <c r="T382" s="42"/>
      <c r="U382" s="43"/>
      <c r="V382" s="44"/>
    </row>
    <row r="383" customFormat="false" ht="15" hidden="false" customHeight="false" outlineLevel="2" collapsed="false">
      <c r="A383" s="35" t="n">
        <v>2</v>
      </c>
      <c r="B383" s="36" t="s">
        <v>1449</v>
      </c>
      <c r="C383" s="37" t="s">
        <v>1432</v>
      </c>
      <c r="D383" s="36"/>
      <c r="E383" s="36"/>
      <c r="F383" s="38" t="n">
        <v>1</v>
      </c>
      <c r="G383" s="35" t="s">
        <v>264</v>
      </c>
      <c r="H383" s="39"/>
      <c r="I383" s="40"/>
      <c r="J383" s="40"/>
      <c r="K383" s="40"/>
      <c r="L383" s="40"/>
      <c r="M383" s="40"/>
      <c r="N383" s="40"/>
      <c r="O383" s="40"/>
      <c r="P383" s="40"/>
      <c r="Q383" s="39"/>
      <c r="R383" s="39"/>
      <c r="S383" s="41"/>
      <c r="T383" s="42"/>
      <c r="U383" s="43"/>
      <c r="V383" s="44"/>
    </row>
    <row r="384" customFormat="false" ht="15" hidden="false" customHeight="false" outlineLevel="2" collapsed="false">
      <c r="A384" s="35" t="n">
        <v>2</v>
      </c>
      <c r="B384" s="36" t="s">
        <v>1452</v>
      </c>
      <c r="C384" s="37" t="s">
        <v>1195</v>
      </c>
      <c r="D384" s="36"/>
      <c r="E384" s="36"/>
      <c r="F384" s="38" t="n">
        <v>1</v>
      </c>
      <c r="G384" s="35" t="s">
        <v>264</v>
      </c>
      <c r="H384" s="39"/>
      <c r="I384" s="40"/>
      <c r="J384" s="40"/>
      <c r="K384" s="40"/>
      <c r="L384" s="40"/>
      <c r="M384" s="40"/>
      <c r="N384" s="40"/>
      <c r="O384" s="40"/>
      <c r="P384" s="40"/>
      <c r="Q384" s="39"/>
      <c r="R384" s="39"/>
      <c r="S384" s="41"/>
      <c r="T384" s="42"/>
      <c r="U384" s="43"/>
      <c r="V384" s="44"/>
    </row>
    <row r="385" customFormat="false" ht="15" hidden="false" customHeight="false" outlineLevel="2" collapsed="false">
      <c r="A385" s="35" t="n">
        <v>2</v>
      </c>
      <c r="B385" s="36" t="s">
        <v>1453</v>
      </c>
      <c r="C385" s="37" t="s">
        <v>1205</v>
      </c>
      <c r="D385" s="36"/>
      <c r="E385" s="36"/>
      <c r="F385" s="38" t="n">
        <v>1</v>
      </c>
      <c r="G385" s="35" t="s">
        <v>264</v>
      </c>
      <c r="H385" s="39"/>
      <c r="I385" s="40"/>
      <c r="J385" s="40"/>
      <c r="K385" s="40"/>
      <c r="L385" s="40"/>
      <c r="M385" s="40"/>
      <c r="N385" s="40"/>
      <c r="O385" s="40"/>
      <c r="P385" s="40"/>
      <c r="Q385" s="39"/>
      <c r="R385" s="39"/>
      <c r="S385" s="41"/>
      <c r="T385" s="42"/>
      <c r="U385" s="43"/>
      <c r="V385" s="44"/>
    </row>
    <row r="386" customFormat="false" ht="15" hidden="false" customHeight="false" outlineLevel="0" collapsed="false">
      <c r="A386" s="16" t="n">
        <v>0</v>
      </c>
      <c r="B386" s="17" t="s">
        <v>1454</v>
      </c>
      <c r="C386" s="17" t="s">
        <v>231</v>
      </c>
      <c r="D386" s="17"/>
      <c r="E386" s="17"/>
      <c r="F386" s="18" t="n">
        <v>1</v>
      </c>
      <c r="G386" s="16" t="s">
        <v>264</v>
      </c>
      <c r="H386" s="19"/>
      <c r="I386" s="20"/>
      <c r="J386" s="20"/>
      <c r="K386" s="20"/>
      <c r="L386" s="20"/>
      <c r="M386" s="20"/>
      <c r="N386" s="20"/>
      <c r="O386" s="20"/>
      <c r="P386" s="20"/>
      <c r="Q386" s="19"/>
      <c r="R386" s="19"/>
      <c r="S386" s="21"/>
      <c r="T386" s="22"/>
      <c r="U386" s="23"/>
      <c r="V386" s="24"/>
    </row>
    <row r="387" customFormat="false" ht="15" hidden="false" customHeight="false" outlineLevel="1" collapsed="false">
      <c r="A387" s="25" t="n">
        <v>1</v>
      </c>
      <c r="B387" s="26" t="s">
        <v>1455</v>
      </c>
      <c r="C387" s="27" t="s">
        <v>1183</v>
      </c>
      <c r="D387" s="26"/>
      <c r="E387" s="26"/>
      <c r="F387" s="28" t="n">
        <v>1</v>
      </c>
      <c r="G387" s="25" t="s">
        <v>1184</v>
      </c>
      <c r="H387" s="29"/>
      <c r="I387" s="30"/>
      <c r="J387" s="30"/>
      <c r="K387" s="30"/>
      <c r="L387" s="30"/>
      <c r="M387" s="30" t="str">
        <f aca="false">IF(SUMIF(A388:A388,2,M388:M388)=0,"",SUMIF(A388:A388,2,M388:M388))</f>
        <v/>
      </c>
      <c r="N387" s="30"/>
      <c r="O387" s="30" t="str">
        <f aca="false">IF(SUMIF(A388:A388,2,O388:O388)=0,"",SUMIF(A388:A388,2,O388:O388))</f>
        <v/>
      </c>
      <c r="P387" s="30" t="str">
        <f aca="false">IF(SUMIF(A388:A388,2,P388:P388)=0,"",SUMIF(A388:A388,2,P388:P388))</f>
        <v/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1456</v>
      </c>
      <c r="C388" s="37" t="s">
        <v>1186</v>
      </c>
      <c r="D388" s="36"/>
      <c r="E388" s="36"/>
      <c r="F388" s="38" t="n">
        <v>1</v>
      </c>
      <c r="G388" s="35" t="s">
        <v>264</v>
      </c>
      <c r="H388" s="39"/>
      <c r="I388" s="40"/>
      <c r="J388" s="40"/>
      <c r="K388" s="40"/>
      <c r="L388" s="40"/>
      <c r="M388" s="40"/>
      <c r="N388" s="40"/>
      <c r="O388" s="40"/>
      <c r="P388" s="40"/>
      <c r="Q388" s="39"/>
      <c r="R388" s="39"/>
      <c r="S388" s="41"/>
      <c r="T388" s="42"/>
      <c r="U388" s="43"/>
      <c r="V388" s="44"/>
    </row>
    <row r="389" customFormat="false" ht="15" hidden="false" customHeight="false" outlineLevel="1" collapsed="false">
      <c r="A389" s="25" t="n">
        <v>1</v>
      </c>
      <c r="B389" s="26" t="s">
        <v>1457</v>
      </c>
      <c r="C389" s="27" t="s">
        <v>1188</v>
      </c>
      <c r="D389" s="26"/>
      <c r="E389" s="26"/>
      <c r="F389" s="28" t="n">
        <v>1</v>
      </c>
      <c r="G389" s="25" t="s">
        <v>1184</v>
      </c>
      <c r="H389" s="29"/>
      <c r="I389" s="30"/>
      <c r="J389" s="30"/>
      <c r="K389" s="30"/>
      <c r="L389" s="30"/>
      <c r="M389" s="30" t="n">
        <f aca="false">IF(SUMIF(A390:A398,2,M390:M398)=0,"",SUMIF(A390:A398,2,M390:M398))</f>
        <v>0.18878032997297</v>
      </c>
      <c r="N389" s="30"/>
      <c r="O389" s="30" t="n">
        <f aca="false">IF(SUMIF(A390:A398,2,O390:O398)=0,"",SUMIF(A390:A398,2,O390:O398))</f>
        <v>0.0347911075256444</v>
      </c>
      <c r="P389" s="30" t="n">
        <f aca="false">IF(SUMIF(A390:A398,2,P390:P398)=0,"",SUMIF(A390:A398,2,P390:P398))</f>
        <v>0.194155963983008</v>
      </c>
      <c r="Q389" s="29"/>
      <c r="R389" s="29"/>
      <c r="S389" s="31"/>
      <c r="T389" s="32"/>
      <c r="U389" s="33"/>
      <c r="V389" s="34"/>
    </row>
    <row r="390" customFormat="false" ht="15" hidden="false" customHeight="false" outlineLevel="2" collapsed="false">
      <c r="A390" s="35" t="n">
        <v>2</v>
      </c>
      <c r="B390" s="36" t="s">
        <v>1458</v>
      </c>
      <c r="C390" s="37" t="s">
        <v>1459</v>
      </c>
      <c r="D390" s="36" t="s">
        <v>52</v>
      </c>
      <c r="E390" s="36" t="str">
        <f aca="false">INDEX(REF_DATO,MATCH(D390,REF_ID,0))</f>
        <v>HCFC Mezcla B (agente limpio)</v>
      </c>
      <c r="F390" s="38" t="n">
        <f aca="false">MODELOS!$AN$14</f>
        <v>0.15</v>
      </c>
      <c r="G390" s="35" t="s">
        <v>123</v>
      </c>
      <c r="H390" s="39" t="n">
        <f aca="false">INDEX(REF_VAL,MATCH(D390,REF_ID,0))</f>
        <v>1.48</v>
      </c>
      <c r="I390" s="40" t="n">
        <f aca="false">F390*J390</f>
        <v>0.101351351351352</v>
      </c>
      <c r="J390" s="40" t="n">
        <f aca="false">1/H390</f>
        <v>0.675675675675676</v>
      </c>
      <c r="K390" s="40" t="n">
        <f aca="false">0/R390</f>
        <v>0</v>
      </c>
      <c r="L390" s="40" t="n">
        <f aca="false">MODELOS!$AN$14/Q390</f>
        <v>0.102040816326531</v>
      </c>
      <c r="M390" s="40" t="n">
        <f aca="false">F390</f>
        <v>0.15</v>
      </c>
      <c r="N390" s="40" t="n">
        <v>1</v>
      </c>
      <c r="O390" s="40" t="n">
        <f aca="false">0</f>
        <v>0</v>
      </c>
      <c r="P390" s="40" t="n">
        <f aca="false">MODELOS!$AN$14</f>
        <v>0.15</v>
      </c>
      <c r="Q390" s="39" t="n">
        <f aca="false">INDEX(REF_MIN,MATCH(D390,REF_ID,0))</f>
        <v>1.47</v>
      </c>
      <c r="R390" s="39" t="n">
        <f aca="false">INDEX(REF_MAX,MATCH(D390,REF_ID,0))</f>
        <v>1.48</v>
      </c>
      <c r="S390" s="41"/>
      <c r="T390" s="42"/>
      <c r="U390" s="43"/>
      <c r="V390" s="44"/>
    </row>
    <row r="391" customFormat="false" ht="15" hidden="false" customHeight="false" outlineLevel="2" collapsed="false">
      <c r="A391" s="35" t="n">
        <v>2</v>
      </c>
      <c r="B391" s="36" t="s">
        <v>1460</v>
      </c>
      <c r="C391" s="37" t="s">
        <v>1083</v>
      </c>
      <c r="D391" s="36" t="s">
        <v>85</v>
      </c>
      <c r="E391" s="36" t="str">
        <f aca="false">INDEX(REF_DATO,MATCH(D391,REF_ID,0))</f>
        <v>Argón (densidad normal)</v>
      </c>
      <c r="F391" s="38" t="n">
        <f aca="false">MODELOS!$AF$14</f>
        <v>0.0387803299729701</v>
      </c>
      <c r="G391" s="35" t="s">
        <v>123</v>
      </c>
      <c r="H391" s="39" t="n">
        <f aca="false">INDEX(REF_VAL,MATCH(D391,REF_ID,0))</f>
        <v>0.00178459891139466</v>
      </c>
      <c r="I391" s="40" t="n">
        <f aca="false">F391*J391</f>
        <v>21.7305579003538</v>
      </c>
      <c r="J391" s="40" t="n">
        <f aca="false">1/H391</f>
        <v>560.35</v>
      </c>
      <c r="K391" s="40" t="n">
        <f aca="false">MODELOS!$AG$14/H391</f>
        <v>19.4951971019948</v>
      </c>
      <c r="L391" s="40" t="n">
        <f aca="false">MODELOS!$AH$14/H391</f>
        <v>24.7427944178783</v>
      </c>
      <c r="M391" s="40" t="n">
        <f aca="false">F391</f>
        <v>0.0387803299729701</v>
      </c>
      <c r="N391" s="40" t="n">
        <v>1</v>
      </c>
      <c r="O391" s="40" t="n">
        <f aca="false">MODELOS!$AG$14</f>
        <v>0.0347911075256444</v>
      </c>
      <c r="P391" s="40" t="n">
        <f aca="false">MODELOS!$AH$14</f>
        <v>0.0441559639830076</v>
      </c>
      <c r="Q391" s="39"/>
      <c r="R391" s="39"/>
      <c r="S391" s="41"/>
      <c r="T391" s="42"/>
      <c r="U391" s="43"/>
      <c r="V391" s="44"/>
    </row>
    <row r="392" customFormat="false" ht="15" hidden="false" customHeight="false" outlineLevel="2" collapsed="false">
      <c r="A392" s="35" t="n">
        <v>2</v>
      </c>
      <c r="B392" s="36" t="s">
        <v>1461</v>
      </c>
      <c r="C392" s="37" t="s">
        <v>1193</v>
      </c>
      <c r="D392" s="36"/>
      <c r="E392" s="36"/>
      <c r="F392" s="38" t="n">
        <v>1</v>
      </c>
      <c r="G392" s="35" t="s">
        <v>264</v>
      </c>
      <c r="H392" s="39"/>
      <c r="I392" s="40"/>
      <c r="J392" s="40"/>
      <c r="K392" s="40"/>
      <c r="L392" s="40"/>
      <c r="M392" s="40"/>
      <c r="N392" s="40"/>
      <c r="O392" s="40"/>
      <c r="P392" s="40"/>
      <c r="Q392" s="39"/>
      <c r="R392" s="39"/>
      <c r="S392" s="41"/>
      <c r="T392" s="42"/>
      <c r="U392" s="43"/>
      <c r="V392" s="44"/>
    </row>
    <row r="393" customFormat="false" ht="15" hidden="false" customHeight="false" outlineLevel="2" collapsed="false">
      <c r="A393" s="35" t="n">
        <v>2</v>
      </c>
      <c r="B393" s="36" t="s">
        <v>1462</v>
      </c>
      <c r="C393" s="37" t="s">
        <v>1195</v>
      </c>
      <c r="D393" s="36"/>
      <c r="E393" s="36"/>
      <c r="F393" s="38" t="n">
        <v>1</v>
      </c>
      <c r="G393" s="35" t="s">
        <v>264</v>
      </c>
      <c r="H393" s="39"/>
      <c r="I393" s="40"/>
      <c r="J393" s="40"/>
      <c r="K393" s="40"/>
      <c r="L393" s="40"/>
      <c r="M393" s="40"/>
      <c r="N393" s="40"/>
      <c r="O393" s="40"/>
      <c r="P393" s="40"/>
      <c r="Q393" s="39"/>
      <c r="R393" s="39"/>
      <c r="S393" s="41"/>
      <c r="T393" s="42"/>
      <c r="U393" s="43"/>
      <c r="V393" s="44"/>
    </row>
    <row r="394" customFormat="false" ht="15" hidden="false" customHeight="false" outlineLevel="2" collapsed="false">
      <c r="A394" s="35" t="n">
        <v>2</v>
      </c>
      <c r="B394" s="36" t="s">
        <v>1463</v>
      </c>
      <c r="C394" s="37" t="s">
        <v>1197</v>
      </c>
      <c r="D394" s="36"/>
      <c r="E394" s="36"/>
      <c r="F394" s="38" t="n">
        <v>1</v>
      </c>
      <c r="G394" s="35" t="s">
        <v>264</v>
      </c>
      <c r="H394" s="39"/>
      <c r="I394" s="40"/>
      <c r="J394" s="40"/>
      <c r="K394" s="40"/>
      <c r="L394" s="40"/>
      <c r="M394" s="40"/>
      <c r="N394" s="40"/>
      <c r="O394" s="40"/>
      <c r="P394" s="40"/>
      <c r="Q394" s="39"/>
      <c r="R394" s="39"/>
      <c r="S394" s="41"/>
      <c r="T394" s="42"/>
      <c r="U394" s="43"/>
      <c r="V394" s="44"/>
    </row>
    <row r="395" customFormat="false" ht="15" hidden="false" customHeight="false" outlineLevel="2" collapsed="false">
      <c r="A395" s="35" t="n">
        <v>2</v>
      </c>
      <c r="B395" s="36" t="s">
        <v>1464</v>
      </c>
      <c r="C395" s="37" t="s">
        <v>1199</v>
      </c>
      <c r="D395" s="36"/>
      <c r="E395" s="36"/>
      <c r="F395" s="38" t="n">
        <v>1</v>
      </c>
      <c r="G395" s="35" t="s">
        <v>264</v>
      </c>
      <c r="H395" s="39"/>
      <c r="I395" s="40"/>
      <c r="J395" s="40"/>
      <c r="K395" s="40"/>
      <c r="L395" s="40"/>
      <c r="M395" s="40"/>
      <c r="N395" s="40"/>
      <c r="O395" s="40"/>
      <c r="P395" s="40"/>
      <c r="Q395" s="39"/>
      <c r="R395" s="39"/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1465</v>
      </c>
      <c r="C396" s="37" t="s">
        <v>1201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1466</v>
      </c>
      <c r="C397" s="37" t="s">
        <v>1203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1467</v>
      </c>
      <c r="C398" s="37" t="s">
        <v>1205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1" collapsed="false">
      <c r="A399" s="25" t="n">
        <v>1</v>
      </c>
      <c r="B399" s="26" t="s">
        <v>1468</v>
      </c>
      <c r="C399" s="27" t="s">
        <v>1207</v>
      </c>
      <c r="D399" s="26"/>
      <c r="E399" s="26"/>
      <c r="F399" s="28" t="n">
        <v>1</v>
      </c>
      <c r="G399" s="25" t="s">
        <v>1184</v>
      </c>
      <c r="H399" s="29"/>
      <c r="I399" s="30"/>
      <c r="J399" s="30"/>
      <c r="K399" s="30"/>
      <c r="L399" s="30"/>
      <c r="M399" s="30" t="n">
        <f aca="false">IF(SUMIF(A400:A408,2,M400:M408)=0,"",SUMIF(A400:A408,2,M400:M408))</f>
        <v>5.03878032997297</v>
      </c>
      <c r="N399" s="30"/>
      <c r="O399" s="30" t="n">
        <f aca="false">IF(SUMIF(A400:A408,2,O400:O408)=0,"",SUMIF(A400:A408,2,O400:O408))</f>
        <v>4.88479110752564</v>
      </c>
      <c r="P399" s="30" t="n">
        <f aca="false">IF(SUMIF(A400:A408,2,P400:P408)=0,"",SUMIF(A400:A408,2,P400:P408))</f>
        <v>5.04415596398301</v>
      </c>
      <c r="Q399" s="29"/>
      <c r="R399" s="29"/>
      <c r="S399" s="31"/>
      <c r="T399" s="32"/>
      <c r="U399" s="33"/>
      <c r="V399" s="34"/>
    </row>
    <row r="400" customFormat="false" ht="15" hidden="false" customHeight="false" outlineLevel="2" collapsed="false">
      <c r="A400" s="35" t="n">
        <v>2</v>
      </c>
      <c r="B400" s="36" t="s">
        <v>1458</v>
      </c>
      <c r="C400" s="37" t="s">
        <v>1081</v>
      </c>
      <c r="D400" s="36" t="s">
        <v>52</v>
      </c>
      <c r="E400" s="36" t="str">
        <f aca="false">INDEX(REF_DATO,MATCH(D400,REF_ID,0))</f>
        <v>HCFC Mezcla B (agente limpio)</v>
      </c>
      <c r="F400" s="38" t="n">
        <f aca="false">MODELOS!$L$14</f>
        <v>5</v>
      </c>
      <c r="G400" s="35" t="s">
        <v>123</v>
      </c>
      <c r="H400" s="39" t="n">
        <f aca="false">INDEX(REF_VAL,MATCH(D400,REF_ID,0))</f>
        <v>1.48</v>
      </c>
      <c r="I400" s="40" t="n">
        <f aca="false">F400*J400</f>
        <v>3.37837837837838</v>
      </c>
      <c r="J400" s="40" t="n">
        <f aca="false">1/H400</f>
        <v>0.675675675675676</v>
      </c>
      <c r="K400" s="40" t="n">
        <f aca="false">MODELOS!$M$14/R400</f>
        <v>3.27702702702703</v>
      </c>
      <c r="L400" s="40" t="n">
        <f aca="false">MODELOS!$N$14/Q400</f>
        <v>3.40136054421769</v>
      </c>
      <c r="M400" s="40" t="n">
        <f aca="false">F400</f>
        <v>5</v>
      </c>
      <c r="N400" s="40" t="n">
        <v>1</v>
      </c>
      <c r="O400" s="40" t="n">
        <f aca="false">MODELOS!$M$14</f>
        <v>4.85</v>
      </c>
      <c r="P400" s="40" t="n">
        <f aca="false">MODELOS!$N$14</f>
        <v>5</v>
      </c>
      <c r="Q400" s="39" t="n">
        <f aca="false">INDEX(REF_MIN,MATCH(D400,REF_ID,0))</f>
        <v>1.47</v>
      </c>
      <c r="R400" s="39" t="n">
        <f aca="false">INDEX(REF_MAX,MATCH(D400,REF_ID,0))</f>
        <v>1.48</v>
      </c>
      <c r="S400" s="41"/>
      <c r="T400" s="42"/>
      <c r="U400" s="43"/>
      <c r="V400" s="44"/>
    </row>
    <row r="401" customFormat="false" ht="15" hidden="false" customHeight="false" outlineLevel="2" collapsed="false">
      <c r="A401" s="35" t="n">
        <v>2</v>
      </c>
      <c r="B401" s="36" t="s">
        <v>1460</v>
      </c>
      <c r="C401" s="37" t="s">
        <v>1083</v>
      </c>
      <c r="D401" s="36" t="s">
        <v>85</v>
      </c>
      <c r="E401" s="36" t="str">
        <f aca="false">INDEX(REF_DATO,MATCH(D401,REF_ID,0))</f>
        <v>Argón (densidad normal)</v>
      </c>
      <c r="F401" s="38" t="n">
        <f aca="false">MODELOS!$AF$14</f>
        <v>0.0387803299729701</v>
      </c>
      <c r="G401" s="35" t="s">
        <v>123</v>
      </c>
      <c r="H401" s="39" t="n">
        <f aca="false">INDEX(REF_VAL,MATCH(D401,REF_ID,0))</f>
        <v>0.00178459891139466</v>
      </c>
      <c r="I401" s="40" t="n">
        <f aca="false">F401*J401</f>
        <v>21.7305579003538</v>
      </c>
      <c r="J401" s="40" t="n">
        <f aca="false">1/H401</f>
        <v>560.35</v>
      </c>
      <c r="K401" s="40" t="n">
        <f aca="false">MODELOS!$AG$14/H401</f>
        <v>19.4951971019948</v>
      </c>
      <c r="L401" s="40" t="n">
        <f aca="false">MODELOS!$AH$14/H401</f>
        <v>24.7427944178783</v>
      </c>
      <c r="M401" s="40" t="n">
        <f aca="false">F401</f>
        <v>0.0387803299729701</v>
      </c>
      <c r="N401" s="40" t="n">
        <v>1</v>
      </c>
      <c r="O401" s="40" t="n">
        <f aca="false">MODELOS!$AG$14</f>
        <v>0.0347911075256444</v>
      </c>
      <c r="P401" s="40" t="n">
        <f aca="false">MODELOS!$AH$14</f>
        <v>0.0441559639830076</v>
      </c>
      <c r="Q401" s="39"/>
      <c r="R401" s="39"/>
      <c r="S401" s="41"/>
      <c r="T401" s="42"/>
      <c r="U401" s="43"/>
      <c r="V401" s="44"/>
    </row>
    <row r="402" customFormat="false" ht="15" hidden="false" customHeight="false" outlineLevel="2" collapsed="false">
      <c r="A402" s="35" t="n">
        <v>2</v>
      </c>
      <c r="B402" s="36" t="s">
        <v>1461</v>
      </c>
      <c r="C402" s="37" t="s">
        <v>1193</v>
      </c>
      <c r="D402" s="36"/>
      <c r="E402" s="36"/>
      <c r="F402" s="38" t="n">
        <v>1</v>
      </c>
      <c r="G402" s="35" t="s">
        <v>264</v>
      </c>
      <c r="H402" s="39"/>
      <c r="I402" s="40"/>
      <c r="J402" s="40"/>
      <c r="K402" s="40"/>
      <c r="L402" s="40"/>
      <c r="M402" s="40"/>
      <c r="N402" s="40"/>
      <c r="O402" s="40"/>
      <c r="P402" s="40"/>
      <c r="Q402" s="39"/>
      <c r="R402" s="39"/>
      <c r="S402" s="41"/>
      <c r="T402" s="42"/>
      <c r="U402" s="43"/>
      <c r="V402" s="44"/>
    </row>
    <row r="403" customFormat="false" ht="15" hidden="false" customHeight="false" outlineLevel="2" collapsed="false">
      <c r="A403" s="35" t="n">
        <v>2</v>
      </c>
      <c r="B403" s="36" t="s">
        <v>1462</v>
      </c>
      <c r="C403" s="37" t="s">
        <v>1195</v>
      </c>
      <c r="D403" s="36"/>
      <c r="E403" s="36"/>
      <c r="F403" s="38" t="n">
        <v>1</v>
      </c>
      <c r="G403" s="35" t="s">
        <v>264</v>
      </c>
      <c r="H403" s="39"/>
      <c r="I403" s="40"/>
      <c r="J403" s="40"/>
      <c r="K403" s="40"/>
      <c r="L403" s="40"/>
      <c r="M403" s="40"/>
      <c r="N403" s="40"/>
      <c r="O403" s="40"/>
      <c r="P403" s="40"/>
      <c r="Q403" s="39"/>
      <c r="R403" s="39"/>
      <c r="S403" s="41"/>
      <c r="T403" s="42"/>
      <c r="U403" s="43"/>
      <c r="V403" s="44"/>
    </row>
    <row r="404" customFormat="false" ht="15" hidden="false" customHeight="false" outlineLevel="2" collapsed="false">
      <c r="A404" s="35" t="n">
        <v>2</v>
      </c>
      <c r="B404" s="36" t="s">
        <v>1463</v>
      </c>
      <c r="C404" s="37" t="s">
        <v>1197</v>
      </c>
      <c r="D404" s="36"/>
      <c r="E404" s="36"/>
      <c r="F404" s="38" t="n">
        <v>1</v>
      </c>
      <c r="G404" s="35" t="s">
        <v>264</v>
      </c>
      <c r="H404" s="39"/>
      <c r="I404" s="40"/>
      <c r="J404" s="40"/>
      <c r="K404" s="40"/>
      <c r="L404" s="40"/>
      <c r="M404" s="40"/>
      <c r="N404" s="40"/>
      <c r="O404" s="40"/>
      <c r="P404" s="40"/>
      <c r="Q404" s="39"/>
      <c r="R404" s="39"/>
      <c r="S404" s="41"/>
      <c r="T404" s="42"/>
      <c r="U404" s="43"/>
      <c r="V404" s="44"/>
    </row>
    <row r="405" customFormat="false" ht="15" hidden="false" customHeight="false" outlineLevel="2" collapsed="false">
      <c r="A405" s="35" t="n">
        <v>2</v>
      </c>
      <c r="B405" s="36" t="s">
        <v>1464</v>
      </c>
      <c r="C405" s="37" t="s">
        <v>1199</v>
      </c>
      <c r="D405" s="36"/>
      <c r="E405" s="36"/>
      <c r="F405" s="38" t="n">
        <v>1</v>
      </c>
      <c r="G405" s="35" t="s">
        <v>264</v>
      </c>
      <c r="H405" s="39"/>
      <c r="I405" s="40"/>
      <c r="J405" s="40"/>
      <c r="K405" s="40"/>
      <c r="L405" s="40"/>
      <c r="M405" s="40"/>
      <c r="N405" s="40"/>
      <c r="O405" s="40"/>
      <c r="P405" s="40"/>
      <c r="Q405" s="39"/>
      <c r="R405" s="39"/>
      <c r="S405" s="41"/>
      <c r="T405" s="42"/>
      <c r="U405" s="43"/>
      <c r="V405" s="44"/>
    </row>
    <row r="406" customFormat="false" ht="15" hidden="false" customHeight="false" outlineLevel="2" collapsed="false">
      <c r="A406" s="35" t="n">
        <v>2</v>
      </c>
      <c r="B406" s="36" t="s">
        <v>1465</v>
      </c>
      <c r="C406" s="37" t="s">
        <v>1201</v>
      </c>
      <c r="D406" s="36"/>
      <c r="E406" s="36"/>
      <c r="F406" s="38" t="n">
        <v>1</v>
      </c>
      <c r="G406" s="35" t="s">
        <v>264</v>
      </c>
      <c r="H406" s="39"/>
      <c r="I406" s="40"/>
      <c r="J406" s="40"/>
      <c r="K406" s="40"/>
      <c r="L406" s="40"/>
      <c r="M406" s="40"/>
      <c r="N406" s="40"/>
      <c r="O406" s="40"/>
      <c r="P406" s="40"/>
      <c r="Q406" s="39"/>
      <c r="R406" s="39"/>
      <c r="S406" s="41"/>
      <c r="T406" s="42"/>
      <c r="U406" s="43"/>
      <c r="V406" s="44"/>
    </row>
    <row r="407" customFormat="false" ht="15" hidden="false" customHeight="false" outlineLevel="2" collapsed="false">
      <c r="A407" s="35" t="n">
        <v>2</v>
      </c>
      <c r="B407" s="36" t="s">
        <v>1466</v>
      </c>
      <c r="C407" s="37" t="s">
        <v>1203</v>
      </c>
      <c r="D407" s="36"/>
      <c r="E407" s="36"/>
      <c r="F407" s="38" t="n">
        <v>1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2" collapsed="false">
      <c r="A408" s="35" t="n">
        <v>2</v>
      </c>
      <c r="B408" s="36" t="s">
        <v>1467</v>
      </c>
      <c r="C408" s="37" t="s">
        <v>1205</v>
      </c>
      <c r="D408" s="36"/>
      <c r="E408" s="36"/>
      <c r="F408" s="38" t="n">
        <v>1</v>
      </c>
      <c r="G408" s="35" t="s">
        <v>264</v>
      </c>
      <c r="H408" s="39"/>
      <c r="I408" s="40"/>
      <c r="J408" s="40"/>
      <c r="K408" s="40"/>
      <c r="L408" s="40"/>
      <c r="M408" s="40"/>
      <c r="N408" s="40"/>
      <c r="O408" s="40"/>
      <c r="P408" s="40"/>
      <c r="Q408" s="39"/>
      <c r="R408" s="39"/>
      <c r="S408" s="41"/>
      <c r="T408" s="42"/>
      <c r="U408" s="43"/>
      <c r="V408" s="44"/>
    </row>
    <row r="409" customFormat="false" ht="15" hidden="false" customHeight="false" outlineLevel="1" collapsed="false">
      <c r="A409" s="25" t="n">
        <v>1</v>
      </c>
      <c r="B409" s="26" t="s">
        <v>1469</v>
      </c>
      <c r="C409" s="27" t="str">
        <f aca="false">"Prueba hidráulica (cada "&amp;MODELOS!$AO$14&amp;" años, se suma al mantenimiento)"</f>
        <v>Prueba hidráulica (cada 5 años, se suma al mantenimiento)</v>
      </c>
      <c r="D409" s="26"/>
      <c r="E409" s="26"/>
      <c r="F409" s="28" t="n">
        <v>1</v>
      </c>
      <c r="G409" s="25" t="s">
        <v>1184</v>
      </c>
      <c r="H409" s="29"/>
      <c r="I409" s="30"/>
      <c r="J409" s="30"/>
      <c r="K409" s="30"/>
      <c r="L409" s="30"/>
      <c r="M409" s="30" t="n">
        <f aca="false">IF(SUMIF(A410:A411,2,M410:M411)=0,"",SUMIF(A410:A411,2,M410:M411))</f>
        <v>4.85</v>
      </c>
      <c r="N409" s="30"/>
      <c r="O409" s="30" t="n">
        <f aca="false">IF(SUMIF(A410:A411,2,O410:O411)=0,"",SUMIF(A410:A411,2,O410:O411))</f>
        <v>4.85</v>
      </c>
      <c r="P409" s="30" t="n">
        <f aca="false">IF(SUMIF(A410:A411,2,P410:P411)=0,"",SUMIF(A410:A411,2,P410:P411))</f>
        <v>5</v>
      </c>
      <c r="Q409" s="29"/>
      <c r="R409" s="29"/>
      <c r="S409" s="31"/>
      <c r="T409" s="32"/>
      <c r="U409" s="33"/>
      <c r="V409" s="34"/>
    </row>
    <row r="410" customFormat="false" ht="15" hidden="false" customHeight="false" outlineLevel="2" collapsed="false">
      <c r="A410" s="35" t="n">
        <v>2</v>
      </c>
      <c r="B410" s="36" t="s">
        <v>1470</v>
      </c>
      <c r="C410" s="37" t="s">
        <v>1471</v>
      </c>
      <c r="D410" s="36" t="s">
        <v>52</v>
      </c>
      <c r="E410" s="36" t="str">
        <f aca="false">INDEX(REF_DATO,MATCH(D410,REF_ID,0))</f>
        <v>HCFC Mezcla B (agente limpio)</v>
      </c>
      <c r="F410" s="38" t="n">
        <f aca="false">(MODELOS!$L$14-MODELOS!$AN$14)</f>
        <v>4.85</v>
      </c>
      <c r="G410" s="35" t="s">
        <v>123</v>
      </c>
      <c r="H410" s="39" t="n">
        <f aca="false">INDEX(REF_VAL,MATCH(D410,REF_ID,0))</f>
        <v>1.48</v>
      </c>
      <c r="I410" s="40" t="n">
        <f aca="false">F410*J410</f>
        <v>3.27702702702703</v>
      </c>
      <c r="J410" s="40" t="n">
        <f aca="false">1/H410</f>
        <v>0.675675675675676</v>
      </c>
      <c r="K410" s="40" t="n">
        <f aca="false">(MODELOS!$L$14-MODELOS!$AN$14)/R410</f>
        <v>3.27702702702703</v>
      </c>
      <c r="L410" s="40" t="n">
        <f aca="false">MODELOS!$L$14/Q410</f>
        <v>3.40136054421769</v>
      </c>
      <c r="M410" s="40" t="n">
        <f aca="false">F410</f>
        <v>4.85</v>
      </c>
      <c r="N410" s="40" t="n">
        <v>1</v>
      </c>
      <c r="O410" s="40" t="n">
        <f aca="false">(MODELOS!$L$14-MODELOS!$AN$14)</f>
        <v>4.85</v>
      </c>
      <c r="P410" s="40" t="n">
        <f aca="false">MODELOS!$L$14</f>
        <v>5</v>
      </c>
      <c r="Q410" s="39" t="n">
        <f aca="false">INDEX(REF_MIN,MATCH(D410,REF_ID,0))</f>
        <v>1.47</v>
      </c>
      <c r="R410" s="39" t="n">
        <f aca="false">INDEX(REF_MAX,MATCH(D410,REF_ID,0))</f>
        <v>1.48</v>
      </c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1472</v>
      </c>
      <c r="C411" s="37" t="s">
        <v>1212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0" collapsed="false">
      <c r="A412" s="16" t="n">
        <v>0</v>
      </c>
      <c r="B412" s="17" t="s">
        <v>1473</v>
      </c>
      <c r="C412" s="17" t="s">
        <v>234</v>
      </c>
      <c r="D412" s="17"/>
      <c r="E412" s="17"/>
      <c r="F412" s="18" t="n">
        <v>1</v>
      </c>
      <c r="G412" s="16" t="s">
        <v>264</v>
      </c>
      <c r="H412" s="19"/>
      <c r="I412" s="20"/>
      <c r="J412" s="20"/>
      <c r="K412" s="20"/>
      <c r="L412" s="20"/>
      <c r="M412" s="20"/>
      <c r="N412" s="20"/>
      <c r="O412" s="20"/>
      <c r="P412" s="20"/>
      <c r="Q412" s="19"/>
      <c r="R412" s="19"/>
      <c r="S412" s="21"/>
      <c r="T412" s="22"/>
      <c r="U412" s="23"/>
      <c r="V412" s="24"/>
    </row>
    <row r="413" customFormat="false" ht="15" hidden="false" customHeight="false" outlineLevel="1" collapsed="false">
      <c r="A413" s="25" t="n">
        <v>1</v>
      </c>
      <c r="B413" s="26" t="s">
        <v>1474</v>
      </c>
      <c r="C413" s="27" t="s">
        <v>1183</v>
      </c>
      <c r="D413" s="26"/>
      <c r="E413" s="26"/>
      <c r="F413" s="28" t="n">
        <v>1</v>
      </c>
      <c r="G413" s="25" t="s">
        <v>1184</v>
      </c>
      <c r="H413" s="29"/>
      <c r="I413" s="30"/>
      <c r="J413" s="30"/>
      <c r="K413" s="30"/>
      <c r="L413" s="30"/>
      <c r="M413" s="30" t="str">
        <f aca="false">IF(SUMIF(A414:A414,2,M414:M414)=0,"",SUMIF(A414:A414,2,M414:M414))</f>
        <v/>
      </c>
      <c r="N413" s="30"/>
      <c r="O413" s="30" t="str">
        <f aca="false">IF(SUMIF(A414:A414,2,O414:O414)=0,"",SUMIF(A414:A414,2,O414:O414))</f>
        <v/>
      </c>
      <c r="P413" s="30" t="str">
        <f aca="false">IF(SUMIF(A414:A414,2,P414:P414)=0,"",SUMIF(A414:A414,2,P414:P414))</f>
        <v/>
      </c>
      <c r="Q413" s="29"/>
      <c r="R413" s="29"/>
      <c r="S413" s="31"/>
      <c r="T413" s="32"/>
      <c r="U413" s="33"/>
      <c r="V413" s="34"/>
    </row>
    <row r="414" customFormat="false" ht="15" hidden="false" customHeight="false" outlineLevel="2" collapsed="false">
      <c r="A414" s="35" t="n">
        <v>2</v>
      </c>
      <c r="B414" s="36" t="s">
        <v>1475</v>
      </c>
      <c r="C414" s="37" t="s">
        <v>1186</v>
      </c>
      <c r="D414" s="36"/>
      <c r="E414" s="36"/>
      <c r="F414" s="38" t="n">
        <v>1</v>
      </c>
      <c r="G414" s="35" t="s">
        <v>264</v>
      </c>
      <c r="H414" s="39"/>
      <c r="I414" s="40"/>
      <c r="J414" s="40"/>
      <c r="K414" s="40"/>
      <c r="L414" s="40"/>
      <c r="M414" s="40"/>
      <c r="N414" s="40"/>
      <c r="O414" s="40"/>
      <c r="P414" s="40"/>
      <c r="Q414" s="39"/>
      <c r="R414" s="39"/>
      <c r="S414" s="41"/>
      <c r="T414" s="42"/>
      <c r="U414" s="43"/>
      <c r="V414" s="44"/>
    </row>
    <row r="415" customFormat="false" ht="15" hidden="false" customHeight="false" outlineLevel="1" collapsed="false">
      <c r="A415" s="25" t="n">
        <v>1</v>
      </c>
      <c r="B415" s="26" t="s">
        <v>1476</v>
      </c>
      <c r="C415" s="27" t="s">
        <v>1188</v>
      </c>
      <c r="D415" s="26"/>
      <c r="E415" s="26"/>
      <c r="F415" s="28" t="n">
        <v>1</v>
      </c>
      <c r="G415" s="25" t="s">
        <v>1184</v>
      </c>
      <c r="H415" s="29"/>
      <c r="I415" s="30"/>
      <c r="J415" s="30"/>
      <c r="K415" s="30"/>
      <c r="L415" s="30"/>
      <c r="M415" s="30" t="n">
        <f aca="false">IF(SUMIF(A416:A424,2,M416:M424)=0,"",SUMIF(A416:A424,2,M416:M424))</f>
        <v>0.207780013130378</v>
      </c>
      <c r="N415" s="30"/>
      <c r="O415" s="30" t="n">
        <f aca="false">IF(SUMIF(A416:A424,2,O416:O424)=0,"",SUMIF(A416:A424,2,O416:O424))</f>
        <v>0.0242138582869293</v>
      </c>
      <c r="P415" s="30" t="n">
        <f aca="false">IF(SUMIF(A416:A424,2,P416:P424)=0,"",SUMIF(A416:A424,2,P416:P424))</f>
        <v>0.244928322321904</v>
      </c>
      <c r="Q415" s="29"/>
      <c r="R415" s="29"/>
      <c r="S415" s="31"/>
      <c r="T415" s="32"/>
      <c r="U415" s="33"/>
      <c r="V415" s="34"/>
    </row>
    <row r="416" customFormat="false" ht="15" hidden="false" customHeight="false" outlineLevel="2" collapsed="false">
      <c r="A416" s="35" t="n">
        <v>2</v>
      </c>
      <c r="B416" s="36" t="s">
        <v>1477</v>
      </c>
      <c r="C416" s="37" t="s">
        <v>1478</v>
      </c>
      <c r="D416" s="36" t="s">
        <v>49</v>
      </c>
      <c r="E416" s="36" t="str">
        <f aca="false">INDEX(REF_DATO,MATCH(D416,REF_ID,0))</f>
        <v>Polvo clase D (cloruro de sodio)</v>
      </c>
      <c r="F416" s="38" t="n">
        <f aca="false">MODELOS!$AN$15</f>
        <v>0.15</v>
      </c>
      <c r="G416" s="35" t="s">
        <v>123</v>
      </c>
      <c r="H416" s="39" t="n">
        <f aca="false">INDEX(REF_VAL,MATCH(D416,REF_ID,0))</f>
        <v>1</v>
      </c>
      <c r="I416" s="40" t="n">
        <f aca="false">F416*J416</f>
        <v>0.15</v>
      </c>
      <c r="J416" s="40" t="n">
        <f aca="false">1/H416</f>
        <v>1</v>
      </c>
      <c r="K416" s="40" t="n">
        <f aca="false">0/R416</f>
        <v>0</v>
      </c>
      <c r="L416" s="40" t="n">
        <f aca="false">MODELOS!$AN$15/Q416</f>
        <v>0.176470588235295</v>
      </c>
      <c r="M416" s="40" t="n">
        <f aca="false">F416</f>
        <v>0.15</v>
      </c>
      <c r="N416" s="40" t="n">
        <v>1</v>
      </c>
      <c r="O416" s="40" t="n">
        <f aca="false">0</f>
        <v>0</v>
      </c>
      <c r="P416" s="40" t="n">
        <f aca="false">MODELOS!$AN$15</f>
        <v>0.15</v>
      </c>
      <c r="Q416" s="39" t="n">
        <f aca="false">INDEX(REF_MIN,MATCH(D416,REF_ID,0))</f>
        <v>0.85</v>
      </c>
      <c r="R416" s="39" t="n">
        <f aca="false">INDEX(REF_MAX,MATCH(D416,REF_ID,0))</f>
        <v>1.2</v>
      </c>
      <c r="S416" s="41"/>
      <c r="T416" s="42"/>
      <c r="U416" s="43"/>
      <c r="V416" s="44"/>
    </row>
    <row r="417" customFormat="false" ht="15" hidden="false" customHeight="false" outlineLevel="2" collapsed="false">
      <c r="A417" s="35" t="n">
        <v>2</v>
      </c>
      <c r="B417" s="36" t="s">
        <v>1479</v>
      </c>
      <c r="C417" s="37" t="s">
        <v>316</v>
      </c>
      <c r="D417" s="36" t="s">
        <v>78</v>
      </c>
      <c r="E417" s="36" t="str">
        <f aca="false">INDEX(REF_DATO,MATCH(D417,REF_ID,0))</f>
        <v>Nitrógeno seco (densidad normal)</v>
      </c>
      <c r="F417" s="38" t="n">
        <f aca="false">MODELOS!$AF$15</f>
        <v>0.0577800131303772</v>
      </c>
      <c r="G417" s="35" t="s">
        <v>123</v>
      </c>
      <c r="H417" s="39" t="n">
        <f aca="false">INDEX(REF_VAL,MATCH(D417,REF_ID,0))</f>
        <v>0.00124921923797626</v>
      </c>
      <c r="I417" s="40" t="n">
        <f aca="false">F417*J417</f>
        <v>46.2529005108669</v>
      </c>
      <c r="J417" s="40" t="n">
        <f aca="false">1/H417</f>
        <v>800.5</v>
      </c>
      <c r="K417" s="40" t="n">
        <f aca="false">MODELOS!$AG$15/H417</f>
        <v>19.3831935586869</v>
      </c>
      <c r="L417" s="40" t="n">
        <f aca="false">MODELOS!$AH$15/H417</f>
        <v>75.9901220186836</v>
      </c>
      <c r="M417" s="40" t="n">
        <f aca="false">F417</f>
        <v>0.0577800131303772</v>
      </c>
      <c r="N417" s="40" t="n">
        <v>1</v>
      </c>
      <c r="O417" s="40" t="n">
        <f aca="false">MODELOS!$AG$15</f>
        <v>0.0242138582869293</v>
      </c>
      <c r="P417" s="40" t="n">
        <f aca="false">MODELOS!$AH$15</f>
        <v>0.0949283223219033</v>
      </c>
      <c r="Q417" s="39"/>
      <c r="R417" s="39"/>
      <c r="S417" s="41"/>
      <c r="T417" s="42"/>
      <c r="U417" s="43"/>
      <c r="V417" s="44"/>
    </row>
    <row r="418" customFormat="false" ht="15" hidden="false" customHeight="false" outlineLevel="2" collapsed="false">
      <c r="A418" s="35" t="n">
        <v>2</v>
      </c>
      <c r="B418" s="36" t="s">
        <v>1480</v>
      </c>
      <c r="C418" s="37" t="s">
        <v>1193</v>
      </c>
      <c r="D418" s="36"/>
      <c r="E418" s="36"/>
      <c r="F418" s="38" t="n">
        <v>1</v>
      </c>
      <c r="G418" s="35" t="s">
        <v>264</v>
      </c>
      <c r="H418" s="39"/>
      <c r="I418" s="40"/>
      <c r="J418" s="40"/>
      <c r="K418" s="40"/>
      <c r="L418" s="40"/>
      <c r="M418" s="40"/>
      <c r="N418" s="40"/>
      <c r="O418" s="40"/>
      <c r="P418" s="40"/>
      <c r="Q418" s="39"/>
      <c r="R418" s="39"/>
      <c r="S418" s="41"/>
      <c r="T418" s="42"/>
      <c r="U418" s="43"/>
      <c r="V418" s="44"/>
    </row>
    <row r="419" customFormat="false" ht="15" hidden="false" customHeight="false" outlineLevel="2" collapsed="false">
      <c r="A419" s="35" t="n">
        <v>2</v>
      </c>
      <c r="B419" s="36" t="s">
        <v>1481</v>
      </c>
      <c r="C419" s="37" t="s">
        <v>1195</v>
      </c>
      <c r="D419" s="36"/>
      <c r="E419" s="36"/>
      <c r="F419" s="38" t="n">
        <v>1</v>
      </c>
      <c r="G419" s="35" t="s">
        <v>264</v>
      </c>
      <c r="H419" s="39"/>
      <c r="I419" s="40"/>
      <c r="J419" s="40"/>
      <c r="K419" s="40"/>
      <c r="L419" s="40"/>
      <c r="M419" s="40"/>
      <c r="N419" s="40"/>
      <c r="O419" s="40"/>
      <c r="P419" s="40"/>
      <c r="Q419" s="39"/>
      <c r="R419" s="39"/>
      <c r="S419" s="41"/>
      <c r="T419" s="42"/>
      <c r="U419" s="43"/>
      <c r="V419" s="44"/>
    </row>
    <row r="420" customFormat="false" ht="15" hidden="false" customHeight="false" outlineLevel="2" collapsed="false">
      <c r="A420" s="35" t="n">
        <v>2</v>
      </c>
      <c r="B420" s="36" t="s">
        <v>1482</v>
      </c>
      <c r="C420" s="37" t="s">
        <v>1197</v>
      </c>
      <c r="D420" s="36"/>
      <c r="E420" s="36"/>
      <c r="F420" s="38" t="n">
        <v>1</v>
      </c>
      <c r="G420" s="35" t="s">
        <v>264</v>
      </c>
      <c r="H420" s="39"/>
      <c r="I420" s="40"/>
      <c r="J420" s="40"/>
      <c r="K420" s="40"/>
      <c r="L420" s="40"/>
      <c r="M420" s="40"/>
      <c r="N420" s="40"/>
      <c r="O420" s="40"/>
      <c r="P420" s="40"/>
      <c r="Q420" s="39"/>
      <c r="R420" s="39"/>
      <c r="S420" s="41"/>
      <c r="T420" s="42"/>
      <c r="U420" s="43"/>
      <c r="V420" s="44"/>
    </row>
    <row r="421" customFormat="false" ht="15" hidden="false" customHeight="false" outlineLevel="2" collapsed="false">
      <c r="A421" s="35" t="n">
        <v>2</v>
      </c>
      <c r="B421" s="36" t="s">
        <v>1483</v>
      </c>
      <c r="C421" s="37" t="s">
        <v>1199</v>
      </c>
      <c r="D421" s="36"/>
      <c r="E421" s="36"/>
      <c r="F421" s="38" t="n">
        <v>1</v>
      </c>
      <c r="G421" s="35" t="s">
        <v>264</v>
      </c>
      <c r="H421" s="39"/>
      <c r="I421" s="40"/>
      <c r="J421" s="40"/>
      <c r="K421" s="40"/>
      <c r="L421" s="40"/>
      <c r="M421" s="40"/>
      <c r="N421" s="40"/>
      <c r="O421" s="40"/>
      <c r="P421" s="40"/>
      <c r="Q421" s="39"/>
      <c r="R421" s="39"/>
      <c r="S421" s="41"/>
      <c r="T421" s="42"/>
      <c r="U421" s="43"/>
      <c r="V421" s="44"/>
    </row>
    <row r="422" customFormat="false" ht="15" hidden="false" customHeight="false" outlineLevel="2" collapsed="false">
      <c r="A422" s="35" t="n">
        <v>2</v>
      </c>
      <c r="B422" s="36" t="s">
        <v>1484</v>
      </c>
      <c r="C422" s="37" t="s">
        <v>1201</v>
      </c>
      <c r="D422" s="36"/>
      <c r="E422" s="36"/>
      <c r="F422" s="38" t="n">
        <v>1</v>
      </c>
      <c r="G422" s="35" t="s">
        <v>264</v>
      </c>
      <c r="H422" s="39"/>
      <c r="I422" s="40"/>
      <c r="J422" s="40"/>
      <c r="K422" s="40"/>
      <c r="L422" s="40"/>
      <c r="M422" s="40"/>
      <c r="N422" s="40"/>
      <c r="O422" s="40"/>
      <c r="P422" s="40"/>
      <c r="Q422" s="39"/>
      <c r="R422" s="39"/>
      <c r="S422" s="41"/>
      <c r="T422" s="42"/>
      <c r="U422" s="43"/>
      <c r="V422" s="44"/>
    </row>
    <row r="423" customFormat="false" ht="15" hidden="false" customHeight="false" outlineLevel="2" collapsed="false">
      <c r="A423" s="35" t="n">
        <v>2</v>
      </c>
      <c r="B423" s="36" t="s">
        <v>1485</v>
      </c>
      <c r="C423" s="37" t="s">
        <v>1203</v>
      </c>
      <c r="D423" s="36"/>
      <c r="E423" s="36"/>
      <c r="F423" s="38" t="n">
        <v>1</v>
      </c>
      <c r="G423" s="35" t="s">
        <v>264</v>
      </c>
      <c r="H423" s="39"/>
      <c r="I423" s="40"/>
      <c r="J423" s="40"/>
      <c r="K423" s="40"/>
      <c r="L423" s="40"/>
      <c r="M423" s="40"/>
      <c r="N423" s="40"/>
      <c r="O423" s="40"/>
      <c r="P423" s="40"/>
      <c r="Q423" s="39"/>
      <c r="R423" s="39"/>
      <c r="S423" s="41"/>
      <c r="T423" s="42"/>
      <c r="U423" s="43"/>
      <c r="V423" s="44"/>
    </row>
    <row r="424" customFormat="false" ht="15" hidden="false" customHeight="false" outlineLevel="2" collapsed="false">
      <c r="A424" s="35" t="n">
        <v>2</v>
      </c>
      <c r="B424" s="36" t="s">
        <v>1486</v>
      </c>
      <c r="C424" s="37" t="s">
        <v>1205</v>
      </c>
      <c r="D424" s="36"/>
      <c r="E424" s="36"/>
      <c r="F424" s="38" t="n">
        <v>1</v>
      </c>
      <c r="G424" s="35" t="s">
        <v>264</v>
      </c>
      <c r="H424" s="39"/>
      <c r="I424" s="40"/>
      <c r="J424" s="40"/>
      <c r="K424" s="40"/>
      <c r="L424" s="40"/>
      <c r="M424" s="40"/>
      <c r="N424" s="40"/>
      <c r="O424" s="40"/>
      <c r="P424" s="40"/>
      <c r="Q424" s="39"/>
      <c r="R424" s="39"/>
      <c r="S424" s="41"/>
      <c r="T424" s="42"/>
      <c r="U424" s="43"/>
      <c r="V424" s="44"/>
    </row>
    <row r="425" customFormat="false" ht="15" hidden="false" customHeight="false" outlineLevel="1" collapsed="false">
      <c r="A425" s="25" t="n">
        <v>1</v>
      </c>
      <c r="B425" s="26" t="s">
        <v>1487</v>
      </c>
      <c r="C425" s="27" t="s">
        <v>1207</v>
      </c>
      <c r="D425" s="26"/>
      <c r="E425" s="26"/>
      <c r="F425" s="28" t="n">
        <v>1</v>
      </c>
      <c r="G425" s="25" t="s">
        <v>1184</v>
      </c>
      <c r="H425" s="29"/>
      <c r="I425" s="30"/>
      <c r="J425" s="30"/>
      <c r="K425" s="30"/>
      <c r="L425" s="30"/>
      <c r="M425" s="30" t="n">
        <f aca="false">IF(SUMIF(A426:A434,2,M426:M434)=0,"",SUMIF(A426:A434,2,M426:M434))</f>
        <v>9.20778001313038</v>
      </c>
      <c r="N425" s="30"/>
      <c r="O425" s="30" t="n">
        <f aca="false">IF(SUMIF(A426:A434,2,O426:O434)=0,"",SUMIF(A426:A434,2,O426:O434))</f>
        <v>9.02421385828693</v>
      </c>
      <c r="P425" s="30" t="n">
        <f aca="false">IF(SUMIF(A426:A434,2,P426:P434)=0,"",SUMIF(A426:A434,2,P426:P434))</f>
        <v>9.3949283223219</v>
      </c>
      <c r="Q425" s="29"/>
      <c r="R425" s="29"/>
      <c r="S425" s="31"/>
      <c r="T425" s="32"/>
      <c r="U425" s="33"/>
      <c r="V425" s="34"/>
    </row>
    <row r="426" customFormat="false" ht="15" hidden="false" customHeight="false" outlineLevel="2" collapsed="false">
      <c r="A426" s="35" t="n">
        <v>2</v>
      </c>
      <c r="B426" s="36" t="s">
        <v>1477</v>
      </c>
      <c r="C426" s="37" t="s">
        <v>1129</v>
      </c>
      <c r="D426" s="36" t="s">
        <v>49</v>
      </c>
      <c r="E426" s="36" t="str">
        <f aca="false">INDEX(REF_DATO,MATCH(D426,REF_ID,0))</f>
        <v>Polvo clase D (cloruro de sodio)</v>
      </c>
      <c r="F426" s="38" t="n">
        <f aca="false">MODELOS!$L$15</f>
        <v>9.15</v>
      </c>
      <c r="G426" s="35" t="s">
        <v>123</v>
      </c>
      <c r="H426" s="39" t="n">
        <f aca="false">INDEX(REF_VAL,MATCH(D426,REF_ID,0))</f>
        <v>1</v>
      </c>
      <c r="I426" s="40" t="n">
        <f aca="false">F426*J426</f>
        <v>9.15</v>
      </c>
      <c r="J426" s="40" t="n">
        <f aca="false">1/H426</f>
        <v>1</v>
      </c>
      <c r="K426" s="40" t="n">
        <f aca="false">MODELOS!$M$15/R426</f>
        <v>7.5</v>
      </c>
      <c r="L426" s="40" t="n">
        <f aca="false">MODELOS!$N$15/Q426</f>
        <v>10.9411764705882</v>
      </c>
      <c r="M426" s="40" t="n">
        <f aca="false">F426</f>
        <v>9.15</v>
      </c>
      <c r="N426" s="40" t="n">
        <v>1</v>
      </c>
      <c r="O426" s="40" t="n">
        <f aca="false">MODELOS!$M$15</f>
        <v>9</v>
      </c>
      <c r="P426" s="40" t="n">
        <f aca="false">MODELOS!$N$15</f>
        <v>9.3</v>
      </c>
      <c r="Q426" s="39" t="n">
        <f aca="false">INDEX(REF_MIN,MATCH(D426,REF_ID,0))</f>
        <v>0.85</v>
      </c>
      <c r="R426" s="39" t="n">
        <f aca="false">INDEX(REF_MAX,MATCH(D426,REF_ID,0))</f>
        <v>1.2</v>
      </c>
      <c r="S426" s="41"/>
      <c r="T426" s="42"/>
      <c r="U426" s="43"/>
      <c r="V426" s="44"/>
    </row>
    <row r="427" customFormat="false" ht="15" hidden="false" customHeight="false" outlineLevel="2" collapsed="false">
      <c r="A427" s="35" t="n">
        <v>2</v>
      </c>
      <c r="B427" s="36" t="s">
        <v>1479</v>
      </c>
      <c r="C427" s="37" t="s">
        <v>316</v>
      </c>
      <c r="D427" s="36" t="s">
        <v>78</v>
      </c>
      <c r="E427" s="36" t="str">
        <f aca="false">INDEX(REF_DATO,MATCH(D427,REF_ID,0))</f>
        <v>Nitrógeno seco (densidad normal)</v>
      </c>
      <c r="F427" s="38" t="n">
        <f aca="false">MODELOS!$AF$15</f>
        <v>0.0577800131303772</v>
      </c>
      <c r="G427" s="35" t="s">
        <v>123</v>
      </c>
      <c r="H427" s="39" t="n">
        <f aca="false">INDEX(REF_VAL,MATCH(D427,REF_ID,0))</f>
        <v>0.00124921923797626</v>
      </c>
      <c r="I427" s="40" t="n">
        <f aca="false">F427*J427</f>
        <v>46.2529005108669</v>
      </c>
      <c r="J427" s="40" t="n">
        <f aca="false">1/H427</f>
        <v>800.5</v>
      </c>
      <c r="K427" s="40" t="n">
        <f aca="false">MODELOS!$AG$15/H427</f>
        <v>19.3831935586869</v>
      </c>
      <c r="L427" s="40" t="n">
        <f aca="false">MODELOS!$AH$15/H427</f>
        <v>75.9901220186836</v>
      </c>
      <c r="M427" s="40" t="n">
        <f aca="false">F427</f>
        <v>0.0577800131303772</v>
      </c>
      <c r="N427" s="40" t="n">
        <v>1</v>
      </c>
      <c r="O427" s="40" t="n">
        <f aca="false">MODELOS!$AG$15</f>
        <v>0.0242138582869293</v>
      </c>
      <c r="P427" s="40" t="n">
        <f aca="false">MODELOS!$AH$15</f>
        <v>0.0949283223219033</v>
      </c>
      <c r="Q427" s="39"/>
      <c r="R427" s="39"/>
      <c r="S427" s="41"/>
      <c r="T427" s="42"/>
      <c r="U427" s="43"/>
      <c r="V427" s="44"/>
    </row>
    <row r="428" customFormat="false" ht="15" hidden="false" customHeight="false" outlineLevel="2" collapsed="false">
      <c r="A428" s="35" t="n">
        <v>2</v>
      </c>
      <c r="B428" s="36" t="s">
        <v>1480</v>
      </c>
      <c r="C428" s="37" t="s">
        <v>1193</v>
      </c>
      <c r="D428" s="36"/>
      <c r="E428" s="36"/>
      <c r="F428" s="38" t="n">
        <v>1</v>
      </c>
      <c r="G428" s="35" t="s">
        <v>264</v>
      </c>
      <c r="H428" s="39"/>
      <c r="I428" s="40"/>
      <c r="J428" s="40"/>
      <c r="K428" s="40"/>
      <c r="L428" s="40"/>
      <c r="M428" s="40"/>
      <c r="N428" s="40"/>
      <c r="O428" s="40"/>
      <c r="P428" s="40"/>
      <c r="Q428" s="39"/>
      <c r="R428" s="39"/>
      <c r="S428" s="41"/>
      <c r="T428" s="42"/>
      <c r="U428" s="43"/>
      <c r="V428" s="44"/>
    </row>
    <row r="429" customFormat="false" ht="15" hidden="false" customHeight="false" outlineLevel="2" collapsed="false">
      <c r="A429" s="35" t="n">
        <v>2</v>
      </c>
      <c r="B429" s="36" t="s">
        <v>1481</v>
      </c>
      <c r="C429" s="37" t="s">
        <v>1195</v>
      </c>
      <c r="D429" s="36"/>
      <c r="E429" s="36"/>
      <c r="F429" s="38" t="n">
        <v>1</v>
      </c>
      <c r="G429" s="35" t="s">
        <v>264</v>
      </c>
      <c r="H429" s="39"/>
      <c r="I429" s="40"/>
      <c r="J429" s="40"/>
      <c r="K429" s="40"/>
      <c r="L429" s="40"/>
      <c r="M429" s="40"/>
      <c r="N429" s="40"/>
      <c r="O429" s="40"/>
      <c r="P429" s="40"/>
      <c r="Q429" s="39"/>
      <c r="R429" s="39"/>
      <c r="S429" s="41"/>
      <c r="T429" s="42"/>
      <c r="U429" s="43"/>
      <c r="V429" s="44"/>
    </row>
    <row r="430" customFormat="false" ht="15" hidden="false" customHeight="false" outlineLevel="2" collapsed="false">
      <c r="A430" s="35" t="n">
        <v>2</v>
      </c>
      <c r="B430" s="36" t="s">
        <v>1482</v>
      </c>
      <c r="C430" s="37" t="s">
        <v>1197</v>
      </c>
      <c r="D430" s="36"/>
      <c r="E430" s="36"/>
      <c r="F430" s="38" t="n">
        <v>1</v>
      </c>
      <c r="G430" s="35" t="s">
        <v>264</v>
      </c>
      <c r="H430" s="39"/>
      <c r="I430" s="40"/>
      <c r="J430" s="40"/>
      <c r="K430" s="40"/>
      <c r="L430" s="40"/>
      <c r="M430" s="40"/>
      <c r="N430" s="40"/>
      <c r="O430" s="40"/>
      <c r="P430" s="40"/>
      <c r="Q430" s="39"/>
      <c r="R430" s="39"/>
      <c r="S430" s="41"/>
      <c r="T430" s="42"/>
      <c r="U430" s="43"/>
      <c r="V430" s="44"/>
    </row>
    <row r="431" customFormat="false" ht="15" hidden="false" customHeight="false" outlineLevel="2" collapsed="false">
      <c r="A431" s="35" t="n">
        <v>2</v>
      </c>
      <c r="B431" s="36" t="s">
        <v>1483</v>
      </c>
      <c r="C431" s="37" t="s">
        <v>1199</v>
      </c>
      <c r="D431" s="36"/>
      <c r="E431" s="36"/>
      <c r="F431" s="38" t="n">
        <v>1</v>
      </c>
      <c r="G431" s="35" t="s">
        <v>264</v>
      </c>
      <c r="H431" s="39"/>
      <c r="I431" s="40"/>
      <c r="J431" s="40"/>
      <c r="K431" s="40"/>
      <c r="L431" s="40"/>
      <c r="M431" s="40"/>
      <c r="N431" s="40"/>
      <c r="O431" s="40"/>
      <c r="P431" s="40"/>
      <c r="Q431" s="39"/>
      <c r="R431" s="39"/>
      <c r="S431" s="41"/>
      <c r="T431" s="42"/>
      <c r="U431" s="43"/>
      <c r="V431" s="44"/>
    </row>
    <row r="432" customFormat="false" ht="15" hidden="false" customHeight="false" outlineLevel="2" collapsed="false">
      <c r="A432" s="35" t="n">
        <v>2</v>
      </c>
      <c r="B432" s="36" t="s">
        <v>1484</v>
      </c>
      <c r="C432" s="37" t="s">
        <v>1201</v>
      </c>
      <c r="D432" s="36"/>
      <c r="E432" s="36"/>
      <c r="F432" s="38" t="n">
        <v>1</v>
      </c>
      <c r="G432" s="35" t="s">
        <v>264</v>
      </c>
      <c r="H432" s="39"/>
      <c r="I432" s="40"/>
      <c r="J432" s="40"/>
      <c r="K432" s="40"/>
      <c r="L432" s="40"/>
      <c r="M432" s="40"/>
      <c r="N432" s="40"/>
      <c r="O432" s="40"/>
      <c r="P432" s="40"/>
      <c r="Q432" s="39"/>
      <c r="R432" s="39"/>
      <c r="S432" s="41"/>
      <c r="T432" s="42"/>
      <c r="U432" s="43"/>
      <c r="V432" s="44"/>
    </row>
    <row r="433" customFormat="false" ht="15" hidden="false" customHeight="false" outlineLevel="2" collapsed="false">
      <c r="A433" s="35" t="n">
        <v>2</v>
      </c>
      <c r="B433" s="36" t="s">
        <v>1485</v>
      </c>
      <c r="C433" s="37" t="s">
        <v>1203</v>
      </c>
      <c r="D433" s="36"/>
      <c r="E433" s="36"/>
      <c r="F433" s="38" t="n">
        <v>1</v>
      </c>
      <c r="G433" s="35" t="s">
        <v>264</v>
      </c>
      <c r="H433" s="39"/>
      <c r="I433" s="40"/>
      <c r="J433" s="40"/>
      <c r="K433" s="40"/>
      <c r="L433" s="40"/>
      <c r="M433" s="40"/>
      <c r="N433" s="40"/>
      <c r="O433" s="40"/>
      <c r="P433" s="40"/>
      <c r="Q433" s="39"/>
      <c r="R433" s="39"/>
      <c r="S433" s="41"/>
      <c r="T433" s="42"/>
      <c r="U433" s="43"/>
      <c r="V433" s="44"/>
    </row>
    <row r="434" customFormat="false" ht="15" hidden="false" customHeight="false" outlineLevel="2" collapsed="false">
      <c r="A434" s="35" t="n">
        <v>2</v>
      </c>
      <c r="B434" s="36" t="s">
        <v>1486</v>
      </c>
      <c r="C434" s="37" t="s">
        <v>1205</v>
      </c>
      <c r="D434" s="36"/>
      <c r="E434" s="36"/>
      <c r="F434" s="38" t="n">
        <v>1</v>
      </c>
      <c r="G434" s="35" t="s">
        <v>264</v>
      </c>
      <c r="H434" s="39"/>
      <c r="I434" s="40"/>
      <c r="J434" s="40"/>
      <c r="K434" s="40"/>
      <c r="L434" s="40"/>
      <c r="M434" s="40"/>
      <c r="N434" s="40"/>
      <c r="O434" s="40"/>
      <c r="P434" s="40"/>
      <c r="Q434" s="39"/>
      <c r="R434" s="39"/>
      <c r="S434" s="41"/>
      <c r="T434" s="42"/>
      <c r="U434" s="43"/>
      <c r="V434" s="44"/>
    </row>
    <row r="435" customFormat="false" ht="15" hidden="false" customHeight="false" outlineLevel="1" collapsed="false">
      <c r="A435" s="25" t="n">
        <v>1</v>
      </c>
      <c r="B435" s="26" t="s">
        <v>1488</v>
      </c>
      <c r="C435" s="27" t="str">
        <f aca="false">"Prueba hidráulica (cada "&amp;MODELOS!$AO$15&amp;" años, se suma al mantenimiento)"</f>
        <v>Prueba hidráulica (cada 5 años, se suma al mantenimiento)</v>
      </c>
      <c r="D435" s="26"/>
      <c r="E435" s="26"/>
      <c r="F435" s="28" t="n">
        <v>1</v>
      </c>
      <c r="G435" s="25" t="s">
        <v>1184</v>
      </c>
      <c r="H435" s="29"/>
      <c r="I435" s="30"/>
      <c r="J435" s="30"/>
      <c r="K435" s="30"/>
      <c r="L435" s="30"/>
      <c r="M435" s="30" t="n">
        <f aca="false">IF(SUMIF(A436:A437,2,M436:M437)=0,"",SUMIF(A436:A437,2,M436:M437))</f>
        <v>9</v>
      </c>
      <c r="N435" s="30"/>
      <c r="O435" s="30" t="n">
        <f aca="false">IF(SUMIF(A436:A437,2,O436:O437)=0,"",SUMIF(A436:A437,2,O436:O437))</f>
        <v>9</v>
      </c>
      <c r="P435" s="30" t="n">
        <f aca="false">IF(SUMIF(A436:A437,2,P436:P437)=0,"",SUMIF(A436:A437,2,P436:P437))</f>
        <v>9.15</v>
      </c>
      <c r="Q435" s="29"/>
      <c r="R435" s="29"/>
      <c r="S435" s="31"/>
      <c r="T435" s="32"/>
      <c r="U435" s="33"/>
      <c r="V435" s="34"/>
    </row>
    <row r="436" customFormat="false" ht="15" hidden="false" customHeight="false" outlineLevel="2" collapsed="false">
      <c r="A436" s="35" t="n">
        <v>2</v>
      </c>
      <c r="B436" s="36" t="s">
        <v>1489</v>
      </c>
      <c r="C436" s="37" t="s">
        <v>1490</v>
      </c>
      <c r="D436" s="36" t="s">
        <v>49</v>
      </c>
      <c r="E436" s="36" t="str">
        <f aca="false">INDEX(REF_DATO,MATCH(D436,REF_ID,0))</f>
        <v>Polvo clase D (cloruro de sodio)</v>
      </c>
      <c r="F436" s="38" t="n">
        <f aca="false">(MODELOS!$L$15-MODELOS!$AN$15)</f>
        <v>9</v>
      </c>
      <c r="G436" s="35" t="s">
        <v>123</v>
      </c>
      <c r="H436" s="39" t="n">
        <f aca="false">INDEX(REF_VAL,MATCH(D436,REF_ID,0))</f>
        <v>1</v>
      </c>
      <c r="I436" s="40" t="n">
        <f aca="false">F436*J436</f>
        <v>9</v>
      </c>
      <c r="J436" s="40" t="n">
        <f aca="false">1/H436</f>
        <v>1</v>
      </c>
      <c r="K436" s="40" t="n">
        <f aca="false">(MODELOS!$L$15-MODELOS!$AN$15)/R436</f>
        <v>7.5</v>
      </c>
      <c r="L436" s="40" t="n">
        <f aca="false">MODELOS!$L$15/Q436</f>
        <v>10.7647058823529</v>
      </c>
      <c r="M436" s="40" t="n">
        <f aca="false">F436</f>
        <v>9</v>
      </c>
      <c r="N436" s="40" t="n">
        <v>1</v>
      </c>
      <c r="O436" s="40" t="n">
        <f aca="false">(MODELOS!$L$15-MODELOS!$AN$15)</f>
        <v>9</v>
      </c>
      <c r="P436" s="40" t="n">
        <f aca="false">MODELOS!$L$15</f>
        <v>9.15</v>
      </c>
      <c r="Q436" s="39" t="n">
        <f aca="false">INDEX(REF_MIN,MATCH(D436,REF_ID,0))</f>
        <v>0.85</v>
      </c>
      <c r="R436" s="39" t="n">
        <f aca="false">INDEX(REF_MAX,MATCH(D436,REF_ID,0))</f>
        <v>1.2</v>
      </c>
      <c r="S436" s="41"/>
      <c r="T436" s="42"/>
      <c r="U436" s="43"/>
      <c r="V436" s="44"/>
    </row>
    <row r="437" customFormat="false" ht="15" hidden="false" customHeight="false" outlineLevel="2" collapsed="false">
      <c r="A437" s="35" t="n">
        <v>2</v>
      </c>
      <c r="B437" s="36" t="s">
        <v>1491</v>
      </c>
      <c r="C437" s="37" t="s">
        <v>1212</v>
      </c>
      <c r="D437" s="36"/>
      <c r="E437" s="36"/>
      <c r="F437" s="38" t="n">
        <v>1</v>
      </c>
      <c r="G437" s="35" t="s">
        <v>264</v>
      </c>
      <c r="H437" s="39"/>
      <c r="I437" s="40"/>
      <c r="J437" s="40"/>
      <c r="K437" s="40"/>
      <c r="L437" s="40"/>
      <c r="M437" s="40"/>
      <c r="N437" s="40"/>
      <c r="O437" s="40"/>
      <c r="P437" s="40"/>
      <c r="Q437" s="39"/>
      <c r="R437" s="39"/>
      <c r="S437" s="41"/>
      <c r="T437" s="42"/>
      <c r="U437" s="43"/>
      <c r="V437" s="44"/>
    </row>
  </sheetData>
  <autoFilter ref="A1:V4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2026-10-14T03:08:37Z</dcterms:created>
  <dc:creator>openpyxl</dc:creator>
  <dc:description/>
  <dc:language>en-US</dc:language>
  <cp:lastModifiedBy/>
  <dcterms:modified xsi:type="dcterms:W3CDTF">2026-10-14T03:14:39Z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