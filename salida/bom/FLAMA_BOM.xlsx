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'03_Resumen_Productos'!$A$1:$U$18</definedName>
    <definedName name="_xlnm._FilterDatabase" localSheetId="3" hidden="1">'04_BOM_Matafuegos'!$A$4:$S$894</definedName>
    <definedName name="_xlnm._FilterDatabase" localSheetId="4" hidden="1">'05_BOM_Cilindros'!$A$4:$S$188</definedName>
    <definedName name="_xlnm._FilterDatabase" localSheetId="5" hidden="1">'06_BOM_Sustitutos'!$A$4:$S$123</definedName>
    <definedName name="_xlnm._FilterDatabase" localSheetId="6" hidden="1">'07_BOM_Recargas'!$A$9:$L$519</definedName>
    <definedName name="_xlnm._FilterDatabase" localSheetId="9" hidden="1">'10_Proveedores'!$A$5:$O$72</definedName>
    <definedName name="_xlnm._FilterDatabase" localSheetId="11" hidden="1">'12_Maestro_Consolidado_MP'!$A$6:$DE$391</definedName>
    <definedName name="_xlnm._FilterDatabase" localSheetId="15" hidden="1">'BOM_FL_MAT_ABC_1kg'!$A$10:$R$60</definedName>
    <definedName name="_xlnm._FilterDatabase" localSheetId="16" hidden="1">'BOM_FL_MAT_ABC_2.5kg'!$A$10:$R$66</definedName>
    <definedName name="_xlnm._FilterDatabase" localSheetId="17" hidden="1">'BOM_FL_MAT_ABC_5kg'!$A$10:$R$66</definedName>
    <definedName name="_xlnm._FilterDatabase" localSheetId="18" hidden="1">'BOM_FL_MAT_ABC_10kg'!$A$10:$R$66</definedName>
    <definedName name="_xlnm._FilterDatabase" localSheetId="19" hidden="1">'BOM_FL_MAT_AGUA_10l'!$A$10:$R$58</definedName>
    <definedName name="_xlnm._FilterDatabase" localSheetId="20" hidden="1">'BOM_FL_MAT_AFFF_10l'!$A$10:$R$59</definedName>
    <definedName name="_xlnm._FilterDatabase" localSheetId="21" hidden="1">'BOM_FL_MAT_AFFF_50l'!$A$10:$R$62</definedName>
    <definedName name="_xlnm._FilterDatabase" localSheetId="22" hidden="1">'BOM_FL_MAT_BC_5kg'!$A$10:$R$59</definedName>
    <definedName name="_xlnm._FilterDatabase" localSheetId="23" hidden="1">'BOM_FL_MAT_SALESK_6l'!$A$10:$R$58</definedName>
    <definedName name="_xlnm._FilterDatabase" localSheetId="24" hidden="1">'BOM_FL_MAT_CO2_2kg'!$A$10:$R$53</definedName>
    <definedName name="_xlnm._FilterDatabase" localSheetId="25" hidden="1">'BOM_FL_MAT_CO2_5kg'!$A$10:$R$55</definedName>
    <definedName name="_xlnm._FilterDatabase" localSheetId="26" hidden="1">'BOM_FL_MAT_HCFC-HFC_5kg'!$A$10:$R$59</definedName>
    <definedName name="_xlnm._FilterDatabase" localSheetId="27" hidden="1">'BOM_FL_MAT_CLASED_9l'!$A$10:$R$59</definedName>
    <definedName name="_xlnm._FilterDatabase" localSheetId="28" hidden="1">'BOM_FL_MAT_ABC_25kg'!$A$10:$R$69</definedName>
    <definedName name="_xlnm._FilterDatabase" localSheetId="29" hidden="1">'BOM_FL_MAT_ABC_50kg'!$A$10:$R$69</definedName>
    <definedName name="_xlnm._FilterDatabase" localSheetId="30" hidden="1">'BOM_FL_MAT_ABC_70kg'!$A$10:$R$71</definedName>
    <definedName name="_xlnm._FilterDatabase" localSheetId="31" hidden="1">'BOM_FL_MAT_ABC_100kg'!$A$10:$R$71</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'BOM_FL_REC_ABC_70kg'!$A$10:$R$32</definedName>
    <definedName name="_xlnm._FilterDatabase" localSheetId="39" hidden="1">'BOM_FL_REC_ABC_100kg'!$A$10:$R$32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3">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color rgb="00808080"/>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165" fontId="8" fillId="4"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165" fontId="0" fillId="3" borderId="1" applyAlignment="1" pivotButton="0" quotePrefix="0" xfId="0">
      <alignment vertical="top"/>
    </xf>
    <xf numFmtId="0" fontId="8" fillId="2" borderId="1" applyAlignment="1" pivotButton="0" quotePrefix="0" xfId="0">
      <alignment vertical="top"/>
    </xf>
    <xf numFmtId="0" fontId="8" fillId="2" borderId="1" applyAlignment="1" pivotButton="0" quotePrefix="0" xfId="0">
      <alignment vertical="top" wrapText="1"/>
    </xf>
    <xf numFmtId="165" fontId="8" fillId="2"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4" borderId="0" pivotButton="0" quotePrefix="0" xfId="0"/>
    <xf numFmtId="0" fontId="0" fillId="2" borderId="0" pivotButton="0" quotePrefix="0" xfId="0"/>
    <xf numFmtId="0" fontId="0" fillId="3" borderId="0" pivotButton="0" quotePrefix="0" xfId="0"/>
    <xf numFmtId="0" fontId="10" fillId="0" borderId="0" pivotButton="0" quotePrefix="0" xfId="0"/>
    <xf numFmtId="0" fontId="10" fillId="2"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1" fillId="0" borderId="0" pivotButton="0" quotePrefix="0" xfId="0"/>
    <xf numFmtId="165" fontId="0" fillId="0" borderId="0" pivotButton="0" quotePrefix="0" xfId="0"/>
    <xf numFmtId="0" fontId="12"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(bastidor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8" t="n">
        <v>6</v>
      </c>
      <c r="B10" s="18" t="inlineStr">
        <is>
          <t>Varilla de refuerzo</t>
        </is>
      </c>
      <c r="C10" s="18" t="inlineStr">
        <is>
          <t>70 y 100 kg: varilla interior longitudinal detrás de la costura, punteada antes de la soldadura longitudinal para mantener la simetría del cilindrado.</t>
        </is>
      </c>
      <c r="D10" s="18" t="inlineStr">
        <is>
          <t>Decisión de proceso FLAMA</t>
        </is>
      </c>
      <c r="E10" s="18" t="inlineStr">
        <is>
          <t>Pieza en S1 (planos FL_MAT, FL_REC y FL_DES 70/100). Ø8 SAE 1010 = propuesta de diseño sin cálculo.</t>
        </is>
      </c>
    </row>
    <row r="11">
      <c r="A11" s="19" t="n">
        <v>7</v>
      </c>
      <c r="B11" s="19" t="inlineStr">
        <is>
          <t>Carro de rodantes</t>
        </is>
      </c>
      <c r="C11" s="19" t="inlineStr">
        <is>
          <t>Se fabrica en planta (bastidor de caño, eje SAE 1045, sunchos de planchuela, apoyo); se compran las ruedas.</t>
        </is>
      </c>
      <c r="D11" s="19" t="inlineStr">
        <is>
          <t>Sin proveedor nacional del carro armado; IRAM 3550 3.12 y 4.8 (ruedas ≥ Ø300 × 50)</t>
        </is>
      </c>
      <c r="E11" s="19" t="inlineStr">
        <is>
          <t>Materia prima del carro en nivel 3; puesto de soldadura de carros a incorporar al layout.</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20" t="n">
        <v>10</v>
      </c>
      <c r="B14" s="20" t="inlineStr">
        <is>
          <t>Granallado</t>
        </is>
      </c>
      <c r="C14" s="20" t="inlineStr">
        <is>
          <t>Manuales en Airblast G-100 (Ø80-200).</t>
        </is>
      </c>
      <c r="D14" s="20" t="inlineStr">
        <is>
          <t>Ficha del equipo</t>
        </is>
      </c>
      <c r="E14" s="20"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catálogo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catálogo (kg) = catálogo - carga - gas</t>
        </is>
      </c>
      <c r="U1" s="16" t="inlineStr">
        <is>
          <t>Desvío de tara (modelo vs catálogo)</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1">
        <f>'BOM_FL_MAT_ABC_1kg'!G3</f>
        <v/>
      </c>
      <c r="L2" s="21">
        <f>'BOM_FL_MAT_ABC_1kg'!G4</f>
        <v/>
      </c>
      <c r="M2" s="5" t="n">
        <v>1.9</v>
      </c>
      <c r="N2" s="22">
        <f>L2/M2-1</f>
        <v/>
      </c>
      <c r="O2" s="5" t="n">
        <v>22</v>
      </c>
      <c r="P2" s="5" t="n">
        <v>50</v>
      </c>
      <c r="Q2" s="5" t="n">
        <v>28</v>
      </c>
      <c r="R2" s="5" t="inlineStr">
        <is>
          <t>FL_REC_ABC_1kg</t>
        </is>
      </c>
      <c r="S2" s="23" t="inlineStr">
        <is>
          <t>ir »</t>
        </is>
      </c>
      <c r="T2" s="24">
        <f>M2-1.05-J2</f>
        <v/>
      </c>
      <c r="U2" s="25">
        <f>(L2-1.05-J2)/T2-1</f>
        <v/>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1">
        <f>'BOM_FL_MAT_ABC_2.5kg'!G3</f>
        <v/>
      </c>
      <c r="L3" s="21">
        <f>'BOM_FL_MAT_ABC_2.5kg'!G4</f>
        <v/>
      </c>
      <c r="M3" s="5" t="n">
        <v>4.6</v>
      </c>
      <c r="N3" s="22">
        <f>L3/M3-1</f>
        <v/>
      </c>
      <c r="O3" s="5" t="n">
        <v>26</v>
      </c>
      <c r="P3" s="5" t="n">
        <v>56</v>
      </c>
      <c r="Q3" s="5" t="n">
        <v>34</v>
      </c>
      <c r="R3" s="5" t="inlineStr">
        <is>
          <t>FL_REC_ABC_2.5kg</t>
        </is>
      </c>
      <c r="S3" s="23" t="inlineStr">
        <is>
          <t>ir »</t>
        </is>
      </c>
      <c r="T3" s="24">
        <f>M3-2.55-J3</f>
        <v/>
      </c>
      <c r="U3" s="25">
        <f>(L3-2.55-J3)/T3-1</f>
        <v/>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1">
        <f>'BOM_FL_MAT_ABC_5kg'!G3</f>
        <v/>
      </c>
      <c r="L4" s="21">
        <f>'BOM_FL_MAT_ABC_5kg'!G4</f>
        <v/>
      </c>
      <c r="M4" s="5" t="n">
        <v>8.5</v>
      </c>
      <c r="N4" s="22">
        <f>L4/M4-1</f>
        <v/>
      </c>
      <c r="O4" s="5" t="n">
        <v>26</v>
      </c>
      <c r="P4" s="5" t="n">
        <v>56</v>
      </c>
      <c r="Q4" s="5" t="n">
        <v>34</v>
      </c>
      <c r="R4" s="5" t="inlineStr">
        <is>
          <t>FL_REC_ABC_5kg</t>
        </is>
      </c>
      <c r="S4" s="23" t="inlineStr">
        <is>
          <t>ir »</t>
        </is>
      </c>
      <c r="T4" s="24">
        <f>M4-5.15-J4</f>
        <v/>
      </c>
      <c r="U4" s="25">
        <f>(L4-5.15-J4)/T4-1</f>
        <v/>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1">
        <f>'BOM_FL_MAT_ABC_10kg'!G3</f>
        <v/>
      </c>
      <c r="L5" s="21">
        <f>'BOM_FL_MAT_ABC_10kg'!G4</f>
        <v/>
      </c>
      <c r="M5" s="5" t="n">
        <v>16.5</v>
      </c>
      <c r="N5" s="22">
        <f>L5/M5-1</f>
        <v/>
      </c>
      <c r="O5" s="5" t="n">
        <v>26</v>
      </c>
      <c r="P5" s="5" t="n">
        <v>56</v>
      </c>
      <c r="Q5" s="5" t="n">
        <v>34</v>
      </c>
      <c r="R5" s="5" t="inlineStr">
        <is>
          <t>FL_REC_ABC_10kg</t>
        </is>
      </c>
      <c r="S5" s="23" t="inlineStr">
        <is>
          <t>ir »</t>
        </is>
      </c>
      <c r="T5" s="24">
        <f>M5-10.15-J5</f>
        <v/>
      </c>
      <c r="U5" s="25">
        <f>(L5-10.15-J5)/T5-1</f>
        <v/>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1">
        <f>'BOM_FL_MAT_AGUA_10l'!G3</f>
        <v/>
      </c>
      <c r="L6" s="21">
        <f>'BOM_FL_MAT_AGUA_10l'!G4</f>
        <v/>
      </c>
      <c r="M6" s="5" t="n">
        <v>12.55</v>
      </c>
      <c r="N6" s="22">
        <f>L6/M6-1</f>
        <v/>
      </c>
      <c r="O6" s="5" t="n">
        <v>26</v>
      </c>
      <c r="P6" s="5" t="n">
        <v>48</v>
      </c>
      <c r="Q6" s="5" t="n">
        <v>2</v>
      </c>
      <c r="R6" s="5" t="inlineStr">
        <is>
          <t>-</t>
        </is>
      </c>
      <c r="S6" s="23" t="inlineStr">
        <is>
          <t>ir »</t>
        </is>
      </c>
      <c r="T6" s="24">
        <f>M6-10.0-J6</f>
        <v/>
      </c>
      <c r="U6" s="25">
        <f>(L6-10.0-J6)/T6-1</f>
        <v/>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1">
        <f>'BOM_FL_MAT_AFFF_10l'!G3</f>
        <v/>
      </c>
      <c r="L7" s="21">
        <f>'BOM_FL_MAT_AFFF_10l'!G4</f>
        <v/>
      </c>
      <c r="M7" s="5" t="n">
        <v>12.6</v>
      </c>
      <c r="N7" s="22">
        <f>L7/M7-1</f>
        <v/>
      </c>
      <c r="O7" s="5" t="n">
        <v>26</v>
      </c>
      <c r="P7" s="5" t="n">
        <v>49</v>
      </c>
      <c r="Q7" s="5" t="n">
        <v>2</v>
      </c>
      <c r="R7" s="5" t="inlineStr">
        <is>
          <t>-</t>
        </is>
      </c>
      <c r="S7" s="23" t="inlineStr">
        <is>
          <t>ir »</t>
        </is>
      </c>
      <c r="T7" s="24">
        <f>M7-10.0-J7</f>
        <v/>
      </c>
      <c r="U7" s="25">
        <f>(L7-10.0-J7)/T7-1</f>
        <v/>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1">
        <f>'BOM_FL_MAT_AFFF_50l'!G3</f>
        <v/>
      </c>
      <c r="L8" s="21">
        <f>'BOM_FL_MAT_AFFF_50l'!G4</f>
        <v/>
      </c>
      <c r="M8" s="5" t="n">
        <v>100</v>
      </c>
      <c r="N8" s="22">
        <f>L8/M8-1</f>
        <v/>
      </c>
      <c r="O8" s="5" t="n">
        <v>34</v>
      </c>
      <c r="P8" s="5" t="n">
        <v>52</v>
      </c>
      <c r="Q8" s="5" t="n">
        <v>2</v>
      </c>
      <c r="R8" s="5" t="inlineStr">
        <is>
          <t>-</t>
        </is>
      </c>
      <c r="S8" s="23" t="inlineStr">
        <is>
          <t>ir »</t>
        </is>
      </c>
      <c r="T8" s="24">
        <f>M8-50.0-J8</f>
        <v/>
      </c>
      <c r="U8" s="25">
        <f>(L8-50.0-J8)/T8-1</f>
        <v/>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1">
        <f>'BOM_FL_MAT_BC_5kg'!G3</f>
        <v/>
      </c>
      <c r="L9" s="21">
        <f>'BOM_FL_MAT_BC_5kg'!G4</f>
        <v/>
      </c>
      <c r="M9" s="5" t="n">
        <v>8.5</v>
      </c>
      <c r="N9" s="22">
        <f>L9/M9-1</f>
        <v/>
      </c>
      <c r="O9" s="5" t="n">
        <v>26</v>
      </c>
      <c r="P9" s="5" t="n">
        <v>49</v>
      </c>
      <c r="Q9" s="5" t="n">
        <v>2</v>
      </c>
      <c r="R9" s="5" t="inlineStr">
        <is>
          <t>-</t>
        </is>
      </c>
      <c r="S9" s="23" t="inlineStr">
        <is>
          <t>ir »</t>
        </is>
      </c>
      <c r="T9" s="24">
        <f>M9-5.15-J9</f>
        <v/>
      </c>
      <c r="U9" s="25">
        <f>(L9-5.15-J9)/T9-1</f>
        <v/>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1">
        <f>'BOM_FL_MAT_SALESK_6l'!G3</f>
        <v/>
      </c>
      <c r="L10" s="21">
        <f>'BOM_FL_MAT_SALESK_6l'!G4</f>
        <v/>
      </c>
      <c r="M10" s="5" t="n">
        <v>8.25</v>
      </c>
      <c r="N10" s="22">
        <f>L10/M10-1</f>
        <v/>
      </c>
      <c r="O10" s="5" t="n">
        <v>26</v>
      </c>
      <c r="P10" s="5" t="n">
        <v>48</v>
      </c>
      <c r="Q10" s="5" t="n">
        <v>2</v>
      </c>
      <c r="R10" s="5" t="inlineStr">
        <is>
          <t>-</t>
        </is>
      </c>
      <c r="S10" s="23" t="inlineStr">
        <is>
          <t>ir »</t>
        </is>
      </c>
      <c r="T10" s="24">
        <f>M10-7.8-J10</f>
        <v/>
      </c>
      <c r="U10" s="25">
        <f>(L10-7.8-J10)/T10-1</f>
        <v/>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1">
        <f>'BOM_FL_MAT_CO2_2kg'!G3</f>
        <v/>
      </c>
      <c r="L11" s="21">
        <f>'BOM_FL_MAT_CO2_2kg'!G4</f>
        <v/>
      </c>
      <c r="M11" s="5" t="n">
        <v>9</v>
      </c>
      <c r="N11" s="22">
        <f>L11/M11-1</f>
        <v/>
      </c>
      <c r="O11" s="5" t="n">
        <v>23</v>
      </c>
      <c r="P11" s="5" t="n">
        <v>43</v>
      </c>
      <c r="Q11" s="5" t="n">
        <v>2</v>
      </c>
      <c r="R11" s="5" t="inlineStr">
        <is>
          <t>-</t>
        </is>
      </c>
      <c r="S11" s="23" t="inlineStr">
        <is>
          <t>ir »</t>
        </is>
      </c>
      <c r="T11" s="24">
        <f>M11-2.0</f>
        <v/>
      </c>
      <c r="U11" s="25">
        <f>(L11-2.0)/T11-1</f>
        <v/>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1">
        <f>'BOM_FL_MAT_CO2_5kg'!G3</f>
        <v/>
      </c>
      <c r="L12" s="21">
        <f>'BOM_FL_MAT_CO2_5kg'!G4</f>
        <v/>
      </c>
      <c r="M12" s="5" t="n">
        <v>20</v>
      </c>
      <c r="N12" s="22">
        <f>L12/M12-1</f>
        <v/>
      </c>
      <c r="O12" s="5" t="n">
        <v>25</v>
      </c>
      <c r="P12" s="5" t="n">
        <v>45</v>
      </c>
      <c r="Q12" s="5" t="n">
        <v>2</v>
      </c>
      <c r="R12" s="5" t="inlineStr">
        <is>
          <t>-</t>
        </is>
      </c>
      <c r="S12" s="23" t="inlineStr">
        <is>
          <t>ir »</t>
        </is>
      </c>
      <c r="T12" s="24">
        <f>M12-5.0</f>
        <v/>
      </c>
      <c r="U12" s="25">
        <f>(L12-5.0)/T12-1</f>
        <v/>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1">
        <f>'BOM_FL_MAT_HCFC-HFC_5kg'!G3</f>
        <v/>
      </c>
      <c r="L13" s="21">
        <f>'BOM_FL_MAT_HCFC-HFC_5kg'!G4</f>
        <v/>
      </c>
      <c r="M13" s="5" t="n">
        <v>8.5</v>
      </c>
      <c r="N13" s="22">
        <f>L13/M13-1</f>
        <v/>
      </c>
      <c r="O13" s="5" t="n">
        <v>26</v>
      </c>
      <c r="P13" s="5" t="n">
        <v>49</v>
      </c>
      <c r="Q13" s="5" t="n">
        <v>2</v>
      </c>
      <c r="R13" s="5" t="inlineStr">
        <is>
          <t>-</t>
        </is>
      </c>
      <c r="S13" s="23" t="inlineStr">
        <is>
          <t>ir »</t>
        </is>
      </c>
      <c r="T13" s="24">
        <f>M13-5.0-J13</f>
        <v/>
      </c>
      <c r="U13" s="25">
        <f>(L13-5.0-J13)/T13-1</f>
        <v/>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1">
        <f>'BOM_FL_MAT_CLASED_9l'!G3</f>
        <v/>
      </c>
      <c r="L14" s="21">
        <f>'BOM_FL_MAT_CLASED_9l'!G4</f>
        <v/>
      </c>
      <c r="M14" s="5" t="n">
        <v>16.5</v>
      </c>
      <c r="N14" s="22">
        <f>L14/M14-1</f>
        <v/>
      </c>
      <c r="O14" s="5" t="n">
        <v>27</v>
      </c>
      <c r="P14" s="5" t="n">
        <v>49</v>
      </c>
      <c r="Q14" s="5" t="n">
        <v>2</v>
      </c>
      <c r="R14" s="5" t="inlineStr">
        <is>
          <t>-</t>
        </is>
      </c>
      <c r="S14" s="23" t="inlineStr">
        <is>
          <t>ir »</t>
        </is>
      </c>
      <c r="T14" s="24">
        <f>M14-9.15-J14</f>
        <v/>
      </c>
      <c r="U14" s="25">
        <f>(L14-9.15-J14)/T14-1</f>
        <v/>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1">
        <f>'BOM_FL_MAT_ABC_25kg'!G3</f>
        <v/>
      </c>
      <c r="L15" s="21">
        <f>'BOM_FL_MAT_ABC_25kg'!G4</f>
        <v/>
      </c>
      <c r="M15" s="5" t="n">
        <v>55</v>
      </c>
      <c r="N15" s="22">
        <f>L15/M15-1</f>
        <v/>
      </c>
      <c r="O15" s="5" t="n">
        <v>34</v>
      </c>
      <c r="P15" s="5" t="n">
        <v>59</v>
      </c>
      <c r="Q15" s="5" t="n">
        <v>34</v>
      </c>
      <c r="R15" s="5" t="inlineStr">
        <is>
          <t>FL_REC_ABC_25kg</t>
        </is>
      </c>
      <c r="S15" s="23" t="inlineStr">
        <is>
          <t>ir »</t>
        </is>
      </c>
      <c r="T15" s="24">
        <f>M15-25.0-J15</f>
        <v/>
      </c>
      <c r="U15" s="25">
        <f>(L15-25.0-J15)/T15-1</f>
        <v/>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1">
        <f>'BOM_FL_MAT_ABC_50kg'!G3</f>
        <v/>
      </c>
      <c r="L16" s="21">
        <f>'BOM_FL_MAT_ABC_50kg'!G4</f>
        <v/>
      </c>
      <c r="M16" s="5" t="n">
        <v>100</v>
      </c>
      <c r="N16" s="22">
        <f>L16/M16-1</f>
        <v/>
      </c>
      <c r="O16" s="5" t="n">
        <v>34</v>
      </c>
      <c r="P16" s="5" t="n">
        <v>59</v>
      </c>
      <c r="Q16" s="5" t="n">
        <v>34</v>
      </c>
      <c r="R16" s="5" t="inlineStr">
        <is>
          <t>FL_REC_ABC_50kg</t>
        </is>
      </c>
      <c r="S16" s="23" t="inlineStr">
        <is>
          <t>ir »</t>
        </is>
      </c>
      <c r="T16" s="24">
        <f>M16-50.0-J16</f>
        <v/>
      </c>
      <c r="U16" s="25">
        <f>(L16-50.0-J16)/T16-1</f>
        <v/>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0.3856</v>
      </c>
      <c r="K17" s="21">
        <f>'BOM_FL_MAT_ABC_70kg'!G3</f>
        <v/>
      </c>
      <c r="L17" s="21">
        <f>'BOM_FL_MAT_ABC_70kg'!G4</f>
        <v/>
      </c>
      <c r="M17" s="5" t="n">
        <v>140</v>
      </c>
      <c r="N17" s="22">
        <f>L17/M17-1</f>
        <v/>
      </c>
      <c r="O17" s="5" t="n">
        <v>35</v>
      </c>
      <c r="P17" s="5" t="n">
        <v>61</v>
      </c>
      <c r="Q17" s="5" t="n">
        <v>35</v>
      </c>
      <c r="R17" s="5" t="inlineStr">
        <is>
          <t>FL_REC_ABC_70kg</t>
        </is>
      </c>
      <c r="S17" s="23" t="inlineStr">
        <is>
          <t>ir »</t>
        </is>
      </c>
      <c r="T17" s="24">
        <f>M17-70.0-J17</f>
        <v/>
      </c>
      <c r="U17" s="25">
        <f>(L17-70.0-J17)/T17-1</f>
        <v/>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0.5534</v>
      </c>
      <c r="K18" s="21">
        <f>'BOM_FL_MAT_ABC_100kg'!G3</f>
        <v/>
      </c>
      <c r="L18" s="21">
        <f>'BOM_FL_MAT_ABC_100kg'!G4</f>
        <v/>
      </c>
      <c r="M18" s="5" t="n">
        <v>185</v>
      </c>
      <c r="N18" s="22">
        <f>L18/M18-1</f>
        <v/>
      </c>
      <c r="O18" s="5" t="n">
        <v>35</v>
      </c>
      <c r="P18" s="5" t="n">
        <v>61</v>
      </c>
      <c r="Q18" s="5" t="n">
        <v>35</v>
      </c>
      <c r="R18" s="5" t="inlineStr">
        <is>
          <t>FL_REC_ABC_100kg</t>
        </is>
      </c>
      <c r="S18" s="23" t="inlineStr">
        <is>
          <t>ir »</t>
        </is>
      </c>
      <c r="T18" s="24">
        <f>M18-100.0-J18</f>
        <v/>
      </c>
      <c r="U18" s="25">
        <f>(L18-100.0-J18)/T18-1</f>
        <v/>
      </c>
    </row>
  </sheetData>
  <autoFilter ref="A1:U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89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FL_MAT_ABC_1kg</t>
        </is>
      </c>
      <c r="B5" s="27" t="n">
        <v>0</v>
      </c>
      <c r="C5" s="27" t="inlineStr">
        <is>
          <t>FL_MAT_ABC_1kg</t>
        </is>
      </c>
      <c r="D5" s="28" t="inlineStr">
        <is>
          <t>Extintor ABC 1 kg</t>
        </is>
      </c>
      <c r="E5" s="27" t="n">
        <v>1</v>
      </c>
      <c r="F5" s="27" t="inlineStr">
        <is>
          <t>u</t>
        </is>
      </c>
      <c r="G5" s="29" t="n"/>
      <c r="H5" s="29" t="n"/>
      <c r="I5" s="27" t="n"/>
      <c r="J5" s="28" t="n"/>
      <c r="K5" s="27" t="n"/>
      <c r="L5" s="27" t="n"/>
      <c r="M5" s="28" t="n"/>
      <c r="N5" s="28" t="n"/>
      <c r="O5" s="28" t="n"/>
      <c r="P5" s="28" t="inlineStr">
        <is>
          <t>IRAM 3523</t>
        </is>
      </c>
      <c r="Q5" s="27" t="inlineStr">
        <is>
          <t>P</t>
        </is>
      </c>
      <c r="R5" s="27" t="inlineStr">
        <is>
          <t>FL_MAT_ABC_1kg</t>
        </is>
      </c>
      <c r="S5" s="28" t="inlineStr">
        <is>
          <t>Fabricación propia</t>
        </is>
      </c>
    </row>
    <row r="6">
      <c r="A6" s="30" t="inlineStr">
        <is>
          <t>FL_MAT_ABC_1kg</t>
        </is>
      </c>
      <c r="B6" s="30" t="n">
        <v>1</v>
      </c>
      <c r="C6" s="30" t="inlineStr">
        <is>
          <t>FL_REC_ABC_1kg</t>
        </is>
      </c>
      <c r="D6" s="31" t="inlineStr">
        <is>
          <t xml:space="preserve">    Recipiente (cilindro)</t>
        </is>
      </c>
      <c r="E6" s="30" t="n">
        <v>1</v>
      </c>
      <c r="F6" s="30" t="inlineStr">
        <is>
          <t>u</t>
        </is>
      </c>
      <c r="G6" s="32" t="n"/>
      <c r="H6" s="32">
        <f>H7+H9+H11+H13+H14</f>
        <v/>
      </c>
      <c r="I6" s="30" t="n"/>
      <c r="J6" s="31" t="n"/>
      <c r="K6" s="30" t="inlineStr">
        <is>
          <t>Fabricación</t>
        </is>
      </c>
      <c r="L6" s="30" t="n"/>
      <c r="M6" s="31" t="n"/>
      <c r="N6" s="31" t="n"/>
      <c r="O6" s="31" t="n"/>
      <c r="P6" s="31" t="inlineStr">
        <is>
          <t>IRAM 3523 / 3550 (recipiente)</t>
        </is>
      </c>
      <c r="Q6" s="30" t="inlineStr">
        <is>
          <t>P</t>
        </is>
      </c>
      <c r="R6" s="30" t="inlineStr">
        <is>
          <t>FL_REC_ABC_1kg</t>
        </is>
      </c>
      <c r="S6" s="31" t="n"/>
    </row>
    <row r="7">
      <c r="A7" s="33" t="inlineStr">
        <is>
          <t>FL_MAT_ABC_1kg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FL_MAT_ABC_1kg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FL_MAT_ABC_1kg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FL_MAT_ABC_1kg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FL_MAT_ABC_1kg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8" t="inlineStr">
        <is>
          <t>FL_MAT_ABC_1kg</t>
        </is>
      </c>
      <c r="B12" s="38" t="n">
        <v>3</v>
      </c>
      <c r="C12" s="38" t="inlineStr">
        <is>
          <t>MP-FLEJE</t>
        </is>
      </c>
      <c r="D12" s="39" t="inlineStr">
        <is>
          <t xml:space="preserve">            Fleje e=0,9 × 106 (paso 103)</t>
        </is>
      </c>
      <c r="E12" s="38" t="n">
        <v>0.103</v>
      </c>
      <c r="F12" s="38" t="inlineStr">
        <is>
          <t>m</t>
        </is>
      </c>
      <c r="G12" s="40" t="n">
        <v>0.749</v>
      </c>
      <c r="H12" s="40">
        <f>E12*G12</f>
        <v/>
      </c>
      <c r="I12" s="38" t="inlineStr">
        <is>
          <t>Fleje SAE 1010</t>
        </is>
      </c>
      <c r="J12" s="39" t="inlineStr">
        <is>
          <t>disco Ø100 (kg por m de fleje)</t>
        </is>
      </c>
      <c r="K12" s="38" t="inlineStr">
        <is>
          <t>Compra</t>
        </is>
      </c>
      <c r="L12" s="38" t="inlineStr">
        <is>
          <t>Sí</t>
        </is>
      </c>
      <c r="M12" s="39" t="inlineStr">
        <is>
          <t>Pacheco Chapas</t>
        </is>
      </c>
      <c r="N12" s="39" t="inlineStr">
        <is>
          <t>Pradecon S.A.</t>
        </is>
      </c>
      <c r="O12" s="39" t="inlineStr">
        <is>
          <t>AL-1F porta-flejes</t>
        </is>
      </c>
      <c r="P12" s="39" t="n"/>
      <c r="Q12" s="38" t="inlineStr">
        <is>
          <t>L</t>
        </is>
      </c>
      <c r="R12" s="38" t="inlineStr">
        <is>
          <t>FL_PI_04 h2</t>
        </is>
      </c>
      <c r="S12" s="39" t="inlineStr">
        <is>
          <t>OJO: el fleje es e=0,9 y el plano e=1,25</t>
        </is>
      </c>
    </row>
    <row r="13">
      <c r="A13" s="33" t="inlineStr">
        <is>
          <t>FL_MAT_ABC_1kg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41" t="inlineStr">
        <is>
          <t>FL_MAT_ABC_1kg</t>
        </is>
      </c>
      <c r="B14" s="41" t="n">
        <v>2</v>
      </c>
      <c r="C14" s="41" t="inlineStr">
        <is>
          <t>ABC1-C1</t>
        </is>
      </c>
      <c r="D14" s="18" t="inlineStr">
        <is>
          <t xml:space="preserve">        Alambre MAG ER70S-6 Ø0,9 (AWS A5.18)</t>
        </is>
      </c>
      <c r="E14" s="41" t="n">
        <v>0.0208</v>
      </c>
      <c r="F14" s="41" t="inlineStr">
        <is>
          <t>kg</t>
        </is>
      </c>
      <c r="G14" s="42" t="n">
        <v>0.95</v>
      </c>
      <c r="H14" s="42">
        <f>E14*G14</f>
        <v/>
      </c>
      <c r="I14" s="41" t="inlineStr">
        <is>
          <t>ER70S-6</t>
        </is>
      </c>
      <c r="J14" s="18" t="inlineStr">
        <is>
          <t>metal depositado de los cordones del plano 20 g / rendimiento 0,95</t>
        </is>
      </c>
      <c r="K14" s="41" t="inlineStr">
        <is>
          <t>Compra</t>
        </is>
      </c>
      <c r="L14" s="41" t="inlineStr">
        <is>
          <t>Sí</t>
        </is>
      </c>
      <c r="M14" s="18" t="inlineStr">
        <is>
          <t>Conarco (ESAB Argentina)</t>
        </is>
      </c>
      <c r="N14" s="18" t="inlineStr">
        <is>
          <t>-</t>
        </is>
      </c>
      <c r="O14" s="18" t="inlineStr">
        <is>
          <t>4 sold. long. / 8 cuello / 11 circunferencial</t>
        </is>
      </c>
      <c r="P14" s="18" t="inlineStr">
        <is>
          <t>IRAM 3523 3.2.4.2 · IRAM 3550 4.1.2</t>
        </is>
      </c>
      <c r="Q14" s="41" t="inlineStr">
        <is>
          <t>C</t>
        </is>
      </c>
      <c r="R14" s="41"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41" t="inlineStr">
        <is>
          <t>FL_MAT_ABC_1kg</t>
        </is>
      </c>
      <c r="B15" s="41" t="n">
        <v>2</v>
      </c>
      <c r="C15" s="41" t="inlineStr">
        <is>
          <t>ABC1-C2</t>
        </is>
      </c>
      <c r="D15" s="18" t="inlineStr">
        <is>
          <t xml:space="preserve">        Gas de protección MAG Arcal 21 / ARCAL Speed (Ar + 8 % CO₂, M20)</t>
        </is>
      </c>
      <c r="E15" s="41" t="n">
        <v>13.3</v>
      </c>
      <c r="F15" s="41" t="inlineStr">
        <is>
          <t>L</t>
        </is>
      </c>
      <c r="G15" s="42" t="n"/>
      <c r="H15" s="42" t="n"/>
      <c r="I15" s="41" t="inlineStr">
        <is>
          <t>EN ISO 14175 M20-ArC-8</t>
        </is>
      </c>
      <c r="J15" s="18" t="inlineStr">
        <is>
          <t>14 L/min × 0,95 min de arco (cordones 570 mm: long. 0 + circ. 479 + cuello 91, a 600 mm/min)</t>
        </is>
      </c>
      <c r="K15" s="41" t="inlineStr">
        <is>
          <t>Compra</t>
        </is>
      </c>
      <c r="L15" s="41" t="inlineStr">
        <is>
          <t>Sí</t>
        </is>
      </c>
      <c r="M15" s="18" t="inlineStr">
        <is>
          <t>Air Liquide Argentina - sucursal Piñeyro</t>
        </is>
      </c>
      <c r="N15" s="18" t="inlineStr">
        <is>
          <t>Gogniat</t>
        </is>
      </c>
      <c r="O15" s="18" t="inlineStr">
        <is>
          <t>Colector SC</t>
        </is>
      </c>
      <c r="P15" s="18" t="inlineStr">
        <is>
          <t>IRAM 3523 3.2.4.2 · IRAM 3550 3.2.2.2</t>
        </is>
      </c>
      <c r="Q15" s="41" t="inlineStr">
        <is>
          <t>C</t>
        </is>
      </c>
      <c r="R15" s="41"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3" t="inlineStr">
        <is>
          <t>FL_MAT_ABC_1kg</t>
        </is>
      </c>
      <c r="B16" s="43" t="n">
        <v>2</v>
      </c>
      <c r="C16" s="43" t="inlineStr">
        <is>
          <t>ABC1-C3</t>
        </is>
      </c>
      <c r="D16" s="20" t="inlineStr">
        <is>
          <t xml:space="preserve">        Granalla de acero S330 / S390 (ISO 11124-3, SAE J444)</t>
        </is>
      </c>
      <c r="E16" s="43" t="n">
        <v>0.08</v>
      </c>
      <c r="F16" s="43" t="inlineStr">
        <is>
          <t>kg</t>
        </is>
      </c>
      <c r="G16" s="44" t="n"/>
      <c r="H16" s="44" t="n"/>
      <c r="I16" s="43" t="inlineStr">
        <is>
          <t>Granalla esférica alto C</t>
        </is>
      </c>
      <c r="J16" s="20" t="inlineStr">
        <is>
          <t>0,07 m² a Sa 2½ (ISO 8501-1); 3,4 kg/h ÷ 42,5 u/h</t>
        </is>
      </c>
      <c r="K16" s="43" t="inlineStr">
        <is>
          <t>Compra</t>
        </is>
      </c>
      <c r="L16" s="43" t="inlineStr">
        <is>
          <t>Sí</t>
        </is>
      </c>
      <c r="M16" s="20" t="inlineStr">
        <is>
          <t>CyM Materiales</t>
        </is>
      </c>
      <c r="N16" s="20" t="inlineStr">
        <is>
          <t>Roca Ingeniería</t>
        </is>
      </c>
      <c r="O16" s="20" t="inlineStr">
        <is>
          <t>14 Granallado (B08)</t>
        </is>
      </c>
      <c r="P16" s="20" t="inlineStr">
        <is>
          <t>DOC-01</t>
        </is>
      </c>
      <c r="Q16" s="43" t="inlineStr">
        <is>
          <t>C</t>
        </is>
      </c>
      <c r="R16" s="43"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FL_MAT_ABC_1kg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30" t="inlineStr">
        <is>
          <t>FL_MAT_ABC_1kg</t>
        </is>
      </c>
      <c r="B18" s="30" t="n">
        <v>1</v>
      </c>
      <c r="C18" s="30" t="inlineStr">
        <is>
          <t>ABC1-S2</t>
        </is>
      </c>
      <c r="D18" s="31" t="inlineStr">
        <is>
          <t xml:space="preserve">    Conjunto de válvula</t>
        </is>
      </c>
      <c r="E18" s="30" t="n">
        <v>1</v>
      </c>
      <c r="F18" s="30" t="inlineStr">
        <is>
          <t>u</t>
        </is>
      </c>
      <c r="G18" s="32" t="n"/>
      <c r="H18" s="32">
        <f>H19+H20+H21+H23+H24+H25+H26+H27+H28+H29</f>
        <v/>
      </c>
      <c r="I18" s="30" t="n"/>
      <c r="J18" s="31" t="n"/>
      <c r="K18" s="30" t="inlineStr">
        <is>
          <t>Compra / armado</t>
        </is>
      </c>
      <c r="L18" s="30" t="n"/>
      <c r="M18" s="31" t="n"/>
      <c r="N18" s="31" t="n"/>
      <c r="O18" s="31" t="n"/>
      <c r="P18" s="31" t="inlineStr">
        <is>
          <t>Manómetro IRAM 3533</t>
        </is>
      </c>
      <c r="Q18" s="30" t="inlineStr">
        <is>
          <t>P</t>
        </is>
      </c>
      <c r="R18" s="30" t="inlineStr">
        <is>
          <t>FL_DES_ABC_1kg</t>
        </is>
      </c>
      <c r="S18" s="31" t="n"/>
    </row>
    <row r="19">
      <c r="A19" s="33" t="inlineStr">
        <is>
          <t>FL_MAT_ABC_1kg</t>
        </is>
      </c>
      <c r="B19" s="33" t="n">
        <v>2</v>
      </c>
      <c r="C19" s="33" t="inlineStr">
        <is>
          <t>ABC1-05</t>
        </is>
      </c>
      <c r="D19" s="17" t="inlineStr">
        <is>
          <t xml:space="preserve">        Collarín de válvula</t>
        </is>
      </c>
      <c r="E19" s="33" t="n">
        <v>1</v>
      </c>
      <c r="F19" s="33" t="inlineStr">
        <is>
          <t>u</t>
        </is>
      </c>
      <c r="G19" s="34" t="n">
        <v>0.0464</v>
      </c>
      <c r="H19" s="34">
        <f>E19*G19</f>
        <v/>
      </c>
      <c r="I19" s="33" t="inlineStr">
        <is>
          <t>Latón forjado</t>
        </is>
      </c>
      <c r="J19" s="17" t="inlineStr">
        <is>
          <t>33,8 × 33,8 × 8</t>
        </is>
      </c>
      <c r="K19" s="33" t="inlineStr">
        <is>
          <t>Incluido en válvula HZ</t>
        </is>
      </c>
      <c r="L19" s="33" t="inlineStr">
        <is>
          <t>No</t>
        </is>
      </c>
      <c r="M19" s="17" t="n"/>
      <c r="N19" s="17" t="n"/>
      <c r="O19" s="17" t="inlineStr">
        <is>
          <t>19 Ensamblaje de válvula (T03/T04)</t>
        </is>
      </c>
      <c r="P19" s="17" t="n"/>
      <c r="Q19" s="33" t="inlineStr">
        <is>
          <t>P</t>
        </is>
      </c>
      <c r="R19" s="33" t="inlineStr">
        <is>
          <t>FL_DES_ABC_1kg</t>
        </is>
      </c>
      <c r="S19" s="17" t="n"/>
    </row>
    <row r="20">
      <c r="A20" s="33" t="inlineStr">
        <is>
          <t>FL_MAT_ABC_1kg</t>
        </is>
      </c>
      <c r="B20" s="33" t="n">
        <v>2</v>
      </c>
      <c r="C20" s="33" t="inlineStr">
        <is>
          <t>ABC1-06</t>
        </is>
      </c>
      <c r="D20" s="17" t="inlineStr">
        <is>
          <t xml:space="preserve">        Espiga roscada</t>
        </is>
      </c>
      <c r="E20" s="33" t="n">
        <v>1</v>
      </c>
      <c r="F20" s="33" t="inlineStr">
        <is>
          <t>u</t>
        </is>
      </c>
      <c r="G20" s="34" t="n">
        <v>0.011</v>
      </c>
      <c r="H20" s="34">
        <f>E20*G20</f>
        <v/>
      </c>
      <c r="I20" s="33" t="inlineStr">
        <is>
          <t>Latón forjado</t>
        </is>
      </c>
      <c r="J20" s="17" t="inlineStr">
        <is>
          <t>20,4 × 20,4 × 9,6</t>
        </is>
      </c>
      <c r="K20" s="33" t="inlineStr">
        <is>
          <t>Incluido en válvula HZ</t>
        </is>
      </c>
      <c r="L20" s="33" t="inlineStr">
        <is>
          <t>No</t>
        </is>
      </c>
      <c r="M20" s="17" t="n"/>
      <c r="N20" s="17" t="n"/>
      <c r="O20" s="17" t="inlineStr">
        <is>
          <t>19 Ensamblaje de válvula (T03/T04)</t>
        </is>
      </c>
      <c r="P20" s="17" t="n"/>
      <c r="Q20" s="33" t="inlineStr">
        <is>
          <t>P</t>
        </is>
      </c>
      <c r="R20" s="33" t="inlineStr">
        <is>
          <t>FL_DES_ABC_1kg</t>
        </is>
      </c>
      <c r="S20" s="17" t="n"/>
    </row>
    <row r="21">
      <c r="A21" s="33" t="inlineStr">
        <is>
          <t>FL_MAT_ABC_1kg</t>
        </is>
      </c>
      <c r="B21" s="33" t="n">
        <v>2</v>
      </c>
      <c r="C21" s="33" t="inlineStr">
        <is>
          <t>ABC1-07</t>
        </is>
      </c>
      <c r="D21" s="17" t="inlineStr">
        <is>
          <t xml:space="preserve">        Cuerpo de válvula</t>
        </is>
      </c>
      <c r="E21" s="33" t="n">
        <v>1</v>
      </c>
      <c r="F21" s="33" t="inlineStr">
        <is>
          <t>u</t>
        </is>
      </c>
      <c r="G21" s="34" t="n">
        <v>0.1044</v>
      </c>
      <c r="H21" s="34">
        <f>E21*G21</f>
        <v/>
      </c>
      <c r="I21" s="33" t="inlineStr">
        <is>
          <t>Latón forjado</t>
        </is>
      </c>
      <c r="J21" s="17" t="inlineStr">
        <is>
          <t>34,2 × 27 × 21,1</t>
        </is>
      </c>
      <c r="K21" s="33" t="inlineStr">
        <is>
          <t>Incluido en válvula HZ</t>
        </is>
      </c>
      <c r="L21" s="33" t="inlineStr">
        <is>
          <t>No</t>
        </is>
      </c>
      <c r="M21" s="17" t="n"/>
      <c r="N21" s="17" t="n"/>
      <c r="O21" s="17" t="inlineStr">
        <is>
          <t>19 Ensamblaje de válvula (T03/T04)</t>
        </is>
      </c>
      <c r="P21" s="17" t="n"/>
      <c r="Q21" s="33" t="inlineStr">
        <is>
          <t>P</t>
        </is>
      </c>
      <c r="R21" s="33" t="inlineStr">
        <is>
          <t>FL_DES_ABC_1kg</t>
        </is>
      </c>
      <c r="S21" s="17" t="n"/>
    </row>
    <row r="22">
      <c r="A22" s="45" t="inlineStr">
        <is>
          <t>FL_MAT_ABC_1kg</t>
        </is>
      </c>
      <c r="B22" s="45" t="n">
        <v>2</v>
      </c>
      <c r="C22" s="45" t="inlineStr">
        <is>
          <t>ABC1-08</t>
        </is>
      </c>
      <c r="D22" s="19" t="inlineStr">
        <is>
          <t xml:space="preserve">        Manómetro</t>
        </is>
      </c>
      <c r="E22" s="45" t="n">
        <v>1</v>
      </c>
      <c r="F22" s="45" t="inlineStr">
        <is>
          <t>u</t>
        </is>
      </c>
      <c r="G22" s="46" t="n"/>
      <c r="H22" s="46" t="n"/>
      <c r="I22" s="45" t="inlineStr">
        <is>
          <t>Comercial</t>
        </is>
      </c>
      <c r="J22" s="19" t="inlineStr">
        <is>
          <t>Ø28 esfera, rango 0-3,5 MPa, sector verde en 1,4</t>
        </is>
      </c>
      <c r="K22" s="45" t="inlineStr">
        <is>
          <t>Compra</t>
        </is>
      </c>
      <c r="L22" s="45" t="inlineStr">
        <is>
          <t>Sí</t>
        </is>
      </c>
      <c r="M22" s="19" t="inlineStr">
        <is>
          <t>Yukon / MatafuegosYa S.R.L.</t>
        </is>
      </c>
      <c r="N22" s="19" t="inlineStr">
        <is>
          <t>Matafuegos Iglesias</t>
        </is>
      </c>
      <c r="O22" s="19" t="inlineStr">
        <is>
          <t>19 Ensamblaje de válvula (T03/T04)</t>
        </is>
      </c>
      <c r="P22" s="19" t="inlineStr">
        <is>
          <t>IRAM 3533</t>
        </is>
      </c>
      <c r="Q22" s="45" t="inlineStr">
        <is>
          <t>P</t>
        </is>
      </c>
      <c r="R22" s="45" t="inlineStr">
        <is>
          <t>FL_DES_ABC_1kg</t>
        </is>
      </c>
      <c r="S22" s="19" t="inlineStr">
        <is>
          <t>Pieza comercial; sello IRAM 3533; peso: completar con la ficha del proveedor (no afecta el MRP)</t>
        </is>
      </c>
    </row>
    <row r="23">
      <c r="A23" s="33" t="inlineStr">
        <is>
          <t>FL_MAT_ABC_1kg</t>
        </is>
      </c>
      <c r="B23" s="33" t="n">
        <v>2</v>
      </c>
      <c r="C23" s="33" t="inlineStr">
        <is>
          <t>ABC1-09</t>
        </is>
      </c>
      <c r="D23" s="17" t="inlineStr">
        <is>
          <t xml:space="preserve">        Manija de transporte</t>
        </is>
      </c>
      <c r="E23" s="33" t="n">
        <v>1</v>
      </c>
      <c r="F23" s="33" t="inlineStr">
        <is>
          <t>u</t>
        </is>
      </c>
      <c r="G23" s="34" t="n">
        <v>0.0106</v>
      </c>
      <c r="H23" s="34">
        <f>E23*G23</f>
        <v/>
      </c>
      <c r="I23" s="33" t="inlineStr">
        <is>
          <t>Chapa acero SAE 1010 pintada</t>
        </is>
      </c>
      <c r="J23" s="17" t="inlineStr">
        <is>
          <t>26,6 × 16 × 5,9</t>
        </is>
      </c>
      <c r="K23" s="33" t="inlineStr">
        <is>
          <t>Incluido en válvula HZ</t>
        </is>
      </c>
      <c r="L23" s="33" t="inlineStr">
        <is>
          <t>No</t>
        </is>
      </c>
      <c r="M23" s="17" t="n"/>
      <c r="N23" s="17" t="n"/>
      <c r="O23" s="17" t="inlineStr">
        <is>
          <t>19 Ensamblaje de válvula (T03/T04)</t>
        </is>
      </c>
      <c r="P23" s="17" t="n"/>
      <c r="Q23" s="33" t="inlineStr">
        <is>
          <t>P</t>
        </is>
      </c>
      <c r="R23" s="33" t="inlineStr">
        <is>
          <t>FL_DES_ABC_1kg</t>
        </is>
      </c>
      <c r="S23" s="17" t="n"/>
    </row>
    <row r="24">
      <c r="A24" s="33" t="inlineStr">
        <is>
          <t>FL_MAT_ABC_1kg</t>
        </is>
      </c>
      <c r="B24" s="33" t="n">
        <v>2</v>
      </c>
      <c r="C24" s="33" t="inlineStr">
        <is>
          <t>ABC1-10</t>
        </is>
      </c>
      <c r="D24" s="17" t="inlineStr">
        <is>
          <t xml:space="preserve">        Manija de accionamiento</t>
        </is>
      </c>
      <c r="E24" s="33" t="n">
        <v>1</v>
      </c>
      <c r="F24" s="33" t="inlineStr">
        <is>
          <t>u</t>
        </is>
      </c>
      <c r="G24" s="34" t="n">
        <v>0.0241</v>
      </c>
      <c r="H24" s="34">
        <f>E24*G24</f>
        <v/>
      </c>
      <c r="I24" s="33" t="inlineStr">
        <is>
          <t>Chapa acero SAE 1010 pintada</t>
        </is>
      </c>
      <c r="J24" s="17" t="inlineStr">
        <is>
          <t>60 × 16 × 10,5</t>
        </is>
      </c>
      <c r="K24" s="33" t="inlineStr">
        <is>
          <t>Incluido en válvula HZ</t>
        </is>
      </c>
      <c r="L24" s="33" t="inlineStr">
        <is>
          <t>No</t>
        </is>
      </c>
      <c r="M24" s="17" t="n"/>
      <c r="N24" s="17" t="n"/>
      <c r="O24" s="17" t="inlineStr">
        <is>
          <t>19 Ensamblaje de válvula (T03/T04)</t>
        </is>
      </c>
      <c r="P24" s="17" t="n"/>
      <c r="Q24" s="33" t="inlineStr">
        <is>
          <t>P</t>
        </is>
      </c>
      <c r="R24" s="33" t="inlineStr">
        <is>
          <t>FL_DES_ABC_1kg</t>
        </is>
      </c>
      <c r="S24" s="17" t="n"/>
    </row>
    <row r="25">
      <c r="A25" s="33" t="inlineStr">
        <is>
          <t>FL_MAT_ABC_1kg</t>
        </is>
      </c>
      <c r="B25" s="33" t="n">
        <v>2</v>
      </c>
      <c r="C25" s="33" t="inlineStr">
        <is>
          <t>ABC1-11</t>
        </is>
      </c>
      <c r="D25" s="17" t="inlineStr">
        <is>
          <t xml:space="preserve">        Eje de palanca</t>
        </is>
      </c>
      <c r="E25" s="33" t="n">
        <v>1</v>
      </c>
      <c r="F25" s="33" t="inlineStr">
        <is>
          <t>u</t>
        </is>
      </c>
      <c r="G25" s="34" t="n">
        <v>0.0041</v>
      </c>
      <c r="H25" s="34">
        <f>E25*G25</f>
        <v/>
      </c>
      <c r="I25" s="33" t="inlineStr">
        <is>
          <t>Acero inox. AISI 304</t>
        </is>
      </c>
      <c r="J25" s="17" t="inlineStr">
        <is>
          <t>28,8 × 4,8 × 4,8</t>
        </is>
      </c>
      <c r="K25" s="33" t="inlineStr">
        <is>
          <t>Incluido en válvula HZ</t>
        </is>
      </c>
      <c r="L25" s="33" t="inlineStr">
        <is>
          <t>No</t>
        </is>
      </c>
      <c r="M25" s="17" t="n"/>
      <c r="N25" s="17" t="n"/>
      <c r="O25" s="17" t="inlineStr">
        <is>
          <t>19 Ensamblaje de válvula (T03/T04)</t>
        </is>
      </c>
      <c r="P25" s="17" t="n"/>
      <c r="Q25" s="33" t="inlineStr">
        <is>
          <t>P</t>
        </is>
      </c>
      <c r="R25" s="33" t="inlineStr">
        <is>
          <t>FL_DES_ABC_1kg</t>
        </is>
      </c>
      <c r="S25" s="17" t="n"/>
    </row>
    <row r="26">
      <c r="A26" s="33" t="inlineStr">
        <is>
          <t>FL_MAT_ABC_1kg</t>
        </is>
      </c>
      <c r="B26" s="33" t="n">
        <v>2</v>
      </c>
      <c r="C26" s="33" t="inlineStr">
        <is>
          <t>ABC1-12</t>
        </is>
      </c>
      <c r="D26" s="17" t="inlineStr">
        <is>
          <t xml:space="preserve">        Vástago</t>
        </is>
      </c>
      <c r="E26" s="33" t="n">
        <v>1</v>
      </c>
      <c r="F26" s="33" t="inlineStr">
        <is>
          <t>u</t>
        </is>
      </c>
      <c r="G26" s="34" t="n">
        <v>0.0009</v>
      </c>
      <c r="H26" s="34">
        <f>E26*G26</f>
        <v/>
      </c>
      <c r="I26" s="33" t="inlineStr">
        <is>
          <t>Latón</t>
        </is>
      </c>
      <c r="J26" s="17" t="inlineStr">
        <is>
          <t>6,4 × 6,4 × 3,4</t>
        </is>
      </c>
      <c r="K26" s="33" t="inlineStr">
        <is>
          <t>Incluido en válvula HZ</t>
        </is>
      </c>
      <c r="L26" s="33" t="inlineStr">
        <is>
          <t>No</t>
        </is>
      </c>
      <c r="M26" s="17" t="n"/>
      <c r="N26" s="17" t="n"/>
      <c r="O26" s="17" t="inlineStr">
        <is>
          <t>19 Ensamblaje de válvula (T03/T04)</t>
        </is>
      </c>
      <c r="P26" s="17" t="n"/>
      <c r="Q26" s="33" t="inlineStr">
        <is>
          <t>P</t>
        </is>
      </c>
      <c r="R26" s="33" t="inlineStr">
        <is>
          <t>FL_DES_ABC_1kg</t>
        </is>
      </c>
      <c r="S26" s="17" t="inlineStr">
        <is>
          <t>con junta tórica</t>
        </is>
      </c>
    </row>
    <row r="27">
      <c r="A27" s="33" t="inlineStr">
        <is>
          <t>FL_MAT_ABC_1kg</t>
        </is>
      </c>
      <c r="B27" s="33" t="n">
        <v>2</v>
      </c>
      <c r="C27" s="33" t="inlineStr">
        <is>
          <t>ABC1-13</t>
        </is>
      </c>
      <c r="D27" s="17" t="inlineStr">
        <is>
          <t xml:space="preserve">        Pasador de seguridad</t>
        </is>
      </c>
      <c r="E27" s="33" t="n">
        <v>1</v>
      </c>
      <c r="F27" s="33" t="inlineStr">
        <is>
          <t>u</t>
        </is>
      </c>
      <c r="G27" s="34" t="n">
        <v>0.0028</v>
      </c>
      <c r="H27" s="34">
        <f>E27*G27</f>
        <v/>
      </c>
      <c r="I27" s="33" t="inlineStr">
        <is>
          <t>Alambre acero inox. AISI 304</t>
        </is>
      </c>
      <c r="J27" s="17" t="inlineStr">
        <is>
          <t>36,3 × 16,8 × 16,6</t>
        </is>
      </c>
      <c r="K27" s="33" t="inlineStr">
        <is>
          <t>Incluido en válvula HZ</t>
        </is>
      </c>
      <c r="L27" s="33" t="inlineStr">
        <is>
          <t>No</t>
        </is>
      </c>
      <c r="M27" s="17" t="n"/>
      <c r="N27" s="17" t="n"/>
      <c r="O27" s="17" t="inlineStr">
        <is>
          <t>19 Ensamblaje de válvula (T03/T04)</t>
        </is>
      </c>
      <c r="P27" s="17" t="n"/>
      <c r="Q27" s="33" t="inlineStr">
        <is>
          <t>P</t>
        </is>
      </c>
      <c r="R27" s="33" t="inlineStr">
        <is>
          <t>FL_DES_ABC_1kg</t>
        </is>
      </c>
      <c r="S27" s="17" t="inlineStr">
        <is>
          <t>con precinto</t>
        </is>
      </c>
    </row>
    <row r="28">
      <c r="A28" s="33" t="inlineStr">
        <is>
          <t>FL_MAT_ABC_1kg</t>
        </is>
      </c>
      <c r="B28" s="33" t="n">
        <v>2</v>
      </c>
      <c r="C28" s="33" t="inlineStr">
        <is>
          <t>ABC1-14</t>
        </is>
      </c>
      <c r="D28" s="17" t="inlineStr">
        <is>
          <t xml:space="preserve">        Caño de pesca (sifón)</t>
        </is>
      </c>
      <c r="E28" s="33" t="n">
        <v>1</v>
      </c>
      <c r="F28" s="33" t="inlineStr">
        <is>
          <t>u</t>
        </is>
      </c>
      <c r="G28" s="34" t="n">
        <v>0.0119</v>
      </c>
      <c r="H28" s="34">
        <f>E28*G28</f>
        <v/>
      </c>
      <c r="I28" s="33" t="inlineStr">
        <is>
          <t>Tubo PVC rígido</t>
        </is>
      </c>
      <c r="J28" s="17" t="inlineStr">
        <is>
          <t>Ø9,6 × 269,1 de largo</t>
        </is>
      </c>
      <c r="K28" s="33" t="inlineStr">
        <is>
          <t>Incluido en válvula HZ</t>
        </is>
      </c>
      <c r="L28" s="33" t="inlineStr">
        <is>
          <t>No</t>
        </is>
      </c>
      <c r="M28" s="17" t="n"/>
      <c r="N28" s="17" t="n"/>
      <c r="O28" s="17" t="inlineStr">
        <is>
          <t>19 Ensamblaje de válvula (T03/T04)</t>
        </is>
      </c>
      <c r="P28" s="17" t="n"/>
      <c r="Q28" s="33" t="inlineStr">
        <is>
          <t>P</t>
        </is>
      </c>
      <c r="R28" s="33" t="inlineStr">
        <is>
          <t>FL_DES_ABC_1kg</t>
        </is>
      </c>
      <c r="S28" s="17" t="n"/>
    </row>
    <row r="29">
      <c r="A29" s="33" t="inlineStr">
        <is>
          <t>FL_MAT_ABC_1kg</t>
        </is>
      </c>
      <c r="B29" s="33" t="n">
        <v>2</v>
      </c>
      <c r="C29" s="33" t="inlineStr">
        <is>
          <t>ABC1-20</t>
        </is>
      </c>
      <c r="D29" s="17" t="inlineStr">
        <is>
          <t xml:space="preserve">        Junta tórica de asiento</t>
        </is>
      </c>
      <c r="E29" s="33" t="n">
        <v>1</v>
      </c>
      <c r="F29" s="33" t="inlineStr">
        <is>
          <t>u</t>
        </is>
      </c>
      <c r="G29" s="34" t="n">
        <v>0.0007</v>
      </c>
      <c r="H29" s="34">
        <f>E29*G29</f>
        <v/>
      </c>
      <c r="I29" s="33" t="inlineStr">
        <is>
          <t>NBR 70 Shore A</t>
        </is>
      </c>
      <c r="J29" s="17" t="inlineStr">
        <is>
          <t>Ø23,4 ext. × cordón 3</t>
        </is>
      </c>
      <c r="K29" s="33" t="inlineStr">
        <is>
          <t>Compra</t>
        </is>
      </c>
      <c r="L29" s="33" t="inlineStr">
        <is>
          <t>Sí</t>
        </is>
      </c>
      <c r="M29" s="17" t="inlineStr">
        <is>
          <t>Argensold</t>
        </is>
      </c>
      <c r="N29" s="17" t="inlineStr">
        <is>
          <t>Matafuegos Iglesias</t>
        </is>
      </c>
      <c r="O29" s="17" t="inlineStr">
        <is>
          <t>19 Ensamblaje de válvula (T03/T04)</t>
        </is>
      </c>
      <c r="P29" s="17" t="n"/>
      <c r="Q29" s="33" t="inlineStr">
        <is>
          <t>P</t>
        </is>
      </c>
      <c r="R29" s="33" t="inlineStr">
        <is>
          <t>FL_DES_ABC_1kg</t>
        </is>
      </c>
      <c r="S29" s="17" t="inlineStr">
        <is>
          <t>cambio c/recarga</t>
        </is>
      </c>
    </row>
    <row r="30">
      <c r="A30" s="33" t="inlineStr">
        <is>
          <t>FL_MAT_ABC_1kg</t>
        </is>
      </c>
      <c r="B30" s="33" t="n">
        <v>2</v>
      </c>
      <c r="C30" s="33" t="inlineStr">
        <is>
          <t>ABC1-K2</t>
        </is>
      </c>
      <c r="D30" s="17" t="inlineStr">
        <is>
          <t xml:space="preserve">        Válvula HZ armada M-22 1 kg c/tubo de pesca plástico</t>
        </is>
      </c>
      <c r="E30" s="33" t="n">
        <v>1</v>
      </c>
      <c r="F30" s="33" t="inlineStr">
        <is>
          <t>u</t>
        </is>
      </c>
      <c r="G30" s="34" t="n"/>
      <c r="H30" s="34" t="n"/>
      <c r="I30" s="33" t="inlineStr">
        <is>
          <t>Latón forjado (HZ)</t>
        </is>
      </c>
      <c r="J30" s="17" t="inlineStr">
        <is>
          <t>rosca M22x1,5</t>
        </is>
      </c>
      <c r="K30" s="33" t="inlineStr">
        <is>
          <t>Compra</t>
        </is>
      </c>
      <c r="L30" s="33" t="inlineStr">
        <is>
          <t>Sí</t>
        </is>
      </c>
      <c r="M30" s="17" t="inlineStr">
        <is>
          <t>Polvex S.R.L. / Sancibrao</t>
        </is>
      </c>
      <c r="N30" s="17" t="inlineStr">
        <is>
          <t>Mozart S.R.L.</t>
        </is>
      </c>
      <c r="O30" s="17" t="inlineStr">
        <is>
          <t>19 Ensamblaje de válvula</t>
        </is>
      </c>
      <c r="P30" s="17" t="inlineStr">
        <is>
          <t>IRAM 3523 3.3</t>
        </is>
      </c>
      <c r="Q30" s="33" t="inlineStr">
        <is>
          <t>Q</t>
        </is>
      </c>
      <c r="R30" s="33" t="inlineStr">
        <is>
          <t>FL_DES_ABC_1kg</t>
        </is>
      </c>
      <c r="S30" s="17" t="inlineStr">
        <is>
          <t>Lista de precios HZ (Q-AGENTES); plano Fadesa usa válvula HZ (R-FADESA). Trae las piezas marcadas «Incluido en válvula HZ»</t>
        </is>
      </c>
    </row>
    <row r="31">
      <c r="A31" s="33" t="inlineStr">
        <is>
          <t>FL_MAT_ABC_1kg</t>
        </is>
      </c>
      <c r="B31" s="33" t="n">
        <v>2</v>
      </c>
      <c r="C31" s="33" t="inlineStr">
        <is>
          <t>ABC1-V2</t>
        </is>
      </c>
      <c r="D31" s="17" t="inlineStr">
        <is>
          <t xml:space="preserve">        Resorte de retorno del vástago</t>
        </is>
      </c>
      <c r="E31" s="33" t="n">
        <v>1</v>
      </c>
      <c r="F31" s="33" t="inlineStr">
        <is>
          <t>u</t>
        </is>
      </c>
      <c r="G31" s="34" t="n"/>
      <c r="H31" s="34" t="n"/>
      <c r="I31" s="33" t="inlineStr">
        <is>
          <t>Acero para resortes</t>
        </is>
      </c>
      <c r="J31" s="17" t="inlineStr">
        <is>
          <t>incluido en la válvula</t>
        </is>
      </c>
      <c r="K31" s="33" t="inlineStr">
        <is>
          <t>Incluido en válvula HZ</t>
        </is>
      </c>
      <c r="L31" s="33" t="inlineStr">
        <is>
          <t>No</t>
        </is>
      </c>
      <c r="M31" s="17" t="n"/>
      <c r="N31" s="17" t="n"/>
      <c r="O31" s="17" t="inlineStr">
        <is>
          <t>19 Ensamblaje</t>
        </is>
      </c>
      <c r="P31" s="17" t="n"/>
      <c r="Q31" s="33" t="inlineStr">
        <is>
          <t>Q</t>
        </is>
      </c>
      <c r="R31" s="33" t="n"/>
      <c r="S31" s="17" t="inlineStr">
        <is>
          <t>Lista de precios HZ: válvula «c/resorte» (Q-AGENTES)</t>
        </is>
      </c>
    </row>
    <row r="32">
      <c r="A32" s="33" t="inlineStr">
        <is>
          <t>FL_MAT_ABC_1kg</t>
        </is>
      </c>
      <c r="B32" s="33" t="n">
        <v>2</v>
      </c>
      <c r="C32" s="33" t="inlineStr">
        <is>
          <t>ABC1-V3</t>
        </is>
      </c>
      <c r="D32" s="17" t="inlineStr">
        <is>
          <t xml:space="preserve">        Junta tórica del vástago</t>
        </is>
      </c>
      <c r="E32" s="33" t="n">
        <v>1</v>
      </c>
      <c r="F32" s="33" t="inlineStr">
        <is>
          <t>u</t>
        </is>
      </c>
      <c r="G32" s="34" t="n"/>
      <c r="H32" s="34" t="n"/>
      <c r="I32" s="33" t="inlineStr">
        <is>
          <t>NBR 70 Shore A</t>
        </is>
      </c>
      <c r="J32" s="17" t="inlineStr">
        <is>
          <t>incluida en la válvula</t>
        </is>
      </c>
      <c r="K32" s="33" t="inlineStr">
        <is>
          <t>Incluido en válvula HZ</t>
        </is>
      </c>
      <c r="L32" s="33" t="inlineStr">
        <is>
          <t>No</t>
        </is>
      </c>
      <c r="M32" s="17" t="n"/>
      <c r="N32" s="17" t="n"/>
      <c r="O32" s="17" t="inlineStr">
        <is>
          <t>19 Ensamblaje</t>
        </is>
      </c>
      <c r="P32" s="17" t="n"/>
      <c r="Q32" s="33" t="inlineStr">
        <is>
          <t>P</t>
        </is>
      </c>
      <c r="R32" s="33" t="n"/>
      <c r="S32" s="17" t="inlineStr">
        <is>
          <t>Figura en el plano como «vástago con junta tórica»</t>
        </is>
      </c>
    </row>
    <row r="33">
      <c r="A33" s="30" t="inlineStr">
        <is>
          <t>FL_MAT_ABC_1kg</t>
        </is>
      </c>
      <c r="B33" s="30" t="n">
        <v>1</v>
      </c>
      <c r="C33" s="30" t="inlineStr">
        <is>
          <t>ABC1-S3</t>
        </is>
      </c>
      <c r="D33" s="31" t="inlineStr">
        <is>
          <t xml:space="preserve">    Dispositivo de descarga</t>
        </is>
      </c>
      <c r="E33" s="30" t="n">
        <v>1</v>
      </c>
      <c r="F33" s="30" t="inlineStr">
        <is>
          <t>u</t>
        </is>
      </c>
      <c r="G33" s="32" t="n"/>
      <c r="H33" s="32">
        <f>H34</f>
        <v/>
      </c>
      <c r="I33" s="30" t="n"/>
      <c r="J33" s="31" t="n"/>
      <c r="K33" s="30" t="inlineStr">
        <is>
          <t>Compra / armado</t>
        </is>
      </c>
      <c r="L33" s="30" t="n"/>
      <c r="M33" s="31" t="n"/>
      <c r="N33" s="31" t="n"/>
      <c r="O33" s="31" t="n"/>
      <c r="P33" s="31" t="n"/>
      <c r="Q33" s="30" t="inlineStr">
        <is>
          <t>P</t>
        </is>
      </c>
      <c r="R33" s="30" t="inlineStr">
        <is>
          <t>FL_DES_ABC_1kg</t>
        </is>
      </c>
      <c r="S33" s="31" t="n"/>
    </row>
    <row r="34">
      <c r="A34" s="33" t="inlineStr">
        <is>
          <t>FL_MAT_ABC_1kg</t>
        </is>
      </c>
      <c r="B34" s="33" t="n">
        <v>2</v>
      </c>
      <c r="C34" s="33" t="inlineStr">
        <is>
          <t>ABC1-15</t>
        </is>
      </c>
      <c r="D34" s="17" t="inlineStr">
        <is>
          <t xml:space="preserve">        Tobera</t>
        </is>
      </c>
      <c r="E34" s="33" t="n">
        <v>1</v>
      </c>
      <c r="F34" s="33" t="inlineStr">
        <is>
          <t>u</t>
        </is>
      </c>
      <c r="G34" s="34" t="n">
        <v>0.0007</v>
      </c>
      <c r="H34" s="34">
        <f>E34*G34</f>
        <v/>
      </c>
      <c r="I34" s="33" t="inlineStr">
        <is>
          <t>Polipropileno</t>
        </is>
      </c>
      <c r="J34" s="17" t="inlineStr">
        <is>
          <t>26 × 9,6 × 9,6</t>
        </is>
      </c>
      <c r="K34" s="33" t="inlineStr">
        <is>
          <t>Compra</t>
        </is>
      </c>
      <c r="L34" s="33" t="inlineStr">
        <is>
          <t>Sí</t>
        </is>
      </c>
      <c r="M34" s="17" t="inlineStr">
        <is>
          <t>Yukon / MatafuegosYa S.R.L.</t>
        </is>
      </c>
      <c r="N34" s="17" t="inlineStr">
        <is>
          <t>Matafuegos Iglesias</t>
        </is>
      </c>
      <c r="O34" s="17" t="inlineStr">
        <is>
          <t>19 Ensamblaje (T03/T04)</t>
        </is>
      </c>
      <c r="P34" s="17" t="n"/>
      <c r="Q34" s="33" t="inlineStr">
        <is>
          <t>P</t>
        </is>
      </c>
      <c r="R34" s="33" t="inlineStr">
        <is>
          <t>FL_DES_ABC_1kg</t>
        </is>
      </c>
      <c r="S34" s="17" t="n"/>
    </row>
    <row r="35">
      <c r="A35" s="30" t="inlineStr">
        <is>
          <t>FL_MAT_ABC_1kg</t>
        </is>
      </c>
      <c r="B35" s="30" t="n">
        <v>1</v>
      </c>
      <c r="C35" s="30" t="inlineStr">
        <is>
          <t>ABC1-S5</t>
        </is>
      </c>
      <c r="D35" s="31" t="inlineStr">
        <is>
          <t xml:space="preserve">    Carga: agente extintor y gas impulsor</t>
        </is>
      </c>
      <c r="E35" s="30" t="n">
        <v>1</v>
      </c>
      <c r="F35" s="30" t="inlineStr">
        <is>
          <t>u</t>
        </is>
      </c>
      <c r="G35" s="32" t="n"/>
      <c r="H35" s="32">
        <f>H36+H37</f>
        <v/>
      </c>
      <c r="I35" s="30" t="n"/>
      <c r="J35" s="31" t="n"/>
      <c r="K35" s="30" t="inlineStr">
        <is>
          <t>Carga en planta</t>
        </is>
      </c>
      <c r="L35" s="30" t="n"/>
      <c r="M35" s="31" t="n"/>
      <c r="N35" s="31" t="n"/>
      <c r="O35" s="31" t="inlineStr">
        <is>
          <t>18 Carga de polvo (T01) / C8 (T02)</t>
        </is>
      </c>
      <c r="P35" s="31" t="n"/>
      <c r="Q35" s="30" t="n"/>
      <c r="R35" s="30" t="n"/>
      <c r="S35" s="31" t="n"/>
    </row>
    <row r="36">
      <c r="A36" s="33" t="inlineStr">
        <is>
          <t>FL_MAT_ABC_1kg</t>
        </is>
      </c>
      <c r="B36" s="33" t="n">
        <v>2</v>
      </c>
      <c r="C36" s="33" t="inlineStr">
        <is>
          <t>ABC1-A1</t>
        </is>
      </c>
      <c r="D36" s="17" t="inlineStr">
        <is>
          <t xml:space="preserve">        Polvo químico seco ABC 60 (Sello IRAM 3569)</t>
        </is>
      </c>
      <c r="E36" s="33" t="n">
        <v>1.05</v>
      </c>
      <c r="F36" s="33" t="inlineStr">
        <is>
          <t>kg</t>
        </is>
      </c>
      <c r="G36" s="34" t="n">
        <v>1</v>
      </c>
      <c r="H36" s="34">
        <f>E36*G36</f>
        <v/>
      </c>
      <c r="I36" s="33" t="inlineStr">
        <is>
          <t>Polvo químico seco ABC 60 (Sello IRAM 3569)</t>
        </is>
      </c>
      <c r="J36" s="17" t="inlineStr">
        <is>
          <t>nominal 1 kg; tolerancia 0 / +100 g (IRAM 3517-2:2020 tabla 3 · IRAM 3523 tabla II)</t>
        </is>
      </c>
      <c r="K36" s="33" t="inlineStr">
        <is>
          <t>Compra</t>
        </is>
      </c>
      <c r="L36" s="33" t="inlineStr">
        <is>
          <t>Sí</t>
        </is>
      </c>
      <c r="M36" s="17" t="inlineStr">
        <is>
          <t>DEM S.A. (DEMSA)</t>
        </is>
      </c>
      <c r="N36" s="17" t="inlineStr">
        <is>
          <t>Polvex S.R.L. / Sancibrao</t>
        </is>
      </c>
      <c r="O36" s="17" t="inlineStr">
        <is>
          <t>SP-1 almacén previo a la carga</t>
        </is>
      </c>
      <c r="P36" s="17" t="inlineStr">
        <is>
          <t>IRAM 3569</t>
        </is>
      </c>
      <c r="Q36" s="33" t="inlineStr">
        <is>
          <t>N</t>
        </is>
      </c>
      <c r="R36" s="33" t="n"/>
      <c r="S36"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7">
      <c r="A37" s="41" t="inlineStr">
        <is>
          <t>FL_MAT_ABC_1kg</t>
        </is>
      </c>
      <c r="B37" s="41" t="n">
        <v>2</v>
      </c>
      <c r="C37" s="41" t="inlineStr">
        <is>
          <t>ABC1-A2</t>
        </is>
      </c>
      <c r="D37" s="18" t="inlineStr">
        <is>
          <t xml:space="preserve">        Gas impulsor: N₂</t>
        </is>
      </c>
      <c r="E37" s="41" t="n">
        <v>0.0047</v>
      </c>
      <c r="F37" s="41" t="inlineStr">
        <is>
          <t>kg</t>
        </is>
      </c>
      <c r="G37" s="42" t="n">
        <v>1</v>
      </c>
      <c r="H37" s="42">
        <f>E37*G37</f>
        <v/>
      </c>
      <c r="I37" s="41" t="inlineStr">
        <is>
          <t>N₂</t>
        </is>
      </c>
      <c r="J37" s="18" t="inlineStr">
        <is>
          <t>3,7 L normales para 1,4 MPa a 20 °C en 0,27 dm³ libres</t>
        </is>
      </c>
      <c r="K37" s="41" t="inlineStr">
        <is>
          <t>Compra</t>
        </is>
      </c>
      <c r="L37" s="41" t="inlineStr">
        <is>
          <t>Sí</t>
        </is>
      </c>
      <c r="M37" s="18" t="inlineStr">
        <is>
          <t>Air Liquide Argentina - sucursal Piñeyro</t>
        </is>
      </c>
      <c r="N37" s="18" t="inlineStr">
        <is>
          <t>Gogniat</t>
        </is>
      </c>
      <c r="O37" s="18" t="inlineStr">
        <is>
          <t>20 Presurización (T05) / C10</t>
        </is>
      </c>
      <c r="P37" s="18" t="inlineStr">
        <is>
          <t>IRAM 3517-2 9.4.9 (tabla 2) · IRAM 3523 2.3 y 3.10</t>
        </is>
      </c>
      <c r="Q37" s="41" t="inlineStr">
        <is>
          <t>C</t>
        </is>
      </c>
      <c r="R37" s="41" t="n"/>
      <c r="S37" s="18" t="inlineStr">
        <is>
          <t>N₂ ≥ 99,8 %, H₂O ≤ 40 ppm (Q-N2, Air Liquide) · volumen libre con ρ empacada mínima 1,1 kg/dm³ (NOM-104-STPS-2001); confirmar con descarga ≥ 85 % (IRAM 3523 4.9.1)</t>
        </is>
      </c>
    </row>
    <row r="38">
      <c r="A38" s="30" t="inlineStr">
        <is>
          <t>FL_MAT_ABC_1kg</t>
        </is>
      </c>
      <c r="B38" s="30" t="n">
        <v>1</v>
      </c>
      <c r="C38" s="30" t="inlineStr">
        <is>
          <t>ABC1-S6</t>
        </is>
      </c>
      <c r="D38" s="31" t="inlineStr">
        <is>
          <t xml:space="preserve">    Identificación y precinto</t>
        </is>
      </c>
      <c r="E38" s="30" t="n">
        <v>1</v>
      </c>
      <c r="F38" s="30" t="inlineStr">
        <is>
          <t>u</t>
        </is>
      </c>
      <c r="G38" s="32" t="n"/>
      <c r="H38" s="32">
        <f>H39+H40+H41+H42+H43+H44</f>
        <v/>
      </c>
      <c r="I38" s="30" t="n"/>
      <c r="J38" s="31" t="n"/>
      <c r="K38" s="30" t="inlineStr">
        <is>
          <t>Compra</t>
        </is>
      </c>
      <c r="L38" s="30" t="n"/>
      <c r="M38" s="31" t="n"/>
      <c r="N38" s="31" t="n"/>
      <c r="O38" s="31" t="inlineStr">
        <is>
          <t>22 Etiquetado (T07)</t>
        </is>
      </c>
      <c r="P38" s="31" t="n"/>
      <c r="Q38" s="30" t="n"/>
      <c r="R38" s="30" t="n"/>
      <c r="S38" s="31" t="n"/>
    </row>
    <row r="39">
      <c r="A39" s="33" t="inlineStr">
        <is>
          <t>FL_MAT_ABC_1kg</t>
        </is>
      </c>
      <c r="B39" s="33" t="n">
        <v>2</v>
      </c>
      <c r="C39" s="33" t="inlineStr">
        <is>
          <t>ABC1-16</t>
        </is>
      </c>
      <c r="D39" s="17" t="inlineStr">
        <is>
          <t xml:space="preserve">        Etiqueta / placa de características</t>
        </is>
      </c>
      <c r="E39" s="33" t="n">
        <v>1</v>
      </c>
      <c r="F39" s="33" t="inlineStr">
        <is>
          <t>u</t>
        </is>
      </c>
      <c r="G39" s="34" t="n">
        <v>0.009599999999999999</v>
      </c>
      <c r="H39" s="34">
        <f>E39*G39</f>
        <v/>
      </c>
      <c r="I39" s="33" t="inlineStr">
        <is>
          <t>Vinilo autoadhesivo laminado</t>
        </is>
      </c>
      <c r="J39" s="17" t="inlineStr">
        <is>
          <t>168 × 136 (desarrollo × alto: panel central 108° + 2 alas laterales), e ≈ 0,3, laminado UV</t>
        </is>
      </c>
      <c r="K39" s="33" t="inlineStr">
        <is>
          <t>Compra</t>
        </is>
      </c>
      <c r="L39" s="33" t="inlineStr">
        <is>
          <t>Sí</t>
        </is>
      </c>
      <c r="M39" s="17" t="inlineStr">
        <is>
          <t>Astuprint</t>
        </is>
      </c>
      <c r="N39" s="17" t="inlineStr">
        <is>
          <t>Multilabel Argentina S.A.</t>
        </is>
      </c>
      <c r="O39" s="17" t="inlineStr">
        <is>
          <t>22 Etiquetado (T07)</t>
        </is>
      </c>
      <c r="P39" s="17" t="inlineStr">
        <is>
          <t>IRAM 3534 · IRAM 3523 cap. 5 · relevamiento de mercado</t>
        </is>
      </c>
      <c r="Q39" s="33" t="inlineStr">
        <is>
          <t>P</t>
        </is>
      </c>
      <c r="R39" s="33" t="inlineStr">
        <is>
          <t>FL_DES_ABC_1kg</t>
        </is>
      </c>
      <c r="S39" s="17" t="inlineStr">
        <is>
          <t>IRAM 3534</t>
        </is>
      </c>
    </row>
    <row r="40">
      <c r="A40" s="33" t="inlineStr">
        <is>
          <t>FL_MAT_ABC_1kg</t>
        </is>
      </c>
      <c r="B40" s="33" t="n">
        <v>2</v>
      </c>
      <c r="C40" s="33" t="inlineStr">
        <is>
          <t>ABC1-17</t>
        </is>
      </c>
      <c r="D40" s="17" t="inlineStr">
        <is>
          <t xml:space="preserve">        Oblea de fabricación (PBA)</t>
        </is>
      </c>
      <c r="E40" s="33" t="n">
        <v>1</v>
      </c>
      <c r="F40" s="33" t="inlineStr">
        <is>
          <t>u</t>
        </is>
      </c>
      <c r="G40" s="34" t="n">
        <v>0.0009</v>
      </c>
      <c r="H40" s="34">
        <f>E40*G40</f>
        <v/>
      </c>
      <c r="I40" s="33" t="inlineStr">
        <is>
          <t>Papel de seguridad autodestructible</t>
        </is>
      </c>
      <c r="J40" s="17" t="inlineStr">
        <is>
          <t>Ø46 (Res. OPDS 522/07), numerada, autodestructible</t>
        </is>
      </c>
      <c r="K40" s="33" t="inlineStr">
        <is>
          <t>Compra</t>
        </is>
      </c>
      <c r="L40" s="33" t="inlineStr">
        <is>
          <t>Sí</t>
        </is>
      </c>
      <c r="M40" s="17" t="inlineStr">
        <is>
          <t>Ministerio de Ambiente PBA (ex OPDS)</t>
        </is>
      </c>
      <c r="N40" s="17" t="inlineStr">
        <is>
          <t>-</t>
        </is>
      </c>
      <c r="O40" s="17" t="inlineStr">
        <is>
          <t>22 Etiquetado (T07)</t>
        </is>
      </c>
      <c r="P40" s="17" t="inlineStr">
        <is>
          <t>Res. OPDS 522/07 anexos 1, 2 y 6</t>
        </is>
      </c>
      <c r="Q40" s="33" t="inlineStr">
        <is>
          <t>P</t>
        </is>
      </c>
      <c r="R40" s="33" t="inlineStr">
        <is>
          <t>FL_DES_ABC_1kg</t>
        </is>
      </c>
      <c r="S40" s="17" t="inlineStr">
        <is>
          <t>Res. 522/07</t>
        </is>
      </c>
    </row>
    <row r="41">
      <c r="A41" s="33" t="inlineStr">
        <is>
          <t>FL_MAT_ABC_1kg</t>
        </is>
      </c>
      <c r="B41" s="33" t="n">
        <v>2</v>
      </c>
      <c r="C41" s="33" t="inlineStr">
        <is>
          <t>ABC1-18</t>
        </is>
      </c>
      <c r="D41" s="17" t="inlineStr">
        <is>
          <t xml:space="preserve">        Estampilla IRAM de conformidad</t>
        </is>
      </c>
      <c r="E41" s="33" t="n">
        <v>1</v>
      </c>
      <c r="F41" s="33" t="inlineStr">
        <is>
          <t>u</t>
        </is>
      </c>
      <c r="G41" s="34" t="n">
        <v>0.001</v>
      </c>
      <c r="H41" s="34">
        <f>E41*G41</f>
        <v/>
      </c>
      <c r="I41" s="33" t="inlineStr">
        <is>
          <t>Provista por IRAM (Anexo R)</t>
        </is>
      </c>
      <c r="J41" s="17" t="inlineStr">
        <is>
          <t>60 × 40</t>
        </is>
      </c>
      <c r="K41" s="33" t="inlineStr">
        <is>
          <t>Compra</t>
        </is>
      </c>
      <c r="L41" s="33" t="inlineStr">
        <is>
          <t>Sí</t>
        </is>
      </c>
      <c r="M41" s="17" t="inlineStr">
        <is>
          <t>IRAM - Instituto Argentino de Normalización</t>
        </is>
      </c>
      <c r="N41" s="17" t="inlineStr">
        <is>
          <t>-</t>
        </is>
      </c>
      <c r="O41" s="17" t="inlineStr">
        <is>
          <t>22 Etiquetado (T07)</t>
        </is>
      </c>
      <c r="P41" s="17" t="inlineStr">
        <is>
          <t>IRAM Anexo R (DC-PG-129)</t>
        </is>
      </c>
      <c r="Q41" s="33" t="inlineStr">
        <is>
          <t>P</t>
        </is>
      </c>
      <c r="R41" s="33" t="inlineStr">
        <is>
          <t>FL_DES_ABC_1kg</t>
        </is>
      </c>
      <c r="S41" s="17" t="inlineStr">
        <is>
          <t>numerada</t>
        </is>
      </c>
    </row>
    <row r="42">
      <c r="A42" s="33" t="inlineStr">
        <is>
          <t>FL_MAT_ABC_1kg</t>
        </is>
      </c>
      <c r="B42" s="33" t="n">
        <v>2</v>
      </c>
      <c r="C42" s="33" t="inlineStr">
        <is>
          <t>ABC1-19</t>
        </is>
      </c>
      <c r="D42" s="17" t="inlineStr">
        <is>
          <t xml:space="preserve">        Etiqueta de n° de serie GS1</t>
        </is>
      </c>
      <c r="E42" s="33" t="n">
        <v>1</v>
      </c>
      <c r="F42" s="33" t="inlineStr">
        <is>
          <t>u</t>
        </is>
      </c>
      <c r="G42" s="34" t="n">
        <v>0.0005</v>
      </c>
      <c r="H42" s="34">
        <f>E42*G42</f>
        <v/>
      </c>
      <c r="I42" s="33" t="inlineStr">
        <is>
          <t>Poliéster autoadhesivo impreso térmico</t>
        </is>
      </c>
      <c r="J42" s="17" t="inlineStr">
        <is>
          <t>45 × 25</t>
        </is>
      </c>
      <c r="K42" s="33" t="inlineStr">
        <is>
          <t>Compra</t>
        </is>
      </c>
      <c r="L42" s="33" t="inlineStr">
        <is>
          <t>Sí</t>
        </is>
      </c>
      <c r="M42" s="17" t="inlineStr">
        <is>
          <t>Astuprint</t>
        </is>
      </c>
      <c r="N42" s="17" t="inlineStr">
        <is>
          <t>GS1 Argentina</t>
        </is>
      </c>
      <c r="O42" s="17" t="inlineStr">
        <is>
          <t>22 Etiquetado (T07)</t>
        </is>
      </c>
      <c r="P42" s="17" t="inlineStr">
        <is>
          <t>GS1 Argentina (GTIN 779) · trazabilidad IRAM 3523 5.1</t>
        </is>
      </c>
      <c r="Q42" s="33" t="inlineStr">
        <is>
          <t>P</t>
        </is>
      </c>
      <c r="R42" s="33" t="inlineStr">
        <is>
          <t>FL_DES_ABC_1kg</t>
        </is>
      </c>
      <c r="S42" s="17" t="inlineStr">
        <is>
          <t>QR GTIN + serie</t>
        </is>
      </c>
    </row>
    <row r="43">
      <c r="A43" s="33" t="inlineStr">
        <is>
          <t>FL_MAT_ABC_1kg</t>
        </is>
      </c>
      <c r="B43" s="33" t="n">
        <v>2</v>
      </c>
      <c r="C43" s="33" t="inlineStr">
        <is>
          <t>ABC1-21</t>
        </is>
      </c>
      <c r="D43" s="17" t="inlineStr">
        <is>
          <t xml:space="preserve">        Faja de garantía válvula-cuello</t>
        </is>
      </c>
      <c r="E43" s="33" t="n">
        <v>1</v>
      </c>
      <c r="F43" s="33" t="inlineStr">
        <is>
          <t>u</t>
        </is>
      </c>
      <c r="G43" s="34" t="n">
        <v>0.0003</v>
      </c>
      <c r="H43" s="34">
        <f>E43*G43</f>
        <v/>
      </c>
      <c r="I43" s="33" t="inlineStr">
        <is>
          <t>Vinilo destructible rayado rojo/blanco</t>
        </is>
      </c>
      <c r="J43" s="17" t="inlineStr">
        <is>
          <t>30 × 40</t>
        </is>
      </c>
      <c r="K43" s="33" t="inlineStr">
        <is>
          <t>Compra</t>
        </is>
      </c>
      <c r="L43" s="33" t="inlineStr">
        <is>
          <t>Sí</t>
        </is>
      </c>
      <c r="M43" s="17" t="inlineStr">
        <is>
          <t>Astuprint</t>
        </is>
      </c>
      <c r="N43" s="17" t="inlineStr">
        <is>
          <t>Multilabel Argentina S.A.</t>
        </is>
      </c>
      <c r="O43" s="17" t="inlineStr">
        <is>
          <t>22 Etiquetado (T07)</t>
        </is>
      </c>
      <c r="P43" s="17" t="inlineStr">
        <is>
          <t>Sin norma: práctica de mercado (garantía de fábrica)</t>
        </is>
      </c>
      <c r="Q43" s="33" t="inlineStr">
        <is>
          <t>P</t>
        </is>
      </c>
      <c r="R43" s="33" t="inlineStr">
        <is>
          <t>FL_DES_ABC_1kg</t>
        </is>
      </c>
      <c r="S43" s="17" t="inlineStr">
        <is>
          <t>nuevo sin abrir</t>
        </is>
      </c>
    </row>
    <row r="44">
      <c r="A44" s="33" t="inlineStr">
        <is>
          <t>FL_MAT_ABC_1kg</t>
        </is>
      </c>
      <c r="B44" s="33" t="n">
        <v>2</v>
      </c>
      <c r="C44" s="33" t="inlineStr">
        <is>
          <t>ABC1-22</t>
        </is>
      </c>
      <c r="D44" s="17" t="inlineStr">
        <is>
          <t xml:space="preserve">        Precinto de fábrica</t>
        </is>
      </c>
      <c r="E44" s="33" t="n">
        <v>1</v>
      </c>
      <c r="F44" s="33" t="inlineStr">
        <is>
          <t>u</t>
        </is>
      </c>
      <c r="G44" s="34" t="n">
        <v>0.0002</v>
      </c>
      <c r="H44" s="34">
        <f>E44*G44</f>
        <v/>
      </c>
      <c r="I44" s="33" t="inlineStr">
        <is>
          <t>Polipropileno color</t>
        </is>
      </c>
      <c r="J44" s="17" t="inlineStr">
        <is>
          <t>Ø5 × 10, numerado, rotura 30-50 N</t>
        </is>
      </c>
      <c r="K44" s="33" t="inlineStr">
        <is>
          <t>Compra</t>
        </is>
      </c>
      <c r="L44" s="33" t="inlineStr">
        <is>
          <t>Sí</t>
        </is>
      </c>
      <c r="M44" s="17" t="inlineStr">
        <is>
          <t>SonFuertes (vía Papelera Damián)</t>
        </is>
      </c>
      <c r="N44" s="17" t="inlineStr">
        <is>
          <t>Precinter S.R.L.</t>
        </is>
      </c>
      <c r="O44" s="17" t="inlineStr">
        <is>
          <t>20 Presurización (T05)</t>
        </is>
      </c>
      <c r="P44" s="17" t="inlineStr">
        <is>
          <t>IRAM 3523 3.3.2 · IRAM 3517-2:2020 9.4.13</t>
        </is>
      </c>
      <c r="Q44" s="33" t="inlineStr">
        <is>
          <t>P</t>
        </is>
      </c>
      <c r="R44" s="33" t="inlineStr">
        <is>
          <t>FL_DES_ABC_1kg</t>
        </is>
      </c>
      <c r="S44" s="17" t="inlineStr">
        <is>
          <t>id. FLAMA y lote</t>
        </is>
      </c>
    </row>
    <row r="45">
      <c r="A45" s="30" t="inlineStr">
        <is>
          <t>FL_MAT_ABC_1kg</t>
        </is>
      </c>
      <c r="B45" s="30" t="n">
        <v>1</v>
      </c>
      <c r="C45" s="30" t="inlineStr">
        <is>
          <t>ABC1-S8</t>
        </is>
      </c>
      <c r="D45" s="31" t="inlineStr">
        <is>
          <t xml:space="preserve">    Soporte (accesorio de montaje)</t>
        </is>
      </c>
      <c r="E45" s="30" t="n">
        <v>1</v>
      </c>
      <c r="F45" s="30" t="inlineStr">
        <is>
          <t>u</t>
        </is>
      </c>
      <c r="G45" s="32" t="n"/>
      <c r="H45" s="32">
        <f>H46</f>
        <v/>
      </c>
      <c r="I45" s="30" t="n"/>
      <c r="J45" s="31" t="n"/>
      <c r="K45" s="30" t="inlineStr">
        <is>
          <t>Compra</t>
        </is>
      </c>
      <c r="L45" s="30" t="n"/>
      <c r="M45" s="31" t="n"/>
      <c r="N45" s="31" t="n"/>
      <c r="O45" s="31" t="inlineStr">
        <is>
          <t>23 Embalaje (va dentro de la caja)</t>
        </is>
      </c>
      <c r="P45" s="31" t="inlineStr">
        <is>
          <t>IRAM 3517-2 7.4</t>
        </is>
      </c>
      <c r="Q45" s="30" t="n"/>
      <c r="R45" s="30" t="n"/>
      <c r="S45" s="31" t="n"/>
    </row>
    <row r="46">
      <c r="A46" s="33" t="inlineStr">
        <is>
          <t>FL_MAT_ABC_1kg</t>
        </is>
      </c>
      <c r="B46" s="33" t="n">
        <v>2</v>
      </c>
      <c r="C46" s="33" t="inlineStr">
        <is>
          <t>ABC1-I7</t>
        </is>
      </c>
      <c r="D46" s="17" t="inlineStr">
        <is>
          <t xml:space="preserve">        Soporte vehicular con cierre rápido (FL_ACC_02)</t>
        </is>
      </c>
      <c r="E46" s="33" t="n">
        <v>1</v>
      </c>
      <c r="F46" s="33" t="inlineStr">
        <is>
          <t>u</t>
        </is>
      </c>
      <c r="G46" s="34" t="n">
        <v>0.631</v>
      </c>
      <c r="H46" s="34">
        <f>E46*G46</f>
        <v/>
      </c>
      <c r="I46" s="33" t="inlineStr">
        <is>
          <t>Chapa acero SAE 1010 e=2,5 pintada</t>
        </is>
      </c>
      <c r="J46" s="17" t="inlineStr">
        <is>
          <t>base 80 de ancho, 2 aros con hebilla</t>
        </is>
      </c>
      <c r="K46" s="33" t="inlineStr">
        <is>
          <t>Compra</t>
        </is>
      </c>
      <c r="L46" s="33" t="inlineStr">
        <is>
          <t>Sí</t>
        </is>
      </c>
      <c r="M46" s="17" t="inlineStr">
        <is>
          <t>Maxiseguridad</t>
        </is>
      </c>
      <c r="N46" s="17" t="inlineStr">
        <is>
          <t>CM Representaciones</t>
        </is>
      </c>
      <c r="O46" s="17" t="inlineStr">
        <is>
          <t>23 Embalaje</t>
        </is>
      </c>
      <c r="P46" s="17" t="inlineStr">
        <is>
          <t>IRAM 3517-2 7.4</t>
        </is>
      </c>
      <c r="Q46" s="33" t="inlineStr">
        <is>
          <t>P</t>
        </is>
      </c>
      <c r="R46" s="33" t="inlineStr">
        <is>
          <t>FL_ACC_02</t>
        </is>
      </c>
      <c r="S46" s="17" t="n"/>
    </row>
    <row r="47">
      <c r="A47" s="30" t="inlineStr">
        <is>
          <t>FL_MAT_ABC_1kg</t>
        </is>
      </c>
      <c r="B47" s="30" t="n">
        <v>1</v>
      </c>
      <c r="C47" s="30" t="inlineStr">
        <is>
          <t>ABC1-S7</t>
        </is>
      </c>
      <c r="D47" s="31" t="inlineStr">
        <is>
          <t xml:space="preserve">    Embalaje</t>
        </is>
      </c>
      <c r="E47" s="30" t="n">
        <v>1</v>
      </c>
      <c r="F47" s="30" t="inlineStr">
        <is>
          <t>u</t>
        </is>
      </c>
      <c r="G47" s="32" t="n"/>
      <c r="H47" s="32">
        <f>H51</f>
        <v/>
      </c>
      <c r="I47" s="30" t="n"/>
      <c r="J47" s="31" t="n"/>
      <c r="K47" s="30" t="inlineStr">
        <is>
          <t>Compra</t>
        </is>
      </c>
      <c r="L47" s="30" t="n"/>
      <c r="M47" s="31" t="n"/>
      <c r="N47" s="31" t="n"/>
      <c r="O47" s="31" t="inlineStr">
        <is>
          <t>23 Embalaje -&gt; 24 envolvedora (T11)</t>
        </is>
      </c>
      <c r="P47" s="31" t="n"/>
      <c r="Q47" s="30" t="n"/>
      <c r="R47" s="30" t="n"/>
      <c r="S47" s="31" t="n"/>
    </row>
    <row r="48">
      <c r="A48" s="33" t="inlineStr">
        <is>
          <t>FL_MAT_ABC_1kg</t>
        </is>
      </c>
      <c r="B48" s="33" t="n">
        <v>2</v>
      </c>
      <c r="C48" s="33" t="inlineStr">
        <is>
          <t>ABC1-E1</t>
        </is>
      </c>
      <c r="D48" s="17" t="inlineStr">
        <is>
          <t xml:space="preserve">        Caja de cartón corrugado simple</t>
        </is>
      </c>
      <c r="E48" s="33" t="n">
        <v>1</v>
      </c>
      <c r="F48" s="33" t="inlineStr">
        <is>
          <t>u</t>
        </is>
      </c>
      <c r="G48" s="34" t="n"/>
      <c r="H48" s="34" t="n"/>
      <c r="I48" s="33" t="inlineStr">
        <is>
          <t>Cartón corrugado</t>
        </is>
      </c>
      <c r="J48" s="17" t="inlineStr">
        <is>
          <t>122 × 107 × 360 interior (envolvente del plano + 15 por lado)</t>
        </is>
      </c>
      <c r="K48" s="33" t="inlineStr">
        <is>
          <t>Compra</t>
        </is>
      </c>
      <c r="L48" s="33" t="inlineStr">
        <is>
          <t>Sí</t>
        </is>
      </c>
      <c r="M48" s="17" t="inlineStr">
        <is>
          <t>Maxipack</t>
        </is>
      </c>
      <c r="N48" s="17" t="inlineStr">
        <is>
          <t>Cartocan</t>
        </is>
      </c>
      <c r="O48" s="17" t="inlineStr">
        <is>
          <t>23 Embalaje</t>
        </is>
      </c>
      <c r="P48" s="17" t="n"/>
      <c r="Q48" s="33" t="inlineStr">
        <is>
          <t>P</t>
        </is>
      </c>
      <c r="R48" s="33" t="n"/>
      <c r="S48" s="17" t="inlineStr">
        <is>
          <t>Medida del plano</t>
        </is>
      </c>
    </row>
    <row r="49">
      <c r="A49" s="33" t="inlineStr">
        <is>
          <t>FL_MAT_ABC_1kg</t>
        </is>
      </c>
      <c r="B49" s="33" t="n">
        <v>2</v>
      </c>
      <c r="C49" s="33" t="inlineStr">
        <is>
          <t>ABC1-E2</t>
        </is>
      </c>
      <c r="D49" s="17" t="inlineStr">
        <is>
          <t xml:space="preserve">        Instructivo de uso y mantenimiento</t>
        </is>
      </c>
      <c r="E49" s="33" t="n">
        <v>1</v>
      </c>
      <c r="F49" s="33" t="inlineStr">
        <is>
          <t>u</t>
        </is>
      </c>
      <c r="G49" s="34" t="n"/>
      <c r="H49" s="34" t="n"/>
      <c r="I49" s="33" t="inlineStr">
        <is>
          <t>Papel</t>
        </is>
      </c>
      <c r="J49" s="17" t="inlineStr">
        <is>
          <t>A5</t>
        </is>
      </c>
      <c r="K49" s="33" t="inlineStr">
        <is>
          <t>Compra</t>
        </is>
      </c>
      <c r="L49" s="33" t="inlineStr">
        <is>
          <t>Sí</t>
        </is>
      </c>
      <c r="M49" s="17" t="inlineStr">
        <is>
          <t>Astuprint</t>
        </is>
      </c>
      <c r="N49" s="17" t="inlineStr">
        <is>
          <t>-</t>
        </is>
      </c>
      <c r="O49" s="17" t="inlineStr">
        <is>
          <t>23 Embalaje</t>
        </is>
      </c>
      <c r="P49" s="17" t="n"/>
      <c r="Q49" s="33" t="inlineStr">
        <is>
          <t>I</t>
        </is>
      </c>
      <c r="R49" s="33" t="n"/>
      <c r="S49" s="17" t="inlineStr">
        <is>
          <t>Decisión comercial de FLAMA (las instrucciones de uso obligatorias van en la etiqueta, IRAM 3534)</t>
        </is>
      </c>
    </row>
    <row r="50">
      <c r="A50" s="33" t="inlineStr">
        <is>
          <t>FL_MAT_ABC_1kg</t>
        </is>
      </c>
      <c r="B50" s="33" t="n">
        <v>2</v>
      </c>
      <c r="C50" s="33" t="inlineStr">
        <is>
          <t>ABC1-E3</t>
        </is>
      </c>
      <c r="D50" s="17" t="inlineStr">
        <is>
          <t xml:space="preserve">        Pallet 1200 × 1000 (fracción)</t>
        </is>
      </c>
      <c r="E50" s="33" t="n">
        <v>0.0028</v>
      </c>
      <c r="F50" s="33" t="inlineStr">
        <is>
          <t>u</t>
        </is>
      </c>
      <c r="G50" s="34" t="n"/>
      <c r="H50" s="34" t="n"/>
      <c r="I50" s="33" t="inlineStr">
        <is>
          <t>Madera</t>
        </is>
      </c>
      <c r="J50" s="17" t="inlineStr">
        <is>
          <t>352 u por pallet</t>
        </is>
      </c>
      <c r="K50" s="33" t="inlineStr">
        <is>
          <t>Compra</t>
        </is>
      </c>
      <c r="L50" s="33" t="inlineStr">
        <is>
          <t>Sí</t>
        </is>
      </c>
      <c r="M50" s="17" t="inlineStr">
        <is>
          <t>IndusPallets</t>
        </is>
      </c>
      <c r="N50" s="17" t="inlineStr">
        <is>
          <t>-</t>
        </is>
      </c>
      <c r="O50" s="17" t="inlineStr">
        <is>
          <t>23 Embalaje</t>
        </is>
      </c>
      <c r="P50" s="17" t="n"/>
      <c r="Q50" s="33" t="inlineStr">
        <is>
          <t>C</t>
        </is>
      </c>
      <c r="R50" s="33" t="n"/>
      <c r="S50" s="17" t="inlineStr">
        <is>
          <t>u por pallet = acomodo de la caja (plano) en 1200 × 1000 × 1450 de alto</t>
        </is>
      </c>
    </row>
    <row r="51">
      <c r="A51" s="41" t="inlineStr">
        <is>
          <t>FL_MAT_ABC_1kg</t>
        </is>
      </c>
      <c r="B51" s="41" t="n">
        <v>2</v>
      </c>
      <c r="C51" s="41" t="inlineStr">
        <is>
          <t>ABC1-E4</t>
        </is>
      </c>
      <c r="D51" s="18" t="inlineStr">
        <is>
          <t xml:space="preserve">        Film stretch (fracción del pallet)</t>
        </is>
      </c>
      <c r="E51" s="41" t="n">
        <v>0.0003</v>
      </c>
      <c r="F51" s="41" t="inlineStr">
        <is>
          <t>kg</t>
        </is>
      </c>
      <c r="G51" s="42" t="n">
        <v>1</v>
      </c>
      <c r="H51" s="42">
        <f>E51*G51</f>
        <v/>
      </c>
      <c r="I51" s="41" t="inlineStr">
        <is>
          <t>PE lineal 23 µm</t>
        </is>
      </c>
      <c r="J51" s="18" t="inlineStr">
        <is>
          <t>0,12 kg por pallet / 352 u</t>
        </is>
      </c>
      <c r="K51" s="41" t="inlineStr">
        <is>
          <t>Compra</t>
        </is>
      </c>
      <c r="L51" s="41" t="inlineStr">
        <is>
          <t>Sí</t>
        </is>
      </c>
      <c r="M51" s="18" t="inlineStr">
        <is>
          <t>MV Embalajes</t>
        </is>
      </c>
      <c r="N51" s="18" t="inlineStr">
        <is>
          <t>Embalpack</t>
        </is>
      </c>
      <c r="O51" s="18" t="inlineStr">
        <is>
          <t>24 Envolvedora (T11)</t>
        </is>
      </c>
      <c r="P51" s="18" t="n"/>
      <c r="Q51" s="41" t="inlineStr">
        <is>
          <t>C</t>
        </is>
      </c>
      <c r="R51" s="41" t="n"/>
      <c r="S5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c r="A52" s="33" t="inlineStr">
        <is>
          <t>FL_MAT_ABC_1kg</t>
        </is>
      </c>
      <c r="B52" s="33" t="n">
        <v>2</v>
      </c>
      <c r="C52" s="33" t="inlineStr">
        <is>
          <t>ABC1-E5</t>
        </is>
      </c>
      <c r="D52" s="17" t="inlineStr">
        <is>
          <t xml:space="preserve">        Etiqueta de pallet (lote y destino, fracción)</t>
        </is>
      </c>
      <c r="E52" s="33" t="n">
        <v>0.0028</v>
      </c>
      <c r="F52" s="33" t="inlineStr">
        <is>
          <t>u</t>
        </is>
      </c>
      <c r="G52" s="34" t="n"/>
      <c r="H52" s="34" t="n"/>
      <c r="I52" s="33" t="inlineStr">
        <is>
          <t>Papel térmico</t>
        </is>
      </c>
      <c r="J52" s="17" t="inlineStr">
        <is>
          <t>100 × 150</t>
        </is>
      </c>
      <c r="K52" s="33" t="inlineStr">
        <is>
          <t>Compra</t>
        </is>
      </c>
      <c r="L52" s="33" t="inlineStr">
        <is>
          <t>Sí</t>
        </is>
      </c>
      <c r="M52" s="17" t="inlineStr">
        <is>
          <t>Astuprint</t>
        </is>
      </c>
      <c r="N52" s="17" t="inlineStr">
        <is>
          <t>Multilabel Argentina S.A.</t>
        </is>
      </c>
      <c r="O52" s="17" t="inlineStr">
        <is>
          <t>24 Envolvedora</t>
        </is>
      </c>
      <c r="P52" s="17" t="n"/>
      <c r="Q52" s="33" t="inlineStr">
        <is>
          <t>C</t>
        </is>
      </c>
      <c r="R52" s="33" t="n"/>
      <c r="S52" s="17" t="n"/>
    </row>
    <row r="53">
      <c r="A53" s="41" t="inlineStr">
        <is>
          <t>FL_MAT_ABC_1kg</t>
        </is>
      </c>
      <c r="B53" s="41" t="n">
        <v>2</v>
      </c>
      <c r="C53" s="41" t="inlineStr">
        <is>
          <t>ABC1-E6</t>
        </is>
      </c>
      <c r="D53" s="18" t="inlineStr">
        <is>
          <t xml:space="preserve">        Cinta de embalaje PP 48 mm (cierre de la caja)</t>
        </is>
      </c>
      <c r="E53" s="41" t="n">
        <v>0.524</v>
      </c>
      <c r="F53" s="41" t="inlineStr">
        <is>
          <t>m</t>
        </is>
      </c>
      <c r="G53" s="42" t="n"/>
      <c r="H53" s="42" t="n"/>
      <c r="I53" s="41" t="inlineStr">
        <is>
          <t>Polipropileno con adhesivo acrílico</t>
        </is>
      </c>
      <c r="J53" s="18" t="inlineStr">
        <is>
          <t>cierre en I arriba y abajo: 2 × (122 + 2 × 70 de solapa)</t>
        </is>
      </c>
      <c r="K53" s="41" t="inlineStr">
        <is>
          <t>Compra</t>
        </is>
      </c>
      <c r="L53" s="41" t="inlineStr">
        <is>
          <t>Sí</t>
        </is>
      </c>
      <c r="M53" s="18" t="inlineStr">
        <is>
          <t>MV Embalajes</t>
        </is>
      </c>
      <c r="N53" s="18" t="inlineStr">
        <is>
          <t>Embalpack</t>
        </is>
      </c>
      <c r="O53" s="18" t="inlineStr">
        <is>
          <t>23 Embalaje</t>
        </is>
      </c>
      <c r="P53" s="18" t="n"/>
      <c r="Q53" s="41" t="inlineStr">
        <is>
          <t>C</t>
        </is>
      </c>
      <c r="R53" s="41" t="n"/>
      <c r="S53" s="18" t="inlineStr">
        <is>
          <t>Solapa de 70 mm por lado: práctica de cierre de cajas (medir en la línea)</t>
        </is>
      </c>
    </row>
    <row r="54">
      <c r="A54" s="33" t="inlineStr">
        <is>
          <t>FL_MAT_ABC_1kg</t>
        </is>
      </c>
      <c r="B54" s="33" t="n">
        <v>2</v>
      </c>
      <c r="C54" s="33" t="inlineStr">
        <is>
          <t>ABC1-E7</t>
        </is>
      </c>
      <c r="D54" s="17" t="inlineStr">
        <is>
          <t xml:space="preserve">        Esquineros de cartón 50 × 50 × 1200 (fracción del pallet)</t>
        </is>
      </c>
      <c r="E54" s="33" t="n">
        <v>0.0114</v>
      </c>
      <c r="F54" s="33" t="inlineStr">
        <is>
          <t>u</t>
        </is>
      </c>
      <c r="G54" s="34" t="n"/>
      <c r="H54" s="34" t="n"/>
      <c r="I54" s="33" t="inlineStr">
        <is>
          <t>Cartón</t>
        </is>
      </c>
      <c r="J54" s="17" t="inlineStr">
        <is>
          <t>4 por pallet / 352 u</t>
        </is>
      </c>
      <c r="K54" s="33" t="inlineStr">
        <is>
          <t>Compra</t>
        </is>
      </c>
      <c r="L54" s="33" t="inlineStr">
        <is>
          <t>Sí</t>
        </is>
      </c>
      <c r="M54" s="17" t="inlineStr">
        <is>
          <t>Maxipack</t>
        </is>
      </c>
      <c r="N54" s="17" t="inlineStr">
        <is>
          <t>Cartocan</t>
        </is>
      </c>
      <c r="O54" s="17" t="inlineStr">
        <is>
          <t>24 Envolvedora (T11)</t>
        </is>
      </c>
      <c r="P54" s="17" t="n"/>
      <c r="Q54" s="33" t="inlineStr">
        <is>
          <t>C</t>
        </is>
      </c>
      <c r="R54" s="33" t="n"/>
      <c r="S54" s="17" t="inlineStr">
        <is>
          <t>Planilla MP-64</t>
        </is>
      </c>
    </row>
    <row r="55">
      <c r="A55" s="27" t="inlineStr">
        <is>
          <t>FL_MAT_ABC_2.5kg</t>
        </is>
      </c>
      <c r="B55" s="27" t="n">
        <v>0</v>
      </c>
      <c r="C55" s="27" t="inlineStr">
        <is>
          <t>FL_MAT_ABC_2.5kg</t>
        </is>
      </c>
      <c r="D55" s="28" t="inlineStr">
        <is>
          <t>Extintor ABC 2,5 kg</t>
        </is>
      </c>
      <c r="E55" s="27" t="n">
        <v>1</v>
      </c>
      <c r="F55" s="27" t="inlineStr">
        <is>
          <t>u</t>
        </is>
      </c>
      <c r="G55" s="29" t="n"/>
      <c r="H55" s="29" t="n"/>
      <c r="I55" s="27" t="n"/>
      <c r="J55" s="28" t="n"/>
      <c r="K55" s="27" t="n"/>
      <c r="L55" s="27" t="n"/>
      <c r="M55" s="28" t="n"/>
      <c r="N55" s="28" t="n"/>
      <c r="O55" s="28" t="n"/>
      <c r="P55" s="28" t="inlineStr">
        <is>
          <t>IRAM 3523</t>
        </is>
      </c>
      <c r="Q55" s="27" t="inlineStr">
        <is>
          <t>P</t>
        </is>
      </c>
      <c r="R55" s="27" t="inlineStr">
        <is>
          <t>FL_MAT_ABC_2.5kg</t>
        </is>
      </c>
      <c r="S55" s="28" t="inlineStr">
        <is>
          <t>Fabricación propia</t>
        </is>
      </c>
    </row>
    <row r="56">
      <c r="A56" s="30" t="inlineStr">
        <is>
          <t>FL_MAT_ABC_2.5kg</t>
        </is>
      </c>
      <c r="B56" s="30" t="n">
        <v>1</v>
      </c>
      <c r="C56" s="30" t="inlineStr">
        <is>
          <t>FL_REC_ABC_2.5kg</t>
        </is>
      </c>
      <c r="D56" s="31" t="inlineStr">
        <is>
          <t xml:space="preserve">    Recipiente (cilindro)</t>
        </is>
      </c>
      <c r="E56" s="30" t="n">
        <v>1</v>
      </c>
      <c r="F56" s="30" t="inlineStr">
        <is>
          <t>u</t>
        </is>
      </c>
      <c r="G56" s="32" t="n"/>
      <c r="H56" s="32">
        <f>H57+H59+H61+H63+H64</f>
        <v/>
      </c>
      <c r="I56" s="30" t="n"/>
      <c r="J56" s="31" t="n"/>
      <c r="K56" s="30" t="inlineStr">
        <is>
          <t>Fabricación</t>
        </is>
      </c>
      <c r="L56" s="30" t="n"/>
      <c r="M56" s="31" t="n"/>
      <c r="N56" s="31" t="n"/>
      <c r="O56" s="31" t="n"/>
      <c r="P56" s="31" t="inlineStr">
        <is>
          <t>IRAM 3523 / 3550 (recipiente)</t>
        </is>
      </c>
      <c r="Q56" s="30" t="inlineStr">
        <is>
          <t>P</t>
        </is>
      </c>
      <c r="R56" s="30" t="inlineStr">
        <is>
          <t>FL_REC_ABC_2.5kg</t>
        </is>
      </c>
      <c r="S56" s="31" t="n"/>
    </row>
    <row r="57">
      <c r="A57" s="33" t="inlineStr">
        <is>
          <t>FL_MAT_ABC_2.5kg</t>
        </is>
      </c>
      <c r="B57" s="33" t="n">
        <v>2</v>
      </c>
      <c r="C57" s="33" t="inlineStr">
        <is>
          <t>ABC2.5-01</t>
        </is>
      </c>
      <c r="D57" s="17" t="inlineStr">
        <is>
          <t xml:space="preserve">        Cuerpo (virola)</t>
        </is>
      </c>
      <c r="E57" s="33" t="n">
        <v>1</v>
      </c>
      <c r="F57" s="33" t="inlineStr">
        <is>
          <t>u</t>
        </is>
      </c>
      <c r="G57" s="34" t="n">
        <v>0.9899</v>
      </c>
      <c r="H57" s="34">
        <f>E57*G57</f>
        <v/>
      </c>
      <c r="I57" s="33" t="inlineStr">
        <is>
          <t>Chapa LAF IRAM-IAS U 500-05 e=1,25</t>
        </is>
      </c>
      <c r="J57" s="17" t="inlineStr">
        <is>
          <t>Ø124 × e1,25 × 261,6 de alto; desarrollo 385,6 × 261,6</t>
        </is>
      </c>
      <c r="K57" s="33" t="inlineStr">
        <is>
          <t>Fabricación</t>
        </is>
      </c>
      <c r="L57" s="33" t="inlineStr">
        <is>
          <t>No</t>
        </is>
      </c>
      <c r="M57" s="17" t="n"/>
      <c r="N57" s="17" t="n"/>
      <c r="O57" s="17" t="inlineStr">
        <is>
          <t>1 Guillotina -&gt; 2 numerado -&gt; 3 cilindrado -&gt; 4 soldadura longitudinal</t>
        </is>
      </c>
      <c r="P57" s="17" t="n"/>
      <c r="Q57" s="33" t="inlineStr">
        <is>
          <t>P</t>
        </is>
      </c>
      <c r="R57" s="33" t="inlineStr">
        <is>
          <t>FL_DES_ABC_2.5kg</t>
        </is>
      </c>
      <c r="S57" s="17" t="inlineStr">
        <is>
          <t>costura long. MAG</t>
        </is>
      </c>
    </row>
    <row r="58">
      <c r="A58" s="35" t="inlineStr">
        <is>
          <t>FL_MAT_ABC_2.5kg</t>
        </is>
      </c>
      <c r="B58" s="35" t="n">
        <v>3</v>
      </c>
      <c r="C58" s="35" t="inlineStr">
        <is>
          <t>MP-HOJA</t>
        </is>
      </c>
      <c r="D58" s="36" t="inlineStr">
        <is>
          <t xml:space="preserve">            Recorte de hoja LAF 1220 × 2440 e=1,25</t>
        </is>
      </c>
      <c r="E58" s="35" t="n">
        <v>1</v>
      </c>
      <c r="F58" s="35" t="inlineStr">
        <is>
          <t>u</t>
        </is>
      </c>
      <c r="G58" s="37" t="n">
        <v>1.082</v>
      </c>
      <c r="H58" s="37">
        <f>E58*G58</f>
        <v/>
      </c>
      <c r="I58" s="35" t="inlineStr">
        <is>
          <t>Chapa LAF IRAM-IAS U 500-05 LAF</t>
        </is>
      </c>
      <c r="J58" s="36" t="inlineStr">
        <is>
          <t>385,5 × 269,5 (aprovech. 94,2 %)</t>
        </is>
      </c>
      <c r="K58" s="35" t="inlineStr">
        <is>
          <t>Compra</t>
        </is>
      </c>
      <c r="L58" s="35" t="inlineStr">
        <is>
          <t>Sí</t>
        </is>
      </c>
      <c r="M58" s="36" t="inlineStr">
        <is>
          <t>Pradecon S.A.</t>
        </is>
      </c>
      <c r="N58" s="36" t="inlineStr">
        <is>
          <t>Pacheco Chapas</t>
        </is>
      </c>
      <c r="O58" s="36" t="inlineStr">
        <is>
          <t>AL-1H paquetes de hojas</t>
        </is>
      </c>
      <c r="P58" s="36" t="n"/>
      <c r="Q58" s="35" t="inlineStr">
        <is>
          <t>L</t>
        </is>
      </c>
      <c r="R58" s="35" t="inlineStr">
        <is>
          <t>FL_PI_04 h2</t>
        </is>
      </c>
      <c r="S58" s="36" t="n"/>
    </row>
    <row r="59">
      <c r="A59" s="33" t="inlineStr">
        <is>
          <t>FL_MAT_ABC_2.5kg</t>
        </is>
      </c>
      <c r="B59" s="33" t="n">
        <v>2</v>
      </c>
      <c r="C59" s="33" t="inlineStr">
        <is>
          <t>ABC2.5-02</t>
        </is>
      </c>
      <c r="D59" s="17" t="inlineStr">
        <is>
          <t xml:space="preserve">        Cúpula</t>
        </is>
      </c>
      <c r="E59" s="33" t="n">
        <v>1</v>
      </c>
      <c r="F59" s="33" t="inlineStr">
        <is>
          <t>u</t>
        </is>
      </c>
      <c r="G59" s="34" t="n">
        <v>0.1642</v>
      </c>
      <c r="H59" s="34">
        <f>E59*G59</f>
        <v/>
      </c>
      <c r="I59" s="33" t="inlineStr">
        <is>
          <t>Chapa LAF IRAM-IAS U 500-05 e=1,25</t>
        </is>
      </c>
      <c r="J59" s="17" t="inlineStr">
        <is>
          <t>Ø124 × e1,25 × 37,9 de alto; disco Ø179</t>
        </is>
      </c>
      <c r="K59" s="33" t="inlineStr">
        <is>
          <t>Fabricación</t>
        </is>
      </c>
      <c r="L59" s="33" t="inlineStr">
        <is>
          <t>No</t>
        </is>
      </c>
      <c r="M59" s="17" t="n"/>
      <c r="N59" s="17" t="n"/>
      <c r="O59" s="17" t="inlineStr">
        <is>
          <t>6 Desbobinado + embutido (M06-M08)</t>
        </is>
      </c>
      <c r="P59" s="17" t="n"/>
      <c r="Q59" s="33" t="inlineStr">
        <is>
          <t>P</t>
        </is>
      </c>
      <c r="R59" s="33" t="inlineStr">
        <is>
          <t>FL_DES_ABC_2.5kg</t>
        </is>
      </c>
      <c r="S59" s="17" t="inlineStr">
        <is>
          <t>embutida</t>
        </is>
      </c>
    </row>
    <row r="60">
      <c r="A60" s="35" t="inlineStr">
        <is>
          <t>FL_MAT_ABC_2.5kg</t>
        </is>
      </c>
      <c r="B60" s="35" t="n">
        <v>3</v>
      </c>
      <c r="C60" s="35" t="inlineStr">
        <is>
          <t>MP-FLEJE</t>
        </is>
      </c>
      <c r="D60" s="36" t="inlineStr">
        <is>
          <t xml:space="preserve">            Fleje e=1,25 × 200 (paso 182)</t>
        </is>
      </c>
      <c r="E60" s="35" t="n">
        <v>0.182</v>
      </c>
      <c r="F60" s="35" t="inlineStr">
        <is>
          <t>m</t>
        </is>
      </c>
      <c r="G60" s="37" t="n">
        <v>1.962</v>
      </c>
      <c r="H60" s="37">
        <f>E60*G60</f>
        <v/>
      </c>
      <c r="I60" s="35" t="inlineStr">
        <is>
          <t>Fleje SAE 1010</t>
        </is>
      </c>
      <c r="J60" s="36" t="inlineStr">
        <is>
          <t>disco Ø179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33" t="inlineStr">
        <is>
          <t>FL_MAT_ABC_2.5kg</t>
        </is>
      </c>
      <c r="B61" s="33" t="n">
        <v>2</v>
      </c>
      <c r="C61" s="33" t="inlineStr">
        <is>
          <t>ABC2.5-03</t>
        </is>
      </c>
      <c r="D61" s="17" t="inlineStr">
        <is>
          <t xml:space="preserve">        Fondo</t>
        </is>
      </c>
      <c r="E61" s="33" t="n">
        <v>1</v>
      </c>
      <c r="F61" s="33" t="inlineStr">
        <is>
          <t>u</t>
        </is>
      </c>
      <c r="G61" s="34" t="n">
        <v>0.1138</v>
      </c>
      <c r="H61" s="34">
        <f>E61*G61</f>
        <v/>
      </c>
      <c r="I61" s="33" t="inlineStr">
        <is>
          <t>Chapa LAF IRAM-IAS U 500-05 e=1,25</t>
        </is>
      </c>
      <c r="J61" s="17" t="inlineStr">
        <is>
          <t>Ø124 × e1,25 × 11,8 de alto; disco Ø148</t>
        </is>
      </c>
      <c r="K61" s="33" t="inlineStr">
        <is>
          <t>Fabricación</t>
        </is>
      </c>
      <c r="L61" s="33" t="inlineStr">
        <is>
          <t>No</t>
        </is>
      </c>
      <c r="M61" s="17" t="n"/>
      <c r="N61" s="17" t="n"/>
      <c r="O61" s="17" t="inlineStr">
        <is>
          <t>6 Desbobinado + embutido (M06-M08)</t>
        </is>
      </c>
      <c r="P61" s="17" t="n"/>
      <c r="Q61" s="33" t="inlineStr">
        <is>
          <t>P</t>
        </is>
      </c>
      <c r="R61" s="33" t="inlineStr">
        <is>
          <t>FL_DES_ABC_2.5kg</t>
        </is>
      </c>
      <c r="S61" s="17" t="inlineStr">
        <is>
          <t>embutido</t>
        </is>
      </c>
    </row>
    <row r="62">
      <c r="A62" s="35" t="inlineStr">
        <is>
          <t>FL_MAT_ABC_2.5kg</t>
        </is>
      </c>
      <c r="B62" s="35" t="n">
        <v>3</v>
      </c>
      <c r="C62" s="35" t="inlineStr">
        <is>
          <t>MP-FLEJE</t>
        </is>
      </c>
      <c r="D62" s="36" t="inlineStr">
        <is>
          <t xml:space="preserve">            Fleje e=1,25 × 200 (paso 151)</t>
        </is>
      </c>
      <c r="E62" s="35" t="n">
        <v>0.151</v>
      </c>
      <c r="F62" s="35" t="inlineStr">
        <is>
          <t>m</t>
        </is>
      </c>
      <c r="G62" s="37" t="n">
        <v>1.962</v>
      </c>
      <c r="H62" s="37">
        <f>E62*G62</f>
        <v/>
      </c>
      <c r="I62" s="35" t="inlineStr">
        <is>
          <t>Fleje SAE 1010</t>
        </is>
      </c>
      <c r="J62" s="36" t="inlineStr">
        <is>
          <t>disco Ø148 (kg por m de fleje)</t>
        </is>
      </c>
      <c r="K62" s="35" t="inlineStr">
        <is>
          <t>Compra</t>
        </is>
      </c>
      <c r="L62" s="35" t="inlineStr">
        <is>
          <t>Sí</t>
        </is>
      </c>
      <c r="M62" s="36" t="inlineStr">
        <is>
          <t>Pacheco Chapas</t>
        </is>
      </c>
      <c r="N62" s="36" t="inlineStr">
        <is>
          <t>Pradecon S.A.</t>
        </is>
      </c>
      <c r="O62" s="36" t="inlineStr">
        <is>
          <t>AL-1F porta-flejes</t>
        </is>
      </c>
      <c r="P62" s="36" t="n"/>
      <c r="Q62" s="35" t="inlineStr">
        <is>
          <t>L</t>
        </is>
      </c>
      <c r="R62" s="35" t="inlineStr">
        <is>
          <t>FL_PI_04 h2</t>
        </is>
      </c>
      <c r="S62" s="36" t="n"/>
    </row>
    <row r="63">
      <c r="A63" s="33" t="inlineStr">
        <is>
          <t>FL_MAT_ABC_2.5kg</t>
        </is>
      </c>
      <c r="B63" s="33" t="n">
        <v>2</v>
      </c>
      <c r="C63" s="33" t="inlineStr">
        <is>
          <t>ABC2.5-04</t>
        </is>
      </c>
      <c r="D63" s="17" t="inlineStr">
        <is>
          <t xml:space="preserve">        Cuello roscado</t>
        </is>
      </c>
      <c r="E63" s="33" t="n">
        <v>1</v>
      </c>
      <c r="F63" s="33" t="inlineStr">
        <is>
          <t>u</t>
        </is>
      </c>
      <c r="G63" s="34" t="n">
        <v>0.0545</v>
      </c>
      <c r="H63" s="34">
        <f>E63*G63</f>
        <v/>
      </c>
      <c r="I63" s="33" t="inlineStr">
        <is>
          <t>Acero SAE 1010</t>
        </is>
      </c>
      <c r="J63" s="17" t="inlineStr">
        <is>
          <t>Ø37 × 14 de alto, rosca M30x1,5, asiento Ø35</t>
        </is>
      </c>
      <c r="K63" s="33" t="inlineStr">
        <is>
          <t>Compra (mecanizado, Eli-Met)</t>
        </is>
      </c>
      <c r="L63" s="33" t="inlineStr">
        <is>
          <t>Sí</t>
        </is>
      </c>
      <c r="M63" s="17" t="inlineStr">
        <is>
          <t>Eli-Met</t>
        </is>
      </c>
      <c r="N63" s="17" t="inlineStr">
        <is>
          <t>-</t>
        </is>
      </c>
      <c r="O63" s="17" t="inlineStr">
        <is>
          <t>Compra -&gt; 8 soldadura de cuello</t>
        </is>
      </c>
      <c r="P63" s="17" t="n"/>
      <c r="Q63" s="33" t="inlineStr">
        <is>
          <t>P</t>
        </is>
      </c>
      <c r="R63" s="33" t="inlineStr">
        <is>
          <t>FL_DES_ABC_2.5kg</t>
        </is>
      </c>
      <c r="S63" s="17" t="inlineStr">
        <is>
          <t>M30x1,5</t>
        </is>
      </c>
    </row>
    <row r="64">
      <c r="A64" s="41" t="inlineStr">
        <is>
          <t>FL_MAT_ABC_2.5kg</t>
        </is>
      </c>
      <c r="B64" s="41" t="n">
        <v>2</v>
      </c>
      <c r="C64" s="41" t="inlineStr">
        <is>
          <t>ABC2.5-C1</t>
        </is>
      </c>
      <c r="D64" s="18" t="inlineStr">
        <is>
          <t xml:space="preserve">        Alambre MAG ER70S-6 Ø0,9 (AWS A5.18)</t>
        </is>
      </c>
      <c r="E64" s="41" t="n">
        <v>0.0294</v>
      </c>
      <c r="F64" s="41" t="inlineStr">
        <is>
          <t>kg</t>
        </is>
      </c>
      <c r="G64" s="42" t="n">
        <v>0.95</v>
      </c>
      <c r="H64" s="42">
        <f>E64*G64</f>
        <v/>
      </c>
      <c r="I64" s="41" t="inlineStr">
        <is>
          <t>ER70S-6</t>
        </is>
      </c>
      <c r="J64" s="18" t="inlineStr">
        <is>
          <t>metal depositado de los cordones del plano 28 g / rendimiento 0,95</t>
        </is>
      </c>
      <c r="K64" s="41" t="inlineStr">
        <is>
          <t>Compra</t>
        </is>
      </c>
      <c r="L64" s="41" t="inlineStr">
        <is>
          <t>Sí</t>
        </is>
      </c>
      <c r="M64" s="18" t="inlineStr">
        <is>
          <t>Conarco (ESAB Argentina)</t>
        </is>
      </c>
      <c r="N64" s="18" t="inlineStr">
        <is>
          <t>-</t>
        </is>
      </c>
      <c r="O64" s="18" t="inlineStr">
        <is>
          <t>4 sold. long. / 8 cuello / 11 circunferencial</t>
        </is>
      </c>
      <c r="P64" s="18" t="inlineStr">
        <is>
          <t>IRAM 3523 3.2.4.2 · IRAM 3550 4.1.2</t>
        </is>
      </c>
      <c r="Q64" s="41" t="inlineStr">
        <is>
          <t>C</t>
        </is>
      </c>
      <c r="R64" s="41"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41" t="inlineStr">
        <is>
          <t>FL_MAT_ABC_2.5kg</t>
        </is>
      </c>
      <c r="B65" s="41" t="n">
        <v>2</v>
      </c>
      <c r="C65" s="41" t="inlineStr">
        <is>
          <t>ABC2.5-C2</t>
        </is>
      </c>
      <c r="D65" s="18" t="inlineStr">
        <is>
          <t xml:space="preserve">        Gas de protección MAG Arcal 21 / ARCAL Speed (Ar + 8 % CO₂, M20)</t>
        </is>
      </c>
      <c r="E65" s="41" t="n">
        <v>27</v>
      </c>
      <c r="F65" s="41" t="inlineStr">
        <is>
          <t>L</t>
        </is>
      </c>
      <c r="G65" s="42" t="n"/>
      <c r="H65" s="42" t="n"/>
      <c r="I65" s="41" t="inlineStr">
        <is>
          <t>EN ISO 14175 M20-ArC-8</t>
        </is>
      </c>
      <c r="J65" s="18" t="inlineStr">
        <is>
          <t>14 L/min × 1,93 min de arco (cordones 1.157 mm: long. 262 + circ. 779 + cuello 116, a 600 mm/min)</t>
        </is>
      </c>
      <c r="K65" s="41" t="inlineStr">
        <is>
          <t>Compra</t>
        </is>
      </c>
      <c r="L65" s="41" t="inlineStr">
        <is>
          <t>Sí</t>
        </is>
      </c>
      <c r="M65" s="18" t="inlineStr">
        <is>
          <t>Air Liquide Argentina - sucursal Piñeyro</t>
        </is>
      </c>
      <c r="N65" s="18" t="inlineStr">
        <is>
          <t>Gogniat</t>
        </is>
      </c>
      <c r="O65" s="18" t="inlineStr">
        <is>
          <t>Colector SC</t>
        </is>
      </c>
      <c r="P65" s="18" t="inlineStr">
        <is>
          <t>IRAM 3523 3.2.4.2 · IRAM 3550 3.2.2.2</t>
        </is>
      </c>
      <c r="Q65" s="41" t="inlineStr">
        <is>
          <t>C</t>
        </is>
      </c>
      <c r="R65" s="41"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41" t="inlineStr">
        <is>
          <t>FL_MAT_ABC_2.5kg</t>
        </is>
      </c>
      <c r="B66" s="41" t="n">
        <v>2</v>
      </c>
      <c r="C66" s="41" t="inlineStr">
        <is>
          <t>ABC2.5-C3</t>
        </is>
      </c>
      <c r="D66" s="18" t="inlineStr">
        <is>
          <t xml:space="preserve">        Granalla de acero S330 / S390 (ISO 11124-3, SAE J444)</t>
        </is>
      </c>
      <c r="E66" s="41" t="n">
        <v>0.08</v>
      </c>
      <c r="F66" s="41" t="inlineStr">
        <is>
          <t>kg</t>
        </is>
      </c>
      <c r="G66" s="42" t="n"/>
      <c r="H66" s="42" t="n"/>
      <c r="I66" s="41" t="inlineStr">
        <is>
          <t>Granalla esférica alto C</t>
        </is>
      </c>
      <c r="J66" s="18" t="inlineStr">
        <is>
          <t>0,129 m² a Sa 2½ (ISO 8501-1); 3,4 kg/h ÷ 42,5 u/h</t>
        </is>
      </c>
      <c r="K66" s="41" t="inlineStr">
        <is>
          <t>Compra</t>
        </is>
      </c>
      <c r="L66" s="41" t="inlineStr">
        <is>
          <t>Sí</t>
        </is>
      </c>
      <c r="M66" s="18" t="inlineStr">
        <is>
          <t>CyM Materiales</t>
        </is>
      </c>
      <c r="N66" s="18" t="inlineStr">
        <is>
          <t>Roca Ingeniería</t>
        </is>
      </c>
      <c r="O66" s="18" t="inlineStr">
        <is>
          <t>14 Granallado (B08)</t>
        </is>
      </c>
      <c r="P66" s="18" t="inlineStr">
        <is>
          <t>DOC-01</t>
        </is>
      </c>
      <c r="Q66" s="41" t="inlineStr">
        <is>
          <t>C</t>
        </is>
      </c>
      <c r="R66" s="41" t="n"/>
      <c r="S66" s="18" t="inlineStr">
        <is>
          <t>Consumo (desgaste) por turbina ≈ HP / 2 lb/h (The Fabricator, «aspectos básicos del granallado por turbina»): G-100 con 2 × 7,5 HP = 7,5 lb/h = 3,4 kg/h; ritmo 340 u por turno (Getweld) = 42,5 u/h.</t>
        </is>
      </c>
    </row>
    <row r="67">
      <c r="A67" s="33" t="inlineStr">
        <is>
          <t>FL_MAT_ABC_2.5kg</t>
        </is>
      </c>
      <c r="B67" s="33" t="n">
        <v>2</v>
      </c>
      <c r="C67" s="33" t="inlineStr">
        <is>
          <t>ABC2.5-C4</t>
        </is>
      </c>
      <c r="D67" s="17" t="inlineStr">
        <is>
          <t xml:space="preserve">        Servicio de pintura en polvo al horno, rojo 03-1-050</t>
        </is>
      </c>
      <c r="E67" s="33" t="n">
        <v>1</v>
      </c>
      <c r="F67" s="33" t="inlineStr">
        <is>
          <t>u</t>
        </is>
      </c>
      <c r="G67" s="34" t="n"/>
      <c r="H67" s="34" t="n"/>
      <c r="I67" s="33" t="inlineStr">
        <is>
          <t>Servicio tercerizado</t>
        </is>
      </c>
      <c r="J67" s="17" t="inlineStr">
        <is>
          <t>superficie exterior 0,129 m²</t>
        </is>
      </c>
      <c r="K67" s="33" t="inlineStr">
        <is>
          <t>Compra (servicio)</t>
        </is>
      </c>
      <c r="L67" s="33" t="inlineStr">
        <is>
          <t>Sí</t>
        </is>
      </c>
      <c r="M67" s="17" t="inlineStr">
        <is>
          <t>Prymax</t>
        </is>
      </c>
      <c r="N67" s="17" t="inlineStr">
        <is>
          <t>Pintor de carros (cotización por mensaje)</t>
        </is>
      </c>
      <c r="O67" s="17" t="inlineStr">
        <is>
          <t>17 Pintura tercerizada</t>
        </is>
      </c>
      <c r="P67" s="17" t="inlineStr">
        <is>
          <t>IRAM 3523 5.3 / IRAM 3550 3.11 · IRAM 121</t>
        </is>
      </c>
      <c r="Q67" s="33" t="inlineStr">
        <is>
          <t>Q</t>
        </is>
      </c>
      <c r="R67" s="33" t="n"/>
      <c r="S67" s="17" t="inlineStr">
        <is>
          <t>Q-PRYMAX (precio por cilindro); exigir informe de niebla salina del sistema de pintura; tercerización aceptada por el Ministerio (Res. 349/07 art. 18)</t>
        </is>
      </c>
    </row>
    <row r="68">
      <c r="A68" s="30" t="inlineStr">
        <is>
          <t>FL_MAT_ABC_2.5kg</t>
        </is>
      </c>
      <c r="B68" s="30" t="n">
        <v>1</v>
      </c>
      <c r="C68" s="30" t="inlineStr">
        <is>
          <t>ABC2.5-S2</t>
        </is>
      </c>
      <c r="D68" s="31" t="inlineStr">
        <is>
          <t xml:space="preserve">    Conjunto de válvula</t>
        </is>
      </c>
      <c r="E68" s="30" t="n">
        <v>1</v>
      </c>
      <c r="F68" s="30" t="inlineStr">
        <is>
          <t>u</t>
        </is>
      </c>
      <c r="G68" s="32" t="n"/>
      <c r="H68" s="32">
        <f>H69+H70+H71+H73+H74+H75+H76+H77+H78+H79</f>
        <v/>
      </c>
      <c r="I68" s="30" t="n"/>
      <c r="J68" s="31" t="n"/>
      <c r="K68" s="30" t="inlineStr">
        <is>
          <t>Compra / armado</t>
        </is>
      </c>
      <c r="L68" s="30" t="n"/>
      <c r="M68" s="31" t="n"/>
      <c r="N68" s="31" t="n"/>
      <c r="O68" s="31" t="n"/>
      <c r="P68" s="31" t="inlineStr">
        <is>
          <t>Manómetro IRAM 3533</t>
        </is>
      </c>
      <c r="Q68" s="30" t="inlineStr">
        <is>
          <t>P</t>
        </is>
      </c>
      <c r="R68" s="30" t="inlineStr">
        <is>
          <t>FL_DES_ABC_2.5kg</t>
        </is>
      </c>
      <c r="S68" s="31" t="n"/>
    </row>
    <row r="69">
      <c r="A69" s="33" t="inlineStr">
        <is>
          <t>FL_MAT_ABC_2.5kg</t>
        </is>
      </c>
      <c r="B69" s="33" t="n">
        <v>2</v>
      </c>
      <c r="C69" s="33" t="inlineStr">
        <is>
          <t>ABC2.5-05</t>
        </is>
      </c>
      <c r="D69" s="17" t="inlineStr">
        <is>
          <t xml:space="preserve">        Collarín de válvula</t>
        </is>
      </c>
      <c r="E69" s="33" t="n">
        <v>1</v>
      </c>
      <c r="F69" s="33" t="inlineStr">
        <is>
          <t>u</t>
        </is>
      </c>
      <c r="G69" s="34" t="n">
        <v>0.0833</v>
      </c>
      <c r="H69" s="34">
        <f>E69*G69</f>
        <v/>
      </c>
      <c r="I69" s="33" t="inlineStr">
        <is>
          <t>Latón forjado</t>
        </is>
      </c>
      <c r="J69" s="17" t="inlineStr">
        <is>
          <t>43 × 43 × 10</t>
        </is>
      </c>
      <c r="K69" s="33" t="inlineStr">
        <is>
          <t>Incluido en válvula HZ</t>
        </is>
      </c>
      <c r="L69" s="33" t="inlineStr">
        <is>
          <t>No</t>
        </is>
      </c>
      <c r="M69" s="17" t="n"/>
      <c r="N69" s="17" t="n"/>
      <c r="O69" s="17" t="inlineStr">
        <is>
          <t>19 Ensamblaje de válvula (T03/T04)</t>
        </is>
      </c>
      <c r="P69" s="17" t="n"/>
      <c r="Q69" s="33" t="inlineStr">
        <is>
          <t>P</t>
        </is>
      </c>
      <c r="R69" s="33" t="inlineStr">
        <is>
          <t>FL_DES_ABC_2.5kg</t>
        </is>
      </c>
      <c r="S69" s="17" t="n"/>
    </row>
    <row r="70">
      <c r="A70" s="33" t="inlineStr">
        <is>
          <t>FL_MAT_ABC_2.5kg</t>
        </is>
      </c>
      <c r="B70" s="33" t="n">
        <v>2</v>
      </c>
      <c r="C70" s="33" t="inlineStr">
        <is>
          <t>ABC2.5-06</t>
        </is>
      </c>
      <c r="D70" s="17" t="inlineStr">
        <is>
          <t xml:space="preserve">        Espiga roscada</t>
        </is>
      </c>
      <c r="E70" s="33" t="n">
        <v>1</v>
      </c>
      <c r="F70" s="33" t="inlineStr">
        <is>
          <t>u</t>
        </is>
      </c>
      <c r="G70" s="34" t="n">
        <v>0.0243</v>
      </c>
      <c r="H70" s="34">
        <f>E70*G70</f>
        <v/>
      </c>
      <c r="I70" s="33" t="inlineStr">
        <is>
          <t>Latón forjado</t>
        </is>
      </c>
      <c r="J70" s="17" t="inlineStr">
        <is>
          <t>28,4 × 28,4 × 12</t>
        </is>
      </c>
      <c r="K70" s="33" t="inlineStr">
        <is>
          <t>Incluido en válvula HZ</t>
        </is>
      </c>
      <c r="L70" s="33" t="inlineStr">
        <is>
          <t>No</t>
        </is>
      </c>
      <c r="M70" s="17" t="n"/>
      <c r="N70" s="17" t="n"/>
      <c r="O70" s="17" t="inlineStr">
        <is>
          <t>19 Ensamblaje de válvula (T03/T04)</t>
        </is>
      </c>
      <c r="P70" s="17" t="n"/>
      <c r="Q70" s="33" t="inlineStr">
        <is>
          <t>P</t>
        </is>
      </c>
      <c r="R70" s="33" t="inlineStr">
        <is>
          <t>FL_DES_ABC_2.5kg</t>
        </is>
      </c>
      <c r="S70" s="17" t="n"/>
    </row>
    <row r="71">
      <c r="A71" s="33" t="inlineStr">
        <is>
          <t>FL_MAT_ABC_2.5kg</t>
        </is>
      </c>
      <c r="B71" s="33" t="n">
        <v>2</v>
      </c>
      <c r="C71" s="33" t="inlineStr">
        <is>
          <t>ABC2.5-07</t>
        </is>
      </c>
      <c r="D71" s="17" t="inlineStr">
        <is>
          <t xml:space="preserve">        Cuerpo de válvula</t>
        </is>
      </c>
      <c r="E71" s="33" t="n">
        <v>1</v>
      </c>
      <c r="F71" s="33" t="inlineStr">
        <is>
          <t>u</t>
        </is>
      </c>
      <c r="G71" s="34" t="n">
        <v>0.4817</v>
      </c>
      <c r="H71" s="34">
        <f>E71*G71</f>
        <v/>
      </c>
      <c r="I71" s="33" t="inlineStr">
        <is>
          <t>Latón forjado</t>
        </is>
      </c>
      <c r="J71" s="17" t="inlineStr">
        <is>
          <t>66,1 × 43 × 34</t>
        </is>
      </c>
      <c r="K71" s="33" t="inlineStr">
        <is>
          <t>Incluido en válvula HZ</t>
        </is>
      </c>
      <c r="L71" s="33" t="inlineStr">
        <is>
          <t>No</t>
        </is>
      </c>
      <c r="M71" s="17" t="n"/>
      <c r="N71" s="17" t="n"/>
      <c r="O71" s="17" t="inlineStr">
        <is>
          <t>19 Ensamblaje de válvula (T03/T04)</t>
        </is>
      </c>
      <c r="P71" s="17" t="n"/>
      <c r="Q71" s="33" t="inlineStr">
        <is>
          <t>P</t>
        </is>
      </c>
      <c r="R71" s="33" t="inlineStr">
        <is>
          <t>FL_DES_ABC_2.5kg</t>
        </is>
      </c>
      <c r="S71" s="17" t="n"/>
    </row>
    <row r="72">
      <c r="A72" s="45" t="inlineStr">
        <is>
          <t>FL_MAT_ABC_2.5kg</t>
        </is>
      </c>
      <c r="B72" s="45" t="n">
        <v>2</v>
      </c>
      <c r="C72" s="45" t="inlineStr">
        <is>
          <t>ABC2.5-08</t>
        </is>
      </c>
      <c r="D72" s="19" t="inlineStr">
        <is>
          <t xml:space="preserve">        Manómetro</t>
        </is>
      </c>
      <c r="E72" s="45" t="n">
        <v>1</v>
      </c>
      <c r="F72" s="45" t="inlineStr">
        <is>
          <t>u</t>
        </is>
      </c>
      <c r="G72" s="46" t="n"/>
      <c r="H72" s="46" t="n"/>
      <c r="I72" s="45" t="inlineStr">
        <is>
          <t>Comercial</t>
        </is>
      </c>
      <c r="J72" s="19" t="inlineStr">
        <is>
          <t>Ø38 esfera, rango 0-3,5 MPa, sector verde en 1,4</t>
        </is>
      </c>
      <c r="K72" s="45" t="inlineStr">
        <is>
          <t>Compra</t>
        </is>
      </c>
      <c r="L72" s="45" t="inlineStr">
        <is>
          <t>Sí</t>
        </is>
      </c>
      <c r="M72" s="19" t="inlineStr">
        <is>
          <t>Yukon / MatafuegosYa S.R.L.</t>
        </is>
      </c>
      <c r="N72" s="19" t="inlineStr">
        <is>
          <t>Matafuegos Iglesias</t>
        </is>
      </c>
      <c r="O72" s="19" t="inlineStr">
        <is>
          <t>19 Ensamblaje de válvula (T03/T04)</t>
        </is>
      </c>
      <c r="P72" s="19" t="inlineStr">
        <is>
          <t>IRAM 3533</t>
        </is>
      </c>
      <c r="Q72" s="45" t="inlineStr">
        <is>
          <t>P</t>
        </is>
      </c>
      <c r="R72" s="45" t="inlineStr">
        <is>
          <t>FL_DES_ABC_2.5kg</t>
        </is>
      </c>
      <c r="S72" s="19" t="inlineStr">
        <is>
          <t>Pieza comercial; sello IRAM 3533; peso: completar con la ficha del proveedor (no afecta el MRP)</t>
        </is>
      </c>
    </row>
    <row r="73">
      <c r="A73" s="33" t="inlineStr">
        <is>
          <t>FL_MAT_ABC_2.5kg</t>
        </is>
      </c>
      <c r="B73" s="33" t="n">
        <v>2</v>
      </c>
      <c r="C73" s="33" t="inlineStr">
        <is>
          <t>ABC2.5-09</t>
        </is>
      </c>
      <c r="D73" s="17" t="inlineStr">
        <is>
          <t xml:space="preserve">        Manija de transporte</t>
        </is>
      </c>
      <c r="E73" s="33" t="n">
        <v>1</v>
      </c>
      <c r="F73" s="33" t="inlineStr">
        <is>
          <t>u</t>
        </is>
      </c>
      <c r="G73" s="34" t="n">
        <v>0.0679</v>
      </c>
      <c r="H73" s="34">
        <f>E73*G73</f>
        <v/>
      </c>
      <c r="I73" s="33" t="inlineStr">
        <is>
          <t>Chapa acero SAE 1010 pintada</t>
        </is>
      </c>
      <c r="J73" s="17" t="inlineStr">
        <is>
          <t>107,9 × 20 × 15,3</t>
        </is>
      </c>
      <c r="K73" s="33" t="inlineStr">
        <is>
          <t>Incluido en válvula HZ</t>
        </is>
      </c>
      <c r="L73" s="33" t="inlineStr">
        <is>
          <t>No</t>
        </is>
      </c>
      <c r="M73" s="17" t="n"/>
      <c r="N73" s="17" t="n"/>
      <c r="O73" s="17" t="inlineStr">
        <is>
          <t>19 Ensamblaje de válvula (T03/T04)</t>
        </is>
      </c>
      <c r="P73" s="17" t="n"/>
      <c r="Q73" s="33" t="inlineStr">
        <is>
          <t>P</t>
        </is>
      </c>
      <c r="R73" s="33" t="inlineStr">
        <is>
          <t>FL_DES_ABC_2.5kg</t>
        </is>
      </c>
      <c r="S73" s="17" t="n"/>
    </row>
    <row r="74">
      <c r="A74" s="33" t="inlineStr">
        <is>
          <t>FL_MAT_ABC_2.5kg</t>
        </is>
      </c>
      <c r="B74" s="33" t="n">
        <v>2</v>
      </c>
      <c r="C74" s="33" t="inlineStr">
        <is>
          <t>ABC2.5-10</t>
        </is>
      </c>
      <c r="D74" s="17" t="inlineStr">
        <is>
          <t xml:space="preserve">        Manija de accionamiento</t>
        </is>
      </c>
      <c r="E74" s="33" t="n">
        <v>1</v>
      </c>
      <c r="F74" s="33" t="inlineStr">
        <is>
          <t>u</t>
        </is>
      </c>
      <c r="G74" s="34" t="n">
        <v>0.0949</v>
      </c>
      <c r="H74" s="34">
        <f>E74*G74</f>
        <v/>
      </c>
      <c r="I74" s="33" t="inlineStr">
        <is>
          <t>Chapa acero SAE 1010 pintada</t>
        </is>
      </c>
      <c r="J74" s="17" t="inlineStr">
        <is>
          <t>150,5 × 22,4 × 20</t>
        </is>
      </c>
      <c r="K74" s="33" t="inlineStr">
        <is>
          <t>Incluido en válvula HZ</t>
        </is>
      </c>
      <c r="L74" s="33" t="inlineStr">
        <is>
          <t>No</t>
        </is>
      </c>
      <c r="M74" s="17" t="n"/>
      <c r="N74" s="17" t="n"/>
      <c r="O74" s="17" t="inlineStr">
        <is>
          <t>19 Ensamblaje de válvula (T03/T04)</t>
        </is>
      </c>
      <c r="P74" s="17" t="n"/>
      <c r="Q74" s="33" t="inlineStr">
        <is>
          <t>P</t>
        </is>
      </c>
      <c r="R74" s="33" t="inlineStr">
        <is>
          <t>FL_DES_ABC_2.5kg</t>
        </is>
      </c>
      <c r="S74" s="17" t="n"/>
    </row>
    <row r="75">
      <c r="A75" s="33" t="inlineStr">
        <is>
          <t>FL_MAT_ABC_2.5kg</t>
        </is>
      </c>
      <c r="B75" s="33" t="n">
        <v>2</v>
      </c>
      <c r="C75" s="33" t="inlineStr">
        <is>
          <t>ABC2.5-11</t>
        </is>
      </c>
      <c r="D75" s="17" t="inlineStr">
        <is>
          <t xml:space="preserve">        Eje de palanca</t>
        </is>
      </c>
      <c r="E75" s="33" t="n">
        <v>1</v>
      </c>
      <c r="F75" s="33" t="inlineStr">
        <is>
          <t>u</t>
        </is>
      </c>
      <c r="G75" s="34" t="n">
        <v>0.0081</v>
      </c>
      <c r="H75" s="34">
        <f>E75*G75</f>
        <v/>
      </c>
      <c r="I75" s="33" t="inlineStr">
        <is>
          <t>Acero inox. AISI 304</t>
        </is>
      </c>
      <c r="J75" s="17" t="inlineStr">
        <is>
          <t>36 × 6 × 6</t>
        </is>
      </c>
      <c r="K75" s="33" t="inlineStr">
        <is>
          <t>Incluido en válvula HZ</t>
        </is>
      </c>
      <c r="L75" s="33" t="inlineStr">
        <is>
          <t>No</t>
        </is>
      </c>
      <c r="M75" s="17" t="n"/>
      <c r="N75" s="17" t="n"/>
      <c r="O75" s="17" t="inlineStr">
        <is>
          <t>19 Ensamblaje de válvula (T03/T04)</t>
        </is>
      </c>
      <c r="P75" s="17" t="n"/>
      <c r="Q75" s="33" t="inlineStr">
        <is>
          <t>P</t>
        </is>
      </c>
      <c r="R75" s="33" t="inlineStr">
        <is>
          <t>FL_DES_ABC_2.5kg</t>
        </is>
      </c>
      <c r="S75" s="17" t="n"/>
    </row>
    <row r="76">
      <c r="A76" s="33" t="inlineStr">
        <is>
          <t>FL_MAT_ABC_2.5kg</t>
        </is>
      </c>
      <c r="B76" s="33" t="n">
        <v>2</v>
      </c>
      <c r="C76" s="33" t="inlineStr">
        <is>
          <t>ABC2.5-12</t>
        </is>
      </c>
      <c r="D76" s="17" t="inlineStr">
        <is>
          <t xml:space="preserve">        Vástago</t>
        </is>
      </c>
      <c r="E76" s="33" t="n">
        <v>1</v>
      </c>
      <c r="F76" s="33" t="inlineStr">
        <is>
          <t>u</t>
        </is>
      </c>
      <c r="G76" s="34" t="n">
        <v>0.0017</v>
      </c>
      <c r="H76" s="34">
        <f>E76*G76</f>
        <v/>
      </c>
      <c r="I76" s="33" t="inlineStr">
        <is>
          <t>Latón</t>
        </is>
      </c>
      <c r="J76" s="17" t="inlineStr">
        <is>
          <t>8 × 8 × 4</t>
        </is>
      </c>
      <c r="K76" s="33" t="inlineStr">
        <is>
          <t>Incluido en válvula HZ</t>
        </is>
      </c>
      <c r="L76" s="33" t="inlineStr">
        <is>
          <t>No</t>
        </is>
      </c>
      <c r="M76" s="17" t="n"/>
      <c r="N76" s="17" t="n"/>
      <c r="O76" s="17" t="inlineStr">
        <is>
          <t>19 Ensamblaje de válvula (T03/T04)</t>
        </is>
      </c>
      <c r="P76" s="17" t="n"/>
      <c r="Q76" s="33" t="inlineStr">
        <is>
          <t>P</t>
        </is>
      </c>
      <c r="R76" s="33" t="inlineStr">
        <is>
          <t>FL_DES_ABC_2.5kg</t>
        </is>
      </c>
      <c r="S76" s="17" t="inlineStr">
        <is>
          <t>con junta tórica</t>
        </is>
      </c>
    </row>
    <row r="77">
      <c r="A77" s="33" t="inlineStr">
        <is>
          <t>FL_MAT_ABC_2.5kg</t>
        </is>
      </c>
      <c r="B77" s="33" t="n">
        <v>2</v>
      </c>
      <c r="C77" s="33" t="inlineStr">
        <is>
          <t>ABC2.5-13</t>
        </is>
      </c>
      <c r="D77" s="17" t="inlineStr">
        <is>
          <t xml:space="preserve">        Pasador de seguridad</t>
        </is>
      </c>
      <c r="E77" s="33" t="n">
        <v>1</v>
      </c>
      <c r="F77" s="33" t="inlineStr">
        <is>
          <t>u</t>
        </is>
      </c>
      <c r="G77" s="34" t="n">
        <v>0.0055</v>
      </c>
      <c r="H77" s="34">
        <f>E77*G77</f>
        <v/>
      </c>
      <c r="I77" s="33" t="inlineStr">
        <is>
          <t>Alambre acero inox. AISI 304</t>
        </is>
      </c>
      <c r="J77" s="17" t="inlineStr">
        <is>
          <t>45,4 × 21 × 20,8</t>
        </is>
      </c>
      <c r="K77" s="33" t="inlineStr">
        <is>
          <t>Incluido en válvula HZ</t>
        </is>
      </c>
      <c r="L77" s="33" t="inlineStr">
        <is>
          <t>No</t>
        </is>
      </c>
      <c r="M77" s="17" t="n"/>
      <c r="N77" s="17" t="n"/>
      <c r="O77" s="17" t="inlineStr">
        <is>
          <t>19 Ensamblaje de válvula (T03/T04)</t>
        </is>
      </c>
      <c r="P77" s="17" t="n"/>
      <c r="Q77" s="33" t="inlineStr">
        <is>
          <t>P</t>
        </is>
      </c>
      <c r="R77" s="33" t="inlineStr">
        <is>
          <t>FL_DES_ABC_2.5kg</t>
        </is>
      </c>
      <c r="S77" s="17" t="inlineStr">
        <is>
          <t>con precinto</t>
        </is>
      </c>
    </row>
    <row r="78">
      <c r="A78" s="33" t="inlineStr">
        <is>
          <t>FL_MAT_ABC_2.5kg</t>
        </is>
      </c>
      <c r="B78" s="33" t="n">
        <v>2</v>
      </c>
      <c r="C78" s="33" t="inlineStr">
        <is>
          <t>ABC2.5-14</t>
        </is>
      </c>
      <c r="D78" s="17" t="inlineStr">
        <is>
          <t xml:space="preserve">        Caño de pesca (sifón)</t>
        </is>
      </c>
      <c r="E78" s="33" t="n">
        <v>1</v>
      </c>
      <c r="F78" s="33" t="inlineStr">
        <is>
          <t>u</t>
        </is>
      </c>
      <c r="G78" s="34" t="n">
        <v>0.0192</v>
      </c>
      <c r="H78" s="34">
        <f>E78*G78</f>
        <v/>
      </c>
      <c r="I78" s="33" t="inlineStr">
        <is>
          <t>Tubo PVC rígido</t>
        </is>
      </c>
      <c r="J78" s="17" t="inlineStr">
        <is>
          <t>Ø12 × 276,8 de largo</t>
        </is>
      </c>
      <c r="K78" s="33" t="inlineStr">
        <is>
          <t>Incluido en válvula HZ</t>
        </is>
      </c>
      <c r="L78" s="33" t="inlineStr">
        <is>
          <t>No</t>
        </is>
      </c>
      <c r="M78" s="17" t="n"/>
      <c r="N78" s="17" t="n"/>
      <c r="O78" s="17" t="inlineStr">
        <is>
          <t>19 Ensamblaje de válvula (T03/T04)</t>
        </is>
      </c>
      <c r="P78" s="17" t="n"/>
      <c r="Q78" s="33" t="inlineStr">
        <is>
          <t>P</t>
        </is>
      </c>
      <c r="R78" s="33" t="inlineStr">
        <is>
          <t>FL_DES_ABC_2.5kg</t>
        </is>
      </c>
      <c r="S78" s="17" t="n"/>
    </row>
    <row r="79">
      <c r="A79" s="33" t="inlineStr">
        <is>
          <t>FL_MAT_ABC_2.5kg</t>
        </is>
      </c>
      <c r="B79" s="33" t="n">
        <v>2</v>
      </c>
      <c r="C79" s="33" t="inlineStr">
        <is>
          <t>ABC2.5-24</t>
        </is>
      </c>
      <c r="D79" s="17" t="inlineStr">
        <is>
          <t xml:space="preserve">        Junta tórica de asiento</t>
        </is>
      </c>
      <c r="E79" s="33" t="n">
        <v>1</v>
      </c>
      <c r="F79" s="33" t="inlineStr">
        <is>
          <t>u</t>
        </is>
      </c>
      <c r="G79" s="34" t="n">
        <v>0.001</v>
      </c>
      <c r="H79" s="34">
        <f>E79*G79</f>
        <v/>
      </c>
      <c r="I79" s="33" t="inlineStr">
        <is>
          <t>NBR 70 Shore A</t>
        </is>
      </c>
      <c r="J79" s="17" t="inlineStr">
        <is>
          <t>Ø31,4 ext. × cordón 3</t>
        </is>
      </c>
      <c r="K79" s="33" t="inlineStr">
        <is>
          <t>Compra</t>
        </is>
      </c>
      <c r="L79" s="33" t="inlineStr">
        <is>
          <t>Sí</t>
        </is>
      </c>
      <c r="M79" s="17" t="inlineStr">
        <is>
          <t>Argensold</t>
        </is>
      </c>
      <c r="N79" s="17" t="inlineStr">
        <is>
          <t>Matafuegos Iglesias</t>
        </is>
      </c>
      <c r="O79" s="17" t="inlineStr">
        <is>
          <t>19 Ensamblaje de válvula (T03/T04)</t>
        </is>
      </c>
      <c r="P79" s="17" t="n"/>
      <c r="Q79" s="33" t="inlineStr">
        <is>
          <t>P</t>
        </is>
      </c>
      <c r="R79" s="33" t="inlineStr">
        <is>
          <t>FL_DES_ABC_2.5kg</t>
        </is>
      </c>
      <c r="S79" s="17" t="inlineStr">
        <is>
          <t>cambio c/recarga</t>
        </is>
      </c>
    </row>
    <row r="80">
      <c r="A80" s="33" t="inlineStr">
        <is>
          <t>FL_MAT_ABC_2.5kg</t>
        </is>
      </c>
      <c r="B80" s="33" t="n">
        <v>2</v>
      </c>
      <c r="C80" s="33" t="inlineStr">
        <is>
          <t>ABC2.5-K2</t>
        </is>
      </c>
      <c r="D80" s="17" t="inlineStr">
        <is>
          <t xml:space="preserve">        Válvula HZ armada M-30 c/resorte y tubo 7/8</t>
        </is>
      </c>
      <c r="E80" s="33" t="n">
        <v>1</v>
      </c>
      <c r="F80" s="33" t="inlineStr">
        <is>
          <t>u</t>
        </is>
      </c>
      <c r="G80" s="34" t="n"/>
      <c r="H80" s="34" t="n"/>
      <c r="I80" s="33" t="inlineStr">
        <is>
          <t>Latón forjado (HZ)</t>
        </is>
      </c>
      <c r="J80" s="17" t="inlineStr">
        <is>
          <t>rosca M30x1,5</t>
        </is>
      </c>
      <c r="K80" s="33" t="inlineStr">
        <is>
          <t>Compra</t>
        </is>
      </c>
      <c r="L80" s="33" t="inlineStr">
        <is>
          <t>Sí</t>
        </is>
      </c>
      <c r="M80" s="17" t="inlineStr">
        <is>
          <t>Polvex S.R.L. / Sancibrao</t>
        </is>
      </c>
      <c r="N80" s="17" t="inlineStr">
        <is>
          <t>Mozart S.R.L.</t>
        </is>
      </c>
      <c r="O80" s="17" t="inlineStr">
        <is>
          <t>19 Ensamblaje de válvula</t>
        </is>
      </c>
      <c r="P80" s="17" t="inlineStr">
        <is>
          <t>IRAM 3523 3.3</t>
        </is>
      </c>
      <c r="Q80" s="33" t="inlineStr">
        <is>
          <t>Q</t>
        </is>
      </c>
      <c r="R80" s="33" t="inlineStr">
        <is>
          <t>FL_DES_ABC_2.5kg</t>
        </is>
      </c>
      <c r="S80" s="17" t="inlineStr">
        <is>
          <t>Lista de precios HZ (Q-AGENTES); plano Fadesa usa válvula HZ (R-FADESA). Trae las piezas marcadas «Incluido en válvula HZ»</t>
        </is>
      </c>
    </row>
    <row r="81">
      <c r="A81" s="33" t="inlineStr">
        <is>
          <t>FL_MAT_ABC_2.5kg</t>
        </is>
      </c>
      <c r="B81" s="33" t="n">
        <v>2</v>
      </c>
      <c r="C81" s="33" t="inlineStr">
        <is>
          <t>ABC2.5-V2</t>
        </is>
      </c>
      <c r="D81" s="17" t="inlineStr">
        <is>
          <t xml:space="preserve">        Resorte de retorno del vástago</t>
        </is>
      </c>
      <c r="E81" s="33" t="n">
        <v>1</v>
      </c>
      <c r="F81" s="33" t="inlineStr">
        <is>
          <t>u</t>
        </is>
      </c>
      <c r="G81" s="34" t="n"/>
      <c r="H81" s="34" t="n"/>
      <c r="I81" s="33" t="inlineStr">
        <is>
          <t>Acero para resortes</t>
        </is>
      </c>
      <c r="J81" s="17" t="inlineStr">
        <is>
          <t>incluido en la válvula</t>
        </is>
      </c>
      <c r="K81" s="33" t="inlineStr">
        <is>
          <t>Incluido en válvula HZ</t>
        </is>
      </c>
      <c r="L81" s="33" t="inlineStr">
        <is>
          <t>No</t>
        </is>
      </c>
      <c r="M81" s="17" t="n"/>
      <c r="N81" s="17" t="n"/>
      <c r="O81" s="17" t="inlineStr">
        <is>
          <t>19 Ensamblaje</t>
        </is>
      </c>
      <c r="P81" s="17" t="n"/>
      <c r="Q81" s="33" t="inlineStr">
        <is>
          <t>Q</t>
        </is>
      </c>
      <c r="R81" s="33" t="n"/>
      <c r="S81" s="17" t="inlineStr">
        <is>
          <t>Lista de precios HZ: válvula «c/resorte» (Q-AGENTES)</t>
        </is>
      </c>
    </row>
    <row r="82">
      <c r="A82" s="33" t="inlineStr">
        <is>
          <t>FL_MAT_ABC_2.5kg</t>
        </is>
      </c>
      <c r="B82" s="33" t="n">
        <v>2</v>
      </c>
      <c r="C82" s="33" t="inlineStr">
        <is>
          <t>ABC2.5-V3</t>
        </is>
      </c>
      <c r="D82" s="17" t="inlineStr">
        <is>
          <t xml:space="preserve">        Junta tórica del vástago</t>
        </is>
      </c>
      <c r="E82" s="33" t="n">
        <v>1</v>
      </c>
      <c r="F82" s="33" t="inlineStr">
        <is>
          <t>u</t>
        </is>
      </c>
      <c r="G82" s="34" t="n"/>
      <c r="H82" s="34" t="n"/>
      <c r="I82" s="33" t="inlineStr">
        <is>
          <t>NBR 70 Shore A</t>
        </is>
      </c>
      <c r="J82" s="17" t="inlineStr">
        <is>
          <t>incluida en la válvula</t>
        </is>
      </c>
      <c r="K82" s="33" t="inlineStr">
        <is>
          <t>Incluido en válvula HZ</t>
        </is>
      </c>
      <c r="L82" s="33" t="inlineStr">
        <is>
          <t>No</t>
        </is>
      </c>
      <c r="M82" s="17" t="n"/>
      <c r="N82" s="17" t="n"/>
      <c r="O82" s="17" t="inlineStr">
        <is>
          <t>19 Ensamblaje</t>
        </is>
      </c>
      <c r="P82" s="17" t="n"/>
      <c r="Q82" s="33" t="inlineStr">
        <is>
          <t>P</t>
        </is>
      </c>
      <c r="R82" s="33" t="n"/>
      <c r="S82" s="17" t="inlineStr">
        <is>
          <t>Figura en el plano como «vástago con junta tórica»</t>
        </is>
      </c>
    </row>
    <row r="83">
      <c r="A83" s="30" t="inlineStr">
        <is>
          <t>FL_MAT_ABC_2.5kg</t>
        </is>
      </c>
      <c r="B83" s="30" t="n">
        <v>1</v>
      </c>
      <c r="C83" s="30" t="inlineStr">
        <is>
          <t>ABC2.5-S3</t>
        </is>
      </c>
      <c r="D83" s="31" t="inlineStr">
        <is>
          <t xml:space="preserve">    Dispositivo de descarga</t>
        </is>
      </c>
      <c r="E83" s="30" t="n">
        <v>1</v>
      </c>
      <c r="F83" s="30" t="inlineStr">
        <is>
          <t>u</t>
        </is>
      </c>
      <c r="G83" s="32" t="n"/>
      <c r="H83" s="32">
        <f>H84+H85+H86+H87</f>
        <v/>
      </c>
      <c r="I83" s="30" t="n"/>
      <c r="J83" s="31" t="n"/>
      <c r="K83" s="30" t="inlineStr">
        <is>
          <t>Compra / armado</t>
        </is>
      </c>
      <c r="L83" s="30" t="n"/>
      <c r="M83" s="31" t="n"/>
      <c r="N83" s="31" t="n"/>
      <c r="O83" s="31" t="n"/>
      <c r="P83" s="31" t="n"/>
      <c r="Q83" s="30" t="inlineStr">
        <is>
          <t>P</t>
        </is>
      </c>
      <c r="R83" s="30" t="inlineStr">
        <is>
          <t>FL_DES_ABC_2.5kg</t>
        </is>
      </c>
      <c r="S83" s="31" t="n"/>
    </row>
    <row r="84">
      <c r="A84" s="33" t="inlineStr">
        <is>
          <t>FL_MAT_ABC_2.5kg</t>
        </is>
      </c>
      <c r="B84" s="33" t="n">
        <v>2</v>
      </c>
      <c r="C84" s="33" t="inlineStr">
        <is>
          <t>ABC2.5-15</t>
        </is>
      </c>
      <c r="D84" s="17" t="inlineStr">
        <is>
          <t xml:space="preserve">        Racor de manguera</t>
        </is>
      </c>
      <c r="E84" s="33" t="n">
        <v>1</v>
      </c>
      <c r="F84" s="33" t="inlineStr">
        <is>
          <t>u</t>
        </is>
      </c>
      <c r="G84" s="34" t="n">
        <v>0.0258</v>
      </c>
      <c r="H84" s="34">
        <f>E84*G84</f>
        <v/>
      </c>
      <c r="I84" s="33" t="inlineStr">
        <is>
          <t>Latón</t>
        </is>
      </c>
      <c r="J84" s="17" t="inlineStr">
        <is>
          <t>18 × 18 × 12</t>
        </is>
      </c>
      <c r="K84" s="33" t="inlineStr">
        <is>
          <t>Compra</t>
        </is>
      </c>
      <c r="L84" s="33" t="inlineStr">
        <is>
          <t>Sí</t>
        </is>
      </c>
      <c r="M84" s="17" t="inlineStr">
        <is>
          <t>Yukon / MatafuegosYa S.R.L.</t>
        </is>
      </c>
      <c r="N84" s="17" t="inlineStr">
        <is>
          <t>Matafuegos Iglesias</t>
        </is>
      </c>
      <c r="O84" s="17" t="inlineStr">
        <is>
          <t>19 Ensamblaje (T03/T04)</t>
        </is>
      </c>
      <c r="P84" s="17" t="n"/>
      <c r="Q84" s="33" t="inlineStr">
        <is>
          <t>P</t>
        </is>
      </c>
      <c r="R84" s="33" t="inlineStr">
        <is>
          <t>FL_DES_ABC_2.5kg</t>
        </is>
      </c>
      <c r="S84" s="17" t="n"/>
    </row>
    <row r="85">
      <c r="A85" s="33" t="inlineStr">
        <is>
          <t>FL_MAT_ABC_2.5kg</t>
        </is>
      </c>
      <c r="B85" s="33" t="n">
        <v>2</v>
      </c>
      <c r="C85" s="33" t="inlineStr">
        <is>
          <t>ABC2.5-16</t>
        </is>
      </c>
      <c r="D85" s="17" t="inlineStr">
        <is>
          <t xml:space="preserve">        Manguera</t>
        </is>
      </c>
      <c r="E85" s="33" t="n">
        <v>1</v>
      </c>
      <c r="F85" s="33" t="inlineStr">
        <is>
          <t>u</t>
        </is>
      </c>
      <c r="G85" s="34" t="n">
        <v>0.0345</v>
      </c>
      <c r="H85" s="34">
        <f>E85*G85</f>
        <v/>
      </c>
      <c r="I85" s="33" t="inlineStr">
        <is>
          <t>Caucho sintético</t>
        </is>
      </c>
      <c r="J85" s="17" t="inlineStr">
        <is>
          <t>Ø16 × 224 de largo desarrollado</t>
        </is>
      </c>
      <c r="K85" s="33" t="inlineStr">
        <is>
          <t>Compra</t>
        </is>
      </c>
      <c r="L85" s="33" t="inlineStr">
        <is>
          <t>Sí</t>
        </is>
      </c>
      <c r="M85" s="17" t="inlineStr">
        <is>
          <t>Yukon / MatafuegosYa S.R.L.</t>
        </is>
      </c>
      <c r="N85" s="17" t="inlineStr">
        <is>
          <t>Matafuegos Iglesias</t>
        </is>
      </c>
      <c r="O85" s="17" t="inlineStr">
        <is>
          <t>19 Ensamblaje (T03/T04)</t>
        </is>
      </c>
      <c r="P85" s="17" t="n"/>
      <c r="Q85" s="33" t="inlineStr">
        <is>
          <t>P</t>
        </is>
      </c>
      <c r="R85" s="33" t="inlineStr">
        <is>
          <t>FL_DES_ABC_2.5kg</t>
        </is>
      </c>
      <c r="S85" s="17" t="n"/>
    </row>
    <row r="86">
      <c r="A86" s="33" t="inlineStr">
        <is>
          <t>FL_MAT_ABC_2.5kg</t>
        </is>
      </c>
      <c r="B86" s="33" t="n">
        <v>2</v>
      </c>
      <c r="C86" s="33" t="inlineStr">
        <is>
          <t>ABC2.5-17</t>
        </is>
      </c>
      <c r="D86" s="17" t="inlineStr">
        <is>
          <t xml:space="preserve">        Tobera con portatobera</t>
        </is>
      </c>
      <c r="E86" s="33" t="n">
        <v>1</v>
      </c>
      <c r="F86" s="33" t="inlineStr">
        <is>
          <t>u</t>
        </is>
      </c>
      <c r="G86" s="34" t="n">
        <v>0.0166</v>
      </c>
      <c r="H86" s="34">
        <f>E86*G86</f>
        <v/>
      </c>
      <c r="I86" s="33" t="inlineStr">
        <is>
          <t>Polipropileno</t>
        </is>
      </c>
      <c r="J86" s="17" t="inlineStr">
        <is>
          <t>75 × 24 × 24</t>
        </is>
      </c>
      <c r="K86" s="33" t="inlineStr">
        <is>
          <t>Compra</t>
        </is>
      </c>
      <c r="L86" s="33" t="inlineStr">
        <is>
          <t>Sí</t>
        </is>
      </c>
      <c r="M86" s="17" t="inlineStr">
        <is>
          <t>Yukon / MatafuegosYa S.R.L.</t>
        </is>
      </c>
      <c r="N86" s="17" t="inlineStr">
        <is>
          <t>Matafuegos Iglesias</t>
        </is>
      </c>
      <c r="O86" s="17" t="inlineStr">
        <is>
          <t>19 Ensamblaje (T03/T04)</t>
        </is>
      </c>
      <c r="P86" s="17" t="n"/>
      <c r="Q86" s="33" t="inlineStr">
        <is>
          <t>P</t>
        </is>
      </c>
      <c r="R86" s="33" t="inlineStr">
        <is>
          <t>FL_DES_ABC_2.5kg</t>
        </is>
      </c>
      <c r="S86" s="17" t="n"/>
    </row>
    <row r="87">
      <c r="A87" s="33" t="inlineStr">
        <is>
          <t>FL_MAT_ABC_2.5kg</t>
        </is>
      </c>
      <c r="B87" s="33" t="n">
        <v>2</v>
      </c>
      <c r="C87" s="33" t="inlineStr">
        <is>
          <t>ABC2.5-18</t>
        </is>
      </c>
      <c r="D87" s="17" t="inlineStr">
        <is>
          <t xml:space="preserve">        Suncho portatobera</t>
        </is>
      </c>
      <c r="E87" s="33" t="n">
        <v>1</v>
      </c>
      <c r="F87" s="33" t="inlineStr">
        <is>
          <t>u</t>
        </is>
      </c>
      <c r="G87" s="34" t="n">
        <v>0.11</v>
      </c>
      <c r="H87" s="34">
        <f>E87*G87</f>
        <v/>
      </c>
      <c r="I87" s="33" t="inlineStr">
        <is>
          <t>Fleje acero SAE 1010 pintado</t>
        </is>
      </c>
      <c r="J87" s="17" t="inlineStr">
        <is>
          <t>130,9 × 127 × 18</t>
        </is>
      </c>
      <c r="K87" s="33" t="inlineStr">
        <is>
          <t>Compra (estructura)</t>
        </is>
      </c>
      <c r="L87" s="33" t="inlineStr">
        <is>
          <t>Sí</t>
        </is>
      </c>
      <c r="M87" s="17" t="inlineStr">
        <is>
          <t>Yukon / MatafuegosYa S.R.L.</t>
        </is>
      </c>
      <c r="N87" s="17" t="inlineStr">
        <is>
          <t>Matafuegos Iglesias</t>
        </is>
      </c>
      <c r="O87" s="17" t="inlineStr">
        <is>
          <t>19 Ensamblaje (T03/T04)</t>
        </is>
      </c>
      <c r="P87" s="17" t="n"/>
      <c r="Q87" s="33" t="inlineStr">
        <is>
          <t>P</t>
        </is>
      </c>
      <c r="R87" s="33" t="inlineStr">
        <is>
          <t>FL_DES_ABC_2.5kg</t>
        </is>
      </c>
      <c r="S87" s="17" t="n"/>
    </row>
    <row r="88">
      <c r="A88" s="30" t="inlineStr">
        <is>
          <t>FL_MAT_ABC_2.5kg</t>
        </is>
      </c>
      <c r="B88" s="30" t="n">
        <v>1</v>
      </c>
      <c r="C88" s="30" t="inlineStr">
        <is>
          <t>ABC2.5-S5</t>
        </is>
      </c>
      <c r="D88" s="31" t="inlineStr">
        <is>
          <t xml:space="preserve">    Carga: agente extintor y gas impulsor</t>
        </is>
      </c>
      <c r="E88" s="30" t="n">
        <v>1</v>
      </c>
      <c r="F88" s="30" t="inlineStr">
        <is>
          <t>u</t>
        </is>
      </c>
      <c r="G88" s="32" t="n"/>
      <c r="H88" s="32">
        <f>H89+H90</f>
        <v/>
      </c>
      <c r="I88" s="30" t="n"/>
      <c r="J88" s="31" t="n"/>
      <c r="K88" s="30" t="inlineStr">
        <is>
          <t>Carga en planta</t>
        </is>
      </c>
      <c r="L88" s="30" t="n"/>
      <c r="M88" s="31" t="n"/>
      <c r="N88" s="31" t="n"/>
      <c r="O88" s="31" t="inlineStr">
        <is>
          <t>18 Carga de polvo (T01) / C8 (T02)</t>
        </is>
      </c>
      <c r="P88" s="31" t="n"/>
      <c r="Q88" s="30" t="n"/>
      <c r="R88" s="30" t="n"/>
      <c r="S88" s="31" t="n"/>
    </row>
    <row r="89">
      <c r="A89" s="33" t="inlineStr">
        <is>
          <t>FL_MAT_ABC_2.5kg</t>
        </is>
      </c>
      <c r="B89" s="33" t="n">
        <v>2</v>
      </c>
      <c r="C89" s="33" t="inlineStr">
        <is>
          <t>ABC2.5-A1</t>
        </is>
      </c>
      <c r="D89" s="17" t="inlineStr">
        <is>
          <t xml:space="preserve">        Polvo químico seco ABC 60 (Sello IRAM 3569)</t>
        </is>
      </c>
      <c r="E89" s="33" t="n">
        <v>2.55</v>
      </c>
      <c r="F89" s="33" t="inlineStr">
        <is>
          <t>kg</t>
        </is>
      </c>
      <c r="G89" s="34" t="n">
        <v>1</v>
      </c>
      <c r="H89" s="34">
        <f>E89*G89</f>
        <v/>
      </c>
      <c r="I89" s="33" t="inlineStr">
        <is>
          <t>Polvo químico seco ABC 60 (Sello IRAM 3569)</t>
        </is>
      </c>
      <c r="J89" s="17" t="inlineStr">
        <is>
          <t>nominal 2,5 kg; tolerancia 0 / +100 g (IRAM 3517-2:2020 tabla 3 · IRAM 3523 tabla II)</t>
        </is>
      </c>
      <c r="K89" s="33" t="inlineStr">
        <is>
          <t>Compra</t>
        </is>
      </c>
      <c r="L89" s="33" t="inlineStr">
        <is>
          <t>Sí</t>
        </is>
      </c>
      <c r="M89" s="17" t="inlineStr">
        <is>
          <t>DEM S.A. (DEMSA)</t>
        </is>
      </c>
      <c r="N89" s="17" t="inlineStr">
        <is>
          <t>Polvex S.R.L. / Sancibrao</t>
        </is>
      </c>
      <c r="O89" s="17" t="inlineStr">
        <is>
          <t>SP-1 almacén previo a la carga</t>
        </is>
      </c>
      <c r="P89" s="17" t="inlineStr">
        <is>
          <t>IRAM 3569</t>
        </is>
      </c>
      <c r="Q89" s="33" t="inlineStr">
        <is>
          <t>N</t>
        </is>
      </c>
      <c r="R89" s="33" t="n"/>
      <c r="S89"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
      <c r="A90" s="41" t="inlineStr">
        <is>
          <t>FL_MAT_ABC_2.5kg</t>
        </is>
      </c>
      <c r="B90" s="41" t="n">
        <v>2</v>
      </c>
      <c r="C90" s="41" t="inlineStr">
        <is>
          <t>ABC2.5-A2</t>
        </is>
      </c>
      <c r="D90" s="18" t="inlineStr">
        <is>
          <t xml:space="preserve">        Gas impulsor: N₂</t>
        </is>
      </c>
      <c r="E90" s="41" t="n">
        <v>0.0212</v>
      </c>
      <c r="F90" s="41" t="inlineStr">
        <is>
          <t>kg</t>
        </is>
      </c>
      <c r="G90" s="42" t="n">
        <v>1</v>
      </c>
      <c r="H90" s="42">
        <f>E90*G90</f>
        <v/>
      </c>
      <c r="I90" s="41" t="inlineStr">
        <is>
          <t>N₂</t>
        </is>
      </c>
      <c r="J90" s="18" t="inlineStr">
        <is>
          <t>16,9 L normales para 1,4 MPa a 20 °C en 1,23 dm³ libres</t>
        </is>
      </c>
      <c r="K90" s="41" t="inlineStr">
        <is>
          <t>Compra</t>
        </is>
      </c>
      <c r="L90" s="41" t="inlineStr">
        <is>
          <t>Sí</t>
        </is>
      </c>
      <c r="M90" s="18" t="inlineStr">
        <is>
          <t>Air Liquide Argentina - sucursal Piñeyro</t>
        </is>
      </c>
      <c r="N90" s="18" t="inlineStr">
        <is>
          <t>Gogniat</t>
        </is>
      </c>
      <c r="O90" s="18" t="inlineStr">
        <is>
          <t>20 Presurización (T05) / C10</t>
        </is>
      </c>
      <c r="P90" s="18" t="inlineStr">
        <is>
          <t>IRAM 3517-2 9.4.9 (tabla 2) · IRAM 3523 2.3 y 3.10</t>
        </is>
      </c>
      <c r="Q90" s="41" t="inlineStr">
        <is>
          <t>C</t>
        </is>
      </c>
      <c r="R90" s="41" t="n"/>
      <c r="S90" s="18" t="inlineStr">
        <is>
          <t>N₂ ≥ 99,8 %, H₂O ≤ 40 ppm (Q-N2, Air Liquide) · volumen libre con ρ empacada mínima 1,1 kg/dm³ (NOM-104-STPS-2001); confirmar con descarga ≥ 85 % (IRAM 3523 4.9.1)</t>
        </is>
      </c>
    </row>
    <row r="91">
      <c r="A91" s="30" t="inlineStr">
        <is>
          <t>FL_MAT_ABC_2.5kg</t>
        </is>
      </c>
      <c r="B91" s="30" t="n">
        <v>1</v>
      </c>
      <c r="C91" s="30" t="inlineStr">
        <is>
          <t>ABC2.5-S6</t>
        </is>
      </c>
      <c r="D91" s="31" t="inlineStr">
        <is>
          <t xml:space="preserve">    Identificación y precinto</t>
        </is>
      </c>
      <c r="E91" s="30" t="n">
        <v>1</v>
      </c>
      <c r="F91" s="30" t="inlineStr">
        <is>
          <t>u</t>
        </is>
      </c>
      <c r="G91" s="32" t="n"/>
      <c r="H91" s="32">
        <f>H92+H93+H94+H95+H96+H97+H98</f>
        <v/>
      </c>
      <c r="I91" s="30" t="n"/>
      <c r="J91" s="31" t="n"/>
      <c r="K91" s="30" t="inlineStr">
        <is>
          <t>Compra</t>
        </is>
      </c>
      <c r="L91" s="30" t="n"/>
      <c r="M91" s="31" t="n"/>
      <c r="N91" s="31" t="n"/>
      <c r="O91" s="31" t="inlineStr">
        <is>
          <t>22 Etiquetado (T07)</t>
        </is>
      </c>
      <c r="P91" s="31" t="n"/>
      <c r="Q91" s="30" t="n"/>
      <c r="R91" s="30" t="n"/>
      <c r="S91" s="31" t="n"/>
    </row>
    <row r="92">
      <c r="A92" s="33" t="inlineStr">
        <is>
          <t>FL_MAT_ABC_2.5kg</t>
        </is>
      </c>
      <c r="B92" s="33" t="n">
        <v>2</v>
      </c>
      <c r="C92" s="33" t="inlineStr">
        <is>
          <t>ABC2.5-19</t>
        </is>
      </c>
      <c r="D92" s="17" t="inlineStr">
        <is>
          <t xml:space="preserve">        Etiqueta / placa de características</t>
        </is>
      </c>
      <c r="E92" s="33" t="n">
        <v>1</v>
      </c>
      <c r="F92" s="33" t="inlineStr">
        <is>
          <t>u</t>
        </is>
      </c>
      <c r="G92" s="34" t="n">
        <v>0.0148</v>
      </c>
      <c r="H92" s="34">
        <f>E92*G92</f>
        <v/>
      </c>
      <c r="I92" s="33" t="inlineStr">
        <is>
          <t>Vinilo autoadhesivo laminado</t>
        </is>
      </c>
      <c r="J92" s="17" t="inlineStr">
        <is>
          <t>234 × 151 (desarrollo × alto: panel central 108° + 2 alas laterales), e ≈ 0,3, laminado UV</t>
        </is>
      </c>
      <c r="K92" s="33" t="inlineStr">
        <is>
          <t>Compra</t>
        </is>
      </c>
      <c r="L92" s="33" t="inlineStr">
        <is>
          <t>Sí</t>
        </is>
      </c>
      <c r="M92" s="17" t="inlineStr">
        <is>
          <t>Astuprint</t>
        </is>
      </c>
      <c r="N92" s="17" t="inlineStr">
        <is>
          <t>Multilabel Argentina S.A.</t>
        </is>
      </c>
      <c r="O92" s="17" t="inlineStr">
        <is>
          <t>22 Etiquetado (T07)</t>
        </is>
      </c>
      <c r="P92" s="17" t="inlineStr">
        <is>
          <t>IRAM 3534 · IRAM 3523 cap. 5 · relevamiento de mercado</t>
        </is>
      </c>
      <c r="Q92" s="33" t="inlineStr">
        <is>
          <t>P</t>
        </is>
      </c>
      <c r="R92" s="33" t="inlineStr">
        <is>
          <t>FL_DES_ABC_2.5kg</t>
        </is>
      </c>
      <c r="S92" s="17" t="inlineStr">
        <is>
          <t>IRAM 3534</t>
        </is>
      </c>
    </row>
    <row r="93">
      <c r="A93" s="33" t="inlineStr">
        <is>
          <t>FL_MAT_ABC_2.5kg</t>
        </is>
      </c>
      <c r="B93" s="33" t="n">
        <v>2</v>
      </c>
      <c r="C93" s="33" t="inlineStr">
        <is>
          <t>ABC2.5-20</t>
        </is>
      </c>
      <c r="D93" s="17" t="inlineStr">
        <is>
          <t xml:space="preserve">        Oblea de fabricación (PBA)</t>
        </is>
      </c>
      <c r="E93" s="33" t="n">
        <v>1</v>
      </c>
      <c r="F93" s="33" t="inlineStr">
        <is>
          <t>u</t>
        </is>
      </c>
      <c r="G93" s="34" t="n">
        <v>0.0009</v>
      </c>
      <c r="H93" s="34">
        <f>E93*G93</f>
        <v/>
      </c>
      <c r="I93" s="33" t="inlineStr">
        <is>
          <t>Papel de seguridad autodestructible</t>
        </is>
      </c>
      <c r="J93" s="17" t="inlineStr">
        <is>
          <t>Ø46 (Res. OPDS 522/07), numerada, autodestructible</t>
        </is>
      </c>
      <c r="K93" s="33" t="inlineStr">
        <is>
          <t>Compra</t>
        </is>
      </c>
      <c r="L93" s="33" t="inlineStr">
        <is>
          <t>Sí</t>
        </is>
      </c>
      <c r="M93" s="17" t="inlineStr">
        <is>
          <t>Ministerio de Ambiente PBA (ex OPDS)</t>
        </is>
      </c>
      <c r="N93" s="17" t="inlineStr">
        <is>
          <t>-</t>
        </is>
      </c>
      <c r="O93" s="17" t="inlineStr">
        <is>
          <t>22 Etiquetado (T07)</t>
        </is>
      </c>
      <c r="P93" s="17" t="inlineStr">
        <is>
          <t>Res. OPDS 522/07 anexos 1, 2 y 6</t>
        </is>
      </c>
      <c r="Q93" s="33" t="inlineStr">
        <is>
          <t>P</t>
        </is>
      </c>
      <c r="R93" s="33" t="inlineStr">
        <is>
          <t>FL_DES_ABC_2.5kg</t>
        </is>
      </c>
      <c r="S93" s="17" t="inlineStr">
        <is>
          <t>Res. 522/07</t>
        </is>
      </c>
    </row>
    <row r="94">
      <c r="A94" s="33" t="inlineStr">
        <is>
          <t>FL_MAT_ABC_2.5kg</t>
        </is>
      </c>
      <c r="B94" s="33" t="n">
        <v>2</v>
      </c>
      <c r="C94" s="33" t="inlineStr">
        <is>
          <t>ABC2.5-21</t>
        </is>
      </c>
      <c r="D94" s="17" t="inlineStr">
        <is>
          <t xml:space="preserve">        Estampilla IRAM de conformidad</t>
        </is>
      </c>
      <c r="E94" s="33" t="n">
        <v>1</v>
      </c>
      <c r="F94" s="33" t="inlineStr">
        <is>
          <t>u</t>
        </is>
      </c>
      <c r="G94" s="34" t="n">
        <v>0.001</v>
      </c>
      <c r="H94" s="34">
        <f>E94*G94</f>
        <v/>
      </c>
      <c r="I94" s="33" t="inlineStr">
        <is>
          <t>Provista por IRAM (Anexo R)</t>
        </is>
      </c>
      <c r="J94" s="17" t="inlineStr">
        <is>
          <t>60 × 40</t>
        </is>
      </c>
      <c r="K94" s="33" t="inlineStr">
        <is>
          <t>Compra</t>
        </is>
      </c>
      <c r="L94" s="33" t="inlineStr">
        <is>
          <t>Sí</t>
        </is>
      </c>
      <c r="M94" s="17" t="inlineStr">
        <is>
          <t>IRAM - Instituto Argentino de Normalización</t>
        </is>
      </c>
      <c r="N94" s="17" t="inlineStr">
        <is>
          <t>-</t>
        </is>
      </c>
      <c r="O94" s="17" t="inlineStr">
        <is>
          <t>22 Etiquetado (T07)</t>
        </is>
      </c>
      <c r="P94" s="17" t="inlineStr">
        <is>
          <t>IRAM Anexo R (DC-PG-129)</t>
        </is>
      </c>
      <c r="Q94" s="33" t="inlineStr">
        <is>
          <t>P</t>
        </is>
      </c>
      <c r="R94" s="33" t="inlineStr">
        <is>
          <t>FL_DES_ABC_2.5kg</t>
        </is>
      </c>
      <c r="S94" s="17" t="inlineStr">
        <is>
          <t>numerada</t>
        </is>
      </c>
    </row>
    <row r="95">
      <c r="A95" s="33" t="inlineStr">
        <is>
          <t>FL_MAT_ABC_2.5kg</t>
        </is>
      </c>
      <c r="B95" s="33" t="n">
        <v>2</v>
      </c>
      <c r="C95" s="33" t="inlineStr">
        <is>
          <t>ABC2.5-22</t>
        </is>
      </c>
      <c r="D95" s="17" t="inlineStr">
        <is>
          <t xml:space="preserve">        Tarjeta de identificación AGC (CABA)</t>
        </is>
      </c>
      <c r="E95" s="33" t="n">
        <v>1</v>
      </c>
      <c r="F95" s="33" t="inlineStr">
        <is>
          <t>u</t>
        </is>
      </c>
      <c r="G95" s="34" t="n">
        <v>0.0032</v>
      </c>
      <c r="H95" s="34">
        <f>E95*G95</f>
        <v/>
      </c>
      <c r="I95" s="33" t="inlineStr">
        <is>
          <t>Etiqueta autoadhesiva emitida por la AGC</t>
        </is>
      </c>
      <c r="J95" s="17" t="inlineStr">
        <is>
          <t>140 × 55</t>
        </is>
      </c>
      <c r="K95" s="33" t="inlineStr">
        <is>
          <t>Compra</t>
        </is>
      </c>
      <c r="L95" s="33" t="inlineStr">
        <is>
          <t>Sí</t>
        </is>
      </c>
      <c r="M95" s="17" t="inlineStr">
        <is>
          <t>Agencia Gubernamental de Control (CABA)</t>
        </is>
      </c>
      <c r="N95" s="17" t="inlineStr">
        <is>
          <t>-</t>
        </is>
      </c>
      <c r="O95" s="17" t="inlineStr">
        <is>
          <t>22 Etiquetado (T07)</t>
        </is>
      </c>
      <c r="P95" s="17" t="inlineStr">
        <is>
          <t>Ordenanza 40.473 art. 6 · Res. AGC 32/15</t>
        </is>
      </c>
      <c r="Q95" s="33" t="inlineStr">
        <is>
          <t>P</t>
        </is>
      </c>
      <c r="R95" s="33" t="inlineStr">
        <is>
          <t>FL_DES_ABC_2.5kg</t>
        </is>
      </c>
      <c r="S95" s="17" t="inlineStr">
        <is>
          <t>sólo destino CABA</t>
        </is>
      </c>
    </row>
    <row r="96">
      <c r="A96" s="33" t="inlineStr">
        <is>
          <t>FL_MAT_ABC_2.5kg</t>
        </is>
      </c>
      <c r="B96" s="33" t="n">
        <v>2</v>
      </c>
      <c r="C96" s="33" t="inlineStr">
        <is>
          <t>ABC2.5-23</t>
        </is>
      </c>
      <c r="D96" s="17" t="inlineStr">
        <is>
          <t xml:space="preserve">        Etiqueta de n° de serie GS1</t>
        </is>
      </c>
      <c r="E96" s="33" t="n">
        <v>1</v>
      </c>
      <c r="F96" s="33" t="inlineStr">
        <is>
          <t>u</t>
        </is>
      </c>
      <c r="G96" s="34" t="n">
        <v>0.0005</v>
      </c>
      <c r="H96" s="34">
        <f>E96*G96</f>
        <v/>
      </c>
      <c r="I96" s="33" t="inlineStr">
        <is>
          <t>Poliéster autoadhesivo impreso térmico</t>
        </is>
      </c>
      <c r="J96" s="17" t="inlineStr">
        <is>
          <t>45 × 25</t>
        </is>
      </c>
      <c r="K96" s="33" t="inlineStr">
        <is>
          <t>Compra</t>
        </is>
      </c>
      <c r="L96" s="33" t="inlineStr">
        <is>
          <t>Sí</t>
        </is>
      </c>
      <c r="M96" s="17" t="inlineStr">
        <is>
          <t>Astuprint</t>
        </is>
      </c>
      <c r="N96" s="17" t="inlineStr">
        <is>
          <t>GS1 Argentina</t>
        </is>
      </c>
      <c r="O96" s="17" t="inlineStr">
        <is>
          <t>22 Etiquetado (T07)</t>
        </is>
      </c>
      <c r="P96" s="17" t="inlineStr">
        <is>
          <t>GS1 Argentina (GTIN 779) · trazabilidad IRAM 3523 5.1</t>
        </is>
      </c>
      <c r="Q96" s="33" t="inlineStr">
        <is>
          <t>P</t>
        </is>
      </c>
      <c r="R96" s="33" t="inlineStr">
        <is>
          <t>FL_DES_ABC_2.5kg</t>
        </is>
      </c>
      <c r="S96" s="17" t="inlineStr">
        <is>
          <t>QR GTIN + serie</t>
        </is>
      </c>
    </row>
    <row r="97">
      <c r="A97" s="33" t="inlineStr">
        <is>
          <t>FL_MAT_ABC_2.5kg</t>
        </is>
      </c>
      <c r="B97" s="33" t="n">
        <v>2</v>
      </c>
      <c r="C97" s="33" t="inlineStr">
        <is>
          <t>ABC2.5-25</t>
        </is>
      </c>
      <c r="D97" s="17" t="inlineStr">
        <is>
          <t xml:space="preserve">        Faja de garantía válvula-cuello</t>
        </is>
      </c>
      <c r="E97" s="33" t="n">
        <v>1</v>
      </c>
      <c r="F97" s="33" t="inlineStr">
        <is>
          <t>u</t>
        </is>
      </c>
      <c r="G97" s="34" t="n">
        <v>0.0003</v>
      </c>
      <c r="H97" s="34">
        <f>E97*G97</f>
        <v/>
      </c>
      <c r="I97" s="33" t="inlineStr">
        <is>
          <t>Vinilo destructible rayado rojo/blanco</t>
        </is>
      </c>
      <c r="J97" s="17" t="inlineStr">
        <is>
          <t>30 × 40</t>
        </is>
      </c>
      <c r="K97" s="33" t="inlineStr">
        <is>
          <t>Compra</t>
        </is>
      </c>
      <c r="L97" s="33" t="inlineStr">
        <is>
          <t>Sí</t>
        </is>
      </c>
      <c r="M97" s="17" t="inlineStr">
        <is>
          <t>Astuprint</t>
        </is>
      </c>
      <c r="N97" s="17" t="inlineStr">
        <is>
          <t>Multilabel Argentina S.A.</t>
        </is>
      </c>
      <c r="O97" s="17" t="inlineStr">
        <is>
          <t>22 Etiquetado (T07)</t>
        </is>
      </c>
      <c r="P97" s="17" t="inlineStr">
        <is>
          <t>Sin norma: práctica de mercado (garantía de fábrica)</t>
        </is>
      </c>
      <c r="Q97" s="33" t="inlineStr">
        <is>
          <t>P</t>
        </is>
      </c>
      <c r="R97" s="33" t="inlineStr">
        <is>
          <t>FL_DES_ABC_2.5kg</t>
        </is>
      </c>
      <c r="S97" s="17" t="inlineStr">
        <is>
          <t>nuevo sin abrir</t>
        </is>
      </c>
    </row>
    <row r="98">
      <c r="A98" s="33" t="inlineStr">
        <is>
          <t>FL_MAT_ABC_2.5kg</t>
        </is>
      </c>
      <c r="B98" s="33" t="n">
        <v>2</v>
      </c>
      <c r="C98" s="33" t="inlineStr">
        <is>
          <t>ABC2.5-26</t>
        </is>
      </c>
      <c r="D98" s="17" t="inlineStr">
        <is>
          <t xml:space="preserve">        Precinto de fábrica</t>
        </is>
      </c>
      <c r="E98" s="33" t="n">
        <v>1</v>
      </c>
      <c r="F98" s="33" t="inlineStr">
        <is>
          <t>u</t>
        </is>
      </c>
      <c r="G98" s="34" t="n">
        <v>0.0002</v>
      </c>
      <c r="H98" s="34">
        <f>E98*G98</f>
        <v/>
      </c>
      <c r="I98" s="33" t="inlineStr">
        <is>
          <t>Polipropileno color</t>
        </is>
      </c>
      <c r="J98" s="17" t="inlineStr">
        <is>
          <t>Ø5 × 10, numerado, rotura 30-50 N</t>
        </is>
      </c>
      <c r="K98" s="33" t="inlineStr">
        <is>
          <t>Compra</t>
        </is>
      </c>
      <c r="L98" s="33" t="inlineStr">
        <is>
          <t>Sí</t>
        </is>
      </c>
      <c r="M98" s="17" t="inlineStr">
        <is>
          <t>SonFuertes (vía Papelera Damián)</t>
        </is>
      </c>
      <c r="N98" s="17" t="inlineStr">
        <is>
          <t>Precinter S.R.L.</t>
        </is>
      </c>
      <c r="O98" s="17" t="inlineStr">
        <is>
          <t>20 Presurización (T05)</t>
        </is>
      </c>
      <c r="P98" s="17" t="inlineStr">
        <is>
          <t>IRAM 3523 3.3.2 · IRAM 3517-2:2020 9.4.13</t>
        </is>
      </c>
      <c r="Q98" s="33" t="inlineStr">
        <is>
          <t>P</t>
        </is>
      </c>
      <c r="R98" s="33" t="inlineStr">
        <is>
          <t>FL_DES_ABC_2.5kg</t>
        </is>
      </c>
      <c r="S98" s="17" t="inlineStr">
        <is>
          <t>id. FLAMA y lote</t>
        </is>
      </c>
    </row>
    <row r="99">
      <c r="A99" s="30" t="inlineStr">
        <is>
          <t>FL_MAT_ABC_2.5kg</t>
        </is>
      </c>
      <c r="B99" s="30" t="n">
        <v>1</v>
      </c>
      <c r="C99" s="30" t="inlineStr">
        <is>
          <t>ABC2.5-S8</t>
        </is>
      </c>
      <c r="D99" s="31" t="inlineStr">
        <is>
          <t xml:space="preserve">    Soporte (accesorio de montaje)</t>
        </is>
      </c>
      <c r="E99" s="30" t="n">
        <v>1</v>
      </c>
      <c r="F99" s="30" t="inlineStr">
        <is>
          <t>u</t>
        </is>
      </c>
      <c r="G99" s="32" t="n"/>
      <c r="H99" s="32">
        <f>H100</f>
        <v/>
      </c>
      <c r="I99" s="30" t="n"/>
      <c r="J99" s="31" t="n"/>
      <c r="K99" s="30" t="inlineStr">
        <is>
          <t>Compra</t>
        </is>
      </c>
      <c r="L99" s="30" t="n"/>
      <c r="M99" s="31" t="n"/>
      <c r="N99" s="31" t="n"/>
      <c r="O99" s="31" t="inlineStr">
        <is>
          <t>23 Embalaje (va dentro de la caja)</t>
        </is>
      </c>
      <c r="P99" s="31" t="inlineStr">
        <is>
          <t>IRAM 3517-2 7.4</t>
        </is>
      </c>
      <c r="Q99" s="30" t="n"/>
      <c r="R99" s="30" t="n"/>
      <c r="S99" s="31" t="n"/>
    </row>
    <row r="100">
      <c r="A100" s="33" t="inlineStr">
        <is>
          <t>FL_MAT_ABC_2.5kg</t>
        </is>
      </c>
      <c r="B100" s="33" t="n">
        <v>2</v>
      </c>
      <c r="C100" s="33" t="inlineStr">
        <is>
          <t>ABC2.5-I5</t>
        </is>
      </c>
      <c r="D100" s="17" t="inlineStr">
        <is>
          <t xml:space="preserve">        Soporte de pared (FL_ACC_01)</t>
        </is>
      </c>
      <c r="E100" s="33" t="n">
        <v>1</v>
      </c>
      <c r="F100" s="33" t="inlineStr">
        <is>
          <t>u</t>
        </is>
      </c>
      <c r="G100" s="34" t="n">
        <v>0.264</v>
      </c>
      <c r="H100" s="34">
        <f>E100*G100</f>
        <v/>
      </c>
      <c r="I100" s="33" t="inlineStr">
        <is>
          <t>Chapa acero SAE 1010 e=2 pintada</t>
        </is>
      </c>
      <c r="J100" s="17" t="inlineStr">
        <is>
          <t>placa 60 × 180, ala con ranura Ø cuello + 3</t>
        </is>
      </c>
      <c r="K100" s="33" t="inlineStr">
        <is>
          <t>Compra</t>
        </is>
      </c>
      <c r="L100" s="33" t="inlineStr">
        <is>
          <t>Sí</t>
        </is>
      </c>
      <c r="M100" s="17" t="inlineStr">
        <is>
          <t>Maxiseguridad</t>
        </is>
      </c>
      <c r="N100" s="17" t="inlineStr">
        <is>
          <t>CM Representaciones</t>
        </is>
      </c>
      <c r="O100" s="17" t="inlineStr">
        <is>
          <t>23 Embalaje</t>
        </is>
      </c>
      <c r="P100" s="17" t="inlineStr">
        <is>
          <t>IRAM 3517-2 7.4</t>
        </is>
      </c>
      <c r="Q100" s="33" t="inlineStr">
        <is>
          <t>P</t>
        </is>
      </c>
      <c r="R100" s="33" t="inlineStr">
        <is>
          <t>FL_ACC_01</t>
        </is>
      </c>
      <c r="S100" s="17" t="n"/>
    </row>
    <row r="101">
      <c r="A101" s="33" t="inlineStr">
        <is>
          <t>FL_MAT_ABC_2.5kg</t>
        </is>
      </c>
      <c r="B101" s="33" t="n">
        <v>2</v>
      </c>
      <c r="C101" s="33" t="inlineStr">
        <is>
          <t>ABC2.5-I6</t>
        </is>
      </c>
      <c r="D101" s="17" t="inlineStr">
        <is>
          <t xml:space="preserve">        Tornillo y tarugo de fijación</t>
        </is>
      </c>
      <c r="E101" s="33" t="n">
        <v>2</v>
      </c>
      <c r="F101" s="33" t="inlineStr">
        <is>
          <t>u</t>
        </is>
      </c>
      <c r="G101" s="34" t="n"/>
      <c r="H101" s="34" t="n"/>
      <c r="I101" s="33" t="inlineStr">
        <is>
          <t>Acero cincado / nylon</t>
        </is>
      </c>
      <c r="J101" s="17" t="inlineStr">
        <is>
          <t>2 agujeros Ø8,5 del plano FL_ACC_01 → tornillo M8 + tarugo</t>
        </is>
      </c>
      <c r="K101" s="33" t="inlineStr">
        <is>
          <t>Compra</t>
        </is>
      </c>
      <c r="L101" s="33" t="inlineStr">
        <is>
          <t>Sí</t>
        </is>
      </c>
      <c r="M101" s="17" t="inlineStr">
        <is>
          <t>Würth Argentina</t>
        </is>
      </c>
      <c r="N101" s="17" t="inlineStr">
        <is>
          <t>-</t>
        </is>
      </c>
      <c r="O101" s="17" t="inlineStr">
        <is>
          <t>23 Embalaje</t>
        </is>
      </c>
      <c r="P101" s="17" t="n"/>
      <c r="Q101" s="33" t="inlineStr">
        <is>
          <t>P</t>
        </is>
      </c>
      <c r="R101" s="33" t="inlineStr">
        <is>
          <t>FL_ACC_01</t>
        </is>
      </c>
      <c r="S101" s="17" t="n"/>
    </row>
    <row r="102">
      <c r="A102" s="33" t="inlineStr">
        <is>
          <t>FL_MAT_ABC_2.5kg</t>
        </is>
      </c>
      <c r="B102" s="33" t="n">
        <v>2</v>
      </c>
      <c r="C102" s="33" t="inlineStr">
        <is>
          <t>ABC2.5-I8</t>
        </is>
      </c>
      <c r="D102" s="17" t="inlineStr">
        <is>
          <t xml:space="preserve">        Soporte opcional (pared o vehicular, según pedido)</t>
        </is>
      </c>
      <c r="E102" s="33" t="n">
        <v>0</v>
      </c>
      <c r="F102" s="33" t="inlineStr">
        <is>
          <t>u</t>
        </is>
      </c>
      <c r="G102" s="34" t="n"/>
      <c r="H102" s="34" t="n"/>
      <c r="I102" s="33" t="inlineStr">
        <is>
          <t>-</t>
        </is>
      </c>
      <c r="J102" s="17" t="inlineStr">
        <is>
          <t>-</t>
        </is>
      </c>
      <c r="K102" s="33" t="inlineStr">
        <is>
          <t>Compra</t>
        </is>
      </c>
      <c r="L102" s="33" t="inlineStr">
        <is>
          <t>Sí</t>
        </is>
      </c>
      <c r="M102" s="17" t="inlineStr">
        <is>
          <t>Maxiseguridad</t>
        </is>
      </c>
      <c r="N102" s="17" t="inlineStr">
        <is>
          <t>CM Representaciones</t>
        </is>
      </c>
      <c r="O102" s="17" t="n"/>
      <c r="P102" s="17" t="inlineStr">
        <is>
          <t>IRAM 3517-2 7.4</t>
        </is>
      </c>
      <c r="Q102" s="33" t="inlineStr">
        <is>
          <t>N</t>
        </is>
      </c>
      <c r="R102" s="33" t="n"/>
      <c r="S102" s="17" t="inlineStr">
        <is>
          <t>Sólo si el pedido lo incluye</t>
        </is>
      </c>
    </row>
    <row r="103">
      <c r="A103" s="30" t="inlineStr">
        <is>
          <t>FL_MAT_ABC_2.5kg</t>
        </is>
      </c>
      <c r="B103" s="30" t="n">
        <v>1</v>
      </c>
      <c r="C103" s="30" t="inlineStr">
        <is>
          <t>ABC2.5-S7</t>
        </is>
      </c>
      <c r="D103" s="31" t="inlineStr">
        <is>
          <t xml:space="preserve">    Embalaje</t>
        </is>
      </c>
      <c r="E103" s="30" t="n">
        <v>1</v>
      </c>
      <c r="F103" s="30" t="inlineStr">
        <is>
          <t>u</t>
        </is>
      </c>
      <c r="G103" s="32" t="n"/>
      <c r="H103" s="32">
        <f>H107</f>
        <v/>
      </c>
      <c r="I103" s="30" t="n"/>
      <c r="J103" s="31" t="n"/>
      <c r="K103" s="30" t="inlineStr">
        <is>
          <t>Compra</t>
        </is>
      </c>
      <c r="L103" s="30" t="n"/>
      <c r="M103" s="31" t="n"/>
      <c r="N103" s="31" t="n"/>
      <c r="O103" s="31" t="inlineStr">
        <is>
          <t>23 Embalaje -&gt; 24 envolvedora (T11)</t>
        </is>
      </c>
      <c r="P103" s="31" t="n"/>
      <c r="Q103" s="30" t="n"/>
      <c r="R103" s="30" t="n"/>
      <c r="S103" s="31" t="n"/>
    </row>
    <row r="104">
      <c r="A104" s="33" t="inlineStr">
        <is>
          <t>FL_MAT_ABC_2.5kg</t>
        </is>
      </c>
      <c r="B104" s="33" t="n">
        <v>2</v>
      </c>
      <c r="C104" s="33" t="inlineStr">
        <is>
          <t>ABC2.5-E1</t>
        </is>
      </c>
      <c r="D104" s="17" t="inlineStr">
        <is>
          <t xml:space="preserve">        Caja de cartón corrugado simple</t>
        </is>
      </c>
      <c r="E104" s="33" t="n">
        <v>1</v>
      </c>
      <c r="F104" s="33" t="inlineStr">
        <is>
          <t>u</t>
        </is>
      </c>
      <c r="G104" s="34" t="n"/>
      <c r="H104" s="34" t="n"/>
      <c r="I104" s="33" t="inlineStr">
        <is>
          <t>Cartón corrugado</t>
        </is>
      </c>
      <c r="J104" s="17" t="inlineStr">
        <is>
          <t>250 × 157 × 435 interior (envolvente del plano + 15 por lado)</t>
        </is>
      </c>
      <c r="K104" s="33" t="inlineStr">
        <is>
          <t>Compra</t>
        </is>
      </c>
      <c r="L104" s="33" t="inlineStr">
        <is>
          <t>Sí</t>
        </is>
      </c>
      <c r="M104" s="17" t="inlineStr">
        <is>
          <t>Maxipack</t>
        </is>
      </c>
      <c r="N104" s="17" t="inlineStr">
        <is>
          <t>Cartocan</t>
        </is>
      </c>
      <c r="O104" s="17" t="inlineStr">
        <is>
          <t>23 Embalaje</t>
        </is>
      </c>
      <c r="P104" s="17" t="n"/>
      <c r="Q104" s="33" t="inlineStr">
        <is>
          <t>P</t>
        </is>
      </c>
      <c r="R104" s="33" t="n"/>
      <c r="S104" s="17" t="inlineStr">
        <is>
          <t>Medida del plano</t>
        </is>
      </c>
    </row>
    <row r="105">
      <c r="A105" s="33" t="inlineStr">
        <is>
          <t>FL_MAT_ABC_2.5kg</t>
        </is>
      </c>
      <c r="B105" s="33" t="n">
        <v>2</v>
      </c>
      <c r="C105" s="33" t="inlineStr">
        <is>
          <t>ABC2.5-E2</t>
        </is>
      </c>
      <c r="D105" s="17" t="inlineStr">
        <is>
          <t xml:space="preserve">        Instructivo de uso y mantenimiento</t>
        </is>
      </c>
      <c r="E105" s="33" t="n">
        <v>1</v>
      </c>
      <c r="F105" s="33" t="inlineStr">
        <is>
          <t>u</t>
        </is>
      </c>
      <c r="G105" s="34" t="n"/>
      <c r="H105" s="34" t="n"/>
      <c r="I105" s="33" t="inlineStr">
        <is>
          <t>Papel</t>
        </is>
      </c>
      <c r="J105" s="17" t="inlineStr">
        <is>
          <t>A5</t>
        </is>
      </c>
      <c r="K105" s="33" t="inlineStr">
        <is>
          <t>Compra</t>
        </is>
      </c>
      <c r="L105" s="33" t="inlineStr">
        <is>
          <t>Sí</t>
        </is>
      </c>
      <c r="M105" s="17" t="inlineStr">
        <is>
          <t>Astuprint</t>
        </is>
      </c>
      <c r="N105" s="17" t="inlineStr">
        <is>
          <t>-</t>
        </is>
      </c>
      <c r="O105" s="17" t="inlineStr">
        <is>
          <t>23 Embalaje</t>
        </is>
      </c>
      <c r="P105" s="17" t="n"/>
      <c r="Q105" s="33" t="inlineStr">
        <is>
          <t>I</t>
        </is>
      </c>
      <c r="R105" s="33" t="n"/>
      <c r="S105" s="17" t="inlineStr">
        <is>
          <t>Decisión comercial de FLAMA (las instrucciones de uso obligatorias van en la etiqueta, IRAM 3534)</t>
        </is>
      </c>
    </row>
    <row r="106">
      <c r="A106" s="33" t="inlineStr">
        <is>
          <t>FL_MAT_ABC_2.5kg</t>
        </is>
      </c>
      <c r="B106" s="33" t="n">
        <v>2</v>
      </c>
      <c r="C106" s="33" t="inlineStr">
        <is>
          <t>ABC2.5-E3</t>
        </is>
      </c>
      <c r="D106" s="17" t="inlineStr">
        <is>
          <t xml:space="preserve">        Pallet 1200 × 1000 (fracción)</t>
        </is>
      </c>
      <c r="E106" s="33" t="n">
        <v>0.0119</v>
      </c>
      <c r="F106" s="33" t="inlineStr">
        <is>
          <t>u</t>
        </is>
      </c>
      <c r="G106" s="34" t="n"/>
      <c r="H106" s="34" t="n"/>
      <c r="I106" s="33" t="inlineStr">
        <is>
          <t>Madera</t>
        </is>
      </c>
      <c r="J106" s="17" t="inlineStr">
        <is>
          <t>84 u por pallet</t>
        </is>
      </c>
      <c r="K106" s="33" t="inlineStr">
        <is>
          <t>Compra</t>
        </is>
      </c>
      <c r="L106" s="33" t="inlineStr">
        <is>
          <t>Sí</t>
        </is>
      </c>
      <c r="M106" s="17" t="inlineStr">
        <is>
          <t>IndusPallets</t>
        </is>
      </c>
      <c r="N106" s="17" t="inlineStr">
        <is>
          <t>-</t>
        </is>
      </c>
      <c r="O106" s="17" t="inlineStr">
        <is>
          <t>23 Embalaje</t>
        </is>
      </c>
      <c r="P106" s="17" t="n"/>
      <c r="Q106" s="33" t="inlineStr">
        <is>
          <t>C</t>
        </is>
      </c>
      <c r="R106" s="33" t="n"/>
      <c r="S106" s="17" t="inlineStr">
        <is>
          <t>u por pallet = acomodo de la caja (plano) en 1200 × 1000 × 1450 de alto</t>
        </is>
      </c>
    </row>
    <row r="107">
      <c r="A107" s="41" t="inlineStr">
        <is>
          <t>FL_MAT_ABC_2.5kg</t>
        </is>
      </c>
      <c r="B107" s="41" t="n">
        <v>2</v>
      </c>
      <c r="C107" s="41" t="inlineStr">
        <is>
          <t>ABC2.5-E4</t>
        </is>
      </c>
      <c r="D107" s="18" t="inlineStr">
        <is>
          <t xml:space="preserve">        Film stretch (fracción del pallet)</t>
        </is>
      </c>
      <c r="E107" s="41" t="n">
        <v>0.0014</v>
      </c>
      <c r="F107" s="41" t="inlineStr">
        <is>
          <t>kg</t>
        </is>
      </c>
      <c r="G107" s="42" t="n">
        <v>1</v>
      </c>
      <c r="H107" s="42">
        <f>E107*G107</f>
        <v/>
      </c>
      <c r="I107" s="41" t="inlineStr">
        <is>
          <t>PE lineal 23 µm</t>
        </is>
      </c>
      <c r="J107" s="18" t="inlineStr">
        <is>
          <t>0,12 kg por pallet / 84 u</t>
        </is>
      </c>
      <c r="K107" s="41" t="inlineStr">
        <is>
          <t>Compra</t>
        </is>
      </c>
      <c r="L107" s="41" t="inlineStr">
        <is>
          <t>Sí</t>
        </is>
      </c>
      <c r="M107" s="18" t="inlineStr">
        <is>
          <t>MV Embalajes</t>
        </is>
      </c>
      <c r="N107" s="18" t="inlineStr">
        <is>
          <t>Embalpack</t>
        </is>
      </c>
      <c r="O107" s="18" t="inlineStr">
        <is>
          <t>24 Envolvedora (T11)</t>
        </is>
      </c>
      <c r="P107" s="18" t="n"/>
      <c r="Q107" s="41" t="inlineStr">
        <is>
          <t>C</t>
        </is>
      </c>
      <c r="R107" s="41" t="n"/>
      <c r="S10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8">
      <c r="A108" s="33" t="inlineStr">
        <is>
          <t>FL_MAT_ABC_2.5kg</t>
        </is>
      </c>
      <c r="B108" s="33" t="n">
        <v>2</v>
      </c>
      <c r="C108" s="33" t="inlineStr">
        <is>
          <t>ABC2.5-E5</t>
        </is>
      </c>
      <c r="D108" s="17" t="inlineStr">
        <is>
          <t xml:space="preserve">        Etiqueta de pallet (lote y destino, fracción)</t>
        </is>
      </c>
      <c r="E108" s="33" t="n">
        <v>0.0119</v>
      </c>
      <c r="F108" s="33" t="inlineStr">
        <is>
          <t>u</t>
        </is>
      </c>
      <c r="G108" s="34" t="n"/>
      <c r="H108" s="34" t="n"/>
      <c r="I108" s="33" t="inlineStr">
        <is>
          <t>Papel térmico</t>
        </is>
      </c>
      <c r="J108" s="17" t="inlineStr">
        <is>
          <t>100 × 150</t>
        </is>
      </c>
      <c r="K108" s="33" t="inlineStr">
        <is>
          <t>Compra</t>
        </is>
      </c>
      <c r="L108" s="33" t="inlineStr">
        <is>
          <t>Sí</t>
        </is>
      </c>
      <c r="M108" s="17" t="inlineStr">
        <is>
          <t>Astuprint</t>
        </is>
      </c>
      <c r="N108" s="17" t="inlineStr">
        <is>
          <t>Multilabel Argentina S.A.</t>
        </is>
      </c>
      <c r="O108" s="17" t="inlineStr">
        <is>
          <t>24 Envolvedora</t>
        </is>
      </c>
      <c r="P108" s="17" t="n"/>
      <c r="Q108" s="33" t="inlineStr">
        <is>
          <t>C</t>
        </is>
      </c>
      <c r="R108" s="33" t="n"/>
      <c r="S108" s="17" t="n"/>
    </row>
    <row r="109">
      <c r="A109" s="41" t="inlineStr">
        <is>
          <t>FL_MAT_ABC_2.5kg</t>
        </is>
      </c>
      <c r="B109" s="41" t="n">
        <v>2</v>
      </c>
      <c r="C109" s="41" t="inlineStr">
        <is>
          <t>ABC2.5-E6</t>
        </is>
      </c>
      <c r="D109" s="18" t="inlineStr">
        <is>
          <t xml:space="preserve">        Cinta de embalaje PP 48 mm (cierre de la caja)</t>
        </is>
      </c>
      <c r="E109" s="41" t="n">
        <v>0.78</v>
      </c>
      <c r="F109" s="41" t="inlineStr">
        <is>
          <t>m</t>
        </is>
      </c>
      <c r="G109" s="42" t="n"/>
      <c r="H109" s="42" t="n"/>
      <c r="I109" s="41" t="inlineStr">
        <is>
          <t>Polipropileno con adhesivo acrílico</t>
        </is>
      </c>
      <c r="J109" s="18" t="inlineStr">
        <is>
          <t>cierre en I arriba y abajo: 2 × (250 + 2 × 70 de solapa)</t>
        </is>
      </c>
      <c r="K109" s="41" t="inlineStr">
        <is>
          <t>Compra</t>
        </is>
      </c>
      <c r="L109" s="41" t="inlineStr">
        <is>
          <t>Sí</t>
        </is>
      </c>
      <c r="M109" s="18" t="inlineStr">
        <is>
          <t>MV Embalajes</t>
        </is>
      </c>
      <c r="N109" s="18" t="inlineStr">
        <is>
          <t>Embalpack</t>
        </is>
      </c>
      <c r="O109" s="18" t="inlineStr">
        <is>
          <t>23 Embalaje</t>
        </is>
      </c>
      <c r="P109" s="18" t="n"/>
      <c r="Q109" s="41" t="inlineStr">
        <is>
          <t>C</t>
        </is>
      </c>
      <c r="R109" s="41" t="n"/>
      <c r="S109" s="18" t="inlineStr">
        <is>
          <t>Solapa de 70 mm por lado: práctica de cierre de cajas (medir en la línea)</t>
        </is>
      </c>
    </row>
    <row r="110">
      <c r="A110" s="33" t="inlineStr">
        <is>
          <t>FL_MAT_ABC_2.5kg</t>
        </is>
      </c>
      <c r="B110" s="33" t="n">
        <v>2</v>
      </c>
      <c r="C110" s="33" t="inlineStr">
        <is>
          <t>ABC2.5-E7</t>
        </is>
      </c>
      <c r="D110" s="17" t="inlineStr">
        <is>
          <t xml:space="preserve">        Esquineros de cartón 50 × 50 × 1200 (fracción del pallet)</t>
        </is>
      </c>
      <c r="E110" s="33" t="n">
        <v>0.0476</v>
      </c>
      <c r="F110" s="33" t="inlineStr">
        <is>
          <t>u</t>
        </is>
      </c>
      <c r="G110" s="34" t="n"/>
      <c r="H110" s="34" t="n"/>
      <c r="I110" s="33" t="inlineStr">
        <is>
          <t>Cartón</t>
        </is>
      </c>
      <c r="J110" s="17" t="inlineStr">
        <is>
          <t>4 por pallet / 84 u</t>
        </is>
      </c>
      <c r="K110" s="33" t="inlineStr">
        <is>
          <t>Compra</t>
        </is>
      </c>
      <c r="L110" s="33" t="inlineStr">
        <is>
          <t>Sí</t>
        </is>
      </c>
      <c r="M110" s="17" t="inlineStr">
        <is>
          <t>Maxipack</t>
        </is>
      </c>
      <c r="N110" s="17" t="inlineStr">
        <is>
          <t>Cartocan</t>
        </is>
      </c>
      <c r="O110" s="17" t="inlineStr">
        <is>
          <t>24 Envolvedora (T11)</t>
        </is>
      </c>
      <c r="P110" s="17" t="n"/>
      <c r="Q110" s="33" t="inlineStr">
        <is>
          <t>C</t>
        </is>
      </c>
      <c r="R110" s="33" t="n"/>
      <c r="S110" s="17" t="inlineStr">
        <is>
          <t>Planilla MP-64</t>
        </is>
      </c>
    </row>
    <row r="111">
      <c r="A111" s="27" t="inlineStr">
        <is>
          <t>FL_MAT_ABC_5kg</t>
        </is>
      </c>
      <c r="B111" s="27" t="n">
        <v>0</v>
      </c>
      <c r="C111" s="27" t="inlineStr">
        <is>
          <t>FL_MAT_ABC_5kg</t>
        </is>
      </c>
      <c r="D111" s="28" t="inlineStr">
        <is>
          <t>Extintor ABC 5 kg</t>
        </is>
      </c>
      <c r="E111" s="27" t="n">
        <v>1</v>
      </c>
      <c r="F111" s="27" t="inlineStr">
        <is>
          <t>u</t>
        </is>
      </c>
      <c r="G111" s="29" t="n"/>
      <c r="H111" s="29" t="n"/>
      <c r="I111" s="27" t="n"/>
      <c r="J111" s="28" t="n"/>
      <c r="K111" s="27" t="n"/>
      <c r="L111" s="27" t="n"/>
      <c r="M111" s="28" t="n"/>
      <c r="N111" s="28" t="n"/>
      <c r="O111" s="28" t="n"/>
      <c r="P111" s="28" t="inlineStr">
        <is>
          <t>IRAM 3523</t>
        </is>
      </c>
      <c r="Q111" s="27" t="inlineStr">
        <is>
          <t>P</t>
        </is>
      </c>
      <c r="R111" s="27" t="inlineStr">
        <is>
          <t>FL_MAT_ABC_5kg</t>
        </is>
      </c>
      <c r="S111" s="28" t="inlineStr">
        <is>
          <t>Fabricación propia</t>
        </is>
      </c>
    </row>
    <row r="112">
      <c r="A112" s="30" t="inlineStr">
        <is>
          <t>FL_MAT_ABC_5kg</t>
        </is>
      </c>
      <c r="B112" s="30" t="n">
        <v>1</v>
      </c>
      <c r="C112" s="30" t="inlineStr">
        <is>
          <t>FL_REC_ABC_5kg</t>
        </is>
      </c>
      <c r="D112" s="31" t="inlineStr">
        <is>
          <t xml:space="preserve">    Recipiente (cilindro)</t>
        </is>
      </c>
      <c r="E112" s="30" t="n">
        <v>1</v>
      </c>
      <c r="F112" s="30" t="inlineStr">
        <is>
          <t>u</t>
        </is>
      </c>
      <c r="G112" s="32" t="n"/>
      <c r="H112" s="32">
        <f>H113+H115+H117+H119+H120</f>
        <v/>
      </c>
      <c r="I112" s="30" t="n"/>
      <c r="J112" s="31" t="n"/>
      <c r="K112" s="30" t="inlineStr">
        <is>
          <t>Fabricación</t>
        </is>
      </c>
      <c r="L112" s="30" t="n"/>
      <c r="M112" s="31" t="n"/>
      <c r="N112" s="31" t="n"/>
      <c r="O112" s="31" t="n"/>
      <c r="P112" s="31" t="inlineStr">
        <is>
          <t>IRAM 3523 / 3550 (recipiente)</t>
        </is>
      </c>
      <c r="Q112" s="30" t="inlineStr">
        <is>
          <t>P</t>
        </is>
      </c>
      <c r="R112" s="30" t="inlineStr">
        <is>
          <t>FL_REC_ABC_5kg</t>
        </is>
      </c>
      <c r="S112" s="31" t="n"/>
    </row>
    <row r="113">
      <c r="A113" s="33" t="inlineStr">
        <is>
          <t>FL_MAT_ABC_5kg</t>
        </is>
      </c>
      <c r="B113" s="33" t="n">
        <v>2</v>
      </c>
      <c r="C113" s="33" t="inlineStr">
        <is>
          <t>ABC5-01</t>
        </is>
      </c>
      <c r="D113" s="17" t="inlineStr">
        <is>
          <t xml:space="preserve">        Cuerpo (virola)</t>
        </is>
      </c>
      <c r="E113" s="33" t="n">
        <v>1</v>
      </c>
      <c r="F113" s="33" t="inlineStr">
        <is>
          <t>u</t>
        </is>
      </c>
      <c r="G113" s="34" t="n">
        <v>1.9203</v>
      </c>
      <c r="H113" s="34">
        <f>E113*G113</f>
        <v/>
      </c>
      <c r="I113" s="33" t="inlineStr">
        <is>
          <t>Chapa LAF IRAM-IAS U 500-05 e=1,6</t>
        </is>
      </c>
      <c r="J113" s="17" t="inlineStr">
        <is>
          <t>Ø153 × e1,6 × 321,4 de alto; desarrollo 475,6 × 321,4</t>
        </is>
      </c>
      <c r="K113" s="33" t="inlineStr">
        <is>
          <t>Fabricación</t>
        </is>
      </c>
      <c r="L113" s="33" t="inlineStr">
        <is>
          <t>No</t>
        </is>
      </c>
      <c r="M113" s="17" t="n"/>
      <c r="N113" s="17" t="n"/>
      <c r="O113" s="17" t="inlineStr">
        <is>
          <t>1 Guillotina -&gt; 2 numerado -&gt; 3 cilindrado -&gt; 4 soldadura longitudinal</t>
        </is>
      </c>
      <c r="P113" s="17" t="n"/>
      <c r="Q113" s="33" t="inlineStr">
        <is>
          <t>P</t>
        </is>
      </c>
      <c r="R113" s="33" t="inlineStr">
        <is>
          <t>FL_DES_ABC_5kg</t>
        </is>
      </c>
      <c r="S113" s="17" t="inlineStr">
        <is>
          <t>costura long. MAG</t>
        </is>
      </c>
    </row>
    <row r="114">
      <c r="A114" s="35" t="inlineStr">
        <is>
          <t>FL_MAT_ABC_5kg</t>
        </is>
      </c>
      <c r="B114" s="35" t="n">
        <v>3</v>
      </c>
      <c r="C114" s="35" t="inlineStr">
        <is>
          <t>MP-HOJA</t>
        </is>
      </c>
      <c r="D114" s="36" t="inlineStr">
        <is>
          <t xml:space="preserve">            Recorte de hoja LAF 1000 × 2000 e=1,6</t>
        </is>
      </c>
      <c r="E114" s="35" t="n">
        <v>1</v>
      </c>
      <c r="F114" s="35" t="inlineStr">
        <is>
          <t>u</t>
        </is>
      </c>
      <c r="G114" s="37" t="n">
        <v>2.092</v>
      </c>
      <c r="H114" s="37">
        <f>E114*G114</f>
        <v/>
      </c>
      <c r="I114" s="35" t="inlineStr">
        <is>
          <t>Chapa LAF IRAM-IAS U 500-05 LAF</t>
        </is>
      </c>
      <c r="J114" s="36" t="inlineStr">
        <is>
          <t>330 × 474,5 (aprovech. 94 %)</t>
        </is>
      </c>
      <c r="K114" s="35" t="inlineStr">
        <is>
          <t>Compra</t>
        </is>
      </c>
      <c r="L114" s="35" t="inlineStr">
        <is>
          <t>Sí</t>
        </is>
      </c>
      <c r="M114" s="36" t="inlineStr">
        <is>
          <t>Pradecon S.A.</t>
        </is>
      </c>
      <c r="N114" s="36" t="inlineStr">
        <is>
          <t>Pacheco Chapas</t>
        </is>
      </c>
      <c r="O114" s="36" t="inlineStr">
        <is>
          <t>AL-1H paquetes de hojas</t>
        </is>
      </c>
      <c r="P114" s="36" t="n"/>
      <c r="Q114" s="35" t="inlineStr">
        <is>
          <t>L</t>
        </is>
      </c>
      <c r="R114" s="35" t="inlineStr">
        <is>
          <t>FL_PI_04 h2</t>
        </is>
      </c>
      <c r="S114" s="36" t="n"/>
    </row>
    <row r="115">
      <c r="A115" s="33" t="inlineStr">
        <is>
          <t>FL_MAT_ABC_5kg</t>
        </is>
      </c>
      <c r="B115" s="33" t="n">
        <v>2</v>
      </c>
      <c r="C115" s="33" t="inlineStr">
        <is>
          <t>ABC5-02</t>
        </is>
      </c>
      <c r="D115" s="17" t="inlineStr">
        <is>
          <t xml:space="preserve">        Cúpula</t>
        </is>
      </c>
      <c r="E115" s="33" t="n">
        <v>1</v>
      </c>
      <c r="F115" s="33" t="inlineStr">
        <is>
          <t>u</t>
        </is>
      </c>
      <c r="G115" s="34" t="n">
        <v>0.3505</v>
      </c>
      <c r="H115" s="34">
        <f>E115*G115</f>
        <v/>
      </c>
      <c r="I115" s="33" t="inlineStr">
        <is>
          <t>Chapa LAF IRAM-IAS U 500-05 e=1,6</t>
        </is>
      </c>
      <c r="J115" s="17" t="inlineStr">
        <is>
          <t>Ø153 × e1,6 × 53,1 de alto; disco Ø221</t>
        </is>
      </c>
      <c r="K115" s="33" t="inlineStr">
        <is>
          <t>Fabricación</t>
        </is>
      </c>
      <c r="L115" s="33" t="inlineStr">
        <is>
          <t>No</t>
        </is>
      </c>
      <c r="M115" s="17" t="n"/>
      <c r="N115" s="17" t="n"/>
      <c r="O115" s="17" t="inlineStr">
        <is>
          <t>6 Desbobinado + embutido (M06-M08)</t>
        </is>
      </c>
      <c r="P115" s="17" t="n"/>
      <c r="Q115" s="33" t="inlineStr">
        <is>
          <t>P</t>
        </is>
      </c>
      <c r="R115" s="33" t="inlineStr">
        <is>
          <t>FL_DES_ABC_5kg</t>
        </is>
      </c>
      <c r="S115" s="17" t="inlineStr">
        <is>
          <t>embutida</t>
        </is>
      </c>
    </row>
    <row r="116">
      <c r="A116" s="35" t="inlineStr">
        <is>
          <t>FL_MAT_ABC_5kg</t>
        </is>
      </c>
      <c r="B116" s="35" t="n">
        <v>3</v>
      </c>
      <c r="C116" s="35" t="inlineStr">
        <is>
          <t>MP-FLEJE</t>
        </is>
      </c>
      <c r="D116" s="36" t="inlineStr">
        <is>
          <t xml:space="preserve">            Fleje e=1,6 × 250 (paso 224)</t>
        </is>
      </c>
      <c r="E116" s="35" t="n">
        <v>0.224</v>
      </c>
      <c r="F116" s="35" t="inlineStr">
        <is>
          <t>m</t>
        </is>
      </c>
      <c r="G116" s="37" t="n">
        <v>3.14</v>
      </c>
      <c r="H116" s="37">
        <f>E116*G116</f>
        <v/>
      </c>
      <c r="I116" s="35" t="inlineStr">
        <is>
          <t>Fleje SAE 1010</t>
        </is>
      </c>
      <c r="J116" s="36" t="inlineStr">
        <is>
          <t>disco Ø221 (kg por m de fleje)</t>
        </is>
      </c>
      <c r="K116" s="35" t="inlineStr">
        <is>
          <t>Compra</t>
        </is>
      </c>
      <c r="L116" s="35" t="inlineStr">
        <is>
          <t>Sí</t>
        </is>
      </c>
      <c r="M116" s="36" t="inlineStr">
        <is>
          <t>Pacheco Chapas</t>
        </is>
      </c>
      <c r="N116" s="36" t="inlineStr">
        <is>
          <t>Pradecon S.A.</t>
        </is>
      </c>
      <c r="O116" s="36" t="inlineStr">
        <is>
          <t>AL-1F porta-flejes</t>
        </is>
      </c>
      <c r="P116" s="36" t="n"/>
      <c r="Q116" s="35" t="inlineStr">
        <is>
          <t>L</t>
        </is>
      </c>
      <c r="R116" s="35" t="inlineStr">
        <is>
          <t>FL_PI_04 h2</t>
        </is>
      </c>
      <c r="S116" s="36" t="n"/>
    </row>
    <row r="117">
      <c r="A117" s="33" t="inlineStr">
        <is>
          <t>FL_MAT_ABC_5kg</t>
        </is>
      </c>
      <c r="B117" s="33" t="n">
        <v>2</v>
      </c>
      <c r="C117" s="33" t="inlineStr">
        <is>
          <t>ABC5-03</t>
        </is>
      </c>
      <c r="D117" s="17" t="inlineStr">
        <is>
          <t xml:space="preserve">        Fondo</t>
        </is>
      </c>
      <c r="E117" s="33" t="n">
        <v>1</v>
      </c>
      <c r="F117" s="33" t="inlineStr">
        <is>
          <t>u</t>
        </is>
      </c>
      <c r="G117" s="34" t="n">
        <v>0.2214</v>
      </c>
      <c r="H117" s="34">
        <f>E117*G117</f>
        <v/>
      </c>
      <c r="I117" s="33" t="inlineStr">
        <is>
          <t>Chapa LAF IRAM-IAS U 500-05 e=1,6</t>
        </is>
      </c>
      <c r="J117" s="17" t="inlineStr">
        <is>
          <t>Ø153 × e1,6 × 17,6 de alto; disco Ø177</t>
        </is>
      </c>
      <c r="K117" s="33" t="inlineStr">
        <is>
          <t>Fabricación</t>
        </is>
      </c>
      <c r="L117" s="33" t="inlineStr">
        <is>
          <t>No</t>
        </is>
      </c>
      <c r="M117" s="17" t="n"/>
      <c r="N117" s="17" t="n"/>
      <c r="O117" s="17" t="inlineStr">
        <is>
          <t>6 Desbobinado + embutido (M06-M08)</t>
        </is>
      </c>
      <c r="P117" s="17" t="n"/>
      <c r="Q117" s="33" t="inlineStr">
        <is>
          <t>P</t>
        </is>
      </c>
      <c r="R117" s="33" t="inlineStr">
        <is>
          <t>FL_DES_ABC_5kg</t>
        </is>
      </c>
      <c r="S117" s="17" t="inlineStr">
        <is>
          <t>embutido</t>
        </is>
      </c>
    </row>
    <row r="118">
      <c r="A118" s="35" t="inlineStr">
        <is>
          <t>FL_MAT_ABC_5kg</t>
        </is>
      </c>
      <c r="B118" s="35" t="n">
        <v>3</v>
      </c>
      <c r="C118" s="35" t="inlineStr">
        <is>
          <t>MP-FLEJE</t>
        </is>
      </c>
      <c r="D118" s="36" t="inlineStr">
        <is>
          <t xml:space="preserve">            Fleje e=1,6 × 200 (paso 180)</t>
        </is>
      </c>
      <c r="E118" s="35" t="n">
        <v>0.18</v>
      </c>
      <c r="F118" s="35" t="inlineStr">
        <is>
          <t>m</t>
        </is>
      </c>
      <c r="G118" s="37" t="n">
        <v>2.512</v>
      </c>
      <c r="H118" s="37">
        <f>E118*G118</f>
        <v/>
      </c>
      <c r="I118" s="35" t="inlineStr">
        <is>
          <t>Fleje SAE 1010</t>
        </is>
      </c>
      <c r="J118" s="36" t="inlineStr">
        <is>
          <t>disco Ø177 (kg por m de fleje)</t>
        </is>
      </c>
      <c r="K118" s="35" t="inlineStr">
        <is>
          <t>Compra</t>
        </is>
      </c>
      <c r="L118" s="35" t="inlineStr">
        <is>
          <t>Sí</t>
        </is>
      </c>
      <c r="M118" s="36" t="inlineStr">
        <is>
          <t>Pacheco Chapas</t>
        </is>
      </c>
      <c r="N118" s="36" t="inlineStr">
        <is>
          <t>Pradecon S.A.</t>
        </is>
      </c>
      <c r="O118" s="36" t="inlineStr">
        <is>
          <t>AL-1F porta-flejes</t>
        </is>
      </c>
      <c r="P118" s="36" t="n"/>
      <c r="Q118" s="35" t="inlineStr">
        <is>
          <t>L</t>
        </is>
      </c>
      <c r="R118" s="35" t="inlineStr">
        <is>
          <t>FL_PI_04 h2</t>
        </is>
      </c>
      <c r="S118" s="36" t="n"/>
    </row>
    <row r="119">
      <c r="A119" s="33" t="inlineStr">
        <is>
          <t>FL_MAT_ABC_5kg</t>
        </is>
      </c>
      <c r="B119" s="33" t="n">
        <v>2</v>
      </c>
      <c r="C119" s="33" t="inlineStr">
        <is>
          <t>ABC5-04</t>
        </is>
      </c>
      <c r="D119" s="17" t="inlineStr">
        <is>
          <t xml:space="preserve">        Cuello roscado</t>
        </is>
      </c>
      <c r="E119" s="33" t="n">
        <v>1</v>
      </c>
      <c r="F119" s="33" t="inlineStr">
        <is>
          <t>u</t>
        </is>
      </c>
      <c r="G119" s="34" t="n">
        <v>0.0589</v>
      </c>
      <c r="H119" s="34">
        <f>E119*G119</f>
        <v/>
      </c>
      <c r="I119" s="33" t="inlineStr">
        <is>
          <t>Acero SAE 1010</t>
        </is>
      </c>
      <c r="J119" s="17" t="inlineStr">
        <is>
          <t>Ø37 × 15 de alto, rosca M30x1,5, asiento Ø35</t>
        </is>
      </c>
      <c r="K119" s="33" t="inlineStr">
        <is>
          <t>Compra (mecanizado, Eli-Met)</t>
        </is>
      </c>
      <c r="L119" s="33" t="inlineStr">
        <is>
          <t>Sí</t>
        </is>
      </c>
      <c r="M119" s="17" t="inlineStr">
        <is>
          <t>Eli-Met</t>
        </is>
      </c>
      <c r="N119" s="17" t="inlineStr">
        <is>
          <t>-</t>
        </is>
      </c>
      <c r="O119" s="17" t="inlineStr">
        <is>
          <t>Compra -&gt; 8 soldadura de cuello</t>
        </is>
      </c>
      <c r="P119" s="17" t="n"/>
      <c r="Q119" s="33" t="inlineStr">
        <is>
          <t>P</t>
        </is>
      </c>
      <c r="R119" s="33" t="inlineStr">
        <is>
          <t>FL_DES_ABC_5kg</t>
        </is>
      </c>
      <c r="S119" s="17" t="inlineStr">
        <is>
          <t>M30x1,5</t>
        </is>
      </c>
    </row>
    <row r="120">
      <c r="A120" s="41" t="inlineStr">
        <is>
          <t>FL_MAT_ABC_5kg</t>
        </is>
      </c>
      <c r="B120" s="41" t="n">
        <v>2</v>
      </c>
      <c r="C120" s="41" t="inlineStr">
        <is>
          <t>ABC5-C1</t>
        </is>
      </c>
      <c r="D120" s="18" t="inlineStr">
        <is>
          <t xml:space="preserve">        Alambre MAG ER70S-6 Ø0,9 (AWS A5.18)</t>
        </is>
      </c>
      <c r="E120" s="41" t="n">
        <v>0.0553</v>
      </c>
      <c r="F120" s="41" t="inlineStr">
        <is>
          <t>kg</t>
        </is>
      </c>
      <c r="G120" s="42" t="n">
        <v>0.95</v>
      </c>
      <c r="H120" s="42">
        <f>E120*G120</f>
        <v/>
      </c>
      <c r="I120" s="41" t="inlineStr">
        <is>
          <t>ER70S-6</t>
        </is>
      </c>
      <c r="J120" s="18" t="inlineStr">
        <is>
          <t>metal depositado de los cordones del plano 53 g / rendimiento 0,95</t>
        </is>
      </c>
      <c r="K120" s="41" t="inlineStr">
        <is>
          <t>Compra</t>
        </is>
      </c>
      <c r="L120" s="41" t="inlineStr">
        <is>
          <t>Sí</t>
        </is>
      </c>
      <c r="M120" s="18" t="inlineStr">
        <is>
          <t>Conarco (ESAB Argentina)</t>
        </is>
      </c>
      <c r="N120" s="18" t="inlineStr">
        <is>
          <t>-</t>
        </is>
      </c>
      <c r="O120" s="18" t="inlineStr">
        <is>
          <t>4 sold. long. / 8 cuello / 11 circunferencial</t>
        </is>
      </c>
      <c r="P120" s="18" t="inlineStr">
        <is>
          <t>IRAM 3523 3.2.4.2 · IRAM 3550 4.1.2</t>
        </is>
      </c>
      <c r="Q120" s="41" t="inlineStr">
        <is>
          <t>C</t>
        </is>
      </c>
      <c r="R120" s="41" t="n"/>
      <c r="S1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1">
      <c r="A121" s="41" t="inlineStr">
        <is>
          <t>FL_MAT_ABC_5kg</t>
        </is>
      </c>
      <c r="B121" s="41" t="n">
        <v>2</v>
      </c>
      <c r="C121" s="41" t="inlineStr">
        <is>
          <t>ABC5-C2</t>
        </is>
      </c>
      <c r="D121" s="18" t="inlineStr">
        <is>
          <t xml:space="preserve">        Gas de protección MAG Arcal 21 / ARCAL Speed (Ar + 8 % CO₂, M20)</t>
        </is>
      </c>
      <c r="E121" s="41" t="n">
        <v>32.6</v>
      </c>
      <c r="F121" s="41" t="inlineStr">
        <is>
          <t>L</t>
        </is>
      </c>
      <c r="G121" s="42" t="n"/>
      <c r="H121" s="42" t="n"/>
      <c r="I121" s="41" t="inlineStr">
        <is>
          <t>EN ISO 14175 M20-ArC-8</t>
        </is>
      </c>
      <c r="J121" s="18" t="inlineStr">
        <is>
          <t>14 L/min × 2,33 min de arco (cordones 1.399 mm: long. 321 + circ. 961 + cuello 116, a 600 mm/min)</t>
        </is>
      </c>
      <c r="K121" s="41" t="inlineStr">
        <is>
          <t>Compra</t>
        </is>
      </c>
      <c r="L121" s="41" t="inlineStr">
        <is>
          <t>Sí</t>
        </is>
      </c>
      <c r="M121" s="18" t="inlineStr">
        <is>
          <t>Air Liquide Argentina - sucursal Piñeyro</t>
        </is>
      </c>
      <c r="N121" s="18" t="inlineStr">
        <is>
          <t>Gogniat</t>
        </is>
      </c>
      <c r="O121" s="18" t="inlineStr">
        <is>
          <t>Colector SC</t>
        </is>
      </c>
      <c r="P121" s="18" t="inlineStr">
        <is>
          <t>IRAM 3523 3.2.4.2 · IRAM 3550 3.2.2.2</t>
        </is>
      </c>
      <c r="Q121" s="41" t="inlineStr">
        <is>
          <t>C</t>
        </is>
      </c>
      <c r="R121" s="41" t="n"/>
      <c r="S1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2">
      <c r="A122" s="41" t="inlineStr">
        <is>
          <t>FL_MAT_ABC_5kg</t>
        </is>
      </c>
      <c r="B122" s="41" t="n">
        <v>2</v>
      </c>
      <c r="C122" s="41" t="inlineStr">
        <is>
          <t>ABC5-C3</t>
        </is>
      </c>
      <c r="D122" s="18" t="inlineStr">
        <is>
          <t xml:space="preserve">        Granalla de acero S330 / S390 (ISO 11124-3, SAE J444)</t>
        </is>
      </c>
      <c r="E122" s="41" t="n">
        <v>0.08</v>
      </c>
      <c r="F122" s="41" t="inlineStr">
        <is>
          <t>kg</t>
        </is>
      </c>
      <c r="G122" s="42" t="n"/>
      <c r="H122" s="42" t="n"/>
      <c r="I122" s="41" t="inlineStr">
        <is>
          <t>Granalla esférica alto C</t>
        </is>
      </c>
      <c r="J122" s="18" t="inlineStr">
        <is>
          <t>0,198 m² a Sa 2½ (ISO 8501-1); 3,4 kg/h ÷ 42,5 u/h</t>
        </is>
      </c>
      <c r="K122" s="41" t="inlineStr">
        <is>
          <t>Compra</t>
        </is>
      </c>
      <c r="L122" s="41" t="inlineStr">
        <is>
          <t>Sí</t>
        </is>
      </c>
      <c r="M122" s="18" t="inlineStr">
        <is>
          <t>CyM Materiales</t>
        </is>
      </c>
      <c r="N122" s="18" t="inlineStr">
        <is>
          <t>Roca Ingeniería</t>
        </is>
      </c>
      <c r="O122" s="18" t="inlineStr">
        <is>
          <t>14 Granallado (B08)</t>
        </is>
      </c>
      <c r="P122" s="18" t="inlineStr">
        <is>
          <t>DOC-01</t>
        </is>
      </c>
      <c r="Q122" s="41" t="inlineStr">
        <is>
          <t>C</t>
        </is>
      </c>
      <c r="R122" s="41" t="n"/>
      <c r="S122" s="18" t="inlineStr">
        <is>
          <t>Consumo (desgaste) por turbina ≈ HP / 2 lb/h (The Fabricator, «aspectos básicos del granallado por turbina»): G-100 con 2 × 7,5 HP = 7,5 lb/h = 3,4 kg/h; ritmo 340 u por turno (Getweld) = 42,5 u/h.</t>
        </is>
      </c>
    </row>
    <row r="123">
      <c r="A123" s="33" t="inlineStr">
        <is>
          <t>FL_MAT_ABC_5kg</t>
        </is>
      </c>
      <c r="B123" s="33" t="n">
        <v>2</v>
      </c>
      <c r="C123" s="33" t="inlineStr">
        <is>
          <t>ABC5-C4</t>
        </is>
      </c>
      <c r="D123" s="17" t="inlineStr">
        <is>
          <t xml:space="preserve">        Servicio de pintura en polvo al horno, rojo 03-1-050</t>
        </is>
      </c>
      <c r="E123" s="33" t="n">
        <v>1</v>
      </c>
      <c r="F123" s="33" t="inlineStr">
        <is>
          <t>u</t>
        </is>
      </c>
      <c r="G123" s="34" t="n"/>
      <c r="H123" s="34" t="n"/>
      <c r="I123" s="33" t="inlineStr">
        <is>
          <t>Servicio tercerizado</t>
        </is>
      </c>
      <c r="J123" s="17" t="inlineStr">
        <is>
          <t>superficie exterior 0,198 m²</t>
        </is>
      </c>
      <c r="K123" s="33" t="inlineStr">
        <is>
          <t>Compra (servicio)</t>
        </is>
      </c>
      <c r="L123" s="33" t="inlineStr">
        <is>
          <t>Sí</t>
        </is>
      </c>
      <c r="M123" s="17" t="inlineStr">
        <is>
          <t>Prymax</t>
        </is>
      </c>
      <c r="N123" s="17" t="inlineStr">
        <is>
          <t>Pintor de carros (cotización por mensaje)</t>
        </is>
      </c>
      <c r="O123" s="17" t="inlineStr">
        <is>
          <t>17 Pintura tercerizada</t>
        </is>
      </c>
      <c r="P123" s="17" t="inlineStr">
        <is>
          <t>IRAM 3523 5.3 / IRAM 3550 3.11 · IRAM 121</t>
        </is>
      </c>
      <c r="Q123" s="33" t="inlineStr">
        <is>
          <t>Q</t>
        </is>
      </c>
      <c r="R123" s="33" t="n"/>
      <c r="S123" s="17" t="inlineStr">
        <is>
          <t>Q-PRYMAX (precio por cilindro); exigir informe de niebla salina del sistema de pintura; tercerización aceptada por el Ministerio (Res. 349/07 art. 18)</t>
        </is>
      </c>
    </row>
    <row r="124">
      <c r="A124" s="30" t="inlineStr">
        <is>
          <t>FL_MAT_ABC_5kg</t>
        </is>
      </c>
      <c r="B124" s="30" t="n">
        <v>1</v>
      </c>
      <c r="C124" s="30" t="inlineStr">
        <is>
          <t>ABC5-S2</t>
        </is>
      </c>
      <c r="D124" s="31" t="inlineStr">
        <is>
          <t xml:space="preserve">    Conjunto de válvula</t>
        </is>
      </c>
      <c r="E124" s="30" t="n">
        <v>1</v>
      </c>
      <c r="F124" s="30" t="inlineStr">
        <is>
          <t>u</t>
        </is>
      </c>
      <c r="G124" s="32" t="n"/>
      <c r="H124" s="32">
        <f>H125+H126+H127+H129+H130+H131+H132+H133+H134+H135</f>
        <v/>
      </c>
      <c r="I124" s="30" t="n"/>
      <c r="J124" s="31" t="n"/>
      <c r="K124" s="30" t="inlineStr">
        <is>
          <t>Compra / armado</t>
        </is>
      </c>
      <c r="L124" s="30" t="n"/>
      <c r="M124" s="31" t="n"/>
      <c r="N124" s="31" t="n"/>
      <c r="O124" s="31" t="n"/>
      <c r="P124" s="31" t="inlineStr">
        <is>
          <t>Manómetro IRAM 3533</t>
        </is>
      </c>
      <c r="Q124" s="30" t="inlineStr">
        <is>
          <t>P</t>
        </is>
      </c>
      <c r="R124" s="30" t="inlineStr">
        <is>
          <t>FL_DES_ABC_5kg</t>
        </is>
      </c>
      <c r="S124" s="31" t="n"/>
    </row>
    <row r="125">
      <c r="A125" s="33" t="inlineStr">
        <is>
          <t>FL_MAT_ABC_5kg</t>
        </is>
      </c>
      <c r="B125" s="33" t="n">
        <v>2</v>
      </c>
      <c r="C125" s="33" t="inlineStr">
        <is>
          <t>ABC5-05</t>
        </is>
      </c>
      <c r="D125" s="17" t="inlineStr">
        <is>
          <t xml:space="preserve">        Collarín de válvula</t>
        </is>
      </c>
      <c r="E125" s="33" t="n">
        <v>1</v>
      </c>
      <c r="F125" s="33" t="inlineStr">
        <is>
          <t>u</t>
        </is>
      </c>
      <c r="G125" s="34" t="n">
        <v>0.0833</v>
      </c>
      <c r="H125" s="34">
        <f>E125*G125</f>
        <v/>
      </c>
      <c r="I125" s="33" t="inlineStr">
        <is>
          <t>Latón forjado</t>
        </is>
      </c>
      <c r="J125" s="17" t="inlineStr">
        <is>
          <t>43 × 43 × 10</t>
        </is>
      </c>
      <c r="K125" s="33" t="inlineStr">
        <is>
          <t>Incluido en válvula HZ</t>
        </is>
      </c>
      <c r="L125" s="33" t="inlineStr">
        <is>
          <t>No</t>
        </is>
      </c>
      <c r="M125" s="17" t="n"/>
      <c r="N125" s="17" t="n"/>
      <c r="O125" s="17" t="inlineStr">
        <is>
          <t>19 Ensamblaje de válvula (T03/T04)</t>
        </is>
      </c>
      <c r="P125" s="17" t="n"/>
      <c r="Q125" s="33" t="inlineStr">
        <is>
          <t>P</t>
        </is>
      </c>
      <c r="R125" s="33" t="inlineStr">
        <is>
          <t>FL_DES_ABC_5kg</t>
        </is>
      </c>
      <c r="S125" s="17" t="n"/>
    </row>
    <row r="126">
      <c r="A126" s="33" t="inlineStr">
        <is>
          <t>FL_MAT_ABC_5kg</t>
        </is>
      </c>
      <c r="B126" s="33" t="n">
        <v>2</v>
      </c>
      <c r="C126" s="33" t="inlineStr">
        <is>
          <t>ABC5-06</t>
        </is>
      </c>
      <c r="D126" s="17" t="inlineStr">
        <is>
          <t xml:space="preserve">        Espiga roscada</t>
        </is>
      </c>
      <c r="E126" s="33" t="n">
        <v>1</v>
      </c>
      <c r="F126" s="33" t="inlineStr">
        <is>
          <t>u</t>
        </is>
      </c>
      <c r="G126" s="34" t="n">
        <v>0.0243</v>
      </c>
      <c r="H126" s="34">
        <f>E126*G126</f>
        <v/>
      </c>
      <c r="I126" s="33" t="inlineStr">
        <is>
          <t>Latón forjado</t>
        </is>
      </c>
      <c r="J126" s="17" t="inlineStr">
        <is>
          <t>28,4 × 28,4 × 12</t>
        </is>
      </c>
      <c r="K126" s="33" t="inlineStr">
        <is>
          <t>Incluido en válvula HZ</t>
        </is>
      </c>
      <c r="L126" s="33" t="inlineStr">
        <is>
          <t>No</t>
        </is>
      </c>
      <c r="M126" s="17" t="n"/>
      <c r="N126" s="17" t="n"/>
      <c r="O126" s="17" t="inlineStr">
        <is>
          <t>19 Ensamblaje de válvula (T03/T04)</t>
        </is>
      </c>
      <c r="P126" s="17" t="n"/>
      <c r="Q126" s="33" t="inlineStr">
        <is>
          <t>P</t>
        </is>
      </c>
      <c r="R126" s="33" t="inlineStr">
        <is>
          <t>FL_DES_ABC_5kg</t>
        </is>
      </c>
      <c r="S126" s="17" t="n"/>
    </row>
    <row r="127">
      <c r="A127" s="33" t="inlineStr">
        <is>
          <t>FL_MAT_ABC_5kg</t>
        </is>
      </c>
      <c r="B127" s="33" t="n">
        <v>2</v>
      </c>
      <c r="C127" s="33" t="inlineStr">
        <is>
          <t>ABC5-07</t>
        </is>
      </c>
      <c r="D127" s="17" t="inlineStr">
        <is>
          <t xml:space="preserve">        Cuerpo de válvula</t>
        </is>
      </c>
      <c r="E127" s="33" t="n">
        <v>1</v>
      </c>
      <c r="F127" s="33" t="inlineStr">
        <is>
          <t>u</t>
        </is>
      </c>
      <c r="G127" s="34" t="n">
        <v>0.4131</v>
      </c>
      <c r="H127" s="34">
        <f>E127*G127</f>
        <v/>
      </c>
      <c r="I127" s="33" t="inlineStr">
        <is>
          <t>Latón forjado</t>
        </is>
      </c>
      <c r="J127" s="17" t="inlineStr">
        <is>
          <t>56,3 × 43 × 34</t>
        </is>
      </c>
      <c r="K127" s="33" t="inlineStr">
        <is>
          <t>Incluido en válvula HZ</t>
        </is>
      </c>
      <c r="L127" s="33" t="inlineStr">
        <is>
          <t>No</t>
        </is>
      </c>
      <c r="M127" s="17" t="n"/>
      <c r="N127" s="17" t="n"/>
      <c r="O127" s="17" t="inlineStr">
        <is>
          <t>19 Ensamblaje de válvula (T03/T04)</t>
        </is>
      </c>
      <c r="P127" s="17" t="n"/>
      <c r="Q127" s="33" t="inlineStr">
        <is>
          <t>P</t>
        </is>
      </c>
      <c r="R127" s="33" t="inlineStr">
        <is>
          <t>FL_DES_ABC_5kg</t>
        </is>
      </c>
      <c r="S127" s="17" t="n"/>
    </row>
    <row r="128">
      <c r="A128" s="45" t="inlineStr">
        <is>
          <t>FL_MAT_ABC_5kg</t>
        </is>
      </c>
      <c r="B128" s="45" t="n">
        <v>2</v>
      </c>
      <c r="C128" s="45" t="inlineStr">
        <is>
          <t>ABC5-08</t>
        </is>
      </c>
      <c r="D128" s="19" t="inlineStr">
        <is>
          <t xml:space="preserve">        Manómetro</t>
        </is>
      </c>
      <c r="E128" s="45" t="n">
        <v>1</v>
      </c>
      <c r="F128" s="45" t="inlineStr">
        <is>
          <t>u</t>
        </is>
      </c>
      <c r="G128" s="46" t="n"/>
      <c r="H128" s="46" t="n"/>
      <c r="I128" s="45" t="inlineStr">
        <is>
          <t>Comercial</t>
        </is>
      </c>
      <c r="J128" s="19" t="inlineStr">
        <is>
          <t>Ø38 esfera, rango 0-3,5 MPa, sector verde en 1,4</t>
        </is>
      </c>
      <c r="K128" s="45" t="inlineStr">
        <is>
          <t>Compra</t>
        </is>
      </c>
      <c r="L128" s="45" t="inlineStr">
        <is>
          <t>Sí</t>
        </is>
      </c>
      <c r="M128" s="19" t="inlineStr">
        <is>
          <t>Yukon / MatafuegosYa S.R.L.</t>
        </is>
      </c>
      <c r="N128" s="19" t="inlineStr">
        <is>
          <t>Matafuegos Iglesias</t>
        </is>
      </c>
      <c r="O128" s="19" t="inlineStr">
        <is>
          <t>19 Ensamblaje de válvula (T03/T04)</t>
        </is>
      </c>
      <c r="P128" s="19" t="inlineStr">
        <is>
          <t>IRAM 3533</t>
        </is>
      </c>
      <c r="Q128" s="45" t="inlineStr">
        <is>
          <t>P</t>
        </is>
      </c>
      <c r="R128" s="45" t="inlineStr">
        <is>
          <t>FL_DES_ABC_5kg</t>
        </is>
      </c>
      <c r="S128" s="19" t="inlineStr">
        <is>
          <t>Pieza comercial; sello IRAM 3533; peso: completar con la ficha del proveedor (no afecta el MRP)</t>
        </is>
      </c>
    </row>
    <row r="129">
      <c r="A129" s="33" t="inlineStr">
        <is>
          <t>FL_MAT_ABC_5kg</t>
        </is>
      </c>
      <c r="B129" s="33" t="n">
        <v>2</v>
      </c>
      <c r="C129" s="33" t="inlineStr">
        <is>
          <t>ABC5-09</t>
        </is>
      </c>
      <c r="D129" s="17" t="inlineStr">
        <is>
          <t xml:space="preserve">        Manija de transporte</t>
        </is>
      </c>
      <c r="E129" s="33" t="n">
        <v>1</v>
      </c>
      <c r="F129" s="33" t="inlineStr">
        <is>
          <t>u</t>
        </is>
      </c>
      <c r="G129" s="34" t="n">
        <v>0.0619</v>
      </c>
      <c r="H129" s="34">
        <f>E129*G129</f>
        <v/>
      </c>
      <c r="I129" s="33" t="inlineStr">
        <is>
          <t>Chapa acero SAE 1010 pintada</t>
        </is>
      </c>
      <c r="J129" s="17" t="inlineStr">
        <is>
          <t>98,4 × 20 × 14,3</t>
        </is>
      </c>
      <c r="K129" s="33" t="inlineStr">
        <is>
          <t>Incluido en válvula HZ</t>
        </is>
      </c>
      <c r="L129" s="33" t="inlineStr">
        <is>
          <t>No</t>
        </is>
      </c>
      <c r="M129" s="17" t="n"/>
      <c r="N129" s="17" t="n"/>
      <c r="O129" s="17" t="inlineStr">
        <is>
          <t>19 Ensamblaje de válvula (T03/T04)</t>
        </is>
      </c>
      <c r="P129" s="17" t="n"/>
      <c r="Q129" s="33" t="inlineStr">
        <is>
          <t>P</t>
        </is>
      </c>
      <c r="R129" s="33" t="inlineStr">
        <is>
          <t>FL_DES_ABC_5kg</t>
        </is>
      </c>
      <c r="S129" s="17" t="n"/>
    </row>
    <row r="130">
      <c r="A130" s="33" t="inlineStr">
        <is>
          <t>FL_MAT_ABC_5kg</t>
        </is>
      </c>
      <c r="B130" s="33" t="n">
        <v>2</v>
      </c>
      <c r="C130" s="33" t="inlineStr">
        <is>
          <t>ABC5-10</t>
        </is>
      </c>
      <c r="D130" s="17" t="inlineStr">
        <is>
          <t xml:space="preserve">        Manija de accionamiento</t>
        </is>
      </c>
      <c r="E130" s="33" t="n">
        <v>1</v>
      </c>
      <c r="F130" s="33" t="inlineStr">
        <is>
          <t>u</t>
        </is>
      </c>
      <c r="G130" s="34" t="n">
        <v>0.08890000000000001</v>
      </c>
      <c r="H130" s="34">
        <f>E130*G130</f>
        <v/>
      </c>
      <c r="I130" s="33" t="inlineStr">
        <is>
          <t>Chapa acero SAE 1010 pintada</t>
        </is>
      </c>
      <c r="J130" s="17" t="inlineStr">
        <is>
          <t>141 × 21,2 × 20</t>
        </is>
      </c>
      <c r="K130" s="33" t="inlineStr">
        <is>
          <t>Incluido en válvula HZ</t>
        </is>
      </c>
      <c r="L130" s="33" t="inlineStr">
        <is>
          <t>No</t>
        </is>
      </c>
      <c r="M130" s="17" t="n"/>
      <c r="N130" s="17" t="n"/>
      <c r="O130" s="17" t="inlineStr">
        <is>
          <t>19 Ensamblaje de válvula (T03/T04)</t>
        </is>
      </c>
      <c r="P130" s="17" t="n"/>
      <c r="Q130" s="33" t="inlineStr">
        <is>
          <t>P</t>
        </is>
      </c>
      <c r="R130" s="33" t="inlineStr">
        <is>
          <t>FL_DES_ABC_5kg</t>
        </is>
      </c>
      <c r="S130" s="17" t="n"/>
    </row>
    <row r="131">
      <c r="A131" s="33" t="inlineStr">
        <is>
          <t>FL_MAT_ABC_5kg</t>
        </is>
      </c>
      <c r="B131" s="33" t="n">
        <v>2</v>
      </c>
      <c r="C131" s="33" t="inlineStr">
        <is>
          <t>ABC5-11</t>
        </is>
      </c>
      <c r="D131" s="17" t="inlineStr">
        <is>
          <t xml:space="preserve">        Eje de palanca</t>
        </is>
      </c>
      <c r="E131" s="33" t="n">
        <v>1</v>
      </c>
      <c r="F131" s="33" t="inlineStr">
        <is>
          <t>u</t>
        </is>
      </c>
      <c r="G131" s="34" t="n">
        <v>0.0081</v>
      </c>
      <c r="H131" s="34">
        <f>E131*G131</f>
        <v/>
      </c>
      <c r="I131" s="33" t="inlineStr">
        <is>
          <t>Acero inox. AISI 304</t>
        </is>
      </c>
      <c r="J131" s="17" t="inlineStr">
        <is>
          <t>36 × 6 × 6</t>
        </is>
      </c>
      <c r="K131" s="33" t="inlineStr">
        <is>
          <t>Incluido en válvula HZ</t>
        </is>
      </c>
      <c r="L131" s="33" t="inlineStr">
        <is>
          <t>No</t>
        </is>
      </c>
      <c r="M131" s="17" t="n"/>
      <c r="N131" s="17" t="n"/>
      <c r="O131" s="17" t="inlineStr">
        <is>
          <t>19 Ensamblaje de válvula (T03/T04)</t>
        </is>
      </c>
      <c r="P131" s="17" t="n"/>
      <c r="Q131" s="33" t="inlineStr">
        <is>
          <t>P</t>
        </is>
      </c>
      <c r="R131" s="33" t="inlineStr">
        <is>
          <t>FL_DES_ABC_5kg</t>
        </is>
      </c>
      <c r="S131" s="17" t="n"/>
    </row>
    <row r="132">
      <c r="A132" s="33" t="inlineStr">
        <is>
          <t>FL_MAT_ABC_5kg</t>
        </is>
      </c>
      <c r="B132" s="33" t="n">
        <v>2</v>
      </c>
      <c r="C132" s="33" t="inlineStr">
        <is>
          <t>ABC5-12</t>
        </is>
      </c>
      <c r="D132" s="17" t="inlineStr">
        <is>
          <t xml:space="preserve">        Vástago</t>
        </is>
      </c>
      <c r="E132" s="33" t="n">
        <v>1</v>
      </c>
      <c r="F132" s="33" t="inlineStr">
        <is>
          <t>u</t>
        </is>
      </c>
      <c r="G132" s="34" t="n">
        <v>0.0017</v>
      </c>
      <c r="H132" s="34">
        <f>E132*G132</f>
        <v/>
      </c>
      <c r="I132" s="33" t="inlineStr">
        <is>
          <t>Latón</t>
        </is>
      </c>
      <c r="J132" s="17" t="inlineStr">
        <is>
          <t>8 × 8 × 4</t>
        </is>
      </c>
      <c r="K132" s="33" t="inlineStr">
        <is>
          <t>Incluido en válvula HZ</t>
        </is>
      </c>
      <c r="L132" s="33" t="inlineStr">
        <is>
          <t>No</t>
        </is>
      </c>
      <c r="M132" s="17" t="n"/>
      <c r="N132" s="17" t="n"/>
      <c r="O132" s="17" t="inlineStr">
        <is>
          <t>19 Ensamblaje de válvula (T03/T04)</t>
        </is>
      </c>
      <c r="P132" s="17" t="n"/>
      <c r="Q132" s="33" t="inlineStr">
        <is>
          <t>P</t>
        </is>
      </c>
      <c r="R132" s="33" t="inlineStr">
        <is>
          <t>FL_DES_ABC_5kg</t>
        </is>
      </c>
      <c r="S132" s="17" t="inlineStr">
        <is>
          <t>con junta tórica</t>
        </is>
      </c>
    </row>
    <row r="133">
      <c r="A133" s="33" t="inlineStr">
        <is>
          <t>FL_MAT_ABC_5kg</t>
        </is>
      </c>
      <c r="B133" s="33" t="n">
        <v>2</v>
      </c>
      <c r="C133" s="33" t="inlineStr">
        <is>
          <t>ABC5-13</t>
        </is>
      </c>
      <c r="D133" s="17" t="inlineStr">
        <is>
          <t xml:space="preserve">        Pasador de seguridad</t>
        </is>
      </c>
      <c r="E133" s="33" t="n">
        <v>1</v>
      </c>
      <c r="F133" s="33" t="inlineStr">
        <is>
          <t>u</t>
        </is>
      </c>
      <c r="G133" s="34" t="n">
        <v>0.0055</v>
      </c>
      <c r="H133" s="34">
        <f>E133*G133</f>
        <v/>
      </c>
      <c r="I133" s="33" t="inlineStr">
        <is>
          <t>Alambre acero inox. AISI 304</t>
        </is>
      </c>
      <c r="J133" s="17" t="inlineStr">
        <is>
          <t>45,4 × 21 × 20,8</t>
        </is>
      </c>
      <c r="K133" s="33" t="inlineStr">
        <is>
          <t>Incluido en válvula HZ</t>
        </is>
      </c>
      <c r="L133" s="33" t="inlineStr">
        <is>
          <t>No</t>
        </is>
      </c>
      <c r="M133" s="17" t="n"/>
      <c r="N133" s="17" t="n"/>
      <c r="O133" s="17" t="inlineStr">
        <is>
          <t>19 Ensamblaje de válvula (T03/T04)</t>
        </is>
      </c>
      <c r="P133" s="17" t="n"/>
      <c r="Q133" s="33" t="inlineStr">
        <is>
          <t>P</t>
        </is>
      </c>
      <c r="R133" s="33" t="inlineStr">
        <is>
          <t>FL_DES_ABC_5kg</t>
        </is>
      </c>
      <c r="S133" s="17" t="inlineStr">
        <is>
          <t>con precinto</t>
        </is>
      </c>
    </row>
    <row r="134">
      <c r="A134" s="33" t="inlineStr">
        <is>
          <t>FL_MAT_ABC_5kg</t>
        </is>
      </c>
      <c r="B134" s="33" t="n">
        <v>2</v>
      </c>
      <c r="C134" s="33" t="inlineStr">
        <is>
          <t>ABC5-14</t>
        </is>
      </c>
      <c r="D134" s="17" t="inlineStr">
        <is>
          <t xml:space="preserve">        Caño de pesca (sifón)</t>
        </is>
      </c>
      <c r="E134" s="33" t="n">
        <v>1</v>
      </c>
      <c r="F134" s="33" t="inlineStr">
        <is>
          <t>u</t>
        </is>
      </c>
      <c r="G134" s="34" t="n">
        <v>0.0244</v>
      </c>
      <c r="H134" s="34">
        <f>E134*G134</f>
        <v/>
      </c>
      <c r="I134" s="33" t="inlineStr">
        <is>
          <t>Tubo PVC rígido</t>
        </is>
      </c>
      <c r="J134" s="17" t="inlineStr">
        <is>
          <t>Ø12 × 352,4 de largo</t>
        </is>
      </c>
      <c r="K134" s="33" t="inlineStr">
        <is>
          <t>Incluido en válvula HZ</t>
        </is>
      </c>
      <c r="L134" s="33" t="inlineStr">
        <is>
          <t>No</t>
        </is>
      </c>
      <c r="M134" s="17" t="n"/>
      <c r="N134" s="17" t="n"/>
      <c r="O134" s="17" t="inlineStr">
        <is>
          <t>19 Ensamblaje de válvula (T03/T04)</t>
        </is>
      </c>
      <c r="P134" s="17" t="n"/>
      <c r="Q134" s="33" t="inlineStr">
        <is>
          <t>P</t>
        </is>
      </c>
      <c r="R134" s="33" t="inlineStr">
        <is>
          <t>FL_DES_ABC_5kg</t>
        </is>
      </c>
      <c r="S134" s="17" t="n"/>
    </row>
    <row r="135">
      <c r="A135" s="33" t="inlineStr">
        <is>
          <t>FL_MAT_ABC_5kg</t>
        </is>
      </c>
      <c r="B135" s="33" t="n">
        <v>2</v>
      </c>
      <c r="C135" s="33" t="inlineStr">
        <is>
          <t>ABC5-24</t>
        </is>
      </c>
      <c r="D135" s="17" t="inlineStr">
        <is>
          <t xml:space="preserve">        Junta tórica de asiento</t>
        </is>
      </c>
      <c r="E135" s="33" t="n">
        <v>1</v>
      </c>
      <c r="F135" s="33" t="inlineStr">
        <is>
          <t>u</t>
        </is>
      </c>
      <c r="G135" s="34" t="n">
        <v>0.001</v>
      </c>
      <c r="H135" s="34">
        <f>E135*G135</f>
        <v/>
      </c>
      <c r="I135" s="33" t="inlineStr">
        <is>
          <t>NBR 70 Shore A</t>
        </is>
      </c>
      <c r="J135" s="17" t="inlineStr">
        <is>
          <t>Ø31,4 ext. × cordón 3</t>
        </is>
      </c>
      <c r="K135" s="33" t="inlineStr">
        <is>
          <t>Compra</t>
        </is>
      </c>
      <c r="L135" s="33" t="inlineStr">
        <is>
          <t>Sí</t>
        </is>
      </c>
      <c r="M135" s="17" t="inlineStr">
        <is>
          <t>Argensold</t>
        </is>
      </c>
      <c r="N135" s="17" t="inlineStr">
        <is>
          <t>Matafuegos Iglesias</t>
        </is>
      </c>
      <c r="O135" s="17" t="inlineStr">
        <is>
          <t>19 Ensamblaje de válvula (T03/T04)</t>
        </is>
      </c>
      <c r="P135" s="17" t="n"/>
      <c r="Q135" s="33" t="inlineStr">
        <is>
          <t>P</t>
        </is>
      </c>
      <c r="R135" s="33" t="inlineStr">
        <is>
          <t>FL_DES_ABC_5kg</t>
        </is>
      </c>
      <c r="S135" s="17" t="inlineStr">
        <is>
          <t>cambio c/recarga</t>
        </is>
      </c>
    </row>
    <row r="136">
      <c r="A136" s="33" t="inlineStr">
        <is>
          <t>FL_MAT_ABC_5kg</t>
        </is>
      </c>
      <c r="B136" s="33" t="n">
        <v>2</v>
      </c>
      <c r="C136" s="33" t="inlineStr">
        <is>
          <t>ABC5-K2</t>
        </is>
      </c>
      <c r="D136" s="17" t="inlineStr">
        <is>
          <t xml:space="preserve">        Válvula HZ armada M-30 c/resorte y tubo 7/8</t>
        </is>
      </c>
      <c r="E136" s="33" t="n">
        <v>1</v>
      </c>
      <c r="F136" s="33" t="inlineStr">
        <is>
          <t>u</t>
        </is>
      </c>
      <c r="G136" s="34" t="n"/>
      <c r="H136" s="34" t="n"/>
      <c r="I136" s="33" t="inlineStr">
        <is>
          <t>Latón forjado (HZ)</t>
        </is>
      </c>
      <c r="J136" s="17" t="inlineStr">
        <is>
          <t>rosca M30x1,5</t>
        </is>
      </c>
      <c r="K136" s="33" t="inlineStr">
        <is>
          <t>Compra</t>
        </is>
      </c>
      <c r="L136" s="33" t="inlineStr">
        <is>
          <t>Sí</t>
        </is>
      </c>
      <c r="M136" s="17" t="inlineStr">
        <is>
          <t>Polvex S.R.L. / Sancibrao</t>
        </is>
      </c>
      <c r="N136" s="17" t="inlineStr">
        <is>
          <t>Mozart S.R.L.</t>
        </is>
      </c>
      <c r="O136" s="17" t="inlineStr">
        <is>
          <t>19 Ensamblaje de válvula</t>
        </is>
      </c>
      <c r="P136" s="17" t="inlineStr">
        <is>
          <t>IRAM 3523 3.3</t>
        </is>
      </c>
      <c r="Q136" s="33" t="inlineStr">
        <is>
          <t>Q</t>
        </is>
      </c>
      <c r="R136" s="33" t="inlineStr">
        <is>
          <t>FL_DES_ABC_5kg</t>
        </is>
      </c>
      <c r="S136" s="17" t="inlineStr">
        <is>
          <t>Lista de precios HZ (Q-AGENTES); plano Fadesa usa válvula HZ (R-FADESA). Trae las piezas marcadas «Incluido en válvula HZ»</t>
        </is>
      </c>
    </row>
    <row r="137">
      <c r="A137" s="33" t="inlineStr">
        <is>
          <t>FL_MAT_ABC_5kg</t>
        </is>
      </c>
      <c r="B137" s="33" t="n">
        <v>2</v>
      </c>
      <c r="C137" s="33" t="inlineStr">
        <is>
          <t>ABC5-V2</t>
        </is>
      </c>
      <c r="D137" s="17" t="inlineStr">
        <is>
          <t xml:space="preserve">        Resorte de retorno del vástago</t>
        </is>
      </c>
      <c r="E137" s="33" t="n">
        <v>1</v>
      </c>
      <c r="F137" s="33" t="inlineStr">
        <is>
          <t>u</t>
        </is>
      </c>
      <c r="G137" s="34" t="n"/>
      <c r="H137" s="34" t="n"/>
      <c r="I137" s="33" t="inlineStr">
        <is>
          <t>Acero para resortes</t>
        </is>
      </c>
      <c r="J137" s="17" t="inlineStr">
        <is>
          <t>incluido en la válvula</t>
        </is>
      </c>
      <c r="K137" s="33" t="inlineStr">
        <is>
          <t>Incluido en válvula HZ</t>
        </is>
      </c>
      <c r="L137" s="33" t="inlineStr">
        <is>
          <t>No</t>
        </is>
      </c>
      <c r="M137" s="17" t="n"/>
      <c r="N137" s="17" t="n"/>
      <c r="O137" s="17" t="inlineStr">
        <is>
          <t>19 Ensamblaje</t>
        </is>
      </c>
      <c r="P137" s="17" t="n"/>
      <c r="Q137" s="33" t="inlineStr">
        <is>
          <t>Q</t>
        </is>
      </c>
      <c r="R137" s="33" t="n"/>
      <c r="S137" s="17" t="inlineStr">
        <is>
          <t>Lista de precios HZ: válvula «c/resorte» (Q-AGENTES)</t>
        </is>
      </c>
    </row>
    <row r="138">
      <c r="A138" s="33" t="inlineStr">
        <is>
          <t>FL_MAT_ABC_5kg</t>
        </is>
      </c>
      <c r="B138" s="33" t="n">
        <v>2</v>
      </c>
      <c r="C138" s="33" t="inlineStr">
        <is>
          <t>ABC5-V3</t>
        </is>
      </c>
      <c r="D138" s="17" t="inlineStr">
        <is>
          <t xml:space="preserve">        Junta tórica del vástago</t>
        </is>
      </c>
      <c r="E138" s="33" t="n">
        <v>1</v>
      </c>
      <c r="F138" s="33" t="inlineStr">
        <is>
          <t>u</t>
        </is>
      </c>
      <c r="G138" s="34" t="n"/>
      <c r="H138" s="34" t="n"/>
      <c r="I138" s="33" t="inlineStr">
        <is>
          <t>NBR 70 Shore A</t>
        </is>
      </c>
      <c r="J138" s="17" t="inlineStr">
        <is>
          <t>incluida en la válvula</t>
        </is>
      </c>
      <c r="K138" s="33" t="inlineStr">
        <is>
          <t>Incluido en válvula HZ</t>
        </is>
      </c>
      <c r="L138" s="33" t="inlineStr">
        <is>
          <t>No</t>
        </is>
      </c>
      <c r="M138" s="17" t="n"/>
      <c r="N138" s="17" t="n"/>
      <c r="O138" s="17" t="inlineStr">
        <is>
          <t>19 Ensamblaje</t>
        </is>
      </c>
      <c r="P138" s="17" t="n"/>
      <c r="Q138" s="33" t="inlineStr">
        <is>
          <t>P</t>
        </is>
      </c>
      <c r="R138" s="33" t="n"/>
      <c r="S138" s="17" t="inlineStr">
        <is>
          <t>Figura en el plano como «vástago con junta tórica»</t>
        </is>
      </c>
    </row>
    <row r="139">
      <c r="A139" s="30" t="inlineStr">
        <is>
          <t>FL_MAT_ABC_5kg</t>
        </is>
      </c>
      <c r="B139" s="30" t="n">
        <v>1</v>
      </c>
      <c r="C139" s="30" t="inlineStr">
        <is>
          <t>ABC5-S3</t>
        </is>
      </c>
      <c r="D139" s="31" t="inlineStr">
        <is>
          <t xml:space="preserve">    Dispositivo de descarga</t>
        </is>
      </c>
      <c r="E139" s="30" t="n">
        <v>1</v>
      </c>
      <c r="F139" s="30" t="inlineStr">
        <is>
          <t>u</t>
        </is>
      </c>
      <c r="G139" s="32" t="n"/>
      <c r="H139" s="32">
        <f>H140+H141+H142+H143</f>
        <v/>
      </c>
      <c r="I139" s="30" t="n"/>
      <c r="J139" s="31" t="n"/>
      <c r="K139" s="30" t="inlineStr">
        <is>
          <t>Compra / armado</t>
        </is>
      </c>
      <c r="L139" s="30" t="n"/>
      <c r="M139" s="31" t="n"/>
      <c r="N139" s="31" t="n"/>
      <c r="O139" s="31" t="n"/>
      <c r="P139" s="31" t="n"/>
      <c r="Q139" s="30" t="inlineStr">
        <is>
          <t>P</t>
        </is>
      </c>
      <c r="R139" s="30" t="inlineStr">
        <is>
          <t>FL_DES_ABC_5kg</t>
        </is>
      </c>
      <c r="S139" s="31" t="n"/>
    </row>
    <row r="140">
      <c r="A140" s="33" t="inlineStr">
        <is>
          <t>FL_MAT_ABC_5kg</t>
        </is>
      </c>
      <c r="B140" s="33" t="n">
        <v>2</v>
      </c>
      <c r="C140" s="33" t="inlineStr">
        <is>
          <t>ABC5-15</t>
        </is>
      </c>
      <c r="D140" s="17" t="inlineStr">
        <is>
          <t xml:space="preserve">        Racor de manguera</t>
        </is>
      </c>
      <c r="E140" s="33" t="n">
        <v>1</v>
      </c>
      <c r="F140" s="33" t="inlineStr">
        <is>
          <t>u</t>
        </is>
      </c>
      <c r="G140" s="34" t="n">
        <v>0.0258</v>
      </c>
      <c r="H140" s="34">
        <f>E140*G140</f>
        <v/>
      </c>
      <c r="I140" s="33" t="inlineStr">
        <is>
          <t>Latón</t>
        </is>
      </c>
      <c r="J140" s="17" t="inlineStr">
        <is>
          <t>18 × 18 × 12</t>
        </is>
      </c>
      <c r="K140" s="33" t="inlineStr">
        <is>
          <t>Compra</t>
        </is>
      </c>
      <c r="L140" s="33" t="inlineStr">
        <is>
          <t>Sí</t>
        </is>
      </c>
      <c r="M140" s="17" t="inlineStr">
        <is>
          <t>Yukon / MatafuegosYa S.R.L.</t>
        </is>
      </c>
      <c r="N140" s="17" t="inlineStr">
        <is>
          <t>Matafuegos Iglesias</t>
        </is>
      </c>
      <c r="O140" s="17" t="inlineStr">
        <is>
          <t>19 Ensamblaje (T03/T04)</t>
        </is>
      </c>
      <c r="P140" s="17" t="n"/>
      <c r="Q140" s="33" t="inlineStr">
        <is>
          <t>P</t>
        </is>
      </c>
      <c r="R140" s="33" t="inlineStr">
        <is>
          <t>FL_DES_ABC_5kg</t>
        </is>
      </c>
      <c r="S140" s="17" t="n"/>
    </row>
    <row r="141">
      <c r="A141" s="33" t="inlineStr">
        <is>
          <t>FL_MAT_ABC_5kg</t>
        </is>
      </c>
      <c r="B141" s="33" t="n">
        <v>2</v>
      </c>
      <c r="C141" s="33" t="inlineStr">
        <is>
          <t>ABC5-16</t>
        </is>
      </c>
      <c r="D141" s="17" t="inlineStr">
        <is>
          <t xml:space="preserve">        Manguera</t>
        </is>
      </c>
      <c r="E141" s="33" t="n">
        <v>1</v>
      </c>
      <c r="F141" s="33" t="inlineStr">
        <is>
          <t>u</t>
        </is>
      </c>
      <c r="G141" s="34" t="n">
        <v>0.046</v>
      </c>
      <c r="H141" s="34">
        <f>E141*G141</f>
        <v/>
      </c>
      <c r="I141" s="33" t="inlineStr">
        <is>
          <t>Caucho sintético</t>
        </is>
      </c>
      <c r="J141" s="17" t="inlineStr">
        <is>
          <t>Ø16 × 298 de largo desarrollado</t>
        </is>
      </c>
      <c r="K141" s="33" t="inlineStr">
        <is>
          <t>Compra</t>
        </is>
      </c>
      <c r="L141" s="33" t="inlineStr">
        <is>
          <t>Sí</t>
        </is>
      </c>
      <c r="M141" s="17" t="inlineStr">
        <is>
          <t>Yukon / MatafuegosYa S.R.L.</t>
        </is>
      </c>
      <c r="N141" s="17" t="inlineStr">
        <is>
          <t>Matafuegos Iglesias</t>
        </is>
      </c>
      <c r="O141" s="17" t="inlineStr">
        <is>
          <t>19 Ensamblaje (T03/T04)</t>
        </is>
      </c>
      <c r="P141" s="17" t="n"/>
      <c r="Q141" s="33" t="inlineStr">
        <is>
          <t>P</t>
        </is>
      </c>
      <c r="R141" s="33" t="inlineStr">
        <is>
          <t>FL_DES_ABC_5kg</t>
        </is>
      </c>
      <c r="S141" s="17" t="n"/>
    </row>
    <row r="142">
      <c r="A142" s="33" t="inlineStr">
        <is>
          <t>FL_MAT_ABC_5kg</t>
        </is>
      </c>
      <c r="B142" s="33" t="n">
        <v>2</v>
      </c>
      <c r="C142" s="33" t="inlineStr">
        <is>
          <t>ABC5-17</t>
        </is>
      </c>
      <c r="D142" s="17" t="inlineStr">
        <is>
          <t xml:space="preserve">        Tobera con portatobera</t>
        </is>
      </c>
      <c r="E142" s="33" t="n">
        <v>1</v>
      </c>
      <c r="F142" s="33" t="inlineStr">
        <is>
          <t>u</t>
        </is>
      </c>
      <c r="G142" s="34" t="n">
        <v>0.0166</v>
      </c>
      <c r="H142" s="34">
        <f>E142*G142</f>
        <v/>
      </c>
      <c r="I142" s="33" t="inlineStr">
        <is>
          <t>Polipropileno</t>
        </is>
      </c>
      <c r="J142" s="17" t="inlineStr">
        <is>
          <t>75 × 24 × 24</t>
        </is>
      </c>
      <c r="K142" s="33" t="inlineStr">
        <is>
          <t>Compra</t>
        </is>
      </c>
      <c r="L142" s="33" t="inlineStr">
        <is>
          <t>Sí</t>
        </is>
      </c>
      <c r="M142" s="17" t="inlineStr">
        <is>
          <t>Yukon / MatafuegosYa S.R.L.</t>
        </is>
      </c>
      <c r="N142" s="17" t="inlineStr">
        <is>
          <t>Matafuegos Iglesias</t>
        </is>
      </c>
      <c r="O142" s="17" t="inlineStr">
        <is>
          <t>19 Ensamblaje (T03/T04)</t>
        </is>
      </c>
      <c r="P142" s="17" t="n"/>
      <c r="Q142" s="33" t="inlineStr">
        <is>
          <t>P</t>
        </is>
      </c>
      <c r="R142" s="33" t="inlineStr">
        <is>
          <t>FL_DES_ABC_5kg</t>
        </is>
      </c>
      <c r="S142" s="17" t="n"/>
    </row>
    <row r="143">
      <c r="A143" s="33" t="inlineStr">
        <is>
          <t>FL_MAT_ABC_5kg</t>
        </is>
      </c>
      <c r="B143" s="33" t="n">
        <v>2</v>
      </c>
      <c r="C143" s="33" t="inlineStr">
        <is>
          <t>ABC5-18</t>
        </is>
      </c>
      <c r="D143" s="17" t="inlineStr">
        <is>
          <t xml:space="preserve">        Suncho portatobera</t>
        </is>
      </c>
      <c r="E143" s="33" t="n">
        <v>1</v>
      </c>
      <c r="F143" s="33" t="inlineStr">
        <is>
          <t>u</t>
        </is>
      </c>
      <c r="G143" s="34" t="n">
        <v>0.1319</v>
      </c>
      <c r="H143" s="34">
        <f>E143*G143</f>
        <v/>
      </c>
      <c r="I143" s="33" t="inlineStr">
        <is>
          <t>Fleje acero SAE 1010 pintado</t>
        </is>
      </c>
      <c r="J143" s="17" t="inlineStr">
        <is>
          <t>159,9 × 156 × 18</t>
        </is>
      </c>
      <c r="K143" s="33" t="inlineStr">
        <is>
          <t>Compra (estructura)</t>
        </is>
      </c>
      <c r="L143" s="33" t="inlineStr">
        <is>
          <t>Sí</t>
        </is>
      </c>
      <c r="M143" s="17" t="inlineStr">
        <is>
          <t>Yukon / MatafuegosYa S.R.L.</t>
        </is>
      </c>
      <c r="N143" s="17" t="inlineStr">
        <is>
          <t>Matafuegos Iglesias</t>
        </is>
      </c>
      <c r="O143" s="17" t="inlineStr">
        <is>
          <t>19 Ensamblaje (T03/T04)</t>
        </is>
      </c>
      <c r="P143" s="17" t="n"/>
      <c r="Q143" s="33" t="inlineStr">
        <is>
          <t>P</t>
        </is>
      </c>
      <c r="R143" s="33" t="inlineStr">
        <is>
          <t>FL_DES_ABC_5kg</t>
        </is>
      </c>
      <c r="S143" s="17" t="n"/>
    </row>
    <row r="144">
      <c r="A144" s="30" t="inlineStr">
        <is>
          <t>FL_MAT_ABC_5kg</t>
        </is>
      </c>
      <c r="B144" s="30" t="n">
        <v>1</v>
      </c>
      <c r="C144" s="30" t="inlineStr">
        <is>
          <t>ABC5-S5</t>
        </is>
      </c>
      <c r="D144" s="31" t="inlineStr">
        <is>
          <t xml:space="preserve">    Carga: agente extintor y gas impulsor</t>
        </is>
      </c>
      <c r="E144" s="30" t="n">
        <v>1</v>
      </c>
      <c r="F144" s="30" t="inlineStr">
        <is>
          <t>u</t>
        </is>
      </c>
      <c r="G144" s="32" t="n"/>
      <c r="H144" s="32">
        <f>H145+H146</f>
        <v/>
      </c>
      <c r="I144" s="30" t="n"/>
      <c r="J144" s="31" t="n"/>
      <c r="K144" s="30" t="inlineStr">
        <is>
          <t>Carga en planta</t>
        </is>
      </c>
      <c r="L144" s="30" t="n"/>
      <c r="M144" s="31" t="n"/>
      <c r="N144" s="31" t="n"/>
      <c r="O144" s="31" t="inlineStr">
        <is>
          <t>18 Carga de polvo (T01) / C8 (T02)</t>
        </is>
      </c>
      <c r="P144" s="31" t="n"/>
      <c r="Q144" s="30" t="n"/>
      <c r="R144" s="30" t="n"/>
      <c r="S144" s="31" t="n"/>
    </row>
    <row r="145">
      <c r="A145" s="33" t="inlineStr">
        <is>
          <t>FL_MAT_ABC_5kg</t>
        </is>
      </c>
      <c r="B145" s="33" t="n">
        <v>2</v>
      </c>
      <c r="C145" s="33" t="inlineStr">
        <is>
          <t>ABC5-A1</t>
        </is>
      </c>
      <c r="D145" s="17" t="inlineStr">
        <is>
          <t xml:space="preserve">        Polvo químico seco ABC 60 (Sello IRAM 3569)</t>
        </is>
      </c>
      <c r="E145" s="33" t="n">
        <v>5.15</v>
      </c>
      <c r="F145" s="33" t="inlineStr">
        <is>
          <t>kg</t>
        </is>
      </c>
      <c r="G145" s="34" t="n">
        <v>1</v>
      </c>
      <c r="H145" s="34">
        <f>E145*G145</f>
        <v/>
      </c>
      <c r="I145" s="33" t="inlineStr">
        <is>
          <t>Polvo químico seco ABC 60 (Sello IRAM 3569)</t>
        </is>
      </c>
      <c r="J145" s="17" t="inlineStr">
        <is>
          <t>nominal 5 kg; tolerancia 0 / +300 g (IRAM 3517-2:2020 tabla 3 · IRAM 3523 tabla II)</t>
        </is>
      </c>
      <c r="K145" s="33" t="inlineStr">
        <is>
          <t>Compra</t>
        </is>
      </c>
      <c r="L145" s="33" t="inlineStr">
        <is>
          <t>Sí</t>
        </is>
      </c>
      <c r="M145" s="17" t="inlineStr">
        <is>
          <t>DEM S.A. (DEMSA)</t>
        </is>
      </c>
      <c r="N145" s="17" t="inlineStr">
        <is>
          <t>Polvex S.R.L. / Sancibrao</t>
        </is>
      </c>
      <c r="O145" s="17" t="inlineStr">
        <is>
          <t>SP-1 almacén previo a la carga</t>
        </is>
      </c>
      <c r="P145" s="17" t="inlineStr">
        <is>
          <t>IRAM 3569</t>
        </is>
      </c>
      <c r="Q145" s="33" t="inlineStr">
        <is>
          <t>N</t>
        </is>
      </c>
      <c r="R145" s="33" t="n"/>
      <c r="S1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6">
      <c r="A146" s="41" t="inlineStr">
        <is>
          <t>FL_MAT_ABC_5kg</t>
        </is>
      </c>
      <c r="B146" s="41" t="n">
        <v>2</v>
      </c>
      <c r="C146" s="41" t="inlineStr">
        <is>
          <t>ABC5-A2</t>
        </is>
      </c>
      <c r="D146" s="18" t="inlineStr">
        <is>
          <t xml:space="preserve">        Gas impulsor: N₂</t>
        </is>
      </c>
      <c r="E146" s="41" t="n">
        <v>0.0251</v>
      </c>
      <c r="F146" s="41" t="inlineStr">
        <is>
          <t>kg</t>
        </is>
      </c>
      <c r="G146" s="42" t="n">
        <v>1</v>
      </c>
      <c r="H146" s="42">
        <f>E146*G146</f>
        <v/>
      </c>
      <c r="I146" s="41" t="inlineStr">
        <is>
          <t>N₂</t>
        </is>
      </c>
      <c r="J146" s="18" t="inlineStr">
        <is>
          <t>20,1 L normales para 1,4 MPa a 20 °C en 1,45 dm³ libres</t>
        </is>
      </c>
      <c r="K146" s="41" t="inlineStr">
        <is>
          <t>Compra</t>
        </is>
      </c>
      <c r="L146" s="41" t="inlineStr">
        <is>
          <t>Sí</t>
        </is>
      </c>
      <c r="M146" s="18" t="inlineStr">
        <is>
          <t>Air Liquide Argentina - sucursal Piñeyro</t>
        </is>
      </c>
      <c r="N146" s="18" t="inlineStr">
        <is>
          <t>Gogniat</t>
        </is>
      </c>
      <c r="O146" s="18" t="inlineStr">
        <is>
          <t>20 Presurización (T05) / C10</t>
        </is>
      </c>
      <c r="P146" s="18" t="inlineStr">
        <is>
          <t>IRAM 3517-2 9.4.9 (tabla 2) · IRAM 3523 2.3 y 3.10</t>
        </is>
      </c>
      <c r="Q146" s="41" t="inlineStr">
        <is>
          <t>C</t>
        </is>
      </c>
      <c r="R146" s="41" t="n"/>
      <c r="S146" s="18" t="inlineStr">
        <is>
          <t>N₂ ≥ 99,8 %, H₂O ≤ 40 ppm (Q-N2, Air Liquide) · volumen libre con ρ empacada mínima 1,1 kg/dm³ (NOM-104-STPS-2001); confirmar con descarga ≥ 85 % (IRAM 3523 4.9.1)</t>
        </is>
      </c>
    </row>
    <row r="147">
      <c r="A147" s="30" t="inlineStr">
        <is>
          <t>FL_MAT_ABC_5kg</t>
        </is>
      </c>
      <c r="B147" s="30" t="n">
        <v>1</v>
      </c>
      <c r="C147" s="30" t="inlineStr">
        <is>
          <t>ABC5-S6</t>
        </is>
      </c>
      <c r="D147" s="31" t="inlineStr">
        <is>
          <t xml:space="preserve">    Identificación y precinto</t>
        </is>
      </c>
      <c r="E147" s="30" t="n">
        <v>1</v>
      </c>
      <c r="F147" s="30" t="inlineStr">
        <is>
          <t>u</t>
        </is>
      </c>
      <c r="G147" s="32" t="n"/>
      <c r="H147" s="32">
        <f>H148+H149+H150+H151+H152+H153+H154</f>
        <v/>
      </c>
      <c r="I147" s="30" t="n"/>
      <c r="J147" s="31" t="n"/>
      <c r="K147" s="30" t="inlineStr">
        <is>
          <t>Compra</t>
        </is>
      </c>
      <c r="L147" s="30" t="n"/>
      <c r="M147" s="31" t="n"/>
      <c r="N147" s="31" t="n"/>
      <c r="O147" s="31" t="inlineStr">
        <is>
          <t>22 Etiquetado (T07)</t>
        </is>
      </c>
      <c r="P147" s="31" t="n"/>
      <c r="Q147" s="30" t="n"/>
      <c r="R147" s="30" t="n"/>
      <c r="S147" s="31" t="n"/>
    </row>
    <row r="148">
      <c r="A148" s="33" t="inlineStr">
        <is>
          <t>FL_MAT_ABC_5kg</t>
        </is>
      </c>
      <c r="B148" s="33" t="n">
        <v>2</v>
      </c>
      <c r="C148" s="33" t="inlineStr">
        <is>
          <t>ABC5-19</t>
        </is>
      </c>
      <c r="D148" s="17" t="inlineStr">
        <is>
          <t xml:space="preserve">        Etiqueta / placa de características</t>
        </is>
      </c>
      <c r="E148" s="33" t="n">
        <v>1</v>
      </c>
      <c r="F148" s="33" t="inlineStr">
        <is>
          <t>u</t>
        </is>
      </c>
      <c r="G148" s="34" t="n">
        <v>0.0172</v>
      </c>
      <c r="H148" s="34">
        <f>E148*G148</f>
        <v/>
      </c>
      <c r="I148" s="33" t="inlineStr">
        <is>
          <t>Vinilo autoadhesivo laminado</t>
        </is>
      </c>
      <c r="J148" s="17" t="inlineStr">
        <is>
          <t>289 × 142 (desarrollo × alto: panel central 108° + 2 alas laterales), e ≈ 0,3, laminado UV</t>
        </is>
      </c>
      <c r="K148" s="33" t="inlineStr">
        <is>
          <t>Compra</t>
        </is>
      </c>
      <c r="L148" s="33" t="inlineStr">
        <is>
          <t>Sí</t>
        </is>
      </c>
      <c r="M148" s="17" t="inlineStr">
        <is>
          <t>Astuprint</t>
        </is>
      </c>
      <c r="N148" s="17" t="inlineStr">
        <is>
          <t>Multilabel Argentina S.A.</t>
        </is>
      </c>
      <c r="O148" s="17" t="inlineStr">
        <is>
          <t>22 Etiquetado (T07)</t>
        </is>
      </c>
      <c r="P148" s="17" t="inlineStr">
        <is>
          <t>IRAM 3534 · IRAM 3523 cap. 5 · relevamiento de mercado</t>
        </is>
      </c>
      <c r="Q148" s="33" t="inlineStr">
        <is>
          <t>P</t>
        </is>
      </c>
      <c r="R148" s="33" t="inlineStr">
        <is>
          <t>FL_DES_ABC_5kg</t>
        </is>
      </c>
      <c r="S148" s="17" t="inlineStr">
        <is>
          <t>IRAM 3534</t>
        </is>
      </c>
    </row>
    <row r="149">
      <c r="A149" s="33" t="inlineStr">
        <is>
          <t>FL_MAT_ABC_5kg</t>
        </is>
      </c>
      <c r="B149" s="33" t="n">
        <v>2</v>
      </c>
      <c r="C149" s="33" t="inlineStr">
        <is>
          <t>ABC5-20</t>
        </is>
      </c>
      <c r="D149" s="17" t="inlineStr">
        <is>
          <t xml:space="preserve">        Oblea de fabricación (PBA)</t>
        </is>
      </c>
      <c r="E149" s="33" t="n">
        <v>1</v>
      </c>
      <c r="F149" s="33" t="inlineStr">
        <is>
          <t>u</t>
        </is>
      </c>
      <c r="G149" s="34" t="n">
        <v>0.0009</v>
      </c>
      <c r="H149" s="34">
        <f>E149*G149</f>
        <v/>
      </c>
      <c r="I149" s="33" t="inlineStr">
        <is>
          <t>Papel de seguridad autodestructible</t>
        </is>
      </c>
      <c r="J149" s="17" t="inlineStr">
        <is>
          <t>Ø46 (Res. OPDS 522/07), numerada, autodestructible</t>
        </is>
      </c>
      <c r="K149" s="33" t="inlineStr">
        <is>
          <t>Compra</t>
        </is>
      </c>
      <c r="L149" s="33" t="inlineStr">
        <is>
          <t>Sí</t>
        </is>
      </c>
      <c r="M149" s="17" t="inlineStr">
        <is>
          <t>Ministerio de Ambiente PBA (ex OPDS)</t>
        </is>
      </c>
      <c r="N149" s="17" t="inlineStr">
        <is>
          <t>-</t>
        </is>
      </c>
      <c r="O149" s="17" t="inlineStr">
        <is>
          <t>22 Etiquetado (T07)</t>
        </is>
      </c>
      <c r="P149" s="17" t="inlineStr">
        <is>
          <t>Res. OPDS 522/07 anexos 1, 2 y 6</t>
        </is>
      </c>
      <c r="Q149" s="33" t="inlineStr">
        <is>
          <t>P</t>
        </is>
      </c>
      <c r="R149" s="33" t="inlineStr">
        <is>
          <t>FL_DES_ABC_5kg</t>
        </is>
      </c>
      <c r="S149" s="17" t="inlineStr">
        <is>
          <t>Res. 522/07</t>
        </is>
      </c>
    </row>
    <row r="150">
      <c r="A150" s="33" t="inlineStr">
        <is>
          <t>FL_MAT_ABC_5kg</t>
        </is>
      </c>
      <c r="B150" s="33" t="n">
        <v>2</v>
      </c>
      <c r="C150" s="33" t="inlineStr">
        <is>
          <t>ABC5-21</t>
        </is>
      </c>
      <c r="D150" s="17" t="inlineStr">
        <is>
          <t xml:space="preserve">        Estampilla IRAM de conformidad</t>
        </is>
      </c>
      <c r="E150" s="33" t="n">
        <v>1</v>
      </c>
      <c r="F150" s="33" t="inlineStr">
        <is>
          <t>u</t>
        </is>
      </c>
      <c r="G150" s="34" t="n">
        <v>0.001</v>
      </c>
      <c r="H150" s="34">
        <f>E150*G150</f>
        <v/>
      </c>
      <c r="I150" s="33" t="inlineStr">
        <is>
          <t>Provista por IRAM (Anexo R)</t>
        </is>
      </c>
      <c r="J150" s="17" t="inlineStr">
        <is>
          <t>60 × 40</t>
        </is>
      </c>
      <c r="K150" s="33" t="inlineStr">
        <is>
          <t>Compra</t>
        </is>
      </c>
      <c r="L150" s="33" t="inlineStr">
        <is>
          <t>Sí</t>
        </is>
      </c>
      <c r="M150" s="17" t="inlineStr">
        <is>
          <t>IRAM - Instituto Argentino de Normalización</t>
        </is>
      </c>
      <c r="N150" s="17" t="inlineStr">
        <is>
          <t>-</t>
        </is>
      </c>
      <c r="O150" s="17" t="inlineStr">
        <is>
          <t>22 Etiquetado (T07)</t>
        </is>
      </c>
      <c r="P150" s="17" t="inlineStr">
        <is>
          <t>IRAM Anexo R (DC-PG-129)</t>
        </is>
      </c>
      <c r="Q150" s="33" t="inlineStr">
        <is>
          <t>P</t>
        </is>
      </c>
      <c r="R150" s="33" t="inlineStr">
        <is>
          <t>FL_DES_ABC_5kg</t>
        </is>
      </c>
      <c r="S150" s="17" t="inlineStr">
        <is>
          <t>numerada</t>
        </is>
      </c>
    </row>
    <row r="151">
      <c r="A151" s="33" t="inlineStr">
        <is>
          <t>FL_MAT_ABC_5kg</t>
        </is>
      </c>
      <c r="B151" s="33" t="n">
        <v>2</v>
      </c>
      <c r="C151" s="33" t="inlineStr">
        <is>
          <t>ABC5-22</t>
        </is>
      </c>
      <c r="D151" s="17" t="inlineStr">
        <is>
          <t xml:space="preserve">        Tarjeta de identificación AGC (CABA)</t>
        </is>
      </c>
      <c r="E151" s="33" t="n">
        <v>1</v>
      </c>
      <c r="F151" s="33" t="inlineStr">
        <is>
          <t>u</t>
        </is>
      </c>
      <c r="G151" s="34" t="n">
        <v>0.0032</v>
      </c>
      <c r="H151" s="34">
        <f>E151*G151</f>
        <v/>
      </c>
      <c r="I151" s="33" t="inlineStr">
        <is>
          <t>Etiqueta autoadhesiva emitida por la AGC</t>
        </is>
      </c>
      <c r="J151" s="17" t="inlineStr">
        <is>
          <t>140 × 55</t>
        </is>
      </c>
      <c r="K151" s="33" t="inlineStr">
        <is>
          <t>Compra</t>
        </is>
      </c>
      <c r="L151" s="33" t="inlineStr">
        <is>
          <t>Sí</t>
        </is>
      </c>
      <c r="M151" s="17" t="inlineStr">
        <is>
          <t>Agencia Gubernamental de Control (CABA)</t>
        </is>
      </c>
      <c r="N151" s="17" t="inlineStr">
        <is>
          <t>-</t>
        </is>
      </c>
      <c r="O151" s="17" t="inlineStr">
        <is>
          <t>22 Etiquetado (T07)</t>
        </is>
      </c>
      <c r="P151" s="17" t="inlineStr">
        <is>
          <t>Ordenanza 40.473 art. 6 · Res. AGC 32/15</t>
        </is>
      </c>
      <c r="Q151" s="33" t="inlineStr">
        <is>
          <t>P</t>
        </is>
      </c>
      <c r="R151" s="33" t="inlineStr">
        <is>
          <t>FL_DES_ABC_5kg</t>
        </is>
      </c>
      <c r="S151" s="17" t="inlineStr">
        <is>
          <t>sólo destino CABA</t>
        </is>
      </c>
    </row>
    <row r="152">
      <c r="A152" s="33" t="inlineStr">
        <is>
          <t>FL_MAT_ABC_5kg</t>
        </is>
      </c>
      <c r="B152" s="33" t="n">
        <v>2</v>
      </c>
      <c r="C152" s="33" t="inlineStr">
        <is>
          <t>ABC5-23</t>
        </is>
      </c>
      <c r="D152" s="17" t="inlineStr">
        <is>
          <t xml:space="preserve">        Etiqueta de n° de serie GS1</t>
        </is>
      </c>
      <c r="E152" s="33" t="n">
        <v>1</v>
      </c>
      <c r="F152" s="33" t="inlineStr">
        <is>
          <t>u</t>
        </is>
      </c>
      <c r="G152" s="34" t="n">
        <v>0.0005</v>
      </c>
      <c r="H152" s="34">
        <f>E152*G152</f>
        <v/>
      </c>
      <c r="I152" s="33" t="inlineStr">
        <is>
          <t>Poliéster autoadhesivo impreso térmico</t>
        </is>
      </c>
      <c r="J152" s="17" t="inlineStr">
        <is>
          <t>45 × 25</t>
        </is>
      </c>
      <c r="K152" s="33" t="inlineStr">
        <is>
          <t>Compra</t>
        </is>
      </c>
      <c r="L152" s="33" t="inlineStr">
        <is>
          <t>Sí</t>
        </is>
      </c>
      <c r="M152" s="17" t="inlineStr">
        <is>
          <t>Astuprint</t>
        </is>
      </c>
      <c r="N152" s="17" t="inlineStr">
        <is>
          <t>GS1 Argentina</t>
        </is>
      </c>
      <c r="O152" s="17" t="inlineStr">
        <is>
          <t>22 Etiquetado (T07)</t>
        </is>
      </c>
      <c r="P152" s="17" t="inlineStr">
        <is>
          <t>GS1 Argentina (GTIN 779) · trazabilidad IRAM 3523 5.1</t>
        </is>
      </c>
      <c r="Q152" s="33" t="inlineStr">
        <is>
          <t>P</t>
        </is>
      </c>
      <c r="R152" s="33" t="inlineStr">
        <is>
          <t>FL_DES_ABC_5kg</t>
        </is>
      </c>
      <c r="S152" s="17" t="inlineStr">
        <is>
          <t>QR GTIN + serie</t>
        </is>
      </c>
    </row>
    <row r="153">
      <c r="A153" s="33" t="inlineStr">
        <is>
          <t>FL_MAT_ABC_5kg</t>
        </is>
      </c>
      <c r="B153" s="33" t="n">
        <v>2</v>
      </c>
      <c r="C153" s="33" t="inlineStr">
        <is>
          <t>ABC5-25</t>
        </is>
      </c>
      <c r="D153" s="17" t="inlineStr">
        <is>
          <t xml:space="preserve">        Faja de garantía válvula-cuello</t>
        </is>
      </c>
      <c r="E153" s="33" t="n">
        <v>1</v>
      </c>
      <c r="F153" s="33" t="inlineStr">
        <is>
          <t>u</t>
        </is>
      </c>
      <c r="G153" s="34" t="n">
        <v>0.0003</v>
      </c>
      <c r="H153" s="34">
        <f>E153*G153</f>
        <v/>
      </c>
      <c r="I153" s="33" t="inlineStr">
        <is>
          <t>Vinilo destructible rayado rojo/blanco</t>
        </is>
      </c>
      <c r="J153" s="17" t="inlineStr">
        <is>
          <t>30 × 40</t>
        </is>
      </c>
      <c r="K153" s="33" t="inlineStr">
        <is>
          <t>Compra</t>
        </is>
      </c>
      <c r="L153" s="33" t="inlineStr">
        <is>
          <t>Sí</t>
        </is>
      </c>
      <c r="M153" s="17" t="inlineStr">
        <is>
          <t>Astuprint</t>
        </is>
      </c>
      <c r="N153" s="17" t="inlineStr">
        <is>
          <t>Multilabel Argentina S.A.</t>
        </is>
      </c>
      <c r="O153" s="17" t="inlineStr">
        <is>
          <t>22 Etiquetado (T07)</t>
        </is>
      </c>
      <c r="P153" s="17" t="inlineStr">
        <is>
          <t>Sin norma: práctica de mercado (garantía de fábrica)</t>
        </is>
      </c>
      <c r="Q153" s="33" t="inlineStr">
        <is>
          <t>P</t>
        </is>
      </c>
      <c r="R153" s="33" t="inlineStr">
        <is>
          <t>FL_DES_ABC_5kg</t>
        </is>
      </c>
      <c r="S153" s="17" t="inlineStr">
        <is>
          <t>nuevo sin abrir</t>
        </is>
      </c>
    </row>
    <row r="154">
      <c r="A154" s="33" t="inlineStr">
        <is>
          <t>FL_MAT_ABC_5kg</t>
        </is>
      </c>
      <c r="B154" s="33" t="n">
        <v>2</v>
      </c>
      <c r="C154" s="33" t="inlineStr">
        <is>
          <t>ABC5-26</t>
        </is>
      </c>
      <c r="D154" s="17" t="inlineStr">
        <is>
          <t xml:space="preserve">        Precinto de fábrica</t>
        </is>
      </c>
      <c r="E154" s="33" t="n">
        <v>1</v>
      </c>
      <c r="F154" s="33" t="inlineStr">
        <is>
          <t>u</t>
        </is>
      </c>
      <c r="G154" s="34" t="n">
        <v>0.0002</v>
      </c>
      <c r="H154" s="34">
        <f>E154*G154</f>
        <v/>
      </c>
      <c r="I154" s="33" t="inlineStr">
        <is>
          <t>Polipropileno color</t>
        </is>
      </c>
      <c r="J154" s="17" t="inlineStr">
        <is>
          <t>Ø5 × 10, numerado, rotura 30-50 N</t>
        </is>
      </c>
      <c r="K154" s="33" t="inlineStr">
        <is>
          <t>Compra</t>
        </is>
      </c>
      <c r="L154" s="33" t="inlineStr">
        <is>
          <t>Sí</t>
        </is>
      </c>
      <c r="M154" s="17" t="inlineStr">
        <is>
          <t>SonFuertes (vía Papelera Damián)</t>
        </is>
      </c>
      <c r="N154" s="17" t="inlineStr">
        <is>
          <t>Precinter S.R.L.</t>
        </is>
      </c>
      <c r="O154" s="17" t="inlineStr">
        <is>
          <t>20 Presurización (T05)</t>
        </is>
      </c>
      <c r="P154" s="17" t="inlineStr">
        <is>
          <t>IRAM 3523 3.3.2 · IRAM 3517-2:2020 9.4.13</t>
        </is>
      </c>
      <c r="Q154" s="33" t="inlineStr">
        <is>
          <t>P</t>
        </is>
      </c>
      <c r="R154" s="33" t="inlineStr">
        <is>
          <t>FL_DES_ABC_5kg</t>
        </is>
      </c>
      <c r="S154" s="17" t="inlineStr">
        <is>
          <t>id. FLAMA y lote</t>
        </is>
      </c>
    </row>
    <row r="155">
      <c r="A155" s="30" t="inlineStr">
        <is>
          <t>FL_MAT_ABC_5kg</t>
        </is>
      </c>
      <c r="B155" s="30" t="n">
        <v>1</v>
      </c>
      <c r="C155" s="30" t="inlineStr">
        <is>
          <t>ABC5-S8</t>
        </is>
      </c>
      <c r="D155" s="31" t="inlineStr">
        <is>
          <t xml:space="preserve">    Soporte (accesorio de montaje)</t>
        </is>
      </c>
      <c r="E155" s="30" t="n">
        <v>1</v>
      </c>
      <c r="F155" s="30" t="inlineStr">
        <is>
          <t>u</t>
        </is>
      </c>
      <c r="G155" s="32" t="n"/>
      <c r="H155" s="32">
        <f>H156</f>
        <v/>
      </c>
      <c r="I155" s="30" t="n"/>
      <c r="J155" s="31" t="n"/>
      <c r="K155" s="30" t="inlineStr">
        <is>
          <t>Compra</t>
        </is>
      </c>
      <c r="L155" s="30" t="n"/>
      <c r="M155" s="31" t="n"/>
      <c r="N155" s="31" t="n"/>
      <c r="O155" s="31" t="inlineStr">
        <is>
          <t>23 Embalaje (va dentro de la caja)</t>
        </is>
      </c>
      <c r="P155" s="31" t="inlineStr">
        <is>
          <t>IRAM 3517-2 7.4</t>
        </is>
      </c>
      <c r="Q155" s="30" t="n"/>
      <c r="R155" s="30" t="n"/>
      <c r="S155" s="31" t="n"/>
    </row>
    <row r="156">
      <c r="A156" s="33" t="inlineStr">
        <is>
          <t>FL_MAT_ABC_5kg</t>
        </is>
      </c>
      <c r="B156" s="33" t="n">
        <v>2</v>
      </c>
      <c r="C156" s="33" t="inlineStr">
        <is>
          <t>ABC5-I5</t>
        </is>
      </c>
      <c r="D156" s="17" t="inlineStr">
        <is>
          <t xml:space="preserve">        Soporte de pared (FL_ACC_01)</t>
        </is>
      </c>
      <c r="E156" s="33" t="n">
        <v>1</v>
      </c>
      <c r="F156" s="33" t="inlineStr">
        <is>
          <t>u</t>
        </is>
      </c>
      <c r="G156" s="34" t="n">
        <v>0.29</v>
      </c>
      <c r="H156" s="34">
        <f>E156*G156</f>
        <v/>
      </c>
      <c r="I156" s="33" t="inlineStr">
        <is>
          <t>Chapa acero SAE 1010 e=2 pintada</t>
        </is>
      </c>
      <c r="J156" s="17" t="inlineStr">
        <is>
          <t>placa 60 × 180, ala con ranura Ø cuello + 3</t>
        </is>
      </c>
      <c r="K156" s="33" t="inlineStr">
        <is>
          <t>Compra</t>
        </is>
      </c>
      <c r="L156" s="33" t="inlineStr">
        <is>
          <t>Sí</t>
        </is>
      </c>
      <c r="M156" s="17" t="inlineStr">
        <is>
          <t>Maxiseguridad</t>
        </is>
      </c>
      <c r="N156" s="17" t="inlineStr">
        <is>
          <t>CM Representaciones</t>
        </is>
      </c>
      <c r="O156" s="17" t="inlineStr">
        <is>
          <t>23 Embalaje</t>
        </is>
      </c>
      <c r="P156" s="17" t="inlineStr">
        <is>
          <t>IRAM 3517-2 7.4</t>
        </is>
      </c>
      <c r="Q156" s="33" t="inlineStr">
        <is>
          <t>P</t>
        </is>
      </c>
      <c r="R156" s="33" t="inlineStr">
        <is>
          <t>FL_ACC_01</t>
        </is>
      </c>
      <c r="S156" s="17" t="n"/>
    </row>
    <row r="157">
      <c r="A157" s="33" t="inlineStr">
        <is>
          <t>FL_MAT_ABC_5kg</t>
        </is>
      </c>
      <c r="B157" s="33" t="n">
        <v>2</v>
      </c>
      <c r="C157" s="33" t="inlineStr">
        <is>
          <t>ABC5-I6</t>
        </is>
      </c>
      <c r="D157" s="17" t="inlineStr">
        <is>
          <t xml:space="preserve">        Tornillo y tarugo de fijación</t>
        </is>
      </c>
      <c r="E157" s="33" t="n">
        <v>2</v>
      </c>
      <c r="F157" s="33" t="inlineStr">
        <is>
          <t>u</t>
        </is>
      </c>
      <c r="G157" s="34" t="n"/>
      <c r="H157" s="34" t="n"/>
      <c r="I157" s="33" t="inlineStr">
        <is>
          <t>Acero cincado / nylon</t>
        </is>
      </c>
      <c r="J157" s="17" t="inlineStr">
        <is>
          <t>2 agujeros Ø8,5 del plano FL_ACC_01 → tornillo M8 + tarugo</t>
        </is>
      </c>
      <c r="K157" s="33" t="inlineStr">
        <is>
          <t>Compra</t>
        </is>
      </c>
      <c r="L157" s="33" t="inlineStr">
        <is>
          <t>Sí</t>
        </is>
      </c>
      <c r="M157" s="17" t="inlineStr">
        <is>
          <t>Würth Argentina</t>
        </is>
      </c>
      <c r="N157" s="17" t="inlineStr">
        <is>
          <t>-</t>
        </is>
      </c>
      <c r="O157" s="17" t="inlineStr">
        <is>
          <t>23 Embalaje</t>
        </is>
      </c>
      <c r="P157" s="17" t="n"/>
      <c r="Q157" s="33" t="inlineStr">
        <is>
          <t>P</t>
        </is>
      </c>
      <c r="R157" s="33" t="inlineStr">
        <is>
          <t>FL_ACC_01</t>
        </is>
      </c>
      <c r="S157" s="17" t="n"/>
    </row>
    <row r="158">
      <c r="A158" s="33" t="inlineStr">
        <is>
          <t>FL_MAT_ABC_5kg</t>
        </is>
      </c>
      <c r="B158" s="33" t="n">
        <v>2</v>
      </c>
      <c r="C158" s="33" t="inlineStr">
        <is>
          <t>ABC5-I8</t>
        </is>
      </c>
      <c r="D158" s="17" t="inlineStr">
        <is>
          <t xml:space="preserve">        Soporte opcional (pared o vehicular, según pedido)</t>
        </is>
      </c>
      <c r="E158" s="33" t="n">
        <v>0</v>
      </c>
      <c r="F158" s="33" t="inlineStr">
        <is>
          <t>u</t>
        </is>
      </c>
      <c r="G158" s="34" t="n"/>
      <c r="H158" s="34" t="n"/>
      <c r="I158" s="33" t="inlineStr">
        <is>
          <t>-</t>
        </is>
      </c>
      <c r="J158" s="17" t="inlineStr">
        <is>
          <t>-</t>
        </is>
      </c>
      <c r="K158" s="33" t="inlineStr">
        <is>
          <t>Compra</t>
        </is>
      </c>
      <c r="L158" s="33" t="inlineStr">
        <is>
          <t>Sí</t>
        </is>
      </c>
      <c r="M158" s="17" t="inlineStr">
        <is>
          <t>Maxiseguridad</t>
        </is>
      </c>
      <c r="N158" s="17" t="inlineStr">
        <is>
          <t>CM Representaciones</t>
        </is>
      </c>
      <c r="O158" s="17" t="n"/>
      <c r="P158" s="17" t="inlineStr">
        <is>
          <t>IRAM 3517-2 7.4</t>
        </is>
      </c>
      <c r="Q158" s="33" t="inlineStr">
        <is>
          <t>N</t>
        </is>
      </c>
      <c r="R158" s="33" t="n"/>
      <c r="S158" s="17" t="inlineStr">
        <is>
          <t>Sólo si el pedido lo incluye</t>
        </is>
      </c>
    </row>
    <row r="159">
      <c r="A159" s="30" t="inlineStr">
        <is>
          <t>FL_MAT_ABC_5kg</t>
        </is>
      </c>
      <c r="B159" s="30" t="n">
        <v>1</v>
      </c>
      <c r="C159" s="30" t="inlineStr">
        <is>
          <t>ABC5-S7</t>
        </is>
      </c>
      <c r="D159" s="31" t="inlineStr">
        <is>
          <t xml:space="preserve">    Embalaje</t>
        </is>
      </c>
      <c r="E159" s="30" t="n">
        <v>1</v>
      </c>
      <c r="F159" s="30" t="inlineStr">
        <is>
          <t>u</t>
        </is>
      </c>
      <c r="G159" s="32" t="n"/>
      <c r="H159" s="32">
        <f>H163</f>
        <v/>
      </c>
      <c r="I159" s="30" t="n"/>
      <c r="J159" s="31" t="n"/>
      <c r="K159" s="30" t="inlineStr">
        <is>
          <t>Compra</t>
        </is>
      </c>
      <c r="L159" s="30" t="n"/>
      <c r="M159" s="31" t="n"/>
      <c r="N159" s="31" t="n"/>
      <c r="O159" s="31" t="inlineStr">
        <is>
          <t>23 Embalaje -&gt; 24 envolvedora (T11)</t>
        </is>
      </c>
      <c r="P159" s="31" t="n"/>
      <c r="Q159" s="30" t="n"/>
      <c r="R159" s="30" t="n"/>
      <c r="S159" s="31" t="n"/>
    </row>
    <row r="160">
      <c r="A160" s="33" t="inlineStr">
        <is>
          <t>FL_MAT_ABC_5kg</t>
        </is>
      </c>
      <c r="B160" s="33" t="n">
        <v>2</v>
      </c>
      <c r="C160" s="33" t="inlineStr">
        <is>
          <t>ABC5-E1</t>
        </is>
      </c>
      <c r="D160" s="17" t="inlineStr">
        <is>
          <t xml:space="preserve">        Caja de cartón corrugado simple</t>
        </is>
      </c>
      <c r="E160" s="33" t="n">
        <v>1</v>
      </c>
      <c r="F160" s="33" t="inlineStr">
        <is>
          <t>u</t>
        </is>
      </c>
      <c r="G160" s="34" t="n"/>
      <c r="H160" s="34" t="n"/>
      <c r="I160" s="33" t="inlineStr">
        <is>
          <t>Cartón corrugado</t>
        </is>
      </c>
      <c r="J160" s="17" t="inlineStr">
        <is>
          <t>255 × 186 × 500 interior (envolvente del plano + 15 por lado)</t>
        </is>
      </c>
      <c r="K160" s="33" t="inlineStr">
        <is>
          <t>Compra</t>
        </is>
      </c>
      <c r="L160" s="33" t="inlineStr">
        <is>
          <t>Sí</t>
        </is>
      </c>
      <c r="M160" s="17" t="inlineStr">
        <is>
          <t>Maxipack</t>
        </is>
      </c>
      <c r="N160" s="17" t="inlineStr">
        <is>
          <t>Cartocan</t>
        </is>
      </c>
      <c r="O160" s="17" t="inlineStr">
        <is>
          <t>23 Embalaje</t>
        </is>
      </c>
      <c r="P160" s="17" t="n"/>
      <c r="Q160" s="33" t="inlineStr">
        <is>
          <t>P</t>
        </is>
      </c>
      <c r="R160" s="33" t="n"/>
      <c r="S160" s="17" t="inlineStr">
        <is>
          <t>Medida del plano</t>
        </is>
      </c>
    </row>
    <row r="161">
      <c r="A161" s="33" t="inlineStr">
        <is>
          <t>FL_MAT_ABC_5kg</t>
        </is>
      </c>
      <c r="B161" s="33" t="n">
        <v>2</v>
      </c>
      <c r="C161" s="33" t="inlineStr">
        <is>
          <t>ABC5-E2</t>
        </is>
      </c>
      <c r="D161" s="17" t="inlineStr">
        <is>
          <t xml:space="preserve">        Instructivo de uso y mantenimiento</t>
        </is>
      </c>
      <c r="E161" s="33" t="n">
        <v>1</v>
      </c>
      <c r="F161" s="33" t="inlineStr">
        <is>
          <t>u</t>
        </is>
      </c>
      <c r="G161" s="34" t="n"/>
      <c r="H161" s="34" t="n"/>
      <c r="I161" s="33" t="inlineStr">
        <is>
          <t>Papel</t>
        </is>
      </c>
      <c r="J161" s="17" t="inlineStr">
        <is>
          <t>A5</t>
        </is>
      </c>
      <c r="K161" s="33" t="inlineStr">
        <is>
          <t>Compra</t>
        </is>
      </c>
      <c r="L161" s="33" t="inlineStr">
        <is>
          <t>Sí</t>
        </is>
      </c>
      <c r="M161" s="17" t="inlineStr">
        <is>
          <t>Astuprint</t>
        </is>
      </c>
      <c r="N161" s="17" t="inlineStr">
        <is>
          <t>-</t>
        </is>
      </c>
      <c r="O161" s="17" t="inlineStr">
        <is>
          <t>23 Embalaje</t>
        </is>
      </c>
      <c r="P161" s="17" t="n"/>
      <c r="Q161" s="33" t="inlineStr">
        <is>
          <t>I</t>
        </is>
      </c>
      <c r="R161" s="33" t="n"/>
      <c r="S161" s="17" t="inlineStr">
        <is>
          <t>Decisión comercial de FLAMA (las instrucciones de uso obligatorias van en la etiqueta, IRAM 3534)</t>
        </is>
      </c>
    </row>
    <row r="162">
      <c r="A162" s="33" t="inlineStr">
        <is>
          <t>FL_MAT_ABC_5kg</t>
        </is>
      </c>
      <c r="B162" s="33" t="n">
        <v>2</v>
      </c>
      <c r="C162" s="33" t="inlineStr">
        <is>
          <t>ABC5-E3</t>
        </is>
      </c>
      <c r="D162" s="17" t="inlineStr">
        <is>
          <t xml:space="preserve">        Pallet 1200 × 1000 (fracción)</t>
        </is>
      </c>
      <c r="E162" s="33" t="n">
        <v>0.025</v>
      </c>
      <c r="F162" s="33" t="inlineStr">
        <is>
          <t>u</t>
        </is>
      </c>
      <c r="G162" s="34" t="n"/>
      <c r="H162" s="34" t="n"/>
      <c r="I162" s="33" t="inlineStr">
        <is>
          <t>Madera</t>
        </is>
      </c>
      <c r="J162" s="17" t="inlineStr">
        <is>
          <t>40 u por pallet</t>
        </is>
      </c>
      <c r="K162" s="33" t="inlineStr">
        <is>
          <t>Compra</t>
        </is>
      </c>
      <c r="L162" s="33" t="inlineStr">
        <is>
          <t>Sí</t>
        </is>
      </c>
      <c r="M162" s="17" t="inlineStr">
        <is>
          <t>IndusPallets</t>
        </is>
      </c>
      <c r="N162" s="17" t="inlineStr">
        <is>
          <t>-</t>
        </is>
      </c>
      <c r="O162" s="17" t="inlineStr">
        <is>
          <t>23 Embalaje</t>
        </is>
      </c>
      <c r="P162" s="17" t="n"/>
      <c r="Q162" s="33" t="inlineStr">
        <is>
          <t>C</t>
        </is>
      </c>
      <c r="R162" s="33" t="n"/>
      <c r="S162" s="17" t="inlineStr">
        <is>
          <t>u por pallet = acomodo de la caja (plano) en 1200 × 1000 × 1450 de alto</t>
        </is>
      </c>
    </row>
    <row r="163">
      <c r="A163" s="41" t="inlineStr">
        <is>
          <t>FL_MAT_ABC_5kg</t>
        </is>
      </c>
      <c r="B163" s="41" t="n">
        <v>2</v>
      </c>
      <c r="C163" s="41" t="inlineStr">
        <is>
          <t>ABC5-E4</t>
        </is>
      </c>
      <c r="D163" s="18" t="inlineStr">
        <is>
          <t xml:space="preserve">        Film stretch (fracción del pallet)</t>
        </is>
      </c>
      <c r="E163" s="41" t="n">
        <v>0.003</v>
      </c>
      <c r="F163" s="41" t="inlineStr">
        <is>
          <t>kg</t>
        </is>
      </c>
      <c r="G163" s="42" t="n">
        <v>1</v>
      </c>
      <c r="H163" s="42">
        <f>E163*G163</f>
        <v/>
      </c>
      <c r="I163" s="41" t="inlineStr">
        <is>
          <t>PE lineal 23 µm</t>
        </is>
      </c>
      <c r="J163" s="18" t="inlineStr">
        <is>
          <t>0,12 kg por pallet / 40 u</t>
        </is>
      </c>
      <c r="K163" s="41" t="inlineStr">
        <is>
          <t>Compra</t>
        </is>
      </c>
      <c r="L163" s="41" t="inlineStr">
        <is>
          <t>Sí</t>
        </is>
      </c>
      <c r="M163" s="18" t="inlineStr">
        <is>
          <t>MV Embalajes</t>
        </is>
      </c>
      <c r="N163" s="18" t="inlineStr">
        <is>
          <t>Embalpack</t>
        </is>
      </c>
      <c r="O163" s="18" t="inlineStr">
        <is>
          <t>24 Envolvedora (T11)</t>
        </is>
      </c>
      <c r="P163" s="18" t="n"/>
      <c r="Q163" s="41" t="inlineStr">
        <is>
          <t>C</t>
        </is>
      </c>
      <c r="R163" s="41"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3" t="inlineStr">
        <is>
          <t>FL_MAT_ABC_5kg</t>
        </is>
      </c>
      <c r="B164" s="33" t="n">
        <v>2</v>
      </c>
      <c r="C164" s="33" t="inlineStr">
        <is>
          <t>ABC5-E5</t>
        </is>
      </c>
      <c r="D164" s="17" t="inlineStr">
        <is>
          <t xml:space="preserve">        Etiqueta de pallet (lote y destino, fracción)</t>
        </is>
      </c>
      <c r="E164" s="33" t="n">
        <v>0.025</v>
      </c>
      <c r="F164" s="33" t="inlineStr">
        <is>
          <t>u</t>
        </is>
      </c>
      <c r="G164" s="34" t="n"/>
      <c r="H164" s="34" t="n"/>
      <c r="I164" s="33" t="inlineStr">
        <is>
          <t>Papel térmico</t>
        </is>
      </c>
      <c r="J164" s="17" t="inlineStr">
        <is>
          <t>100 × 150</t>
        </is>
      </c>
      <c r="K164" s="33" t="inlineStr">
        <is>
          <t>Compra</t>
        </is>
      </c>
      <c r="L164" s="33" t="inlineStr">
        <is>
          <t>Sí</t>
        </is>
      </c>
      <c r="M164" s="17" t="inlineStr">
        <is>
          <t>Astuprint</t>
        </is>
      </c>
      <c r="N164" s="17" t="inlineStr">
        <is>
          <t>Multilabel Argentina S.A.</t>
        </is>
      </c>
      <c r="O164" s="17" t="inlineStr">
        <is>
          <t>24 Envolvedora</t>
        </is>
      </c>
      <c r="P164" s="17" t="n"/>
      <c r="Q164" s="33" t="inlineStr">
        <is>
          <t>C</t>
        </is>
      </c>
      <c r="R164" s="33" t="n"/>
      <c r="S164" s="17" t="n"/>
    </row>
    <row r="165">
      <c r="A165" s="41" t="inlineStr">
        <is>
          <t>FL_MAT_ABC_5kg</t>
        </is>
      </c>
      <c r="B165" s="41" t="n">
        <v>2</v>
      </c>
      <c r="C165" s="41" t="inlineStr">
        <is>
          <t>ABC5-E6</t>
        </is>
      </c>
      <c r="D165" s="18" t="inlineStr">
        <is>
          <t xml:space="preserve">        Cinta de embalaje PP 48 mm (cierre de la caja)</t>
        </is>
      </c>
      <c r="E165" s="41" t="n">
        <v>0.79</v>
      </c>
      <c r="F165" s="41" t="inlineStr">
        <is>
          <t>m</t>
        </is>
      </c>
      <c r="G165" s="42" t="n"/>
      <c r="H165" s="42" t="n"/>
      <c r="I165" s="41" t="inlineStr">
        <is>
          <t>Polipropileno con adhesivo acrílico</t>
        </is>
      </c>
      <c r="J165" s="18" t="inlineStr">
        <is>
          <t>cierre en I arriba y abajo: 2 × (255 + 2 × 70 de solapa)</t>
        </is>
      </c>
      <c r="K165" s="41" t="inlineStr">
        <is>
          <t>Compra</t>
        </is>
      </c>
      <c r="L165" s="41" t="inlineStr">
        <is>
          <t>Sí</t>
        </is>
      </c>
      <c r="M165" s="18" t="inlineStr">
        <is>
          <t>MV Embalajes</t>
        </is>
      </c>
      <c r="N165" s="18" t="inlineStr">
        <is>
          <t>Embalpack</t>
        </is>
      </c>
      <c r="O165" s="18" t="inlineStr">
        <is>
          <t>23 Embalaje</t>
        </is>
      </c>
      <c r="P165" s="18" t="n"/>
      <c r="Q165" s="41" t="inlineStr">
        <is>
          <t>C</t>
        </is>
      </c>
      <c r="R165" s="41" t="n"/>
      <c r="S165" s="18" t="inlineStr">
        <is>
          <t>Solapa de 70 mm por lado: práctica de cierre de cajas (medir en la línea)</t>
        </is>
      </c>
    </row>
    <row r="166">
      <c r="A166" s="33" t="inlineStr">
        <is>
          <t>FL_MAT_ABC_5kg</t>
        </is>
      </c>
      <c r="B166" s="33" t="n">
        <v>2</v>
      </c>
      <c r="C166" s="33" t="inlineStr">
        <is>
          <t>ABC5-E7</t>
        </is>
      </c>
      <c r="D166" s="17" t="inlineStr">
        <is>
          <t xml:space="preserve">        Esquineros de cartón 50 × 50 × 1200 (fracción del pallet)</t>
        </is>
      </c>
      <c r="E166" s="33" t="n">
        <v>0.1</v>
      </c>
      <c r="F166" s="33" t="inlineStr">
        <is>
          <t>u</t>
        </is>
      </c>
      <c r="G166" s="34" t="n"/>
      <c r="H166" s="34" t="n"/>
      <c r="I166" s="33" t="inlineStr">
        <is>
          <t>Cartón</t>
        </is>
      </c>
      <c r="J166" s="17" t="inlineStr">
        <is>
          <t>4 por pallet / 40 u</t>
        </is>
      </c>
      <c r="K166" s="33" t="inlineStr">
        <is>
          <t>Compra</t>
        </is>
      </c>
      <c r="L166" s="33" t="inlineStr">
        <is>
          <t>Sí</t>
        </is>
      </c>
      <c r="M166" s="17" t="inlineStr">
        <is>
          <t>Maxipack</t>
        </is>
      </c>
      <c r="N166" s="17" t="inlineStr">
        <is>
          <t>Cartocan</t>
        </is>
      </c>
      <c r="O166" s="17" t="inlineStr">
        <is>
          <t>24 Envolvedora (T11)</t>
        </is>
      </c>
      <c r="P166" s="17" t="n"/>
      <c r="Q166" s="33" t="inlineStr">
        <is>
          <t>C</t>
        </is>
      </c>
      <c r="R166" s="33" t="n"/>
      <c r="S166" s="17" t="inlineStr">
        <is>
          <t>Planilla MP-64</t>
        </is>
      </c>
    </row>
    <row r="167">
      <c r="A167" s="27" t="inlineStr">
        <is>
          <t>FL_MAT_ABC_10kg</t>
        </is>
      </c>
      <c r="B167" s="27" t="n">
        <v>0</v>
      </c>
      <c r="C167" s="27" t="inlineStr">
        <is>
          <t>FL_MAT_ABC_10kg</t>
        </is>
      </c>
      <c r="D167" s="28" t="inlineStr">
        <is>
          <t>Extintor ABC 10 kg</t>
        </is>
      </c>
      <c r="E167" s="27" t="n">
        <v>1</v>
      </c>
      <c r="F167" s="27" t="inlineStr">
        <is>
          <t>u</t>
        </is>
      </c>
      <c r="G167" s="29" t="n"/>
      <c r="H167" s="29" t="n"/>
      <c r="I167" s="27" t="n"/>
      <c r="J167" s="28" t="n"/>
      <c r="K167" s="27" t="n"/>
      <c r="L167" s="27" t="n"/>
      <c r="M167" s="28" t="n"/>
      <c r="N167" s="28" t="n"/>
      <c r="O167" s="28" t="n"/>
      <c r="P167" s="28" t="inlineStr">
        <is>
          <t>IRAM 3523</t>
        </is>
      </c>
      <c r="Q167" s="27" t="inlineStr">
        <is>
          <t>P</t>
        </is>
      </c>
      <c r="R167" s="27" t="inlineStr">
        <is>
          <t>FL_MAT_ABC_10kg</t>
        </is>
      </c>
      <c r="S167" s="28" t="inlineStr">
        <is>
          <t>Fabricación propia</t>
        </is>
      </c>
    </row>
    <row r="168">
      <c r="A168" s="30" t="inlineStr">
        <is>
          <t>FL_MAT_ABC_10kg</t>
        </is>
      </c>
      <c r="B168" s="30" t="n">
        <v>1</v>
      </c>
      <c r="C168" s="30" t="inlineStr">
        <is>
          <t>FL_REC_ABC_10kg</t>
        </is>
      </c>
      <c r="D168" s="31" t="inlineStr">
        <is>
          <t xml:space="preserve">    Recipiente (cilindro)</t>
        </is>
      </c>
      <c r="E168" s="30" t="n">
        <v>1</v>
      </c>
      <c r="F168" s="30" t="inlineStr">
        <is>
          <t>u</t>
        </is>
      </c>
      <c r="G168" s="32" t="n"/>
      <c r="H168" s="32">
        <f>H169+H171+H173+H175+H176</f>
        <v/>
      </c>
      <c r="I168" s="30" t="n"/>
      <c r="J168" s="31" t="n"/>
      <c r="K168" s="30" t="inlineStr">
        <is>
          <t>Fabricación</t>
        </is>
      </c>
      <c r="L168" s="30" t="n"/>
      <c r="M168" s="31" t="n"/>
      <c r="N168" s="31" t="n"/>
      <c r="O168" s="31" t="n"/>
      <c r="P168" s="31" t="inlineStr">
        <is>
          <t>IRAM 3523 / 3550 (recipiente)</t>
        </is>
      </c>
      <c r="Q168" s="30" t="inlineStr">
        <is>
          <t>P</t>
        </is>
      </c>
      <c r="R168" s="30" t="inlineStr">
        <is>
          <t>FL_REC_ABC_10kg</t>
        </is>
      </c>
      <c r="S168" s="31" t="n"/>
    </row>
    <row r="169">
      <c r="A169" s="33" t="inlineStr">
        <is>
          <t>FL_MAT_ABC_10kg</t>
        </is>
      </c>
      <c r="B169" s="33" t="n">
        <v>2</v>
      </c>
      <c r="C169" s="33" t="inlineStr">
        <is>
          <t>ABC10-01</t>
        </is>
      </c>
      <c r="D169" s="17" t="inlineStr">
        <is>
          <t xml:space="preserve">        Cuerpo (virola)</t>
        </is>
      </c>
      <c r="E169" s="33" t="n">
        <v>1</v>
      </c>
      <c r="F169" s="33" t="inlineStr">
        <is>
          <t>u</t>
        </is>
      </c>
      <c r="G169" s="34" t="n">
        <v>4.3132</v>
      </c>
      <c r="H169" s="34">
        <f>E169*G169</f>
        <v/>
      </c>
      <c r="I169" s="33" t="inlineStr">
        <is>
          <t>Chapa LAF IRAM-IAS U 500-05 e=2</t>
        </is>
      </c>
      <c r="J169" s="17" t="inlineStr">
        <is>
          <t>Ø181,5 × e2 × 487,2 de alto; desarrollo 563,9 × 487,2</t>
        </is>
      </c>
      <c r="K169" s="33" t="inlineStr">
        <is>
          <t>Fabricación</t>
        </is>
      </c>
      <c r="L169" s="33" t="inlineStr">
        <is>
          <t>No</t>
        </is>
      </c>
      <c r="M169" s="17" t="n"/>
      <c r="N169" s="17" t="n"/>
      <c r="O169" s="17" t="inlineStr">
        <is>
          <t>1 Guillotina -&gt; 2 numerado -&gt; 3 cilindrado -&gt; 4 soldadura longitudinal</t>
        </is>
      </c>
      <c r="P169" s="17" t="n"/>
      <c r="Q169" s="33" t="inlineStr">
        <is>
          <t>P</t>
        </is>
      </c>
      <c r="R169" s="33" t="inlineStr">
        <is>
          <t>FL_DES_ABC_10kg</t>
        </is>
      </c>
      <c r="S169" s="17" t="inlineStr">
        <is>
          <t>costura long. MAG</t>
        </is>
      </c>
    </row>
    <row r="170">
      <c r="A170" s="35" t="inlineStr">
        <is>
          <t>FL_MAT_ABC_10kg</t>
        </is>
      </c>
      <c r="B170" s="35" t="n">
        <v>3</v>
      </c>
      <c r="C170" s="35" t="inlineStr">
        <is>
          <t>MP-HOJA</t>
        </is>
      </c>
      <c r="D170" s="36" t="inlineStr">
        <is>
          <t xml:space="preserve">            Recorte de hoja LAF 1500 × 3000 e=2</t>
        </is>
      </c>
      <c r="E170" s="35" t="n">
        <v>1</v>
      </c>
      <c r="F170" s="35" t="inlineStr">
        <is>
          <t>u</t>
        </is>
      </c>
      <c r="G170" s="37" t="n">
        <v>4.71</v>
      </c>
      <c r="H170" s="37">
        <f>E170*G170</f>
        <v/>
      </c>
      <c r="I170" s="35" t="inlineStr">
        <is>
          <t>Chapa LAF IRAM-IAS U 500-05 LAF</t>
        </is>
      </c>
      <c r="J170" s="36" t="inlineStr">
        <is>
          <t>495 × 563 (aprovech. 92,9 %)</t>
        </is>
      </c>
      <c r="K170" s="35" t="inlineStr">
        <is>
          <t>Compra</t>
        </is>
      </c>
      <c r="L170" s="35" t="inlineStr">
        <is>
          <t>Sí</t>
        </is>
      </c>
      <c r="M170" s="36" t="inlineStr">
        <is>
          <t>Pradecon S.A.</t>
        </is>
      </c>
      <c r="N170" s="36" t="inlineStr">
        <is>
          <t>Pacheco Chapas</t>
        </is>
      </c>
      <c r="O170" s="36" t="inlineStr">
        <is>
          <t>AL-1H paquetes de hojas</t>
        </is>
      </c>
      <c r="P170" s="36" t="n"/>
      <c r="Q170" s="35" t="inlineStr">
        <is>
          <t>L</t>
        </is>
      </c>
      <c r="R170" s="35" t="inlineStr">
        <is>
          <t>FL_PI_04 h2</t>
        </is>
      </c>
      <c r="S170" s="36" t="n"/>
    </row>
    <row r="171">
      <c r="A171" s="33" t="inlineStr">
        <is>
          <t>FL_MAT_ABC_10kg</t>
        </is>
      </c>
      <c r="B171" s="33" t="n">
        <v>2</v>
      </c>
      <c r="C171" s="33" t="inlineStr">
        <is>
          <t>ABC10-02</t>
        </is>
      </c>
      <c r="D171" s="17" t="inlineStr">
        <is>
          <t xml:space="preserve">        Cúpula</t>
        </is>
      </c>
      <c r="E171" s="33" t="n">
        <v>1</v>
      </c>
      <c r="F171" s="33" t="inlineStr">
        <is>
          <t>u</t>
        </is>
      </c>
      <c r="G171" s="34" t="n">
        <v>0.4871</v>
      </c>
      <c r="H171" s="34">
        <f>E171*G171</f>
        <v/>
      </c>
      <c r="I171" s="33" t="inlineStr">
        <is>
          <t>Chapa LAF IRAM-IAS U 500-05 e=1,6</t>
        </is>
      </c>
      <c r="J171" s="17" t="inlineStr">
        <is>
          <t>Ø181,5 × e1,6 × 61,3 de alto; disco Ø258</t>
        </is>
      </c>
      <c r="K171" s="33" t="inlineStr">
        <is>
          <t>Fabricación</t>
        </is>
      </c>
      <c r="L171" s="33" t="inlineStr">
        <is>
          <t>No</t>
        </is>
      </c>
      <c r="M171" s="17" t="n"/>
      <c r="N171" s="17" t="n"/>
      <c r="O171" s="17" t="inlineStr">
        <is>
          <t>6 Desbobinado + embutido (M06-M08)</t>
        </is>
      </c>
      <c r="P171" s="17" t="n"/>
      <c r="Q171" s="33" t="inlineStr">
        <is>
          <t>P</t>
        </is>
      </c>
      <c r="R171" s="33" t="inlineStr">
        <is>
          <t>FL_DES_ABC_10kg</t>
        </is>
      </c>
      <c r="S171" s="17" t="inlineStr">
        <is>
          <t>embutida</t>
        </is>
      </c>
    </row>
    <row r="172">
      <c r="A172" s="38" t="inlineStr">
        <is>
          <t>FL_MAT_ABC_10kg</t>
        </is>
      </c>
      <c r="B172" s="38" t="n">
        <v>3</v>
      </c>
      <c r="C172" s="38" t="inlineStr">
        <is>
          <t>MP-FLEJE</t>
        </is>
      </c>
      <c r="D172" s="39" t="inlineStr">
        <is>
          <t xml:space="preserve">            Fleje e=2 × 300 (paso 261)</t>
        </is>
      </c>
      <c r="E172" s="38" t="n">
        <v>0.261</v>
      </c>
      <c r="F172" s="38" t="inlineStr">
        <is>
          <t>m</t>
        </is>
      </c>
      <c r="G172" s="40" t="n">
        <v>4.71</v>
      </c>
      <c r="H172" s="40">
        <f>E172*G172</f>
        <v/>
      </c>
      <c r="I172" s="38" t="inlineStr">
        <is>
          <t>Fleje SAE 1010</t>
        </is>
      </c>
      <c r="J172" s="39" t="inlineStr">
        <is>
          <t>disco Ø258 (kg por m de fleje)</t>
        </is>
      </c>
      <c r="K172" s="38" t="inlineStr">
        <is>
          <t>Compra</t>
        </is>
      </c>
      <c r="L172" s="38" t="inlineStr">
        <is>
          <t>Sí</t>
        </is>
      </c>
      <c r="M172" s="39" t="inlineStr">
        <is>
          <t>Pacheco Chapas</t>
        </is>
      </c>
      <c r="N172" s="39" t="inlineStr">
        <is>
          <t>Pradecon S.A.</t>
        </is>
      </c>
      <c r="O172" s="39" t="inlineStr">
        <is>
          <t>AL-1F porta-flejes</t>
        </is>
      </c>
      <c r="P172" s="39" t="n"/>
      <c r="Q172" s="38" t="inlineStr">
        <is>
          <t>L</t>
        </is>
      </c>
      <c r="R172" s="38" t="inlineStr">
        <is>
          <t>FL_PI_04 h2</t>
        </is>
      </c>
      <c r="S172" s="39" t="inlineStr">
        <is>
          <t>OJO: el fleje es e=2 y el plano e=1,6</t>
        </is>
      </c>
    </row>
    <row r="173">
      <c r="A173" s="33" t="inlineStr">
        <is>
          <t>FL_MAT_ABC_10kg</t>
        </is>
      </c>
      <c r="B173" s="33" t="n">
        <v>2</v>
      </c>
      <c r="C173" s="33" t="inlineStr">
        <is>
          <t>ABC10-03</t>
        </is>
      </c>
      <c r="D173" s="17" t="inlineStr">
        <is>
          <t xml:space="preserve">        Fondo</t>
        </is>
      </c>
      <c r="E173" s="33" t="n">
        <v>1</v>
      </c>
      <c r="F173" s="33" t="inlineStr">
        <is>
          <t>u</t>
        </is>
      </c>
      <c r="G173" s="34" t="n">
        <v>0.3885</v>
      </c>
      <c r="H173" s="34">
        <f>E173*G173</f>
        <v/>
      </c>
      <c r="I173" s="33" t="inlineStr">
        <is>
          <t>Chapa LAF IRAM-IAS U 500-05 e=2</t>
        </is>
      </c>
      <c r="J173" s="17" t="inlineStr">
        <is>
          <t>Ø181,5 × e2 × 13,7 de alto; disco Ø205</t>
        </is>
      </c>
      <c r="K173" s="33" t="inlineStr">
        <is>
          <t>Fabricación</t>
        </is>
      </c>
      <c r="L173" s="33" t="inlineStr">
        <is>
          <t>No</t>
        </is>
      </c>
      <c r="M173" s="17" t="n"/>
      <c r="N173" s="17" t="n"/>
      <c r="O173" s="17" t="inlineStr">
        <is>
          <t>6 Desbobinado + embutido (M06-M08)</t>
        </is>
      </c>
      <c r="P173" s="17" t="n"/>
      <c r="Q173" s="33" t="inlineStr">
        <is>
          <t>P</t>
        </is>
      </c>
      <c r="R173" s="33" t="inlineStr">
        <is>
          <t>FL_DES_ABC_10kg</t>
        </is>
      </c>
      <c r="S173" s="17" t="inlineStr">
        <is>
          <t>embutido</t>
        </is>
      </c>
    </row>
    <row r="174">
      <c r="A174" s="35" t="inlineStr">
        <is>
          <t>FL_MAT_ABC_10kg</t>
        </is>
      </c>
      <c r="B174" s="35" t="n">
        <v>3</v>
      </c>
      <c r="C174" s="35" t="inlineStr">
        <is>
          <t>MP-FLEJE</t>
        </is>
      </c>
      <c r="D174" s="36" t="inlineStr">
        <is>
          <t xml:space="preserve">            Fleje e=2 × 249 (paso 208)</t>
        </is>
      </c>
      <c r="E174" s="35" t="n">
        <v>0.208</v>
      </c>
      <c r="F174" s="35" t="inlineStr">
        <is>
          <t>m</t>
        </is>
      </c>
      <c r="G174" s="37" t="n">
        <v>3.909</v>
      </c>
      <c r="H174" s="37">
        <f>E174*G174</f>
        <v/>
      </c>
      <c r="I174" s="35" t="inlineStr">
        <is>
          <t>Fleje SAE 1010</t>
        </is>
      </c>
      <c r="J174" s="36" t="inlineStr">
        <is>
          <t>disco Ø205 (kg por m de fleje)</t>
        </is>
      </c>
      <c r="K174" s="35" t="inlineStr">
        <is>
          <t>Compra</t>
        </is>
      </c>
      <c r="L174" s="35" t="inlineStr">
        <is>
          <t>Sí</t>
        </is>
      </c>
      <c r="M174" s="36" t="inlineStr">
        <is>
          <t>Pacheco Chapas</t>
        </is>
      </c>
      <c r="N174" s="36" t="inlineStr">
        <is>
          <t>Pradecon S.A.</t>
        </is>
      </c>
      <c r="O174" s="36" t="inlineStr">
        <is>
          <t>AL-1F porta-flejes</t>
        </is>
      </c>
      <c r="P174" s="36" t="n"/>
      <c r="Q174" s="35" t="inlineStr">
        <is>
          <t>L</t>
        </is>
      </c>
      <c r="R174" s="35" t="inlineStr">
        <is>
          <t>FL_PI_04 h2</t>
        </is>
      </c>
      <c r="S174" s="36" t="n"/>
    </row>
    <row r="175">
      <c r="A175" s="33" t="inlineStr">
        <is>
          <t>FL_MAT_ABC_10kg</t>
        </is>
      </c>
      <c r="B175" s="33" t="n">
        <v>2</v>
      </c>
      <c r="C175" s="33" t="inlineStr">
        <is>
          <t>ABC10-04</t>
        </is>
      </c>
      <c r="D175" s="17" t="inlineStr">
        <is>
          <t xml:space="preserve">        Cuello roscado</t>
        </is>
      </c>
      <c r="E175" s="33" t="n">
        <v>1</v>
      </c>
      <c r="F175" s="33" t="inlineStr">
        <is>
          <t>u</t>
        </is>
      </c>
      <c r="G175" s="34" t="n">
        <v>0.0542</v>
      </c>
      <c r="H175" s="34">
        <f>E175*G175</f>
        <v/>
      </c>
      <c r="I175" s="33" t="inlineStr">
        <is>
          <t>Acero SAE 1010</t>
        </is>
      </c>
      <c r="J175" s="17" t="inlineStr">
        <is>
          <t>Ø36,8 × 14 de alto, rosca M30x1,5, asiento Ø35</t>
        </is>
      </c>
      <c r="K175" s="33" t="inlineStr">
        <is>
          <t>Compra (mecanizado, Eli-Met)</t>
        </is>
      </c>
      <c r="L175" s="33" t="inlineStr">
        <is>
          <t>Sí</t>
        </is>
      </c>
      <c r="M175" s="17" t="inlineStr">
        <is>
          <t>Eli-Met</t>
        </is>
      </c>
      <c r="N175" s="17" t="inlineStr">
        <is>
          <t>-</t>
        </is>
      </c>
      <c r="O175" s="17" t="inlineStr">
        <is>
          <t>Compra -&gt; 8 soldadura de cuello</t>
        </is>
      </c>
      <c r="P175" s="17" t="n"/>
      <c r="Q175" s="33" t="inlineStr">
        <is>
          <t>P</t>
        </is>
      </c>
      <c r="R175" s="33" t="inlineStr">
        <is>
          <t>FL_DES_ABC_10kg</t>
        </is>
      </c>
      <c r="S175" s="17" t="inlineStr">
        <is>
          <t>M30x1,5</t>
        </is>
      </c>
    </row>
    <row r="176">
      <c r="A176" s="41" t="inlineStr">
        <is>
          <t>FL_MAT_ABC_10kg</t>
        </is>
      </c>
      <c r="B176" s="41" t="n">
        <v>2</v>
      </c>
      <c r="C176" s="41" t="inlineStr">
        <is>
          <t>ABC10-C1</t>
        </is>
      </c>
      <c r="D176" s="18" t="inlineStr">
        <is>
          <t xml:space="preserve">        Alambre MAG ER70S-6 Ø0,9 (AWS A5.18)</t>
        </is>
      </c>
      <c r="E176" s="41" t="n">
        <v>0.0987</v>
      </c>
      <c r="F176" s="41" t="inlineStr">
        <is>
          <t>kg</t>
        </is>
      </c>
      <c r="G176" s="42" t="n">
        <v>0.95</v>
      </c>
      <c r="H176" s="42">
        <f>E176*G176</f>
        <v/>
      </c>
      <c r="I176" s="41" t="inlineStr">
        <is>
          <t>ER70S-6</t>
        </is>
      </c>
      <c r="J176" s="18" t="inlineStr">
        <is>
          <t>metal depositado de los cordones del plano 94 g / rendimiento 0,95</t>
        </is>
      </c>
      <c r="K176" s="41" t="inlineStr">
        <is>
          <t>Compra</t>
        </is>
      </c>
      <c r="L176" s="41" t="inlineStr">
        <is>
          <t>Sí</t>
        </is>
      </c>
      <c r="M176" s="18" t="inlineStr">
        <is>
          <t>Conarco (ESAB Argentina)</t>
        </is>
      </c>
      <c r="N176" s="18" t="inlineStr">
        <is>
          <t>-</t>
        </is>
      </c>
      <c r="O176" s="18" t="inlineStr">
        <is>
          <t>4 sold. long. / 8 cuello / 11 circunferencial</t>
        </is>
      </c>
      <c r="P176" s="18" t="inlineStr">
        <is>
          <t>IRAM 3523 3.2.4.2 · IRAM 3550 4.1.2</t>
        </is>
      </c>
      <c r="Q176" s="41" t="inlineStr">
        <is>
          <t>C</t>
        </is>
      </c>
      <c r="R176" s="41" t="n"/>
      <c r="S17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7">
      <c r="A177" s="41" t="inlineStr">
        <is>
          <t>FL_MAT_ABC_10kg</t>
        </is>
      </c>
      <c r="B177" s="41" t="n">
        <v>2</v>
      </c>
      <c r="C177" s="41" t="inlineStr">
        <is>
          <t>ABC10-C2</t>
        </is>
      </c>
      <c r="D177" s="18" t="inlineStr">
        <is>
          <t xml:space="preserve">        Gas de protección MAG Arcal 21 / ARCAL Speed (Ar + 8 % CO₂, M20)</t>
        </is>
      </c>
      <c r="E177" s="41" t="n">
        <v>40.7</v>
      </c>
      <c r="F177" s="41" t="inlineStr">
        <is>
          <t>L</t>
        </is>
      </c>
      <c r="G177" s="42" t="n"/>
      <c r="H177" s="42" t="n"/>
      <c r="I177" s="41" t="inlineStr">
        <is>
          <t>EN ISO 14175 M20-ArC-8</t>
        </is>
      </c>
      <c r="J177" s="18" t="inlineStr">
        <is>
          <t>14 L/min × 2,91 min de arco (cordones 1.743 mm: long. 487 + circ. 1.140 + cuello 116, a 600 mm/min)</t>
        </is>
      </c>
      <c r="K177" s="41" t="inlineStr">
        <is>
          <t>Compra</t>
        </is>
      </c>
      <c r="L177" s="41" t="inlineStr">
        <is>
          <t>Sí</t>
        </is>
      </c>
      <c r="M177" s="18" t="inlineStr">
        <is>
          <t>Air Liquide Argentina - sucursal Piñeyro</t>
        </is>
      </c>
      <c r="N177" s="18" t="inlineStr">
        <is>
          <t>Gogniat</t>
        </is>
      </c>
      <c r="O177" s="18" t="inlineStr">
        <is>
          <t>Colector SC</t>
        </is>
      </c>
      <c r="P177" s="18" t="inlineStr">
        <is>
          <t>IRAM 3523 3.2.4.2 · IRAM 3550 3.2.2.2</t>
        </is>
      </c>
      <c r="Q177" s="41" t="inlineStr">
        <is>
          <t>C</t>
        </is>
      </c>
      <c r="R177" s="41" t="n"/>
      <c r="S17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8">
      <c r="A178" s="41" t="inlineStr">
        <is>
          <t>FL_MAT_ABC_10kg</t>
        </is>
      </c>
      <c r="B178" s="41" t="n">
        <v>2</v>
      </c>
      <c r="C178" s="41" t="inlineStr">
        <is>
          <t>ABC10-C3</t>
        </is>
      </c>
      <c r="D178" s="18" t="inlineStr">
        <is>
          <t xml:space="preserve">        Granalla de acero S330 / S390 (ISO 11124-3, SAE J444)</t>
        </is>
      </c>
      <c r="E178" s="41" t="n">
        <v>0.08</v>
      </c>
      <c r="F178" s="41" t="inlineStr">
        <is>
          <t>kg</t>
        </is>
      </c>
      <c r="G178" s="42" t="n"/>
      <c r="H178" s="42" t="n"/>
      <c r="I178" s="41" t="inlineStr">
        <is>
          <t>Granalla esférica alto C</t>
        </is>
      </c>
      <c r="J178" s="18" t="inlineStr">
        <is>
          <t>0,338 m² a Sa 2½ (ISO 8501-1); 3,4 kg/h ÷ 42,5 u/h</t>
        </is>
      </c>
      <c r="K178" s="41" t="inlineStr">
        <is>
          <t>Compra</t>
        </is>
      </c>
      <c r="L178" s="41" t="inlineStr">
        <is>
          <t>Sí</t>
        </is>
      </c>
      <c r="M178" s="18" t="inlineStr">
        <is>
          <t>CyM Materiales</t>
        </is>
      </c>
      <c r="N178" s="18" t="inlineStr">
        <is>
          <t>Roca Ingeniería</t>
        </is>
      </c>
      <c r="O178" s="18" t="inlineStr">
        <is>
          <t>14 Granallado (B08)</t>
        </is>
      </c>
      <c r="P178" s="18" t="inlineStr">
        <is>
          <t>DOC-01</t>
        </is>
      </c>
      <c r="Q178" s="41" t="inlineStr">
        <is>
          <t>C</t>
        </is>
      </c>
      <c r="R178" s="41" t="n"/>
      <c r="S178" s="18" t="inlineStr">
        <is>
          <t>Consumo (desgaste) por turbina ≈ HP / 2 lb/h (The Fabricator, «aspectos básicos del granallado por turbina»): G-100 con 2 × 7,5 HP = 7,5 lb/h = 3,4 kg/h; ritmo 340 u por turno (Getweld) = 42,5 u/h.</t>
        </is>
      </c>
    </row>
    <row r="179">
      <c r="A179" s="33" t="inlineStr">
        <is>
          <t>FL_MAT_ABC_10kg</t>
        </is>
      </c>
      <c r="B179" s="33" t="n">
        <v>2</v>
      </c>
      <c r="C179" s="33" t="inlineStr">
        <is>
          <t>ABC10-C4</t>
        </is>
      </c>
      <c r="D179" s="17" t="inlineStr">
        <is>
          <t xml:space="preserve">        Servicio de pintura en polvo al horno, rojo 03-1-050</t>
        </is>
      </c>
      <c r="E179" s="33" t="n">
        <v>1</v>
      </c>
      <c r="F179" s="33" t="inlineStr">
        <is>
          <t>u</t>
        </is>
      </c>
      <c r="G179" s="34" t="n"/>
      <c r="H179" s="34" t="n"/>
      <c r="I179" s="33" t="inlineStr">
        <is>
          <t>Servicio tercerizado</t>
        </is>
      </c>
      <c r="J179" s="17" t="inlineStr">
        <is>
          <t>superficie exterior 0,338 m²</t>
        </is>
      </c>
      <c r="K179" s="33" t="inlineStr">
        <is>
          <t>Compra (servicio)</t>
        </is>
      </c>
      <c r="L179" s="33" t="inlineStr">
        <is>
          <t>Sí</t>
        </is>
      </c>
      <c r="M179" s="17" t="inlineStr">
        <is>
          <t>Prymax</t>
        </is>
      </c>
      <c r="N179" s="17" t="inlineStr">
        <is>
          <t>Pintor de carros (cotización por mensaje)</t>
        </is>
      </c>
      <c r="O179" s="17" t="inlineStr">
        <is>
          <t>17 Pintura tercerizada</t>
        </is>
      </c>
      <c r="P179" s="17" t="inlineStr">
        <is>
          <t>IRAM 3523 5.3 / IRAM 3550 3.11 · IRAM 121</t>
        </is>
      </c>
      <c r="Q179" s="33" t="inlineStr">
        <is>
          <t>Q</t>
        </is>
      </c>
      <c r="R179" s="33" t="n"/>
      <c r="S179" s="17" t="inlineStr">
        <is>
          <t>Q-PRYMAX (precio por cilindro); exigir informe de niebla salina del sistema de pintura; tercerización aceptada por el Ministerio (Res. 349/07 art. 18)</t>
        </is>
      </c>
    </row>
    <row r="180">
      <c r="A180" s="30" t="inlineStr">
        <is>
          <t>FL_MAT_ABC_10kg</t>
        </is>
      </c>
      <c r="B180" s="30" t="n">
        <v>1</v>
      </c>
      <c r="C180" s="30" t="inlineStr">
        <is>
          <t>ABC10-S2</t>
        </is>
      </c>
      <c r="D180" s="31" t="inlineStr">
        <is>
          <t xml:space="preserve">    Conjunto de válvula</t>
        </is>
      </c>
      <c r="E180" s="30" t="n">
        <v>1</v>
      </c>
      <c r="F180" s="30" t="inlineStr">
        <is>
          <t>u</t>
        </is>
      </c>
      <c r="G180" s="32" t="n"/>
      <c r="H180" s="32">
        <f>H181+H182+H183+H185+H186+H187+H188+H189+H190+H191</f>
        <v/>
      </c>
      <c r="I180" s="30" t="n"/>
      <c r="J180" s="31" t="n"/>
      <c r="K180" s="30" t="inlineStr">
        <is>
          <t>Compra / armado</t>
        </is>
      </c>
      <c r="L180" s="30" t="n"/>
      <c r="M180" s="31" t="n"/>
      <c r="N180" s="31" t="n"/>
      <c r="O180" s="31" t="n"/>
      <c r="P180" s="31" t="inlineStr">
        <is>
          <t>Manómetro IRAM 3533</t>
        </is>
      </c>
      <c r="Q180" s="30" t="inlineStr">
        <is>
          <t>P</t>
        </is>
      </c>
      <c r="R180" s="30" t="inlineStr">
        <is>
          <t>FL_DES_ABC_10kg</t>
        </is>
      </c>
      <c r="S180" s="31" t="n"/>
    </row>
    <row r="181">
      <c r="A181" s="33" t="inlineStr">
        <is>
          <t>FL_MAT_ABC_10kg</t>
        </is>
      </c>
      <c r="B181" s="33" t="n">
        <v>2</v>
      </c>
      <c r="C181" s="33" t="inlineStr">
        <is>
          <t>ABC10-05</t>
        </is>
      </c>
      <c r="D181" s="17" t="inlineStr">
        <is>
          <t xml:space="preserve">        Collarín de válvula</t>
        </is>
      </c>
      <c r="E181" s="33" t="n">
        <v>1</v>
      </c>
      <c r="F181" s="33" t="inlineStr">
        <is>
          <t>u</t>
        </is>
      </c>
      <c r="G181" s="34" t="n">
        <v>0.08210000000000001</v>
      </c>
      <c r="H181" s="34">
        <f>E181*G181</f>
        <v/>
      </c>
      <c r="I181" s="33" t="inlineStr">
        <is>
          <t>Latón forjado</t>
        </is>
      </c>
      <c r="J181" s="17" t="inlineStr">
        <is>
          <t>42,8 × 42,8 × 10</t>
        </is>
      </c>
      <c r="K181" s="33" t="inlineStr">
        <is>
          <t>Incluido en válvula HZ</t>
        </is>
      </c>
      <c r="L181" s="33" t="inlineStr">
        <is>
          <t>No</t>
        </is>
      </c>
      <c r="M181" s="17" t="n"/>
      <c r="N181" s="17" t="n"/>
      <c r="O181" s="17" t="inlineStr">
        <is>
          <t>19 Ensamblaje de válvula (T03/T04)</t>
        </is>
      </c>
      <c r="P181" s="17" t="n"/>
      <c r="Q181" s="33" t="inlineStr">
        <is>
          <t>P</t>
        </is>
      </c>
      <c r="R181" s="33" t="inlineStr">
        <is>
          <t>FL_DES_ABC_10kg</t>
        </is>
      </c>
      <c r="S181" s="17" t="n"/>
    </row>
    <row r="182">
      <c r="A182" s="33" t="inlineStr">
        <is>
          <t>FL_MAT_ABC_10kg</t>
        </is>
      </c>
      <c r="B182" s="33" t="n">
        <v>2</v>
      </c>
      <c r="C182" s="33" t="inlineStr">
        <is>
          <t>ABC10-06</t>
        </is>
      </c>
      <c r="D182" s="17" t="inlineStr">
        <is>
          <t xml:space="preserve">        Espiga roscada</t>
        </is>
      </c>
      <c r="E182" s="33" t="n">
        <v>1</v>
      </c>
      <c r="F182" s="33" t="inlineStr">
        <is>
          <t>u</t>
        </is>
      </c>
      <c r="G182" s="34" t="n">
        <v>0.0243</v>
      </c>
      <c r="H182" s="34">
        <f>E182*G182</f>
        <v/>
      </c>
      <c r="I182" s="33" t="inlineStr">
        <is>
          <t>Latón forjado</t>
        </is>
      </c>
      <c r="J182" s="17" t="inlineStr">
        <is>
          <t>28,4 × 28,4 × 12</t>
        </is>
      </c>
      <c r="K182" s="33" t="inlineStr">
        <is>
          <t>Incluido en válvula HZ</t>
        </is>
      </c>
      <c r="L182" s="33" t="inlineStr">
        <is>
          <t>No</t>
        </is>
      </c>
      <c r="M182" s="17" t="n"/>
      <c r="N182" s="17" t="n"/>
      <c r="O182" s="17" t="inlineStr">
        <is>
          <t>19 Ensamblaje de válvula (T03/T04)</t>
        </is>
      </c>
      <c r="P182" s="17" t="n"/>
      <c r="Q182" s="33" t="inlineStr">
        <is>
          <t>P</t>
        </is>
      </c>
      <c r="R182" s="33" t="inlineStr">
        <is>
          <t>FL_DES_ABC_10kg</t>
        </is>
      </c>
      <c r="S182" s="17" t="n"/>
    </row>
    <row r="183">
      <c r="A183" s="33" t="inlineStr">
        <is>
          <t>FL_MAT_ABC_10kg</t>
        </is>
      </c>
      <c r="B183" s="33" t="n">
        <v>2</v>
      </c>
      <c r="C183" s="33" t="inlineStr">
        <is>
          <t>ABC10-07</t>
        </is>
      </c>
      <c r="D183" s="17" t="inlineStr">
        <is>
          <t xml:space="preserve">        Cuerpo de válvula</t>
        </is>
      </c>
      <c r="E183" s="33" t="n">
        <v>1</v>
      </c>
      <c r="F183" s="33" t="inlineStr">
        <is>
          <t>u</t>
        </is>
      </c>
      <c r="G183" s="34" t="n">
        <v>0.435</v>
      </c>
      <c r="H183" s="34">
        <f>E183*G183</f>
        <v/>
      </c>
      <c r="I183" s="33" t="inlineStr">
        <is>
          <t>Latón forjado</t>
        </is>
      </c>
      <c r="J183" s="17" t="inlineStr">
        <is>
          <t>59,4 × 43 × 34</t>
        </is>
      </c>
      <c r="K183" s="33" t="inlineStr">
        <is>
          <t>Incluido en válvula HZ</t>
        </is>
      </c>
      <c r="L183" s="33" t="inlineStr">
        <is>
          <t>No</t>
        </is>
      </c>
      <c r="M183" s="17" t="n"/>
      <c r="N183" s="17" t="n"/>
      <c r="O183" s="17" t="inlineStr">
        <is>
          <t>19 Ensamblaje de válvula (T03/T04)</t>
        </is>
      </c>
      <c r="P183" s="17" t="n"/>
      <c r="Q183" s="33" t="inlineStr">
        <is>
          <t>P</t>
        </is>
      </c>
      <c r="R183" s="33" t="inlineStr">
        <is>
          <t>FL_DES_ABC_10kg</t>
        </is>
      </c>
      <c r="S183" s="17" t="n"/>
    </row>
    <row r="184">
      <c r="A184" s="45" t="inlineStr">
        <is>
          <t>FL_MAT_ABC_10kg</t>
        </is>
      </c>
      <c r="B184" s="45" t="n">
        <v>2</v>
      </c>
      <c r="C184" s="45" t="inlineStr">
        <is>
          <t>ABC10-08</t>
        </is>
      </c>
      <c r="D184" s="19" t="inlineStr">
        <is>
          <t xml:space="preserve">        Manómetro</t>
        </is>
      </c>
      <c r="E184" s="45" t="n">
        <v>1</v>
      </c>
      <c r="F184" s="45" t="inlineStr">
        <is>
          <t>u</t>
        </is>
      </c>
      <c r="G184" s="46" t="n"/>
      <c r="H184" s="46" t="n"/>
      <c r="I184" s="45" t="inlineStr">
        <is>
          <t>Comercial</t>
        </is>
      </c>
      <c r="J184" s="19" t="inlineStr">
        <is>
          <t>Ø38 esfera, rango 0-3,5 MPa, sector verde en 1,4</t>
        </is>
      </c>
      <c r="K184" s="45" t="inlineStr">
        <is>
          <t>Compra</t>
        </is>
      </c>
      <c r="L184" s="45" t="inlineStr">
        <is>
          <t>Sí</t>
        </is>
      </c>
      <c r="M184" s="19" t="inlineStr">
        <is>
          <t>Yukon / MatafuegosYa S.R.L.</t>
        </is>
      </c>
      <c r="N184" s="19" t="inlineStr">
        <is>
          <t>Matafuegos Iglesias</t>
        </is>
      </c>
      <c r="O184" s="19" t="inlineStr">
        <is>
          <t>19 Ensamblaje de válvula (T03/T04)</t>
        </is>
      </c>
      <c r="P184" s="19" t="inlineStr">
        <is>
          <t>IRAM 3533</t>
        </is>
      </c>
      <c r="Q184" s="45" t="inlineStr">
        <is>
          <t>P</t>
        </is>
      </c>
      <c r="R184" s="45" t="inlineStr">
        <is>
          <t>FL_DES_ABC_10kg</t>
        </is>
      </c>
      <c r="S184" s="19" t="inlineStr">
        <is>
          <t>Pieza comercial; sello IRAM 3533; peso: completar con la ficha del proveedor (no afecta el MRP)</t>
        </is>
      </c>
    </row>
    <row r="185">
      <c r="A185" s="33" t="inlineStr">
        <is>
          <t>FL_MAT_ABC_10kg</t>
        </is>
      </c>
      <c r="B185" s="33" t="n">
        <v>2</v>
      </c>
      <c r="C185" s="33" t="inlineStr">
        <is>
          <t>ABC10-09</t>
        </is>
      </c>
      <c r="D185" s="17" t="inlineStr">
        <is>
          <t xml:space="preserve">        Manija de transporte</t>
        </is>
      </c>
      <c r="E185" s="33" t="n">
        <v>1</v>
      </c>
      <c r="F185" s="33" t="inlineStr">
        <is>
          <t>u</t>
        </is>
      </c>
      <c r="G185" s="34" t="n">
        <v>0.056</v>
      </c>
      <c r="H185" s="34">
        <f>E185*G185</f>
        <v/>
      </c>
      <c r="I185" s="33" t="inlineStr">
        <is>
          <t>Chapa acero SAE 1010 pintada</t>
        </is>
      </c>
      <c r="J185" s="17" t="inlineStr">
        <is>
          <t>89,2 × 20 × 13,3</t>
        </is>
      </c>
      <c r="K185" s="33" t="inlineStr">
        <is>
          <t>Incluido en válvula HZ</t>
        </is>
      </c>
      <c r="L185" s="33" t="inlineStr">
        <is>
          <t>No</t>
        </is>
      </c>
      <c r="M185" s="17" t="n"/>
      <c r="N185" s="17" t="n"/>
      <c r="O185" s="17" t="inlineStr">
        <is>
          <t>19 Ensamblaje de válvula (T03/T04)</t>
        </is>
      </c>
      <c r="P185" s="17" t="n"/>
      <c r="Q185" s="33" t="inlineStr">
        <is>
          <t>P</t>
        </is>
      </c>
      <c r="R185" s="33" t="inlineStr">
        <is>
          <t>FL_DES_ABC_10kg</t>
        </is>
      </c>
      <c r="S185" s="17" t="n"/>
    </row>
    <row r="186">
      <c r="A186" s="33" t="inlineStr">
        <is>
          <t>FL_MAT_ABC_10kg</t>
        </is>
      </c>
      <c r="B186" s="33" t="n">
        <v>2</v>
      </c>
      <c r="C186" s="33" t="inlineStr">
        <is>
          <t>ABC10-10</t>
        </is>
      </c>
      <c r="D186" s="17" t="inlineStr">
        <is>
          <t xml:space="preserve">        Manija de accionamiento</t>
        </is>
      </c>
      <c r="E186" s="33" t="n">
        <v>1</v>
      </c>
      <c r="F186" s="33" t="inlineStr">
        <is>
          <t>u</t>
        </is>
      </c>
      <c r="G186" s="34" t="n">
        <v>0.083</v>
      </c>
      <c r="H186" s="34">
        <f>E186*G186</f>
        <v/>
      </c>
      <c r="I186" s="33" t="inlineStr">
        <is>
          <t>Chapa acero SAE 1010 pintada</t>
        </is>
      </c>
      <c r="J186" s="17" t="inlineStr">
        <is>
          <t>131,7 × 20,1 × 20</t>
        </is>
      </c>
      <c r="K186" s="33" t="inlineStr">
        <is>
          <t>Incluido en válvula HZ</t>
        </is>
      </c>
      <c r="L186" s="33" t="inlineStr">
        <is>
          <t>No</t>
        </is>
      </c>
      <c r="M186" s="17" t="n"/>
      <c r="N186" s="17" t="n"/>
      <c r="O186" s="17" t="inlineStr">
        <is>
          <t>19 Ensamblaje de válvula (T03/T04)</t>
        </is>
      </c>
      <c r="P186" s="17" t="n"/>
      <c r="Q186" s="33" t="inlineStr">
        <is>
          <t>P</t>
        </is>
      </c>
      <c r="R186" s="33" t="inlineStr">
        <is>
          <t>FL_DES_ABC_10kg</t>
        </is>
      </c>
      <c r="S186" s="17" t="n"/>
    </row>
    <row r="187">
      <c r="A187" s="33" t="inlineStr">
        <is>
          <t>FL_MAT_ABC_10kg</t>
        </is>
      </c>
      <c r="B187" s="33" t="n">
        <v>2</v>
      </c>
      <c r="C187" s="33" t="inlineStr">
        <is>
          <t>ABC10-11</t>
        </is>
      </c>
      <c r="D187" s="17" t="inlineStr">
        <is>
          <t xml:space="preserve">        Eje de palanca</t>
        </is>
      </c>
      <c r="E187" s="33" t="n">
        <v>1</v>
      </c>
      <c r="F187" s="33" t="inlineStr">
        <is>
          <t>u</t>
        </is>
      </c>
      <c r="G187" s="34" t="n">
        <v>0.0081</v>
      </c>
      <c r="H187" s="34">
        <f>E187*G187</f>
        <v/>
      </c>
      <c r="I187" s="33" t="inlineStr">
        <is>
          <t>Acero inox. AISI 304</t>
        </is>
      </c>
      <c r="J187" s="17" t="inlineStr">
        <is>
          <t>36 × 6 × 6</t>
        </is>
      </c>
      <c r="K187" s="33" t="inlineStr">
        <is>
          <t>Incluido en válvula HZ</t>
        </is>
      </c>
      <c r="L187" s="33" t="inlineStr">
        <is>
          <t>No</t>
        </is>
      </c>
      <c r="M187" s="17" t="n"/>
      <c r="N187" s="17" t="n"/>
      <c r="O187" s="17" t="inlineStr">
        <is>
          <t>19 Ensamblaje de válvula (T03/T04)</t>
        </is>
      </c>
      <c r="P187" s="17" t="n"/>
      <c r="Q187" s="33" t="inlineStr">
        <is>
          <t>P</t>
        </is>
      </c>
      <c r="R187" s="33" t="inlineStr">
        <is>
          <t>FL_DES_ABC_10kg</t>
        </is>
      </c>
      <c r="S187" s="17" t="n"/>
    </row>
    <row r="188">
      <c r="A188" s="33" t="inlineStr">
        <is>
          <t>FL_MAT_ABC_10kg</t>
        </is>
      </c>
      <c r="B188" s="33" t="n">
        <v>2</v>
      </c>
      <c r="C188" s="33" t="inlineStr">
        <is>
          <t>ABC10-12</t>
        </is>
      </c>
      <c r="D188" s="17" t="inlineStr">
        <is>
          <t xml:space="preserve">        Vástago</t>
        </is>
      </c>
      <c r="E188" s="33" t="n">
        <v>1</v>
      </c>
      <c r="F188" s="33" t="inlineStr">
        <is>
          <t>u</t>
        </is>
      </c>
      <c r="G188" s="34" t="n">
        <v>0.0017</v>
      </c>
      <c r="H188" s="34">
        <f>E188*G188</f>
        <v/>
      </c>
      <c r="I188" s="33" t="inlineStr">
        <is>
          <t>Latón</t>
        </is>
      </c>
      <c r="J188" s="17" t="inlineStr">
        <is>
          <t>8 × 8 × 4</t>
        </is>
      </c>
      <c r="K188" s="33" t="inlineStr">
        <is>
          <t>Incluido en válvula HZ</t>
        </is>
      </c>
      <c r="L188" s="33" t="inlineStr">
        <is>
          <t>No</t>
        </is>
      </c>
      <c r="M188" s="17" t="n"/>
      <c r="N188" s="17" t="n"/>
      <c r="O188" s="17" t="inlineStr">
        <is>
          <t>19 Ensamblaje de válvula (T03/T04)</t>
        </is>
      </c>
      <c r="P188" s="17" t="n"/>
      <c r="Q188" s="33" t="inlineStr">
        <is>
          <t>P</t>
        </is>
      </c>
      <c r="R188" s="33" t="inlineStr">
        <is>
          <t>FL_DES_ABC_10kg</t>
        </is>
      </c>
      <c r="S188" s="17" t="inlineStr">
        <is>
          <t>con junta tórica</t>
        </is>
      </c>
    </row>
    <row r="189">
      <c r="A189" s="33" t="inlineStr">
        <is>
          <t>FL_MAT_ABC_10kg</t>
        </is>
      </c>
      <c r="B189" s="33" t="n">
        <v>2</v>
      </c>
      <c r="C189" s="33" t="inlineStr">
        <is>
          <t>ABC10-13</t>
        </is>
      </c>
      <c r="D189" s="17" t="inlineStr">
        <is>
          <t xml:space="preserve">        Pasador de seguridad</t>
        </is>
      </c>
      <c r="E189" s="33" t="n">
        <v>1</v>
      </c>
      <c r="F189" s="33" t="inlineStr">
        <is>
          <t>u</t>
        </is>
      </c>
      <c r="G189" s="34" t="n">
        <v>0.0055</v>
      </c>
      <c r="H189" s="34">
        <f>E189*G189</f>
        <v/>
      </c>
      <c r="I189" s="33" t="inlineStr">
        <is>
          <t>Alambre acero inox. AISI 304</t>
        </is>
      </c>
      <c r="J189" s="17" t="inlineStr">
        <is>
          <t>45,4 × 21 × 20,8</t>
        </is>
      </c>
      <c r="K189" s="33" t="inlineStr">
        <is>
          <t>Incluido en válvula HZ</t>
        </is>
      </c>
      <c r="L189" s="33" t="inlineStr">
        <is>
          <t>No</t>
        </is>
      </c>
      <c r="M189" s="17" t="n"/>
      <c r="N189" s="17" t="n"/>
      <c r="O189" s="17" t="inlineStr">
        <is>
          <t>19 Ensamblaje de válvula (T03/T04)</t>
        </is>
      </c>
      <c r="P189" s="17" t="n"/>
      <c r="Q189" s="33" t="inlineStr">
        <is>
          <t>P</t>
        </is>
      </c>
      <c r="R189" s="33" t="inlineStr">
        <is>
          <t>FL_DES_ABC_10kg</t>
        </is>
      </c>
      <c r="S189" s="17" t="inlineStr">
        <is>
          <t>con precinto</t>
        </is>
      </c>
    </row>
    <row r="190">
      <c r="A190" s="33" t="inlineStr">
        <is>
          <t>FL_MAT_ABC_10kg</t>
        </is>
      </c>
      <c r="B190" s="33" t="n">
        <v>2</v>
      </c>
      <c r="C190" s="33" t="inlineStr">
        <is>
          <t>ABC10-14</t>
        </is>
      </c>
      <c r="D190" s="17" t="inlineStr">
        <is>
          <t xml:space="preserve">        Caño de pesca (sifón)</t>
        </is>
      </c>
      <c r="E190" s="33" t="n">
        <v>1</v>
      </c>
      <c r="F190" s="33" t="inlineStr">
        <is>
          <t>u</t>
        </is>
      </c>
      <c r="G190" s="34" t="n">
        <v>0.0364</v>
      </c>
      <c r="H190" s="34">
        <f>E190*G190</f>
        <v/>
      </c>
      <c r="I190" s="33" t="inlineStr">
        <is>
          <t>Tubo PVC rígido</t>
        </is>
      </c>
      <c r="J190" s="17" t="inlineStr">
        <is>
          <t>Ø12 × 525,7 de largo</t>
        </is>
      </c>
      <c r="K190" s="33" t="inlineStr">
        <is>
          <t>Incluido en válvula HZ</t>
        </is>
      </c>
      <c r="L190" s="33" t="inlineStr">
        <is>
          <t>No</t>
        </is>
      </c>
      <c r="M190" s="17" t="n"/>
      <c r="N190" s="17" t="n"/>
      <c r="O190" s="17" t="inlineStr">
        <is>
          <t>19 Ensamblaje de válvula (T03/T04)</t>
        </is>
      </c>
      <c r="P190" s="17" t="n"/>
      <c r="Q190" s="33" t="inlineStr">
        <is>
          <t>P</t>
        </is>
      </c>
      <c r="R190" s="33" t="inlineStr">
        <is>
          <t>FL_DES_ABC_10kg</t>
        </is>
      </c>
      <c r="S190" s="17" t="n"/>
    </row>
    <row r="191">
      <c r="A191" s="33" t="inlineStr">
        <is>
          <t>FL_MAT_ABC_10kg</t>
        </is>
      </c>
      <c r="B191" s="33" t="n">
        <v>2</v>
      </c>
      <c r="C191" s="33" t="inlineStr">
        <is>
          <t>ABC10-24</t>
        </is>
      </c>
      <c r="D191" s="17" t="inlineStr">
        <is>
          <t xml:space="preserve">        Junta tórica de asiento</t>
        </is>
      </c>
      <c r="E191" s="33" t="n">
        <v>1</v>
      </c>
      <c r="F191" s="33" t="inlineStr">
        <is>
          <t>u</t>
        </is>
      </c>
      <c r="G191" s="34" t="n">
        <v>0.001</v>
      </c>
      <c r="H191" s="34">
        <f>E191*G191</f>
        <v/>
      </c>
      <c r="I191" s="33" t="inlineStr">
        <is>
          <t>NBR 70 Shore A</t>
        </is>
      </c>
      <c r="J191" s="17" t="inlineStr">
        <is>
          <t>Ø31,4 ext. × cordón 3</t>
        </is>
      </c>
      <c r="K191" s="33" t="inlineStr">
        <is>
          <t>Compra</t>
        </is>
      </c>
      <c r="L191" s="33" t="inlineStr">
        <is>
          <t>Sí</t>
        </is>
      </c>
      <c r="M191" s="17" t="inlineStr">
        <is>
          <t>Argensold</t>
        </is>
      </c>
      <c r="N191" s="17" t="inlineStr">
        <is>
          <t>Matafuegos Iglesias</t>
        </is>
      </c>
      <c r="O191" s="17" t="inlineStr">
        <is>
          <t>19 Ensamblaje de válvula (T03/T04)</t>
        </is>
      </c>
      <c r="P191" s="17" t="n"/>
      <c r="Q191" s="33" t="inlineStr">
        <is>
          <t>P</t>
        </is>
      </c>
      <c r="R191" s="33" t="inlineStr">
        <is>
          <t>FL_DES_ABC_10kg</t>
        </is>
      </c>
      <c r="S191" s="17" t="inlineStr">
        <is>
          <t>cambio c/recarga</t>
        </is>
      </c>
    </row>
    <row r="192">
      <c r="A192" s="33" t="inlineStr">
        <is>
          <t>FL_MAT_ABC_10kg</t>
        </is>
      </c>
      <c r="B192" s="33" t="n">
        <v>2</v>
      </c>
      <c r="C192" s="33" t="inlineStr">
        <is>
          <t>ABC10-K2</t>
        </is>
      </c>
      <c r="D192" s="17" t="inlineStr">
        <is>
          <t xml:space="preserve">        Válvula HZ armada M-30 c/resorte y tubo 7/8</t>
        </is>
      </c>
      <c r="E192" s="33" t="n">
        <v>1</v>
      </c>
      <c r="F192" s="33" t="inlineStr">
        <is>
          <t>u</t>
        </is>
      </c>
      <c r="G192" s="34" t="n"/>
      <c r="H192" s="34" t="n"/>
      <c r="I192" s="33" t="inlineStr">
        <is>
          <t>Latón forjado (HZ)</t>
        </is>
      </c>
      <c r="J192" s="17" t="inlineStr">
        <is>
          <t>rosca M30x1,5</t>
        </is>
      </c>
      <c r="K192" s="33" t="inlineStr">
        <is>
          <t>Compra</t>
        </is>
      </c>
      <c r="L192" s="33" t="inlineStr">
        <is>
          <t>Sí</t>
        </is>
      </c>
      <c r="M192" s="17" t="inlineStr">
        <is>
          <t>Polvex S.R.L. / Sancibrao</t>
        </is>
      </c>
      <c r="N192" s="17" t="inlineStr">
        <is>
          <t>Mozart S.R.L.</t>
        </is>
      </c>
      <c r="O192" s="17" t="inlineStr">
        <is>
          <t>19 Ensamblaje de válvula</t>
        </is>
      </c>
      <c r="P192" s="17" t="inlineStr">
        <is>
          <t>IRAM 3523 3.3</t>
        </is>
      </c>
      <c r="Q192" s="33" t="inlineStr">
        <is>
          <t>Q</t>
        </is>
      </c>
      <c r="R192" s="33" t="inlineStr">
        <is>
          <t>FL_DES_ABC_10kg</t>
        </is>
      </c>
      <c r="S192" s="17" t="inlineStr">
        <is>
          <t>Lista de precios HZ (Q-AGENTES); plano Fadesa usa válvula HZ (R-FADESA). Trae las piezas marcadas «Incluido en válvula HZ»</t>
        </is>
      </c>
    </row>
    <row r="193">
      <c r="A193" s="33" t="inlineStr">
        <is>
          <t>FL_MAT_ABC_10kg</t>
        </is>
      </c>
      <c r="B193" s="33" t="n">
        <v>2</v>
      </c>
      <c r="C193" s="33" t="inlineStr">
        <is>
          <t>ABC10-V2</t>
        </is>
      </c>
      <c r="D193" s="17" t="inlineStr">
        <is>
          <t xml:space="preserve">        Resorte de retorno del vástago</t>
        </is>
      </c>
      <c r="E193" s="33" t="n">
        <v>1</v>
      </c>
      <c r="F193" s="33" t="inlineStr">
        <is>
          <t>u</t>
        </is>
      </c>
      <c r="G193" s="34" t="n"/>
      <c r="H193" s="34" t="n"/>
      <c r="I193" s="33" t="inlineStr">
        <is>
          <t>Acero para resortes</t>
        </is>
      </c>
      <c r="J193" s="17" t="inlineStr">
        <is>
          <t>incluido en la válvula</t>
        </is>
      </c>
      <c r="K193" s="33" t="inlineStr">
        <is>
          <t>Incluido en válvula HZ</t>
        </is>
      </c>
      <c r="L193" s="33" t="inlineStr">
        <is>
          <t>No</t>
        </is>
      </c>
      <c r="M193" s="17" t="n"/>
      <c r="N193" s="17" t="n"/>
      <c r="O193" s="17" t="inlineStr">
        <is>
          <t>19 Ensamblaje</t>
        </is>
      </c>
      <c r="P193" s="17" t="n"/>
      <c r="Q193" s="33" t="inlineStr">
        <is>
          <t>Q</t>
        </is>
      </c>
      <c r="R193" s="33" t="n"/>
      <c r="S193" s="17" t="inlineStr">
        <is>
          <t>Lista de precios HZ: válvula «c/resorte» (Q-AGENTES)</t>
        </is>
      </c>
    </row>
    <row r="194">
      <c r="A194" s="33" t="inlineStr">
        <is>
          <t>FL_MAT_ABC_10kg</t>
        </is>
      </c>
      <c r="B194" s="33" t="n">
        <v>2</v>
      </c>
      <c r="C194" s="33" t="inlineStr">
        <is>
          <t>ABC10-V3</t>
        </is>
      </c>
      <c r="D194" s="17" t="inlineStr">
        <is>
          <t xml:space="preserve">        Junta tórica del vástago</t>
        </is>
      </c>
      <c r="E194" s="33" t="n">
        <v>1</v>
      </c>
      <c r="F194" s="33" t="inlineStr">
        <is>
          <t>u</t>
        </is>
      </c>
      <c r="G194" s="34" t="n"/>
      <c r="H194" s="34" t="n"/>
      <c r="I194" s="33" t="inlineStr">
        <is>
          <t>NBR 70 Shore A</t>
        </is>
      </c>
      <c r="J194" s="17" t="inlineStr">
        <is>
          <t>incluida en la válvula</t>
        </is>
      </c>
      <c r="K194" s="33" t="inlineStr">
        <is>
          <t>Incluido en válvula HZ</t>
        </is>
      </c>
      <c r="L194" s="33" t="inlineStr">
        <is>
          <t>No</t>
        </is>
      </c>
      <c r="M194" s="17" t="n"/>
      <c r="N194" s="17" t="n"/>
      <c r="O194" s="17" t="inlineStr">
        <is>
          <t>19 Ensamblaje</t>
        </is>
      </c>
      <c r="P194" s="17" t="n"/>
      <c r="Q194" s="33" t="inlineStr">
        <is>
          <t>P</t>
        </is>
      </c>
      <c r="R194" s="33" t="n"/>
      <c r="S194" s="17" t="inlineStr">
        <is>
          <t>Figura en el plano como «vástago con junta tórica»</t>
        </is>
      </c>
    </row>
    <row r="195">
      <c r="A195" s="30" t="inlineStr">
        <is>
          <t>FL_MAT_ABC_10kg</t>
        </is>
      </c>
      <c r="B195" s="30" t="n">
        <v>1</v>
      </c>
      <c r="C195" s="30" t="inlineStr">
        <is>
          <t>ABC10-S3</t>
        </is>
      </c>
      <c r="D195" s="31" t="inlineStr">
        <is>
          <t xml:space="preserve">    Dispositivo de descarga</t>
        </is>
      </c>
      <c r="E195" s="30" t="n">
        <v>1</v>
      </c>
      <c r="F195" s="30" t="inlineStr">
        <is>
          <t>u</t>
        </is>
      </c>
      <c r="G195" s="32" t="n"/>
      <c r="H195" s="32">
        <f>H196+H197+H198+H199</f>
        <v/>
      </c>
      <c r="I195" s="30" t="n"/>
      <c r="J195" s="31" t="n"/>
      <c r="K195" s="30" t="inlineStr">
        <is>
          <t>Compra / armado</t>
        </is>
      </c>
      <c r="L195" s="30" t="n"/>
      <c r="M195" s="31" t="n"/>
      <c r="N195" s="31" t="n"/>
      <c r="O195" s="31" t="n"/>
      <c r="P195" s="31" t="n"/>
      <c r="Q195" s="30" t="inlineStr">
        <is>
          <t>P</t>
        </is>
      </c>
      <c r="R195" s="30" t="inlineStr">
        <is>
          <t>FL_DES_ABC_10kg</t>
        </is>
      </c>
      <c r="S195" s="31" t="n"/>
    </row>
    <row r="196">
      <c r="A196" s="33" t="inlineStr">
        <is>
          <t>FL_MAT_ABC_10kg</t>
        </is>
      </c>
      <c r="B196" s="33" t="n">
        <v>2</v>
      </c>
      <c r="C196" s="33" t="inlineStr">
        <is>
          <t>ABC10-15</t>
        </is>
      </c>
      <c r="D196" s="17" t="inlineStr">
        <is>
          <t xml:space="preserve">        Racor de manguera</t>
        </is>
      </c>
      <c r="E196" s="33" t="n">
        <v>1</v>
      </c>
      <c r="F196" s="33" t="inlineStr">
        <is>
          <t>u</t>
        </is>
      </c>
      <c r="G196" s="34" t="n">
        <v>0.0258</v>
      </c>
      <c r="H196" s="34">
        <f>E196*G196</f>
        <v/>
      </c>
      <c r="I196" s="33" t="inlineStr">
        <is>
          <t>Latón</t>
        </is>
      </c>
      <c r="J196" s="17" t="inlineStr">
        <is>
          <t>18 × 18 × 12</t>
        </is>
      </c>
      <c r="K196" s="33" t="inlineStr">
        <is>
          <t>Compra</t>
        </is>
      </c>
      <c r="L196" s="33" t="inlineStr">
        <is>
          <t>Sí</t>
        </is>
      </c>
      <c r="M196" s="17" t="inlineStr">
        <is>
          <t>Yukon / MatafuegosYa S.R.L.</t>
        </is>
      </c>
      <c r="N196" s="17" t="inlineStr">
        <is>
          <t>Matafuegos Iglesias</t>
        </is>
      </c>
      <c r="O196" s="17" t="inlineStr">
        <is>
          <t>19 Ensamblaje (T03/T04)</t>
        </is>
      </c>
      <c r="P196" s="17" t="n"/>
      <c r="Q196" s="33" t="inlineStr">
        <is>
          <t>P</t>
        </is>
      </c>
      <c r="R196" s="33" t="inlineStr">
        <is>
          <t>FL_DES_ABC_10kg</t>
        </is>
      </c>
      <c r="S196" s="17" t="n"/>
    </row>
    <row r="197">
      <c r="A197" s="33" t="inlineStr">
        <is>
          <t>FL_MAT_ABC_10kg</t>
        </is>
      </c>
      <c r="B197" s="33" t="n">
        <v>2</v>
      </c>
      <c r="C197" s="33" t="inlineStr">
        <is>
          <t>ABC10-16</t>
        </is>
      </c>
      <c r="D197" s="17" t="inlineStr">
        <is>
          <t xml:space="preserve">        Manguera</t>
        </is>
      </c>
      <c r="E197" s="33" t="n">
        <v>1</v>
      </c>
      <c r="F197" s="33" t="inlineStr">
        <is>
          <t>u</t>
        </is>
      </c>
      <c r="G197" s="34" t="n">
        <v>0.0707</v>
      </c>
      <c r="H197" s="34">
        <f>E197*G197</f>
        <v/>
      </c>
      <c r="I197" s="33" t="inlineStr">
        <is>
          <t>Caucho sintético</t>
        </is>
      </c>
      <c r="J197" s="17" t="inlineStr">
        <is>
          <t>Ø16 × 458 de largo desarrollado</t>
        </is>
      </c>
      <c r="K197" s="33" t="inlineStr">
        <is>
          <t>Compra</t>
        </is>
      </c>
      <c r="L197" s="33" t="inlineStr">
        <is>
          <t>Sí</t>
        </is>
      </c>
      <c r="M197" s="17" t="inlineStr">
        <is>
          <t>Yukon / MatafuegosYa S.R.L.</t>
        </is>
      </c>
      <c r="N197" s="17" t="inlineStr">
        <is>
          <t>Matafuegos Iglesias</t>
        </is>
      </c>
      <c r="O197" s="17" t="inlineStr">
        <is>
          <t>19 Ensamblaje (T03/T04)</t>
        </is>
      </c>
      <c r="P197" s="17" t="n"/>
      <c r="Q197" s="33" t="inlineStr">
        <is>
          <t>P</t>
        </is>
      </c>
      <c r="R197" s="33" t="inlineStr">
        <is>
          <t>FL_DES_ABC_10kg</t>
        </is>
      </c>
      <c r="S197" s="17" t="n"/>
    </row>
    <row r="198">
      <c r="A198" s="33" t="inlineStr">
        <is>
          <t>FL_MAT_ABC_10kg</t>
        </is>
      </c>
      <c r="B198" s="33" t="n">
        <v>2</v>
      </c>
      <c r="C198" s="33" t="inlineStr">
        <is>
          <t>ABC10-17</t>
        </is>
      </c>
      <c r="D198" s="17" t="inlineStr">
        <is>
          <t xml:space="preserve">        Tobera con portatobera</t>
        </is>
      </c>
      <c r="E198" s="33" t="n">
        <v>1</v>
      </c>
      <c r="F198" s="33" t="inlineStr">
        <is>
          <t>u</t>
        </is>
      </c>
      <c r="G198" s="34" t="n">
        <v>0.0166</v>
      </c>
      <c r="H198" s="34">
        <f>E198*G198</f>
        <v/>
      </c>
      <c r="I198" s="33" t="inlineStr">
        <is>
          <t>Polipropileno</t>
        </is>
      </c>
      <c r="J198" s="17" t="inlineStr">
        <is>
          <t>75 × 24 × 24</t>
        </is>
      </c>
      <c r="K198" s="33" t="inlineStr">
        <is>
          <t>Compra</t>
        </is>
      </c>
      <c r="L198" s="33" t="inlineStr">
        <is>
          <t>Sí</t>
        </is>
      </c>
      <c r="M198" s="17" t="inlineStr">
        <is>
          <t>Yukon / MatafuegosYa S.R.L.</t>
        </is>
      </c>
      <c r="N198" s="17" t="inlineStr">
        <is>
          <t>Matafuegos Iglesias</t>
        </is>
      </c>
      <c r="O198" s="17" t="inlineStr">
        <is>
          <t>19 Ensamblaje (T03/T04)</t>
        </is>
      </c>
      <c r="P198" s="17" t="n"/>
      <c r="Q198" s="33" t="inlineStr">
        <is>
          <t>P</t>
        </is>
      </c>
      <c r="R198" s="33" t="inlineStr">
        <is>
          <t>FL_DES_ABC_10kg</t>
        </is>
      </c>
      <c r="S198" s="17" t="n"/>
    </row>
    <row r="199">
      <c r="A199" s="33" t="inlineStr">
        <is>
          <t>FL_MAT_ABC_10kg</t>
        </is>
      </c>
      <c r="B199" s="33" t="n">
        <v>2</v>
      </c>
      <c r="C199" s="33" t="inlineStr">
        <is>
          <t>ABC10-18</t>
        </is>
      </c>
      <c r="D199" s="17" t="inlineStr">
        <is>
          <t xml:space="preserve">        Suncho portatobera</t>
        </is>
      </c>
      <c r="E199" s="33" t="n">
        <v>1</v>
      </c>
      <c r="F199" s="33" t="inlineStr">
        <is>
          <t>u</t>
        </is>
      </c>
      <c r="G199" s="34" t="n">
        <v>0.1534</v>
      </c>
      <c r="H199" s="34">
        <f>E199*G199</f>
        <v/>
      </c>
      <c r="I199" s="33" t="inlineStr">
        <is>
          <t>Fleje acero SAE 1010 pintado</t>
        </is>
      </c>
      <c r="J199" s="17" t="inlineStr">
        <is>
          <t>188,4 × 184,5 × 18</t>
        </is>
      </c>
      <c r="K199" s="33" t="inlineStr">
        <is>
          <t>Compra (estructura)</t>
        </is>
      </c>
      <c r="L199" s="33" t="inlineStr">
        <is>
          <t>Sí</t>
        </is>
      </c>
      <c r="M199" s="17" t="inlineStr">
        <is>
          <t>Yukon / MatafuegosYa S.R.L.</t>
        </is>
      </c>
      <c r="N199" s="17" t="inlineStr">
        <is>
          <t>Matafuegos Iglesias</t>
        </is>
      </c>
      <c r="O199" s="17" t="inlineStr">
        <is>
          <t>19 Ensamblaje (T03/T04)</t>
        </is>
      </c>
      <c r="P199" s="17" t="n"/>
      <c r="Q199" s="33" t="inlineStr">
        <is>
          <t>P</t>
        </is>
      </c>
      <c r="R199" s="33" t="inlineStr">
        <is>
          <t>FL_DES_ABC_10kg</t>
        </is>
      </c>
      <c r="S199" s="17" t="n"/>
    </row>
    <row r="200">
      <c r="A200" s="30" t="inlineStr">
        <is>
          <t>FL_MAT_ABC_10kg</t>
        </is>
      </c>
      <c r="B200" s="30" t="n">
        <v>1</v>
      </c>
      <c r="C200" s="30" t="inlineStr">
        <is>
          <t>ABC10-S5</t>
        </is>
      </c>
      <c r="D200" s="31" t="inlineStr">
        <is>
          <t xml:space="preserve">    Carga: agente extintor y gas impulsor</t>
        </is>
      </c>
      <c r="E200" s="30" t="n">
        <v>1</v>
      </c>
      <c r="F200" s="30" t="inlineStr">
        <is>
          <t>u</t>
        </is>
      </c>
      <c r="G200" s="32" t="n"/>
      <c r="H200" s="32">
        <f>H201+H202</f>
        <v/>
      </c>
      <c r="I200" s="30" t="n"/>
      <c r="J200" s="31" t="n"/>
      <c r="K200" s="30" t="inlineStr">
        <is>
          <t>Carga en planta</t>
        </is>
      </c>
      <c r="L200" s="30" t="n"/>
      <c r="M200" s="31" t="n"/>
      <c r="N200" s="31" t="n"/>
      <c r="O200" s="31" t="inlineStr">
        <is>
          <t>18 Carga de polvo (T01) / C8 (T02)</t>
        </is>
      </c>
      <c r="P200" s="31" t="n"/>
      <c r="Q200" s="30" t="n"/>
      <c r="R200" s="30" t="n"/>
      <c r="S200" s="31" t="n"/>
    </row>
    <row r="201">
      <c r="A201" s="33" t="inlineStr">
        <is>
          <t>FL_MAT_ABC_10kg</t>
        </is>
      </c>
      <c r="B201" s="33" t="n">
        <v>2</v>
      </c>
      <c r="C201" s="33" t="inlineStr">
        <is>
          <t>ABC10-A1</t>
        </is>
      </c>
      <c r="D201" s="17" t="inlineStr">
        <is>
          <t xml:space="preserve">        Polvo químico seco ABC 60 (Sello IRAM 3569)</t>
        </is>
      </c>
      <c r="E201" s="33" t="n">
        <v>10.15</v>
      </c>
      <c r="F201" s="33" t="inlineStr">
        <is>
          <t>kg</t>
        </is>
      </c>
      <c r="G201" s="34" t="n">
        <v>1</v>
      </c>
      <c r="H201" s="34">
        <f>E201*G201</f>
        <v/>
      </c>
      <c r="I201" s="33" t="inlineStr">
        <is>
          <t>Polvo químico seco ABC 60 (Sello IRAM 3569)</t>
        </is>
      </c>
      <c r="J201" s="17" t="inlineStr">
        <is>
          <t>nominal 10 kg; tolerancia 0 / +300 g (IRAM 3517-2:2020 tabla 3 · IRAM 3523 tabla II)</t>
        </is>
      </c>
      <c r="K201" s="33" t="inlineStr">
        <is>
          <t>Compra</t>
        </is>
      </c>
      <c r="L201" s="33" t="inlineStr">
        <is>
          <t>Sí</t>
        </is>
      </c>
      <c r="M201" s="17" t="inlineStr">
        <is>
          <t>DEM S.A. (DEMSA)</t>
        </is>
      </c>
      <c r="N201" s="17" t="inlineStr">
        <is>
          <t>Polvex S.R.L. / Sancibrao</t>
        </is>
      </c>
      <c r="O201" s="17" t="inlineStr">
        <is>
          <t>SP-1 almacén previo a la carga</t>
        </is>
      </c>
      <c r="P201" s="17" t="inlineStr">
        <is>
          <t>IRAM 3569</t>
        </is>
      </c>
      <c r="Q201" s="33" t="inlineStr">
        <is>
          <t>N</t>
        </is>
      </c>
      <c r="R201" s="33" t="n"/>
      <c r="S201"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2">
      <c r="A202" s="41" t="inlineStr">
        <is>
          <t>FL_MAT_ABC_10kg</t>
        </is>
      </c>
      <c r="B202" s="41" t="n">
        <v>2</v>
      </c>
      <c r="C202" s="41" t="inlineStr">
        <is>
          <t>ABC10-A2</t>
        </is>
      </c>
      <c r="D202" s="18" t="inlineStr">
        <is>
          <t xml:space="preserve">        Gas impulsor: N₂</t>
        </is>
      </c>
      <c r="E202" s="41" t="n">
        <v>0.0588</v>
      </c>
      <c r="F202" s="41" t="inlineStr">
        <is>
          <t>kg</t>
        </is>
      </c>
      <c r="G202" s="42" t="n">
        <v>1</v>
      </c>
      <c r="H202" s="42">
        <f>E202*G202</f>
        <v/>
      </c>
      <c r="I202" s="41" t="inlineStr">
        <is>
          <t>N₂</t>
        </is>
      </c>
      <c r="J202" s="18" t="inlineStr">
        <is>
          <t>47,1 L normales para 1,4 MPa a 20 °C en 3,41 dm³ libres</t>
        </is>
      </c>
      <c r="K202" s="41" t="inlineStr">
        <is>
          <t>Compra</t>
        </is>
      </c>
      <c r="L202" s="41" t="inlineStr">
        <is>
          <t>Sí</t>
        </is>
      </c>
      <c r="M202" s="18" t="inlineStr">
        <is>
          <t>Air Liquide Argentina - sucursal Piñeyro</t>
        </is>
      </c>
      <c r="N202" s="18" t="inlineStr">
        <is>
          <t>Gogniat</t>
        </is>
      </c>
      <c r="O202" s="18" t="inlineStr">
        <is>
          <t>20 Presurización (T05) / C10</t>
        </is>
      </c>
      <c r="P202" s="18" t="inlineStr">
        <is>
          <t>IRAM 3517-2 9.4.9 (tabla 2) · IRAM 3523 2.3 y 3.10</t>
        </is>
      </c>
      <c r="Q202" s="41" t="inlineStr">
        <is>
          <t>C</t>
        </is>
      </c>
      <c r="R202" s="41" t="n"/>
      <c r="S202" s="18" t="inlineStr">
        <is>
          <t>N₂ ≥ 99,8 %, H₂O ≤ 40 ppm (Q-N2, Air Liquide) · volumen libre con ρ empacada mínima 1,1 kg/dm³ (NOM-104-STPS-2001); confirmar con descarga ≥ 85 % (IRAM 3523 4.9.1)</t>
        </is>
      </c>
    </row>
    <row r="203">
      <c r="A203" s="30" t="inlineStr">
        <is>
          <t>FL_MAT_ABC_10kg</t>
        </is>
      </c>
      <c r="B203" s="30" t="n">
        <v>1</v>
      </c>
      <c r="C203" s="30" t="inlineStr">
        <is>
          <t>ABC10-S6</t>
        </is>
      </c>
      <c r="D203" s="31" t="inlineStr">
        <is>
          <t xml:space="preserve">    Identificación y precinto</t>
        </is>
      </c>
      <c r="E203" s="30" t="n">
        <v>1</v>
      </c>
      <c r="F203" s="30" t="inlineStr">
        <is>
          <t>u</t>
        </is>
      </c>
      <c r="G203" s="32" t="n"/>
      <c r="H203" s="32">
        <f>H204+H205+H206+H207+H208+H209+H210</f>
        <v/>
      </c>
      <c r="I203" s="30" t="n"/>
      <c r="J203" s="31" t="n"/>
      <c r="K203" s="30" t="inlineStr">
        <is>
          <t>Compra</t>
        </is>
      </c>
      <c r="L203" s="30" t="n"/>
      <c r="M203" s="31" t="n"/>
      <c r="N203" s="31" t="n"/>
      <c r="O203" s="31" t="inlineStr">
        <is>
          <t>22 Etiquetado (T07)</t>
        </is>
      </c>
      <c r="P203" s="31" t="n"/>
      <c r="Q203" s="30" t="n"/>
      <c r="R203" s="30" t="n"/>
      <c r="S203" s="31" t="n"/>
    </row>
    <row r="204">
      <c r="A204" s="33" t="inlineStr">
        <is>
          <t>FL_MAT_ABC_10kg</t>
        </is>
      </c>
      <c r="B204" s="33" t="n">
        <v>2</v>
      </c>
      <c r="C204" s="33" t="inlineStr">
        <is>
          <t>ABC10-19</t>
        </is>
      </c>
      <c r="D204" s="17" t="inlineStr">
        <is>
          <t xml:space="preserve">        Etiqueta / placa de características</t>
        </is>
      </c>
      <c r="E204" s="33" t="n">
        <v>1</v>
      </c>
      <c r="F204" s="33" t="inlineStr">
        <is>
          <t>u</t>
        </is>
      </c>
      <c r="G204" s="34" t="n">
        <v>0.0318</v>
      </c>
      <c r="H204" s="34">
        <f>E204*G204</f>
        <v/>
      </c>
      <c r="I204" s="33" t="inlineStr">
        <is>
          <t>Vinilo autoadhesivo laminado</t>
        </is>
      </c>
      <c r="J204" s="17" t="inlineStr">
        <is>
          <t>343 × 221 (desarrollo × alto: panel central 108° + 2 alas laterales), e ≈ 0,3, laminado UV</t>
        </is>
      </c>
      <c r="K204" s="33" t="inlineStr">
        <is>
          <t>Compra</t>
        </is>
      </c>
      <c r="L204" s="33" t="inlineStr">
        <is>
          <t>Sí</t>
        </is>
      </c>
      <c r="M204" s="17" t="inlineStr">
        <is>
          <t>Astuprint</t>
        </is>
      </c>
      <c r="N204" s="17" t="inlineStr">
        <is>
          <t>Multilabel Argentina S.A.</t>
        </is>
      </c>
      <c r="O204" s="17" t="inlineStr">
        <is>
          <t>22 Etiquetado (T07)</t>
        </is>
      </c>
      <c r="P204" s="17" t="inlineStr">
        <is>
          <t>IRAM 3534 · IRAM 3523 cap. 5 · relevamiento de mercado</t>
        </is>
      </c>
      <c r="Q204" s="33" t="inlineStr">
        <is>
          <t>P</t>
        </is>
      </c>
      <c r="R204" s="33" t="inlineStr">
        <is>
          <t>FL_DES_ABC_10kg</t>
        </is>
      </c>
      <c r="S204" s="17" t="inlineStr">
        <is>
          <t>IRAM 3534</t>
        </is>
      </c>
    </row>
    <row r="205">
      <c r="A205" s="33" t="inlineStr">
        <is>
          <t>FL_MAT_ABC_10kg</t>
        </is>
      </c>
      <c r="B205" s="33" t="n">
        <v>2</v>
      </c>
      <c r="C205" s="33" t="inlineStr">
        <is>
          <t>ABC10-20</t>
        </is>
      </c>
      <c r="D205" s="17" t="inlineStr">
        <is>
          <t xml:space="preserve">        Oblea de fabricación (PBA)</t>
        </is>
      </c>
      <c r="E205" s="33" t="n">
        <v>1</v>
      </c>
      <c r="F205" s="33" t="inlineStr">
        <is>
          <t>u</t>
        </is>
      </c>
      <c r="G205" s="34" t="n">
        <v>0.0009</v>
      </c>
      <c r="H205" s="34">
        <f>E205*G205</f>
        <v/>
      </c>
      <c r="I205" s="33" t="inlineStr">
        <is>
          <t>Papel de seguridad autodestructible</t>
        </is>
      </c>
      <c r="J205" s="17" t="inlineStr">
        <is>
          <t>Ø46 (Res. OPDS 522/07), numerada, autodestructible</t>
        </is>
      </c>
      <c r="K205" s="33" t="inlineStr">
        <is>
          <t>Compra</t>
        </is>
      </c>
      <c r="L205" s="33" t="inlineStr">
        <is>
          <t>Sí</t>
        </is>
      </c>
      <c r="M205" s="17" t="inlineStr">
        <is>
          <t>Ministerio de Ambiente PBA (ex OPDS)</t>
        </is>
      </c>
      <c r="N205" s="17" t="inlineStr">
        <is>
          <t>-</t>
        </is>
      </c>
      <c r="O205" s="17" t="inlineStr">
        <is>
          <t>22 Etiquetado (T07)</t>
        </is>
      </c>
      <c r="P205" s="17" t="inlineStr">
        <is>
          <t>Res. OPDS 522/07 anexos 1, 2 y 6</t>
        </is>
      </c>
      <c r="Q205" s="33" t="inlineStr">
        <is>
          <t>P</t>
        </is>
      </c>
      <c r="R205" s="33" t="inlineStr">
        <is>
          <t>FL_DES_ABC_10kg</t>
        </is>
      </c>
      <c r="S205" s="17" t="inlineStr">
        <is>
          <t>Res. 522/07</t>
        </is>
      </c>
    </row>
    <row r="206">
      <c r="A206" s="33" t="inlineStr">
        <is>
          <t>FL_MAT_ABC_10kg</t>
        </is>
      </c>
      <c r="B206" s="33" t="n">
        <v>2</v>
      </c>
      <c r="C206" s="33" t="inlineStr">
        <is>
          <t>ABC10-21</t>
        </is>
      </c>
      <c r="D206" s="17" t="inlineStr">
        <is>
          <t xml:space="preserve">        Estampilla IRAM de conformidad</t>
        </is>
      </c>
      <c r="E206" s="33" t="n">
        <v>1</v>
      </c>
      <c r="F206" s="33" t="inlineStr">
        <is>
          <t>u</t>
        </is>
      </c>
      <c r="G206" s="34" t="n">
        <v>0.001</v>
      </c>
      <c r="H206" s="34">
        <f>E206*G206</f>
        <v/>
      </c>
      <c r="I206" s="33" t="inlineStr">
        <is>
          <t>Provista por IRAM (Anexo R)</t>
        </is>
      </c>
      <c r="J206" s="17" t="inlineStr">
        <is>
          <t>60 × 40</t>
        </is>
      </c>
      <c r="K206" s="33" t="inlineStr">
        <is>
          <t>Compra</t>
        </is>
      </c>
      <c r="L206" s="33" t="inlineStr">
        <is>
          <t>Sí</t>
        </is>
      </c>
      <c r="M206" s="17" t="inlineStr">
        <is>
          <t>IRAM - Instituto Argentino de Normalización</t>
        </is>
      </c>
      <c r="N206" s="17" t="inlineStr">
        <is>
          <t>-</t>
        </is>
      </c>
      <c r="O206" s="17" t="inlineStr">
        <is>
          <t>22 Etiquetado (T07)</t>
        </is>
      </c>
      <c r="P206" s="17" t="inlineStr">
        <is>
          <t>IRAM Anexo R (DC-PG-129)</t>
        </is>
      </c>
      <c r="Q206" s="33" t="inlineStr">
        <is>
          <t>P</t>
        </is>
      </c>
      <c r="R206" s="33" t="inlineStr">
        <is>
          <t>FL_DES_ABC_10kg</t>
        </is>
      </c>
      <c r="S206" s="17" t="inlineStr">
        <is>
          <t>numerada</t>
        </is>
      </c>
    </row>
    <row r="207">
      <c r="A207" s="33" t="inlineStr">
        <is>
          <t>FL_MAT_ABC_10kg</t>
        </is>
      </c>
      <c r="B207" s="33" t="n">
        <v>2</v>
      </c>
      <c r="C207" s="33" t="inlineStr">
        <is>
          <t>ABC10-22</t>
        </is>
      </c>
      <c r="D207" s="17" t="inlineStr">
        <is>
          <t xml:space="preserve">        Tarjeta de identificación AGC (CABA)</t>
        </is>
      </c>
      <c r="E207" s="33" t="n">
        <v>1</v>
      </c>
      <c r="F207" s="33" t="inlineStr">
        <is>
          <t>u</t>
        </is>
      </c>
      <c r="G207" s="34" t="n">
        <v>0.0032</v>
      </c>
      <c r="H207" s="34">
        <f>E207*G207</f>
        <v/>
      </c>
      <c r="I207" s="33" t="inlineStr">
        <is>
          <t>Etiqueta autoadhesiva emitida por la AGC</t>
        </is>
      </c>
      <c r="J207" s="17" t="inlineStr">
        <is>
          <t>140 × 55</t>
        </is>
      </c>
      <c r="K207" s="33" t="inlineStr">
        <is>
          <t>Compra</t>
        </is>
      </c>
      <c r="L207" s="33" t="inlineStr">
        <is>
          <t>Sí</t>
        </is>
      </c>
      <c r="M207" s="17" t="inlineStr">
        <is>
          <t>Agencia Gubernamental de Control (CABA)</t>
        </is>
      </c>
      <c r="N207" s="17" t="inlineStr">
        <is>
          <t>-</t>
        </is>
      </c>
      <c r="O207" s="17" t="inlineStr">
        <is>
          <t>22 Etiquetado (T07)</t>
        </is>
      </c>
      <c r="P207" s="17" t="inlineStr">
        <is>
          <t>Ordenanza 40.473 art. 6 · Res. AGC 32/15</t>
        </is>
      </c>
      <c r="Q207" s="33" t="inlineStr">
        <is>
          <t>P</t>
        </is>
      </c>
      <c r="R207" s="33" t="inlineStr">
        <is>
          <t>FL_DES_ABC_10kg</t>
        </is>
      </c>
      <c r="S207" s="17" t="inlineStr">
        <is>
          <t>sólo destino CABA</t>
        </is>
      </c>
    </row>
    <row r="208">
      <c r="A208" s="33" t="inlineStr">
        <is>
          <t>FL_MAT_ABC_10kg</t>
        </is>
      </c>
      <c r="B208" s="33" t="n">
        <v>2</v>
      </c>
      <c r="C208" s="33" t="inlineStr">
        <is>
          <t>ABC10-23</t>
        </is>
      </c>
      <c r="D208" s="17" t="inlineStr">
        <is>
          <t xml:space="preserve">        Etiqueta de n° de serie GS1</t>
        </is>
      </c>
      <c r="E208" s="33" t="n">
        <v>1</v>
      </c>
      <c r="F208" s="33" t="inlineStr">
        <is>
          <t>u</t>
        </is>
      </c>
      <c r="G208" s="34" t="n">
        <v>0.0005</v>
      </c>
      <c r="H208" s="34">
        <f>E208*G208</f>
        <v/>
      </c>
      <c r="I208" s="33" t="inlineStr">
        <is>
          <t>Poliéster autoadhesivo impreso térmico</t>
        </is>
      </c>
      <c r="J208" s="17" t="inlineStr">
        <is>
          <t>45 × 25</t>
        </is>
      </c>
      <c r="K208" s="33" t="inlineStr">
        <is>
          <t>Compra</t>
        </is>
      </c>
      <c r="L208" s="33" t="inlineStr">
        <is>
          <t>Sí</t>
        </is>
      </c>
      <c r="M208" s="17" t="inlineStr">
        <is>
          <t>Astuprint</t>
        </is>
      </c>
      <c r="N208" s="17" t="inlineStr">
        <is>
          <t>GS1 Argentina</t>
        </is>
      </c>
      <c r="O208" s="17" t="inlineStr">
        <is>
          <t>22 Etiquetado (T07)</t>
        </is>
      </c>
      <c r="P208" s="17" t="inlineStr">
        <is>
          <t>GS1 Argentina (GTIN 779) · trazabilidad IRAM 3523 5.1</t>
        </is>
      </c>
      <c r="Q208" s="33" t="inlineStr">
        <is>
          <t>P</t>
        </is>
      </c>
      <c r="R208" s="33" t="inlineStr">
        <is>
          <t>FL_DES_ABC_10kg</t>
        </is>
      </c>
      <c r="S208" s="17" t="inlineStr">
        <is>
          <t>QR GTIN + serie</t>
        </is>
      </c>
    </row>
    <row r="209">
      <c r="A209" s="33" t="inlineStr">
        <is>
          <t>FL_MAT_ABC_10kg</t>
        </is>
      </c>
      <c r="B209" s="33" t="n">
        <v>2</v>
      </c>
      <c r="C209" s="33" t="inlineStr">
        <is>
          <t>ABC10-25</t>
        </is>
      </c>
      <c r="D209" s="17" t="inlineStr">
        <is>
          <t xml:space="preserve">        Faja de garantía válvula-cuello</t>
        </is>
      </c>
      <c r="E209" s="33" t="n">
        <v>1</v>
      </c>
      <c r="F209" s="33" t="inlineStr">
        <is>
          <t>u</t>
        </is>
      </c>
      <c r="G209" s="34" t="n">
        <v>0.0003</v>
      </c>
      <c r="H209" s="34">
        <f>E209*G209</f>
        <v/>
      </c>
      <c r="I209" s="33" t="inlineStr">
        <is>
          <t>Vinilo destructible rayado rojo/blanco</t>
        </is>
      </c>
      <c r="J209" s="17" t="inlineStr">
        <is>
          <t>30 × 40</t>
        </is>
      </c>
      <c r="K209" s="33" t="inlineStr">
        <is>
          <t>Compra</t>
        </is>
      </c>
      <c r="L209" s="33" t="inlineStr">
        <is>
          <t>Sí</t>
        </is>
      </c>
      <c r="M209" s="17" t="inlineStr">
        <is>
          <t>Astuprint</t>
        </is>
      </c>
      <c r="N209" s="17" t="inlineStr">
        <is>
          <t>Multilabel Argentina S.A.</t>
        </is>
      </c>
      <c r="O209" s="17" t="inlineStr">
        <is>
          <t>22 Etiquetado (T07)</t>
        </is>
      </c>
      <c r="P209" s="17" t="inlineStr">
        <is>
          <t>Sin norma: práctica de mercado (garantía de fábrica)</t>
        </is>
      </c>
      <c r="Q209" s="33" t="inlineStr">
        <is>
          <t>P</t>
        </is>
      </c>
      <c r="R209" s="33" t="inlineStr">
        <is>
          <t>FL_DES_ABC_10kg</t>
        </is>
      </c>
      <c r="S209" s="17" t="inlineStr">
        <is>
          <t>nuevo sin abrir</t>
        </is>
      </c>
    </row>
    <row r="210">
      <c r="A210" s="33" t="inlineStr">
        <is>
          <t>FL_MAT_ABC_10kg</t>
        </is>
      </c>
      <c r="B210" s="33" t="n">
        <v>2</v>
      </c>
      <c r="C210" s="33" t="inlineStr">
        <is>
          <t>ABC10-26</t>
        </is>
      </c>
      <c r="D210" s="17" t="inlineStr">
        <is>
          <t xml:space="preserve">        Precinto de fábrica</t>
        </is>
      </c>
      <c r="E210" s="33" t="n">
        <v>1</v>
      </c>
      <c r="F210" s="33" t="inlineStr">
        <is>
          <t>u</t>
        </is>
      </c>
      <c r="G210" s="34" t="n">
        <v>0.0002</v>
      </c>
      <c r="H210" s="34">
        <f>E210*G210</f>
        <v/>
      </c>
      <c r="I210" s="33" t="inlineStr">
        <is>
          <t>Polipropileno color</t>
        </is>
      </c>
      <c r="J210" s="17" t="inlineStr">
        <is>
          <t>Ø5 × 10, numerado, rotura 30-50 N</t>
        </is>
      </c>
      <c r="K210" s="33" t="inlineStr">
        <is>
          <t>Compra</t>
        </is>
      </c>
      <c r="L210" s="33" t="inlineStr">
        <is>
          <t>Sí</t>
        </is>
      </c>
      <c r="M210" s="17" t="inlineStr">
        <is>
          <t>SonFuertes (vía Papelera Damián)</t>
        </is>
      </c>
      <c r="N210" s="17" t="inlineStr">
        <is>
          <t>Precinter S.R.L.</t>
        </is>
      </c>
      <c r="O210" s="17" t="inlineStr">
        <is>
          <t>20 Presurización (T05)</t>
        </is>
      </c>
      <c r="P210" s="17" t="inlineStr">
        <is>
          <t>IRAM 3523 3.3.2 · IRAM 3517-2:2020 9.4.13</t>
        </is>
      </c>
      <c r="Q210" s="33" t="inlineStr">
        <is>
          <t>P</t>
        </is>
      </c>
      <c r="R210" s="33" t="inlineStr">
        <is>
          <t>FL_DES_ABC_10kg</t>
        </is>
      </c>
      <c r="S210" s="17" t="inlineStr">
        <is>
          <t>id. FLAMA y lote</t>
        </is>
      </c>
    </row>
    <row r="211">
      <c r="A211" s="30" t="inlineStr">
        <is>
          <t>FL_MAT_ABC_10kg</t>
        </is>
      </c>
      <c r="B211" s="30" t="n">
        <v>1</v>
      </c>
      <c r="C211" s="30" t="inlineStr">
        <is>
          <t>ABC10-S8</t>
        </is>
      </c>
      <c r="D211" s="31" t="inlineStr">
        <is>
          <t xml:space="preserve">    Soporte (accesorio de montaje)</t>
        </is>
      </c>
      <c r="E211" s="30" t="n">
        <v>1</v>
      </c>
      <c r="F211" s="30" t="inlineStr">
        <is>
          <t>u</t>
        </is>
      </c>
      <c r="G211" s="32" t="n"/>
      <c r="H211" s="32">
        <f>H212</f>
        <v/>
      </c>
      <c r="I211" s="30" t="n"/>
      <c r="J211" s="31" t="n"/>
      <c r="K211" s="30" t="inlineStr">
        <is>
          <t>Compra</t>
        </is>
      </c>
      <c r="L211" s="30" t="n"/>
      <c r="M211" s="31" t="n"/>
      <c r="N211" s="31" t="n"/>
      <c r="O211" s="31" t="inlineStr">
        <is>
          <t>23 Embalaje (va dentro de la caja)</t>
        </is>
      </c>
      <c r="P211" s="31" t="inlineStr">
        <is>
          <t>IRAM 3517-2 7.4</t>
        </is>
      </c>
      <c r="Q211" s="30" t="n"/>
      <c r="R211" s="30" t="n"/>
      <c r="S211" s="31" t="n"/>
    </row>
    <row r="212">
      <c r="A212" s="33" t="inlineStr">
        <is>
          <t>FL_MAT_ABC_10kg</t>
        </is>
      </c>
      <c r="B212" s="33" t="n">
        <v>2</v>
      </c>
      <c r="C212" s="33" t="inlineStr">
        <is>
          <t>ABC10-I5</t>
        </is>
      </c>
      <c r="D212" s="17" t="inlineStr">
        <is>
          <t xml:space="preserve">        Soporte de pared (FL_ACC_01)</t>
        </is>
      </c>
      <c r="E212" s="33" t="n">
        <v>1</v>
      </c>
      <c r="F212" s="33" t="inlineStr">
        <is>
          <t>u</t>
        </is>
      </c>
      <c r="G212" s="34" t="n">
        <v>0.319</v>
      </c>
      <c r="H212" s="34">
        <f>E212*G212</f>
        <v/>
      </c>
      <c r="I212" s="33" t="inlineStr">
        <is>
          <t>Chapa acero SAE 1010 e=2 pintada</t>
        </is>
      </c>
      <c r="J212" s="17" t="inlineStr">
        <is>
          <t>placa 60 × 180, ala con ranura Ø cuello + 3</t>
        </is>
      </c>
      <c r="K212" s="33" t="inlineStr">
        <is>
          <t>Compra</t>
        </is>
      </c>
      <c r="L212" s="33" t="inlineStr">
        <is>
          <t>Sí</t>
        </is>
      </c>
      <c r="M212" s="17" t="inlineStr">
        <is>
          <t>Maxiseguridad</t>
        </is>
      </c>
      <c r="N212" s="17" t="inlineStr">
        <is>
          <t>CM Representaciones</t>
        </is>
      </c>
      <c r="O212" s="17" t="inlineStr">
        <is>
          <t>23 Embalaje</t>
        </is>
      </c>
      <c r="P212" s="17" t="inlineStr">
        <is>
          <t>IRAM 3517-2 7.4</t>
        </is>
      </c>
      <c r="Q212" s="33" t="inlineStr">
        <is>
          <t>P</t>
        </is>
      </c>
      <c r="R212" s="33" t="inlineStr">
        <is>
          <t>FL_ACC_01</t>
        </is>
      </c>
      <c r="S212" s="17" t="n"/>
    </row>
    <row r="213">
      <c r="A213" s="33" t="inlineStr">
        <is>
          <t>FL_MAT_ABC_10kg</t>
        </is>
      </c>
      <c r="B213" s="33" t="n">
        <v>2</v>
      </c>
      <c r="C213" s="33" t="inlineStr">
        <is>
          <t>ABC10-I6</t>
        </is>
      </c>
      <c r="D213" s="17" t="inlineStr">
        <is>
          <t xml:space="preserve">        Tornillo y tarugo de fijación</t>
        </is>
      </c>
      <c r="E213" s="33" t="n">
        <v>2</v>
      </c>
      <c r="F213" s="33" t="inlineStr">
        <is>
          <t>u</t>
        </is>
      </c>
      <c r="G213" s="34" t="n"/>
      <c r="H213" s="34" t="n"/>
      <c r="I213" s="33" t="inlineStr">
        <is>
          <t>Acero cincado / nylon</t>
        </is>
      </c>
      <c r="J213" s="17" t="inlineStr">
        <is>
          <t>2 agujeros Ø8,5 del plano FL_ACC_01 → tornillo M8 + tarugo</t>
        </is>
      </c>
      <c r="K213" s="33" t="inlineStr">
        <is>
          <t>Compra</t>
        </is>
      </c>
      <c r="L213" s="33" t="inlineStr">
        <is>
          <t>Sí</t>
        </is>
      </c>
      <c r="M213" s="17" t="inlineStr">
        <is>
          <t>Würth Argentina</t>
        </is>
      </c>
      <c r="N213" s="17" t="inlineStr">
        <is>
          <t>-</t>
        </is>
      </c>
      <c r="O213" s="17" t="inlineStr">
        <is>
          <t>23 Embalaje</t>
        </is>
      </c>
      <c r="P213" s="17" t="n"/>
      <c r="Q213" s="33" t="inlineStr">
        <is>
          <t>P</t>
        </is>
      </c>
      <c r="R213" s="33" t="inlineStr">
        <is>
          <t>FL_ACC_01</t>
        </is>
      </c>
      <c r="S213" s="17" t="n"/>
    </row>
    <row r="214">
      <c r="A214" s="33" t="inlineStr">
        <is>
          <t>FL_MAT_ABC_10kg</t>
        </is>
      </c>
      <c r="B214" s="33" t="n">
        <v>2</v>
      </c>
      <c r="C214" s="33" t="inlineStr">
        <is>
          <t>ABC10-I8</t>
        </is>
      </c>
      <c r="D214" s="17" t="inlineStr">
        <is>
          <t xml:space="preserve">        Soporte opcional (pared o vehicular, según pedido)</t>
        </is>
      </c>
      <c r="E214" s="33" t="n">
        <v>0</v>
      </c>
      <c r="F214" s="33" t="inlineStr">
        <is>
          <t>u</t>
        </is>
      </c>
      <c r="G214" s="34" t="n"/>
      <c r="H214" s="34" t="n"/>
      <c r="I214" s="33" t="inlineStr">
        <is>
          <t>-</t>
        </is>
      </c>
      <c r="J214" s="17" t="inlineStr">
        <is>
          <t>-</t>
        </is>
      </c>
      <c r="K214" s="33" t="inlineStr">
        <is>
          <t>Compra</t>
        </is>
      </c>
      <c r="L214" s="33" t="inlineStr">
        <is>
          <t>Sí</t>
        </is>
      </c>
      <c r="M214" s="17" t="inlineStr">
        <is>
          <t>Maxiseguridad</t>
        </is>
      </c>
      <c r="N214" s="17" t="inlineStr">
        <is>
          <t>CM Representaciones</t>
        </is>
      </c>
      <c r="O214" s="17" t="n"/>
      <c r="P214" s="17" t="inlineStr">
        <is>
          <t>IRAM 3517-2 7.4</t>
        </is>
      </c>
      <c r="Q214" s="33" t="inlineStr">
        <is>
          <t>N</t>
        </is>
      </c>
      <c r="R214" s="33" t="n"/>
      <c r="S214" s="17" t="inlineStr">
        <is>
          <t>Sólo si el pedido lo incluye</t>
        </is>
      </c>
    </row>
    <row r="215">
      <c r="A215" s="30" t="inlineStr">
        <is>
          <t>FL_MAT_ABC_10kg</t>
        </is>
      </c>
      <c r="B215" s="30" t="n">
        <v>1</v>
      </c>
      <c r="C215" s="30" t="inlineStr">
        <is>
          <t>ABC10-S7</t>
        </is>
      </c>
      <c r="D215" s="31" t="inlineStr">
        <is>
          <t xml:space="preserve">    Embalaje</t>
        </is>
      </c>
      <c r="E215" s="30" t="n">
        <v>1</v>
      </c>
      <c r="F215" s="30" t="inlineStr">
        <is>
          <t>u</t>
        </is>
      </c>
      <c r="G215" s="32" t="n"/>
      <c r="H215" s="32">
        <f>H219</f>
        <v/>
      </c>
      <c r="I215" s="30" t="n"/>
      <c r="J215" s="31" t="n"/>
      <c r="K215" s="30" t="inlineStr">
        <is>
          <t>Compra</t>
        </is>
      </c>
      <c r="L215" s="30" t="n"/>
      <c r="M215" s="31" t="n"/>
      <c r="N215" s="31" t="n"/>
      <c r="O215" s="31" t="inlineStr">
        <is>
          <t>23 Embalaje -&gt; 24 envolvedora (T11)</t>
        </is>
      </c>
      <c r="P215" s="31" t="n"/>
      <c r="Q215" s="30" t="n"/>
      <c r="R215" s="30" t="n"/>
      <c r="S215" s="31" t="n"/>
    </row>
    <row r="216">
      <c r="A216" s="33" t="inlineStr">
        <is>
          <t>FL_MAT_ABC_10kg</t>
        </is>
      </c>
      <c r="B216" s="33" t="n">
        <v>2</v>
      </c>
      <c r="C216" s="33" t="inlineStr">
        <is>
          <t>ABC10-E1</t>
        </is>
      </c>
      <c r="D216" s="17" t="inlineStr">
        <is>
          <t xml:space="preserve">        Caja de cartón corrugado doble</t>
        </is>
      </c>
      <c r="E216" s="33" t="n">
        <v>1</v>
      </c>
      <c r="F216" s="33" t="inlineStr">
        <is>
          <t>u</t>
        </is>
      </c>
      <c r="G216" s="34" t="n"/>
      <c r="H216" s="34" t="n"/>
      <c r="I216" s="33" t="inlineStr">
        <is>
          <t>Cartón corrugado</t>
        </is>
      </c>
      <c r="J216" s="17" t="inlineStr">
        <is>
          <t>260 × 214 × 675 interior (envolvente del plano + 15 por lado)</t>
        </is>
      </c>
      <c r="K216" s="33" t="inlineStr">
        <is>
          <t>Compra</t>
        </is>
      </c>
      <c r="L216" s="33" t="inlineStr">
        <is>
          <t>Sí</t>
        </is>
      </c>
      <c r="M216" s="17" t="inlineStr">
        <is>
          <t>Maxipack</t>
        </is>
      </c>
      <c r="N216" s="17" t="inlineStr">
        <is>
          <t>Cartocan</t>
        </is>
      </c>
      <c r="O216" s="17" t="inlineStr">
        <is>
          <t>23 Embalaje</t>
        </is>
      </c>
      <c r="P216" s="17" t="n"/>
      <c r="Q216" s="33" t="inlineStr">
        <is>
          <t>P</t>
        </is>
      </c>
      <c r="R216" s="33" t="n"/>
      <c r="S216" s="17" t="inlineStr">
        <is>
          <t>Medida del plano</t>
        </is>
      </c>
    </row>
    <row r="217">
      <c r="A217" s="33" t="inlineStr">
        <is>
          <t>FL_MAT_ABC_10kg</t>
        </is>
      </c>
      <c r="B217" s="33" t="n">
        <v>2</v>
      </c>
      <c r="C217" s="33" t="inlineStr">
        <is>
          <t>ABC10-E2</t>
        </is>
      </c>
      <c r="D217" s="17" t="inlineStr">
        <is>
          <t xml:space="preserve">        Instructivo de uso y mantenimiento</t>
        </is>
      </c>
      <c r="E217" s="33" t="n">
        <v>1</v>
      </c>
      <c r="F217" s="33" t="inlineStr">
        <is>
          <t>u</t>
        </is>
      </c>
      <c r="G217" s="34" t="n"/>
      <c r="H217" s="34" t="n"/>
      <c r="I217" s="33" t="inlineStr">
        <is>
          <t>Papel</t>
        </is>
      </c>
      <c r="J217" s="17" t="inlineStr">
        <is>
          <t>A5</t>
        </is>
      </c>
      <c r="K217" s="33" t="inlineStr">
        <is>
          <t>Compra</t>
        </is>
      </c>
      <c r="L217" s="33" t="inlineStr">
        <is>
          <t>Sí</t>
        </is>
      </c>
      <c r="M217" s="17" t="inlineStr">
        <is>
          <t>Astuprint</t>
        </is>
      </c>
      <c r="N217" s="17" t="inlineStr">
        <is>
          <t>-</t>
        </is>
      </c>
      <c r="O217" s="17" t="inlineStr">
        <is>
          <t>23 Embalaje</t>
        </is>
      </c>
      <c r="P217" s="17" t="n"/>
      <c r="Q217" s="33" t="inlineStr">
        <is>
          <t>I</t>
        </is>
      </c>
      <c r="R217" s="33" t="n"/>
      <c r="S217" s="17" t="inlineStr">
        <is>
          <t>Decisión comercial de FLAMA (las instrucciones de uso obligatorias van en la etiqueta, IRAM 3534)</t>
        </is>
      </c>
    </row>
    <row r="218">
      <c r="A218" s="33" t="inlineStr">
        <is>
          <t>FL_MAT_ABC_10kg</t>
        </is>
      </c>
      <c r="B218" s="33" t="n">
        <v>2</v>
      </c>
      <c r="C218" s="33" t="inlineStr">
        <is>
          <t>ABC10-E3</t>
        </is>
      </c>
      <c r="D218" s="17" t="inlineStr">
        <is>
          <t xml:space="preserve">        Pallet 1200 × 1000 (fracción)</t>
        </is>
      </c>
      <c r="E218" s="33" t="n">
        <v>0.0312</v>
      </c>
      <c r="F218" s="33" t="inlineStr">
        <is>
          <t>u</t>
        </is>
      </c>
      <c r="G218" s="34" t="n"/>
      <c r="H218" s="34" t="n"/>
      <c r="I218" s="33" t="inlineStr">
        <is>
          <t>Madera</t>
        </is>
      </c>
      <c r="J218" s="17" t="inlineStr">
        <is>
          <t>32 u por pallet</t>
        </is>
      </c>
      <c r="K218" s="33" t="inlineStr">
        <is>
          <t>Compra</t>
        </is>
      </c>
      <c r="L218" s="33" t="inlineStr">
        <is>
          <t>Sí</t>
        </is>
      </c>
      <c r="M218" s="17" t="inlineStr">
        <is>
          <t>IndusPallets</t>
        </is>
      </c>
      <c r="N218" s="17" t="inlineStr">
        <is>
          <t>-</t>
        </is>
      </c>
      <c r="O218" s="17" t="inlineStr">
        <is>
          <t>23 Embalaje</t>
        </is>
      </c>
      <c r="P218" s="17" t="n"/>
      <c r="Q218" s="33" t="inlineStr">
        <is>
          <t>C</t>
        </is>
      </c>
      <c r="R218" s="33" t="n"/>
      <c r="S218" s="17" t="inlineStr">
        <is>
          <t>u por pallet = acomodo de la caja (plano) en 1200 × 1000 × 1450 de alto</t>
        </is>
      </c>
    </row>
    <row r="219">
      <c r="A219" s="41" t="inlineStr">
        <is>
          <t>FL_MAT_ABC_10kg</t>
        </is>
      </c>
      <c r="B219" s="41" t="n">
        <v>2</v>
      </c>
      <c r="C219" s="41" t="inlineStr">
        <is>
          <t>ABC10-E4</t>
        </is>
      </c>
      <c r="D219" s="18" t="inlineStr">
        <is>
          <t xml:space="preserve">        Film stretch (fracción del pallet)</t>
        </is>
      </c>
      <c r="E219" s="41" t="n">
        <v>0.0037</v>
      </c>
      <c r="F219" s="41" t="inlineStr">
        <is>
          <t>kg</t>
        </is>
      </c>
      <c r="G219" s="42" t="n">
        <v>1</v>
      </c>
      <c r="H219" s="42">
        <f>E219*G219</f>
        <v/>
      </c>
      <c r="I219" s="41" t="inlineStr">
        <is>
          <t>PE lineal 23 µm</t>
        </is>
      </c>
      <c r="J219" s="18" t="inlineStr">
        <is>
          <t>0,12 kg por pallet / 32 u</t>
        </is>
      </c>
      <c r="K219" s="41" t="inlineStr">
        <is>
          <t>Compra</t>
        </is>
      </c>
      <c r="L219" s="41" t="inlineStr">
        <is>
          <t>Sí</t>
        </is>
      </c>
      <c r="M219" s="18" t="inlineStr">
        <is>
          <t>MV Embalajes</t>
        </is>
      </c>
      <c r="N219" s="18" t="inlineStr">
        <is>
          <t>Embalpack</t>
        </is>
      </c>
      <c r="O219" s="18" t="inlineStr">
        <is>
          <t>24 Envolvedora (T11)</t>
        </is>
      </c>
      <c r="P219" s="18" t="n"/>
      <c r="Q219" s="41" t="inlineStr">
        <is>
          <t>C</t>
        </is>
      </c>
      <c r="R219" s="41" t="n"/>
      <c r="S21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0">
      <c r="A220" s="33" t="inlineStr">
        <is>
          <t>FL_MAT_ABC_10kg</t>
        </is>
      </c>
      <c r="B220" s="33" t="n">
        <v>2</v>
      </c>
      <c r="C220" s="33" t="inlineStr">
        <is>
          <t>ABC10-E5</t>
        </is>
      </c>
      <c r="D220" s="17" t="inlineStr">
        <is>
          <t xml:space="preserve">        Etiqueta de pallet (lote y destino, fracción)</t>
        </is>
      </c>
      <c r="E220" s="33" t="n">
        <v>0.0312</v>
      </c>
      <c r="F220" s="33" t="inlineStr">
        <is>
          <t>u</t>
        </is>
      </c>
      <c r="G220" s="34" t="n"/>
      <c r="H220" s="34" t="n"/>
      <c r="I220" s="33" t="inlineStr">
        <is>
          <t>Papel térmico</t>
        </is>
      </c>
      <c r="J220" s="17" t="inlineStr">
        <is>
          <t>100 × 150</t>
        </is>
      </c>
      <c r="K220" s="33" t="inlineStr">
        <is>
          <t>Compra</t>
        </is>
      </c>
      <c r="L220" s="33" t="inlineStr">
        <is>
          <t>Sí</t>
        </is>
      </c>
      <c r="M220" s="17" t="inlineStr">
        <is>
          <t>Astuprint</t>
        </is>
      </c>
      <c r="N220" s="17" t="inlineStr">
        <is>
          <t>Multilabel Argentina S.A.</t>
        </is>
      </c>
      <c r="O220" s="17" t="inlineStr">
        <is>
          <t>24 Envolvedora</t>
        </is>
      </c>
      <c r="P220" s="17" t="n"/>
      <c r="Q220" s="33" t="inlineStr">
        <is>
          <t>C</t>
        </is>
      </c>
      <c r="R220" s="33" t="n"/>
      <c r="S220" s="17" t="n"/>
    </row>
    <row r="221">
      <c r="A221" s="41" t="inlineStr">
        <is>
          <t>FL_MAT_ABC_10kg</t>
        </is>
      </c>
      <c r="B221" s="41" t="n">
        <v>2</v>
      </c>
      <c r="C221" s="41" t="inlineStr">
        <is>
          <t>ABC10-E6</t>
        </is>
      </c>
      <c r="D221" s="18" t="inlineStr">
        <is>
          <t xml:space="preserve">        Cinta de embalaje PP 48 mm (cierre de la caja)</t>
        </is>
      </c>
      <c r="E221" s="41" t="n">
        <v>0.8</v>
      </c>
      <c r="F221" s="41" t="inlineStr">
        <is>
          <t>m</t>
        </is>
      </c>
      <c r="G221" s="42" t="n"/>
      <c r="H221" s="42" t="n"/>
      <c r="I221" s="41" t="inlineStr">
        <is>
          <t>Polipropileno con adhesivo acrílico</t>
        </is>
      </c>
      <c r="J221" s="18" t="inlineStr">
        <is>
          <t>cierre en I arriba y abajo: 2 × (260 + 2 × 70 de solapa)</t>
        </is>
      </c>
      <c r="K221" s="41" t="inlineStr">
        <is>
          <t>Compra</t>
        </is>
      </c>
      <c r="L221" s="41" t="inlineStr">
        <is>
          <t>Sí</t>
        </is>
      </c>
      <c r="M221" s="18" t="inlineStr">
        <is>
          <t>MV Embalajes</t>
        </is>
      </c>
      <c r="N221" s="18" t="inlineStr">
        <is>
          <t>Embalpack</t>
        </is>
      </c>
      <c r="O221" s="18" t="inlineStr">
        <is>
          <t>23 Embalaje</t>
        </is>
      </c>
      <c r="P221" s="18" t="n"/>
      <c r="Q221" s="41" t="inlineStr">
        <is>
          <t>C</t>
        </is>
      </c>
      <c r="R221" s="41" t="n"/>
      <c r="S221" s="18" t="inlineStr">
        <is>
          <t>Solapa de 70 mm por lado: práctica de cierre de cajas (medir en la línea)</t>
        </is>
      </c>
    </row>
    <row r="222">
      <c r="A222" s="33" t="inlineStr">
        <is>
          <t>FL_MAT_ABC_10kg</t>
        </is>
      </c>
      <c r="B222" s="33" t="n">
        <v>2</v>
      </c>
      <c r="C222" s="33" t="inlineStr">
        <is>
          <t>ABC10-E7</t>
        </is>
      </c>
      <c r="D222" s="17" t="inlineStr">
        <is>
          <t xml:space="preserve">        Esquineros de cartón 50 × 50 × 1200 (fracción del pallet)</t>
        </is>
      </c>
      <c r="E222" s="33" t="n">
        <v>0.125</v>
      </c>
      <c r="F222" s="33" t="inlineStr">
        <is>
          <t>u</t>
        </is>
      </c>
      <c r="G222" s="34" t="n"/>
      <c r="H222" s="34" t="n"/>
      <c r="I222" s="33" t="inlineStr">
        <is>
          <t>Cartón</t>
        </is>
      </c>
      <c r="J222" s="17" t="inlineStr">
        <is>
          <t>4 por pallet / 32 u</t>
        </is>
      </c>
      <c r="K222" s="33" t="inlineStr">
        <is>
          <t>Compra</t>
        </is>
      </c>
      <c r="L222" s="33" t="inlineStr">
        <is>
          <t>Sí</t>
        </is>
      </c>
      <c r="M222" s="17" t="inlineStr">
        <is>
          <t>Maxipack</t>
        </is>
      </c>
      <c r="N222" s="17" t="inlineStr">
        <is>
          <t>Cartocan</t>
        </is>
      </c>
      <c r="O222" s="17" t="inlineStr">
        <is>
          <t>24 Envolvedora (T11)</t>
        </is>
      </c>
      <c r="P222" s="17" t="n"/>
      <c r="Q222" s="33" t="inlineStr">
        <is>
          <t>C</t>
        </is>
      </c>
      <c r="R222" s="33" t="n"/>
      <c r="S222" s="17" t="inlineStr">
        <is>
          <t>Planilla MP-64</t>
        </is>
      </c>
    </row>
    <row r="223">
      <c r="A223" s="27" t="inlineStr">
        <is>
          <t>FL_MAT_AGUA_10l</t>
        </is>
      </c>
      <c r="B223" s="27" t="n">
        <v>0</v>
      </c>
      <c r="C223" s="27" t="inlineStr">
        <is>
          <t>FL_MAT_AGUA_10l</t>
        </is>
      </c>
      <c r="D223" s="28" t="inlineStr">
        <is>
          <t>Extintor Agua 10 l</t>
        </is>
      </c>
      <c r="E223" s="27" t="n">
        <v>1</v>
      </c>
      <c r="F223" s="27" t="inlineStr">
        <is>
          <t>u</t>
        </is>
      </c>
      <c r="G223" s="29" t="n"/>
      <c r="H223" s="29" t="n"/>
      <c r="I223" s="27" t="n"/>
      <c r="J223" s="28" t="n"/>
      <c r="K223" s="27" t="n"/>
      <c r="L223" s="27" t="n"/>
      <c r="M223" s="28" t="n"/>
      <c r="N223" s="28" t="n"/>
      <c r="O223" s="28" t="n"/>
      <c r="P223" s="28" t="inlineStr">
        <is>
          <t>IRAM 3525</t>
        </is>
      </c>
      <c r="Q223" s="27" t="inlineStr">
        <is>
          <t>P</t>
        </is>
      </c>
      <c r="R223" s="27" t="inlineStr">
        <is>
          <t>FL_MAT_AGUA_10l</t>
        </is>
      </c>
      <c r="S223" s="28" t="inlineStr">
        <is>
          <t>Revendido: se compra terminado al fabricante con Sello IRAM; las piezas internas quedan como referencia (no entran en MRP)</t>
        </is>
      </c>
    </row>
    <row r="224">
      <c r="A224" s="30" t="inlineStr">
        <is>
          <t>FL_MAT_AGUA_10l</t>
        </is>
      </c>
      <c r="B224" s="30" t="n">
        <v>1</v>
      </c>
      <c r="C224" s="30" t="inlineStr">
        <is>
          <t>AGUA10-S0</t>
        </is>
      </c>
      <c r="D224" s="31" t="inlineStr">
        <is>
          <t xml:space="preserve">    Equipo terminado comprado (fabricante con Sello IRAM)</t>
        </is>
      </c>
      <c r="E224" s="30" t="n">
        <v>1</v>
      </c>
      <c r="F224" s="30" t="inlineStr">
        <is>
          <t>u</t>
        </is>
      </c>
      <c r="G224" s="32" t="n"/>
      <c r="H224" s="32" t="n"/>
      <c r="I224" s="30" t="n"/>
      <c r="J224" s="31" t="n"/>
      <c r="K224" s="30" t="inlineStr">
        <is>
          <t>Compra</t>
        </is>
      </c>
      <c r="L224" s="30" t="inlineStr">
        <is>
          <t>Sí</t>
        </is>
      </c>
      <c r="M224" s="31" t="inlineStr">
        <is>
          <t>Matafuegos Georgia - venta mayorista</t>
        </is>
      </c>
      <c r="N224" s="31" t="inlineStr">
        <is>
          <t>Drago (Luis Pasquinelli e Hijos S.A.)</t>
        </is>
      </c>
      <c r="O224" s="31" t="inlineStr">
        <is>
          <t>Recepción y control de ingreso (SP-1)</t>
        </is>
      </c>
      <c r="P224" s="31" t="inlineStr">
        <is>
          <t>IRAM 3525</t>
        </is>
      </c>
      <c r="Q224" s="30" t="inlineStr">
        <is>
          <t>I</t>
        </is>
      </c>
      <c r="R224" s="30" t="inlineStr">
        <is>
          <t>FL_MAT_AGUA_10l</t>
        </is>
      </c>
      <c r="S224" s="31" t="inlineStr">
        <is>
          <t>Única fila de compra del revendido (más la tarjeta AGC si el destino es CABA)</t>
        </is>
      </c>
    </row>
    <row r="225">
      <c r="A225" s="30" t="inlineStr">
        <is>
          <t>FL_MAT_AGUA_10l</t>
        </is>
      </c>
      <c r="B225" s="30" t="n">
        <v>1</v>
      </c>
      <c r="C225" s="30" t="inlineStr">
        <is>
          <t>AGUA10-S1</t>
        </is>
      </c>
      <c r="D225" s="31" t="inlineStr">
        <is>
          <t xml:space="preserve">    Recipiente (cilindro)</t>
        </is>
      </c>
      <c r="E225" s="30" t="n">
        <v>1</v>
      </c>
      <c r="F225" s="30" t="inlineStr">
        <is>
          <t>u</t>
        </is>
      </c>
      <c r="G225" s="32" t="n"/>
      <c r="H225" s="32">
        <f>H226+H227+H228+H229</f>
        <v/>
      </c>
      <c r="I225" s="30" t="n"/>
      <c r="J225" s="31" t="n"/>
      <c r="K225" s="30" t="inlineStr">
        <is>
          <t>Compra / armado</t>
        </is>
      </c>
      <c r="L225" s="30" t="n"/>
      <c r="M225" s="31" t="n"/>
      <c r="N225" s="31" t="n"/>
      <c r="O225" s="31" t="n"/>
      <c r="P225" s="31" t="inlineStr">
        <is>
          <t>IRAM 3523 / 3550 (recipiente)</t>
        </is>
      </c>
      <c r="Q225" s="30" t="inlineStr">
        <is>
          <t>P</t>
        </is>
      </c>
      <c r="R225" s="30" t="inlineStr">
        <is>
          <t>FL_DES_AGUA_10l</t>
        </is>
      </c>
      <c r="S225" s="31" t="n"/>
    </row>
    <row r="226">
      <c r="A226" s="33" t="inlineStr">
        <is>
          <t>FL_MAT_AGUA_10l</t>
        </is>
      </c>
      <c r="B226" s="33" t="n">
        <v>2</v>
      </c>
      <c r="C226" s="33" t="inlineStr">
        <is>
          <t>AGUA10-01</t>
        </is>
      </c>
      <c r="D226" s="17" t="inlineStr">
        <is>
          <t xml:space="preserve">        Cuerpo (virola)</t>
        </is>
      </c>
      <c r="E226" s="33" t="n">
        <v>1</v>
      </c>
      <c r="F226" s="33" t="inlineStr">
        <is>
          <t>u</t>
        </is>
      </c>
      <c r="G226" s="34" t="n">
        <v>1.7949</v>
      </c>
      <c r="H226" s="34">
        <f>E226*G226</f>
        <v/>
      </c>
      <c r="I226" s="33" t="inlineStr">
        <is>
          <t>Chapa acero inox. AISI 304 e=0,8</t>
        </is>
      </c>
      <c r="J226" s="17" t="inlineStr">
        <is>
          <t>Ø190 × e0,8 × 476 de alto; desarrollo 594,4 × 476</t>
        </is>
      </c>
      <c r="K226" s="33" t="inlineStr">
        <is>
          <t>Compra (en el conjunto)</t>
        </is>
      </c>
      <c r="L226" s="33" t="inlineStr">
        <is>
          <t>No</t>
        </is>
      </c>
      <c r="M226" s="17" t="n"/>
      <c r="N226" s="17" t="n"/>
      <c r="O226" s="17" t="inlineStr">
        <is>
          <t>S4 - se compra terminado (tercerizado con sello IRAM)</t>
        </is>
      </c>
      <c r="P226" s="17" t="n"/>
      <c r="Q226" s="33" t="inlineStr">
        <is>
          <t>P</t>
        </is>
      </c>
      <c r="R226" s="33" t="inlineStr">
        <is>
          <t>FL_DES_AGUA_10l</t>
        </is>
      </c>
      <c r="S226" s="17" t="inlineStr">
        <is>
          <t>costura long. TIG</t>
        </is>
      </c>
    </row>
    <row r="227">
      <c r="A227" s="33" t="inlineStr">
        <is>
          <t>FL_MAT_AGUA_10l</t>
        </is>
      </c>
      <c r="B227" s="33" t="n">
        <v>2</v>
      </c>
      <c r="C227" s="33" t="inlineStr">
        <is>
          <t>AGUA10-02</t>
        </is>
      </c>
      <c r="D227" s="17" t="inlineStr">
        <is>
          <t xml:space="preserve">        Cúpula</t>
        </is>
      </c>
      <c r="E227" s="33" t="n">
        <v>1</v>
      </c>
      <c r="F227" s="33" t="inlineStr">
        <is>
          <t>u</t>
        </is>
      </c>
      <c r="G227" s="34" t="n">
        <v>0.2544</v>
      </c>
      <c r="H227" s="34">
        <f>E227*G227</f>
        <v/>
      </c>
      <c r="I227" s="33" t="inlineStr">
        <is>
          <t>Chapa acero inox. AISI 304 e=0,8</t>
        </is>
      </c>
      <c r="J227" s="17" t="inlineStr">
        <is>
          <t>Ø190 × e0,8 × 59 de alto; disco Ø232,7</t>
        </is>
      </c>
      <c r="K227" s="33" t="inlineStr">
        <is>
          <t>Compra (en el conjunto)</t>
        </is>
      </c>
      <c r="L227" s="33" t="inlineStr">
        <is>
          <t>No</t>
        </is>
      </c>
      <c r="M227" s="17" t="n"/>
      <c r="N227" s="17" t="n"/>
      <c r="O227" s="17" t="inlineStr">
        <is>
          <t>S4 - se compra terminado (tercerizado con sello IRAM)</t>
        </is>
      </c>
      <c r="P227" s="17" t="n"/>
      <c r="Q227" s="33" t="inlineStr">
        <is>
          <t>P</t>
        </is>
      </c>
      <c r="R227" s="33" t="inlineStr">
        <is>
          <t>FL_DES_AGUA_10l</t>
        </is>
      </c>
      <c r="S227" s="17" t="inlineStr">
        <is>
          <t>embutida</t>
        </is>
      </c>
    </row>
    <row r="228">
      <c r="A228" s="33" t="inlineStr">
        <is>
          <t>FL_MAT_AGUA_10l</t>
        </is>
      </c>
      <c r="B228" s="33" t="n">
        <v>2</v>
      </c>
      <c r="C228" s="33" t="inlineStr">
        <is>
          <t>AGUA10-03</t>
        </is>
      </c>
      <c r="D228" s="17" t="inlineStr">
        <is>
          <t xml:space="preserve">        Fondo</t>
        </is>
      </c>
      <c r="E228" s="33" t="n">
        <v>1</v>
      </c>
      <c r="F228" s="33" t="inlineStr">
        <is>
          <t>u</t>
        </is>
      </c>
      <c r="G228" s="34" t="n">
        <v>0.1769</v>
      </c>
      <c r="H228" s="34">
        <f>E228*G228</f>
        <v/>
      </c>
      <c r="I228" s="33" t="inlineStr">
        <is>
          <t>Chapa acero inox. AISI 304 e=0,8</t>
        </is>
      </c>
      <c r="J228" s="17" t="inlineStr">
        <is>
          <t>Ø190 × e0,8 × 10,8 de alto; disco Ø194,1</t>
        </is>
      </c>
      <c r="K228" s="33" t="inlineStr">
        <is>
          <t>Compra (en el conjunto)</t>
        </is>
      </c>
      <c r="L228" s="33" t="inlineStr">
        <is>
          <t>No</t>
        </is>
      </c>
      <c r="M228" s="17" t="n"/>
      <c r="N228" s="17" t="n"/>
      <c r="O228" s="17" t="inlineStr">
        <is>
          <t>S4 - se compra terminado (tercerizado con sello IRAM)</t>
        </is>
      </c>
      <c r="P228" s="17" t="n"/>
      <c r="Q228" s="33" t="inlineStr">
        <is>
          <t>P</t>
        </is>
      </c>
      <c r="R228" s="33" t="inlineStr">
        <is>
          <t>FL_DES_AGUA_10l</t>
        </is>
      </c>
      <c r="S228" s="17" t="inlineStr">
        <is>
          <t>embutido</t>
        </is>
      </c>
    </row>
    <row r="229">
      <c r="A229" s="33" t="inlineStr">
        <is>
          <t>FL_MAT_AGUA_10l</t>
        </is>
      </c>
      <c r="B229" s="33" t="n">
        <v>2</v>
      </c>
      <c r="C229" s="33" t="inlineStr">
        <is>
          <t>AGUA10-04</t>
        </is>
      </c>
      <c r="D229" s="17" t="inlineStr">
        <is>
          <t xml:space="preserve">        Cuello roscado</t>
        </is>
      </c>
      <c r="E229" s="33" t="n">
        <v>1</v>
      </c>
      <c r="F229" s="33" t="inlineStr">
        <is>
          <t>u</t>
        </is>
      </c>
      <c r="G229" s="34" t="n">
        <v>0.0539</v>
      </c>
      <c r="H229" s="34">
        <f>E229*G229</f>
        <v/>
      </c>
      <c r="I229" s="33" t="inlineStr">
        <is>
          <t>Acero inox. AISI 304</t>
        </is>
      </c>
      <c r="J229" s="17" t="inlineStr">
        <is>
          <t>Ø37 × 14 de alto, rosca M30x1,5, asiento Ø35</t>
        </is>
      </c>
      <c r="K229" s="33" t="inlineStr">
        <is>
          <t>Compra (en el conjunto)</t>
        </is>
      </c>
      <c r="L229" s="33" t="inlineStr">
        <is>
          <t>No</t>
        </is>
      </c>
      <c r="M229" s="17" t="n"/>
      <c r="N229" s="17" t="n"/>
      <c r="O229" s="17" t="inlineStr">
        <is>
          <t>S4 - se compra terminado (tercerizado con sello IRAM)</t>
        </is>
      </c>
      <c r="P229" s="17" t="n"/>
      <c r="Q229" s="33" t="inlineStr">
        <is>
          <t>P</t>
        </is>
      </c>
      <c r="R229" s="33" t="inlineStr">
        <is>
          <t>FL_DES_AGUA_10l</t>
        </is>
      </c>
      <c r="S229" s="17" t="inlineStr">
        <is>
          <t>M30x1,5</t>
        </is>
      </c>
    </row>
    <row r="230">
      <c r="A230" s="30" t="inlineStr">
        <is>
          <t>FL_MAT_AGUA_10l</t>
        </is>
      </c>
      <c r="B230" s="30" t="n">
        <v>1</v>
      </c>
      <c r="C230" s="30" t="inlineStr">
        <is>
          <t>AGUA10-S2</t>
        </is>
      </c>
      <c r="D230" s="31" t="inlineStr">
        <is>
          <t xml:space="preserve">    Conjunto de válvula</t>
        </is>
      </c>
      <c r="E230" s="30" t="n">
        <v>1</v>
      </c>
      <c r="F230" s="30" t="inlineStr">
        <is>
          <t>u</t>
        </is>
      </c>
      <c r="G230" s="32" t="n"/>
      <c r="H230" s="32">
        <f>H231+H232+H233+H235+H236+H237+H238+H239+H240+H241</f>
        <v/>
      </c>
      <c r="I230" s="30" t="n"/>
      <c r="J230" s="31" t="n"/>
      <c r="K230" s="30" t="inlineStr">
        <is>
          <t>Compra / armado</t>
        </is>
      </c>
      <c r="L230" s="30" t="n"/>
      <c r="M230" s="31" t="n"/>
      <c r="N230" s="31" t="n"/>
      <c r="O230" s="31" t="n"/>
      <c r="P230" s="31" t="inlineStr">
        <is>
          <t>Manómetro IRAM 3533</t>
        </is>
      </c>
      <c r="Q230" s="30" t="inlineStr">
        <is>
          <t>P</t>
        </is>
      </c>
      <c r="R230" s="30" t="inlineStr">
        <is>
          <t>FL_DES_AGUA_10l</t>
        </is>
      </c>
      <c r="S230" s="31" t="n"/>
    </row>
    <row r="231">
      <c r="A231" s="33" t="inlineStr">
        <is>
          <t>FL_MAT_AGUA_10l</t>
        </is>
      </c>
      <c r="B231" s="33" t="n">
        <v>2</v>
      </c>
      <c r="C231" s="33" t="inlineStr">
        <is>
          <t>AGUA10-05</t>
        </is>
      </c>
      <c r="D231" s="17" t="inlineStr">
        <is>
          <t xml:space="preserve">        Collarín de válvula</t>
        </is>
      </c>
      <c r="E231" s="33" t="n">
        <v>1</v>
      </c>
      <c r="F231" s="33" t="inlineStr">
        <is>
          <t>u</t>
        </is>
      </c>
      <c r="G231" s="34" t="n">
        <v>0.0833</v>
      </c>
      <c r="H231" s="34">
        <f>E231*G231</f>
        <v/>
      </c>
      <c r="I231" s="33" t="inlineStr">
        <is>
          <t>Latón forjado</t>
        </is>
      </c>
      <c r="J231" s="17" t="inlineStr">
        <is>
          <t>43 × 43 × 10</t>
        </is>
      </c>
      <c r="K231" s="33" t="inlineStr">
        <is>
          <t>Compra (en el conjunto)</t>
        </is>
      </c>
      <c r="L231" s="33" t="inlineStr">
        <is>
          <t>No</t>
        </is>
      </c>
      <c r="M231" s="17" t="n"/>
      <c r="N231" s="17" t="n"/>
      <c r="O231" s="17" t="inlineStr">
        <is>
          <t>S4 - se compra terminado (tercerizado con sello IRAM)</t>
        </is>
      </c>
      <c r="P231" s="17" t="n"/>
      <c r="Q231" s="33" t="inlineStr">
        <is>
          <t>P</t>
        </is>
      </c>
      <c r="R231" s="33" t="inlineStr">
        <is>
          <t>FL_DES_AGUA_10l</t>
        </is>
      </c>
      <c r="S231" s="17" t="n"/>
    </row>
    <row r="232">
      <c r="A232" s="33" t="inlineStr">
        <is>
          <t>FL_MAT_AGUA_10l</t>
        </is>
      </c>
      <c r="B232" s="33" t="n">
        <v>2</v>
      </c>
      <c r="C232" s="33" t="inlineStr">
        <is>
          <t>AGUA10-06</t>
        </is>
      </c>
      <c r="D232" s="17" t="inlineStr">
        <is>
          <t xml:space="preserve">        Espiga roscada</t>
        </is>
      </c>
      <c r="E232" s="33" t="n">
        <v>1</v>
      </c>
      <c r="F232" s="33" t="inlineStr">
        <is>
          <t>u</t>
        </is>
      </c>
      <c r="G232" s="34" t="n">
        <v>0.0243</v>
      </c>
      <c r="H232" s="34">
        <f>E232*G232</f>
        <v/>
      </c>
      <c r="I232" s="33" t="inlineStr">
        <is>
          <t>Latón forjado</t>
        </is>
      </c>
      <c r="J232" s="17" t="inlineStr">
        <is>
          <t>28,4 × 28,4 × 12</t>
        </is>
      </c>
      <c r="K232" s="33" t="inlineStr">
        <is>
          <t>Compra (en el conjunto)</t>
        </is>
      </c>
      <c r="L232" s="33" t="inlineStr">
        <is>
          <t>No</t>
        </is>
      </c>
      <c r="M232" s="17" t="n"/>
      <c r="N232" s="17" t="n"/>
      <c r="O232" s="17" t="inlineStr">
        <is>
          <t>S4 - se compra terminado (tercerizado con sello IRAM)</t>
        </is>
      </c>
      <c r="P232" s="17" t="n"/>
      <c r="Q232" s="33" t="inlineStr">
        <is>
          <t>P</t>
        </is>
      </c>
      <c r="R232" s="33" t="inlineStr">
        <is>
          <t>FL_DES_AGUA_10l</t>
        </is>
      </c>
      <c r="S232" s="17" t="n"/>
    </row>
    <row r="233">
      <c r="A233" s="33" t="inlineStr">
        <is>
          <t>FL_MAT_AGUA_10l</t>
        </is>
      </c>
      <c r="B233" s="33" t="n">
        <v>2</v>
      </c>
      <c r="C233" s="33" t="inlineStr">
        <is>
          <t>AGUA10-07</t>
        </is>
      </c>
      <c r="D233" s="17" t="inlineStr">
        <is>
          <t xml:space="preserve">        Cuerpo de válvula</t>
        </is>
      </c>
      <c r="E233" s="33" t="n">
        <v>1</v>
      </c>
      <c r="F233" s="33" t="inlineStr">
        <is>
          <t>u</t>
        </is>
      </c>
      <c r="G233" s="34" t="n">
        <v>0.4879</v>
      </c>
      <c r="H233" s="34">
        <f>E233*G233</f>
        <v/>
      </c>
      <c r="I233" s="33" t="inlineStr">
        <is>
          <t>Latón forjado</t>
        </is>
      </c>
      <c r="J233" s="17" t="inlineStr">
        <is>
          <t>67 × 43 × 34</t>
        </is>
      </c>
      <c r="K233" s="33" t="inlineStr">
        <is>
          <t>Compra (en el conjunto)</t>
        </is>
      </c>
      <c r="L233" s="33" t="inlineStr">
        <is>
          <t>No</t>
        </is>
      </c>
      <c r="M233" s="17" t="n"/>
      <c r="N233" s="17" t="n"/>
      <c r="O233" s="17" t="inlineStr">
        <is>
          <t>S4 - se compra terminado (tercerizado con sello IRAM)</t>
        </is>
      </c>
      <c r="P233" s="17" t="n"/>
      <c r="Q233" s="33" t="inlineStr">
        <is>
          <t>P</t>
        </is>
      </c>
      <c r="R233" s="33" t="inlineStr">
        <is>
          <t>FL_DES_AGUA_10l</t>
        </is>
      </c>
      <c r="S233" s="17" t="n"/>
    </row>
    <row r="234">
      <c r="A234" s="33" t="inlineStr">
        <is>
          <t>FL_MAT_AGUA_10l</t>
        </is>
      </c>
      <c r="B234" s="33" t="n">
        <v>2</v>
      </c>
      <c r="C234" s="33" t="inlineStr">
        <is>
          <t>AGUA10-08</t>
        </is>
      </c>
      <c r="D234" s="17" t="inlineStr">
        <is>
          <t xml:space="preserve">        Manómetro</t>
        </is>
      </c>
      <c r="E234" s="33" t="n">
        <v>1</v>
      </c>
      <c r="F234" s="33" t="inlineStr">
        <is>
          <t>u</t>
        </is>
      </c>
      <c r="G234" s="34" t="n"/>
      <c r="H234" s="34" t="n"/>
      <c r="I234" s="33" t="inlineStr">
        <is>
          <t>Comercial</t>
        </is>
      </c>
      <c r="J234" s="17" t="inlineStr">
        <is>
          <t>Ø38 esfera, rango 0-2 MPa, sector verde en 0,8</t>
        </is>
      </c>
      <c r="K234" s="33" t="inlineStr">
        <is>
          <t>Compra (en el conjunto)</t>
        </is>
      </c>
      <c r="L234" s="33" t="inlineStr">
        <is>
          <t>No</t>
        </is>
      </c>
      <c r="M234" s="17" t="n"/>
      <c r="N234" s="17" t="n"/>
      <c r="O234" s="17" t="inlineStr">
        <is>
          <t>S4 - se compra terminado (tercerizado con sello IRAM)</t>
        </is>
      </c>
      <c r="P234" s="17" t="inlineStr">
        <is>
          <t>IRAM 3533</t>
        </is>
      </c>
      <c r="Q234" s="33" t="inlineStr">
        <is>
          <t>P</t>
        </is>
      </c>
      <c r="R234" s="33" t="inlineStr">
        <is>
          <t>FL_DES_AGUA_10l</t>
        </is>
      </c>
      <c r="S234" s="17" t="inlineStr">
        <is>
          <t>Pieza comercial; sello IRAM 3533; peso: completar con la ficha del proveedor (no afecta el MRP)</t>
        </is>
      </c>
    </row>
    <row r="235">
      <c r="A235" s="33" t="inlineStr">
        <is>
          <t>FL_MAT_AGUA_10l</t>
        </is>
      </c>
      <c r="B235" s="33" t="n">
        <v>2</v>
      </c>
      <c r="C235" s="33" t="inlineStr">
        <is>
          <t>AGUA10-09</t>
        </is>
      </c>
      <c r="D235" s="17" t="inlineStr">
        <is>
          <t xml:space="preserve">        Manija de transporte</t>
        </is>
      </c>
      <c r="E235" s="33" t="n">
        <v>1</v>
      </c>
      <c r="F235" s="33" t="inlineStr">
        <is>
          <t>u</t>
        </is>
      </c>
      <c r="G235" s="34" t="n">
        <v>0.0609</v>
      </c>
      <c r="H235" s="34">
        <f>E235*G235</f>
        <v/>
      </c>
      <c r="I235" s="33" t="inlineStr">
        <is>
          <t>Chapa acero SAE 1010 pintada</t>
        </is>
      </c>
      <c r="J235" s="17" t="inlineStr">
        <is>
          <t>96,9 × 20 × 14,1</t>
        </is>
      </c>
      <c r="K235" s="33" t="inlineStr">
        <is>
          <t>Compra (en el conjunto)</t>
        </is>
      </c>
      <c r="L235" s="33" t="inlineStr">
        <is>
          <t>No</t>
        </is>
      </c>
      <c r="M235" s="17" t="n"/>
      <c r="N235" s="17" t="n"/>
      <c r="O235" s="17" t="inlineStr">
        <is>
          <t>S4 - se compra terminado (tercerizado con sello IRAM)</t>
        </is>
      </c>
      <c r="P235" s="17" t="n"/>
      <c r="Q235" s="33" t="inlineStr">
        <is>
          <t>P</t>
        </is>
      </c>
      <c r="R235" s="33" t="inlineStr">
        <is>
          <t>FL_DES_AGUA_10l</t>
        </is>
      </c>
      <c r="S235" s="17" t="n"/>
    </row>
    <row r="236">
      <c r="A236" s="33" t="inlineStr">
        <is>
          <t>FL_MAT_AGUA_10l</t>
        </is>
      </c>
      <c r="B236" s="33" t="n">
        <v>2</v>
      </c>
      <c r="C236" s="33" t="inlineStr">
        <is>
          <t>AGUA10-10</t>
        </is>
      </c>
      <c r="D236" s="17" t="inlineStr">
        <is>
          <t xml:space="preserve">        Manija de accionamiento</t>
        </is>
      </c>
      <c r="E236" s="33" t="n">
        <v>1</v>
      </c>
      <c r="F236" s="33" t="inlineStr">
        <is>
          <t>u</t>
        </is>
      </c>
      <c r="G236" s="34" t="n">
        <v>0.08790000000000001</v>
      </c>
      <c r="H236" s="34">
        <f>E236*G236</f>
        <v/>
      </c>
      <c r="I236" s="33" t="inlineStr">
        <is>
          <t>Chapa acero SAE 1010 pintada</t>
        </is>
      </c>
      <c r="J236" s="17" t="inlineStr">
        <is>
          <t>139,5 × 21 × 20</t>
        </is>
      </c>
      <c r="K236" s="33" t="inlineStr">
        <is>
          <t>Compra (en el conjunto)</t>
        </is>
      </c>
      <c r="L236" s="33" t="inlineStr">
        <is>
          <t>No</t>
        </is>
      </c>
      <c r="M236" s="17" t="n"/>
      <c r="N236" s="17" t="n"/>
      <c r="O236" s="17" t="inlineStr">
        <is>
          <t>S4 - se compra terminado (tercerizado con sello IRAM)</t>
        </is>
      </c>
      <c r="P236" s="17" t="n"/>
      <c r="Q236" s="33" t="inlineStr">
        <is>
          <t>P</t>
        </is>
      </c>
      <c r="R236" s="33" t="inlineStr">
        <is>
          <t>FL_DES_AGUA_10l</t>
        </is>
      </c>
      <c r="S236" s="17" t="n"/>
    </row>
    <row r="237">
      <c r="A237" s="33" t="inlineStr">
        <is>
          <t>FL_MAT_AGUA_10l</t>
        </is>
      </c>
      <c r="B237" s="33" t="n">
        <v>2</v>
      </c>
      <c r="C237" s="33" t="inlineStr">
        <is>
          <t>AGUA10-11</t>
        </is>
      </c>
      <c r="D237" s="17" t="inlineStr">
        <is>
          <t xml:space="preserve">        Eje de palanca</t>
        </is>
      </c>
      <c r="E237" s="33" t="n">
        <v>1</v>
      </c>
      <c r="F237" s="33" t="inlineStr">
        <is>
          <t>u</t>
        </is>
      </c>
      <c r="G237" s="34" t="n">
        <v>0.0081</v>
      </c>
      <c r="H237" s="34">
        <f>E237*G237</f>
        <v/>
      </c>
      <c r="I237" s="33" t="inlineStr">
        <is>
          <t>Acero inox. AISI 304</t>
        </is>
      </c>
      <c r="J237" s="17" t="inlineStr">
        <is>
          <t>36 × 6 × 6</t>
        </is>
      </c>
      <c r="K237" s="33" t="inlineStr">
        <is>
          <t>Compra (en el conjunto)</t>
        </is>
      </c>
      <c r="L237" s="33" t="inlineStr">
        <is>
          <t>No</t>
        </is>
      </c>
      <c r="M237" s="17" t="n"/>
      <c r="N237" s="17" t="n"/>
      <c r="O237" s="17" t="inlineStr">
        <is>
          <t>S4 - se compra terminado (tercerizado con sello IRAM)</t>
        </is>
      </c>
      <c r="P237" s="17" t="n"/>
      <c r="Q237" s="33" t="inlineStr">
        <is>
          <t>P</t>
        </is>
      </c>
      <c r="R237" s="33" t="inlineStr">
        <is>
          <t>FL_DES_AGUA_10l</t>
        </is>
      </c>
      <c r="S237" s="17" t="n"/>
    </row>
    <row r="238">
      <c r="A238" s="33" t="inlineStr">
        <is>
          <t>FL_MAT_AGUA_10l</t>
        </is>
      </c>
      <c r="B238" s="33" t="n">
        <v>2</v>
      </c>
      <c r="C238" s="33" t="inlineStr">
        <is>
          <t>AGUA10-12</t>
        </is>
      </c>
      <c r="D238" s="17" t="inlineStr">
        <is>
          <t xml:space="preserve">        Vástago</t>
        </is>
      </c>
      <c r="E238" s="33" t="n">
        <v>1</v>
      </c>
      <c r="F238" s="33" t="inlineStr">
        <is>
          <t>u</t>
        </is>
      </c>
      <c r="G238" s="34" t="n">
        <v>0.0017</v>
      </c>
      <c r="H238" s="34">
        <f>E238*G238</f>
        <v/>
      </c>
      <c r="I238" s="33" t="inlineStr">
        <is>
          <t>Latón</t>
        </is>
      </c>
      <c r="J238" s="17" t="inlineStr">
        <is>
          <t>8 × 8 × 4</t>
        </is>
      </c>
      <c r="K238" s="33" t="inlineStr">
        <is>
          <t>Compra (en el conjunto)</t>
        </is>
      </c>
      <c r="L238" s="33" t="inlineStr">
        <is>
          <t>No</t>
        </is>
      </c>
      <c r="M238" s="17" t="n"/>
      <c r="N238" s="17" t="n"/>
      <c r="O238" s="17" t="inlineStr">
        <is>
          <t>S4 - se compra terminado (tercerizado con sello IRAM)</t>
        </is>
      </c>
      <c r="P238" s="17" t="n"/>
      <c r="Q238" s="33" t="inlineStr">
        <is>
          <t>P</t>
        </is>
      </c>
      <c r="R238" s="33" t="inlineStr">
        <is>
          <t>FL_DES_AGUA_10l</t>
        </is>
      </c>
      <c r="S238" s="17" t="inlineStr">
        <is>
          <t>con junta tórica</t>
        </is>
      </c>
    </row>
    <row r="239">
      <c r="A239" s="33" t="inlineStr">
        <is>
          <t>FL_MAT_AGUA_10l</t>
        </is>
      </c>
      <c r="B239" s="33" t="n">
        <v>2</v>
      </c>
      <c r="C239" s="33" t="inlineStr">
        <is>
          <t>AGUA10-13</t>
        </is>
      </c>
      <c r="D239" s="17" t="inlineStr">
        <is>
          <t xml:space="preserve">        Pasador de seguridad</t>
        </is>
      </c>
      <c r="E239" s="33" t="n">
        <v>1</v>
      </c>
      <c r="F239" s="33" t="inlineStr">
        <is>
          <t>u</t>
        </is>
      </c>
      <c r="G239" s="34" t="n">
        <v>0.0055</v>
      </c>
      <c r="H239" s="34">
        <f>E239*G239</f>
        <v/>
      </c>
      <c r="I239" s="33" t="inlineStr">
        <is>
          <t>Alambre acero inox. AISI 304</t>
        </is>
      </c>
      <c r="J239" s="17" t="inlineStr">
        <is>
          <t>45,4 × 21 × 20,8</t>
        </is>
      </c>
      <c r="K239" s="33" t="inlineStr">
        <is>
          <t>Compra (en el conjunto)</t>
        </is>
      </c>
      <c r="L239" s="33" t="inlineStr">
        <is>
          <t>No</t>
        </is>
      </c>
      <c r="M239" s="17" t="n"/>
      <c r="N239" s="17" t="n"/>
      <c r="O239" s="17" t="inlineStr">
        <is>
          <t>S4 - se compra terminado (tercerizado con sello IRAM)</t>
        </is>
      </c>
      <c r="P239" s="17" t="n"/>
      <c r="Q239" s="33" t="inlineStr">
        <is>
          <t>P</t>
        </is>
      </c>
      <c r="R239" s="33" t="inlineStr">
        <is>
          <t>FL_DES_AGUA_10l</t>
        </is>
      </c>
      <c r="S239" s="17" t="inlineStr">
        <is>
          <t>con precinto</t>
        </is>
      </c>
    </row>
    <row r="240">
      <c r="A240" s="33" t="inlineStr">
        <is>
          <t>FL_MAT_AGUA_10l</t>
        </is>
      </c>
      <c r="B240" s="33" t="n">
        <v>2</v>
      </c>
      <c r="C240" s="33" t="inlineStr">
        <is>
          <t>AGUA10-14</t>
        </is>
      </c>
      <c r="D240" s="17" t="inlineStr">
        <is>
          <t xml:space="preserve">        Caño de pesca (sifón)</t>
        </is>
      </c>
      <c r="E240" s="33" t="n">
        <v>1</v>
      </c>
      <c r="F240" s="33" t="inlineStr">
        <is>
          <t>u</t>
        </is>
      </c>
      <c r="G240" s="34" t="n">
        <v>0.0229</v>
      </c>
      <c r="H240" s="34">
        <f>E240*G240</f>
        <v/>
      </c>
      <c r="I240" s="33" t="inlineStr">
        <is>
          <t>Tubo polipropileno</t>
        </is>
      </c>
      <c r="J240" s="17" t="inlineStr">
        <is>
          <t>Ø12 × 514,2 de largo</t>
        </is>
      </c>
      <c r="K240" s="33" t="inlineStr">
        <is>
          <t>Compra (en el conjunto)</t>
        </is>
      </c>
      <c r="L240" s="33" t="inlineStr">
        <is>
          <t>No</t>
        </is>
      </c>
      <c r="M240" s="17" t="n"/>
      <c r="N240" s="17" t="n"/>
      <c r="O240" s="17" t="inlineStr">
        <is>
          <t>S4 - se compra terminado (tercerizado con sello IRAM)</t>
        </is>
      </c>
      <c r="P240" s="17" t="n"/>
      <c r="Q240" s="33" t="inlineStr">
        <is>
          <t>P</t>
        </is>
      </c>
      <c r="R240" s="33" t="inlineStr">
        <is>
          <t>FL_DES_AGUA_10l</t>
        </is>
      </c>
      <c r="S240" s="17" t="n"/>
    </row>
    <row r="241">
      <c r="A241" s="33" t="inlineStr">
        <is>
          <t>FL_MAT_AGUA_10l</t>
        </is>
      </c>
      <c r="B241" s="33" t="n">
        <v>2</v>
      </c>
      <c r="C241" s="33" t="inlineStr">
        <is>
          <t>AGUA10-24</t>
        </is>
      </c>
      <c r="D241" s="17" t="inlineStr">
        <is>
          <t xml:space="preserve">        Junta tórica de asiento</t>
        </is>
      </c>
      <c r="E241" s="33" t="n">
        <v>1</v>
      </c>
      <c r="F241" s="33" t="inlineStr">
        <is>
          <t>u</t>
        </is>
      </c>
      <c r="G241" s="34" t="n">
        <v>0.001</v>
      </c>
      <c r="H241" s="34">
        <f>E241*G241</f>
        <v/>
      </c>
      <c r="I241" s="33" t="inlineStr">
        <is>
          <t>NBR 70 Shore A</t>
        </is>
      </c>
      <c r="J241" s="17" t="inlineStr">
        <is>
          <t>Ø31,4 ext. × cordón 3</t>
        </is>
      </c>
      <c r="K241" s="33" t="inlineStr">
        <is>
          <t>Compra (en el conjunto)</t>
        </is>
      </c>
      <c r="L241" s="33" t="inlineStr">
        <is>
          <t>No</t>
        </is>
      </c>
      <c r="M241" s="17" t="n"/>
      <c r="N241" s="17" t="n"/>
      <c r="O241" s="17" t="inlineStr">
        <is>
          <t>S4 - se compra terminado (tercerizado con sello IRAM)</t>
        </is>
      </c>
      <c r="P241" s="17" t="n"/>
      <c r="Q241" s="33" t="inlineStr">
        <is>
          <t>P</t>
        </is>
      </c>
      <c r="R241" s="33" t="inlineStr">
        <is>
          <t>FL_DES_AGUA_10l</t>
        </is>
      </c>
      <c r="S241" s="17" t="inlineStr">
        <is>
          <t>cambio c/recarga</t>
        </is>
      </c>
    </row>
    <row r="242">
      <c r="A242" s="33" t="inlineStr">
        <is>
          <t>FL_MAT_AGUA_10l</t>
        </is>
      </c>
      <c r="B242" s="33" t="n">
        <v>2</v>
      </c>
      <c r="C242" s="33" t="inlineStr">
        <is>
          <t>AGUA10-V2</t>
        </is>
      </c>
      <c r="D242" s="17" t="inlineStr">
        <is>
          <t xml:space="preserve">        Resorte de retorno del vástago</t>
        </is>
      </c>
      <c r="E242" s="33" t="n">
        <v>1</v>
      </c>
      <c r="F242" s="33" t="inlineStr">
        <is>
          <t>u</t>
        </is>
      </c>
      <c r="G242" s="34" t="n"/>
      <c r="H242" s="34" t="n"/>
      <c r="I242" s="33" t="inlineStr">
        <is>
          <t>Acero para resortes</t>
        </is>
      </c>
      <c r="J242" s="17" t="inlineStr">
        <is>
          <t>incluido en la válvula</t>
        </is>
      </c>
      <c r="K242" s="33" t="inlineStr">
        <is>
          <t>Compra (en el conjunto)</t>
        </is>
      </c>
      <c r="L242" s="33" t="inlineStr">
        <is>
          <t>No</t>
        </is>
      </c>
      <c r="M242" s="17" t="n"/>
      <c r="N242" s="17" t="n"/>
      <c r="O242" s="17" t="inlineStr">
        <is>
          <t>19 Ensamblaje</t>
        </is>
      </c>
      <c r="P242" s="17" t="n"/>
      <c r="Q242" s="33" t="inlineStr">
        <is>
          <t>Q</t>
        </is>
      </c>
      <c r="R242" s="33" t="n"/>
      <c r="S242" s="17" t="inlineStr">
        <is>
          <t>Lista de precios HZ: válvula «c/resorte» (Q-AGENTES)</t>
        </is>
      </c>
    </row>
    <row r="243">
      <c r="A243" s="33" t="inlineStr">
        <is>
          <t>FL_MAT_AGUA_10l</t>
        </is>
      </c>
      <c r="B243" s="33" t="n">
        <v>2</v>
      </c>
      <c r="C243" s="33" t="inlineStr">
        <is>
          <t>AGUA10-V3</t>
        </is>
      </c>
      <c r="D243" s="17" t="inlineStr">
        <is>
          <t xml:space="preserve">        Junta tórica del vástago</t>
        </is>
      </c>
      <c r="E243" s="33" t="n">
        <v>1</v>
      </c>
      <c r="F243" s="33" t="inlineStr">
        <is>
          <t>u</t>
        </is>
      </c>
      <c r="G243" s="34" t="n"/>
      <c r="H243" s="34" t="n"/>
      <c r="I243" s="33" t="inlineStr">
        <is>
          <t>NBR 70 Shore A</t>
        </is>
      </c>
      <c r="J243" s="17" t="inlineStr">
        <is>
          <t>incluida en la válvula</t>
        </is>
      </c>
      <c r="K243" s="33" t="inlineStr">
        <is>
          <t>Compra (en el conjunto)</t>
        </is>
      </c>
      <c r="L243" s="33" t="inlineStr">
        <is>
          <t>No</t>
        </is>
      </c>
      <c r="M243" s="17" t="n"/>
      <c r="N243" s="17" t="n"/>
      <c r="O243" s="17" t="inlineStr">
        <is>
          <t>19 Ensamblaje</t>
        </is>
      </c>
      <c r="P243" s="17" t="n"/>
      <c r="Q243" s="33" t="inlineStr">
        <is>
          <t>P</t>
        </is>
      </c>
      <c r="R243" s="33" t="n"/>
      <c r="S243" s="17" t="inlineStr">
        <is>
          <t>Figura en el plano como «vástago con junta tórica»</t>
        </is>
      </c>
    </row>
    <row r="244">
      <c r="A244" s="30" t="inlineStr">
        <is>
          <t>FL_MAT_AGUA_10l</t>
        </is>
      </c>
      <c r="B244" s="30" t="n">
        <v>1</v>
      </c>
      <c r="C244" s="30" t="inlineStr">
        <is>
          <t>AGUA10-S3</t>
        </is>
      </c>
      <c r="D244" s="31" t="inlineStr">
        <is>
          <t xml:space="preserve">    Dispositivo de descarga</t>
        </is>
      </c>
      <c r="E244" s="30" t="n">
        <v>1</v>
      </c>
      <c r="F244" s="30" t="inlineStr">
        <is>
          <t>u</t>
        </is>
      </c>
      <c r="G244" s="32" t="n"/>
      <c r="H244" s="32">
        <f>H245+H246+H247+H248</f>
        <v/>
      </c>
      <c r="I244" s="30" t="n"/>
      <c r="J244" s="31" t="n"/>
      <c r="K244" s="30" t="inlineStr">
        <is>
          <t>Compra / armado</t>
        </is>
      </c>
      <c r="L244" s="30" t="n"/>
      <c r="M244" s="31" t="n"/>
      <c r="N244" s="31" t="n"/>
      <c r="O244" s="31" t="n"/>
      <c r="P244" s="31" t="n"/>
      <c r="Q244" s="30" t="inlineStr">
        <is>
          <t>P</t>
        </is>
      </c>
      <c r="R244" s="30" t="inlineStr">
        <is>
          <t>FL_DES_AGUA_10l</t>
        </is>
      </c>
      <c r="S244" s="31" t="n"/>
    </row>
    <row r="245">
      <c r="A245" s="33" t="inlineStr">
        <is>
          <t>FL_MAT_AGUA_10l</t>
        </is>
      </c>
      <c r="B245" s="33" t="n">
        <v>2</v>
      </c>
      <c r="C245" s="33" t="inlineStr">
        <is>
          <t>AGUA10-15</t>
        </is>
      </c>
      <c r="D245" s="17" t="inlineStr">
        <is>
          <t xml:space="preserve">        Racor de manguera</t>
        </is>
      </c>
      <c r="E245" s="33" t="n">
        <v>1</v>
      </c>
      <c r="F245" s="33" t="inlineStr">
        <is>
          <t>u</t>
        </is>
      </c>
      <c r="G245" s="34" t="n">
        <v>0.0258</v>
      </c>
      <c r="H245" s="34">
        <f>E245*G245</f>
        <v/>
      </c>
      <c r="I245" s="33" t="inlineStr">
        <is>
          <t>Latón</t>
        </is>
      </c>
      <c r="J245" s="17" t="inlineStr">
        <is>
          <t>18 × 18 × 12</t>
        </is>
      </c>
      <c r="K245" s="33" t="inlineStr">
        <is>
          <t>Compra (en el conjunto)</t>
        </is>
      </c>
      <c r="L245" s="33" t="inlineStr">
        <is>
          <t>No</t>
        </is>
      </c>
      <c r="M245" s="17" t="n"/>
      <c r="N245" s="17" t="n"/>
      <c r="O245" s="17" t="inlineStr">
        <is>
          <t>S4 - se compra terminado (tercerizado con sello IRAM)</t>
        </is>
      </c>
      <c r="P245" s="17" t="n"/>
      <c r="Q245" s="33" t="inlineStr">
        <is>
          <t>P</t>
        </is>
      </c>
      <c r="R245" s="33" t="inlineStr">
        <is>
          <t>FL_DES_AGUA_10l</t>
        </is>
      </c>
      <c r="S245" s="17" t="n"/>
    </row>
    <row r="246">
      <c r="A246" s="33" t="inlineStr">
        <is>
          <t>FL_MAT_AGUA_10l</t>
        </is>
      </c>
      <c r="B246" s="33" t="n">
        <v>2</v>
      </c>
      <c r="C246" s="33" t="inlineStr">
        <is>
          <t>AGUA10-16</t>
        </is>
      </c>
      <c r="D246" s="17" t="inlineStr">
        <is>
          <t xml:space="preserve">        Manguera</t>
        </is>
      </c>
      <c r="E246" s="33" t="n">
        <v>1</v>
      </c>
      <c r="F246" s="33" t="inlineStr">
        <is>
          <t>u</t>
        </is>
      </c>
      <c r="G246" s="34" t="n">
        <v>0.06809999999999999</v>
      </c>
      <c r="H246" s="34">
        <f>E246*G246</f>
        <v/>
      </c>
      <c r="I246" s="33" t="inlineStr">
        <is>
          <t>Caucho sintético</t>
        </is>
      </c>
      <c r="J246" s="17" t="inlineStr">
        <is>
          <t>Ø16 × 441 de largo desarrollado</t>
        </is>
      </c>
      <c r="K246" s="33" t="inlineStr">
        <is>
          <t>Compra (en el conjunto)</t>
        </is>
      </c>
      <c r="L246" s="33" t="inlineStr">
        <is>
          <t>No</t>
        </is>
      </c>
      <c r="M246" s="17" t="n"/>
      <c r="N246" s="17" t="n"/>
      <c r="O246" s="17" t="inlineStr">
        <is>
          <t>S4 - se compra terminado (tercerizado con sello IRAM)</t>
        </is>
      </c>
      <c r="P246" s="17" t="n"/>
      <c r="Q246" s="33" t="inlineStr">
        <is>
          <t>P</t>
        </is>
      </c>
      <c r="R246" s="33" t="inlineStr">
        <is>
          <t>FL_DES_AGUA_10l</t>
        </is>
      </c>
      <c r="S246" s="17" t="n"/>
    </row>
    <row r="247">
      <c r="A247" s="33" t="inlineStr">
        <is>
          <t>FL_MAT_AGUA_10l</t>
        </is>
      </c>
      <c r="B247" s="33" t="n">
        <v>2</v>
      </c>
      <c r="C247" s="33" t="inlineStr">
        <is>
          <t>AGUA10-17</t>
        </is>
      </c>
      <c r="D247" s="17" t="inlineStr">
        <is>
          <t xml:space="preserve">        Tobera de chorro pleno</t>
        </is>
      </c>
      <c r="E247" s="33" t="n">
        <v>1</v>
      </c>
      <c r="F247" s="33" t="inlineStr">
        <is>
          <t>u</t>
        </is>
      </c>
      <c r="G247" s="34" t="n">
        <v>0.0219</v>
      </c>
      <c r="H247" s="34">
        <f>E247*G247</f>
        <v/>
      </c>
      <c r="I247" s="33" t="inlineStr">
        <is>
          <t>Polipropileno</t>
        </is>
      </c>
      <c r="J247" s="17" t="inlineStr">
        <is>
          <t>85 × 22 × 22</t>
        </is>
      </c>
      <c r="K247" s="33" t="inlineStr">
        <is>
          <t>Compra (en el conjunto)</t>
        </is>
      </c>
      <c r="L247" s="33" t="inlineStr">
        <is>
          <t>No</t>
        </is>
      </c>
      <c r="M247" s="17" t="n"/>
      <c r="N247" s="17" t="n"/>
      <c r="O247" s="17" t="inlineStr">
        <is>
          <t>S4 - se compra terminado (tercerizado con sello IRAM)</t>
        </is>
      </c>
      <c r="P247" s="17" t="n"/>
      <c r="Q247" s="33" t="inlineStr">
        <is>
          <t>P</t>
        </is>
      </c>
      <c r="R247" s="33" t="inlineStr">
        <is>
          <t>FL_DES_AGUA_10l</t>
        </is>
      </c>
      <c r="S247" s="17" t="n"/>
    </row>
    <row r="248">
      <c r="A248" s="33" t="inlineStr">
        <is>
          <t>FL_MAT_AGUA_10l</t>
        </is>
      </c>
      <c r="B248" s="33" t="n">
        <v>2</v>
      </c>
      <c r="C248" s="33" t="inlineStr">
        <is>
          <t>AGUA10-18</t>
        </is>
      </c>
      <c r="D248" s="17" t="inlineStr">
        <is>
          <t xml:space="preserve">        Suncho portatobera</t>
        </is>
      </c>
      <c r="E248" s="33" t="n">
        <v>1</v>
      </c>
      <c r="F248" s="33" t="inlineStr">
        <is>
          <t>u</t>
        </is>
      </c>
      <c r="G248" s="34" t="n">
        <v>0.159</v>
      </c>
      <c r="H248" s="34">
        <f>E248*G248</f>
        <v/>
      </c>
      <c r="I248" s="33" t="inlineStr">
        <is>
          <t>Fleje acero SAE 1010 pintado</t>
        </is>
      </c>
      <c r="J248" s="17" t="inlineStr">
        <is>
          <t>197 × 193 × 18</t>
        </is>
      </c>
      <c r="K248" s="33" t="inlineStr">
        <is>
          <t>Compra (en el conjunto)</t>
        </is>
      </c>
      <c r="L248" s="33" t="inlineStr">
        <is>
          <t>No</t>
        </is>
      </c>
      <c r="M248" s="17" t="n"/>
      <c r="N248" s="17" t="n"/>
      <c r="O248" s="17" t="inlineStr">
        <is>
          <t>S4 - se compra terminado (tercerizado con sello IRAM)</t>
        </is>
      </c>
      <c r="P248" s="17" t="n"/>
      <c r="Q248" s="33" t="inlineStr">
        <is>
          <t>P</t>
        </is>
      </c>
      <c r="R248" s="33" t="inlineStr">
        <is>
          <t>FL_DES_AGUA_10l</t>
        </is>
      </c>
      <c r="S248" s="17" t="n"/>
    </row>
    <row r="249">
      <c r="A249" s="30" t="inlineStr">
        <is>
          <t>FL_MAT_AGUA_10l</t>
        </is>
      </c>
      <c r="B249" s="30" t="n">
        <v>1</v>
      </c>
      <c r="C249" s="30" t="inlineStr">
        <is>
          <t>AGUA10-S5</t>
        </is>
      </c>
      <c r="D249" s="31" t="inlineStr">
        <is>
          <t xml:space="preserve">    Carga: agente extintor y gas impulsor</t>
        </is>
      </c>
      <c r="E249" s="30" t="n">
        <v>1</v>
      </c>
      <c r="F249" s="30" t="inlineStr">
        <is>
          <t>u</t>
        </is>
      </c>
      <c r="G249" s="32" t="n"/>
      <c r="H249" s="32">
        <f>H250+H251</f>
        <v/>
      </c>
      <c r="I249" s="30" t="n"/>
      <c r="J249" s="31" t="n"/>
      <c r="K249" s="30" t="inlineStr">
        <is>
          <t>Compra</t>
        </is>
      </c>
      <c r="L249" s="30" t="n"/>
      <c r="M249" s="31" t="n"/>
      <c r="N249" s="31" t="n"/>
      <c r="O249" s="31" t="n"/>
      <c r="P249" s="31" t="n"/>
      <c r="Q249" s="30" t="n"/>
      <c r="R249" s="30" t="n"/>
      <c r="S249" s="31" t="n"/>
    </row>
    <row r="250">
      <c r="A250" s="33" t="inlineStr">
        <is>
          <t>FL_MAT_AGUA_10l</t>
        </is>
      </c>
      <c r="B250" s="33" t="n">
        <v>2</v>
      </c>
      <c r="C250" s="33" t="inlineStr">
        <is>
          <t>AGUA10-A1</t>
        </is>
      </c>
      <c r="D250" s="17" t="inlineStr">
        <is>
          <t xml:space="preserve">        Agua</t>
        </is>
      </c>
      <c r="E250" s="33" t="n">
        <v>10</v>
      </c>
      <c r="F250" s="33" t="inlineStr">
        <is>
          <t>L</t>
        </is>
      </c>
      <c r="G250" s="34" t="n">
        <v>1</v>
      </c>
      <c r="H250" s="34">
        <f>E250*G250</f>
        <v/>
      </c>
      <c r="I250" s="33" t="inlineStr">
        <is>
          <t>Agua</t>
        </is>
      </c>
      <c r="J250" s="17" t="inlineStr">
        <is>
          <t>nominal 10 L; tolerancia ± 3 % (IRAM 3517-2:2020 tabla 3)</t>
        </is>
      </c>
      <c r="K250" s="33" t="inlineStr">
        <is>
          <t>Compra</t>
        </is>
      </c>
      <c r="L250" s="33" t="inlineStr">
        <is>
          <t>No</t>
        </is>
      </c>
      <c r="M250" s="17" t="n"/>
      <c r="N250" s="17" t="n"/>
      <c r="O250" s="17" t="inlineStr">
        <is>
          <t>SP-1 almacén previo a la carga</t>
        </is>
      </c>
      <c r="P250" s="17" t="inlineStr">
        <is>
          <t>-</t>
        </is>
      </c>
      <c r="Q250" s="33" t="inlineStr">
        <is>
          <t>N</t>
        </is>
      </c>
      <c r="R250" s="33" t="n"/>
      <c r="S250" s="17" t="n"/>
    </row>
    <row r="251">
      <c r="A251" s="33" t="inlineStr">
        <is>
          <t>FL_MAT_AGUA_10l</t>
        </is>
      </c>
      <c r="B251" s="33" t="n">
        <v>2</v>
      </c>
      <c r="C251" s="33" t="inlineStr">
        <is>
          <t>AGUA10-A2</t>
        </is>
      </c>
      <c r="D251" s="17" t="inlineStr">
        <is>
          <t xml:space="preserve">        Gas impulsor: Aire comprimido</t>
        </is>
      </c>
      <c r="E251" s="33" t="n">
        <v>0.0427</v>
      </c>
      <c r="F251" s="33" t="inlineStr">
        <is>
          <t>kg</t>
        </is>
      </c>
      <c r="G251" s="34" t="n">
        <v>1</v>
      </c>
      <c r="H251" s="34">
        <f>E251*G251</f>
        <v/>
      </c>
      <c r="I251" s="33" t="inlineStr">
        <is>
          <t>Aire comprimido</t>
        </is>
      </c>
      <c r="J251" s="17" t="inlineStr">
        <is>
          <t>33 L normales para 0,8 MPa a 20 °C en 3,98 dm³ libres</t>
        </is>
      </c>
      <c r="K251" s="33" t="inlineStr">
        <is>
          <t>Compra</t>
        </is>
      </c>
      <c r="L251" s="33" t="inlineStr">
        <is>
          <t>No</t>
        </is>
      </c>
      <c r="M251" s="17" t="n"/>
      <c r="N251" s="17" t="n"/>
      <c r="O251" s="17" t="inlineStr">
        <is>
          <t>20 Presurización (T05) / C10</t>
        </is>
      </c>
      <c r="P251" s="17" t="inlineStr">
        <is>
          <t>IRAM 3517-2 9.4.9 (tabla 2) · IRAM 3523 2.3 y 3.10</t>
        </is>
      </c>
      <c r="Q251" s="33" t="inlineStr">
        <is>
          <t>C</t>
        </is>
      </c>
      <c r="R251" s="33" t="n"/>
      <c r="S251" s="17" t="inlineStr">
        <is>
          <t>Batería en SP-1; punto de rocío ≤ -56,7 °C para gases limpios</t>
        </is>
      </c>
    </row>
    <row r="252">
      <c r="A252" s="30" t="inlineStr">
        <is>
          <t>FL_MAT_AGUA_10l</t>
        </is>
      </c>
      <c r="B252" s="30" t="n">
        <v>1</v>
      </c>
      <c r="C252" s="30" t="inlineStr">
        <is>
          <t>AGUA10-S6</t>
        </is>
      </c>
      <c r="D252" s="31" t="inlineStr">
        <is>
          <t xml:space="preserve">    Identificación y precinto</t>
        </is>
      </c>
      <c r="E252" s="30" t="n">
        <v>1</v>
      </c>
      <c r="F252" s="30" t="inlineStr">
        <is>
          <t>u</t>
        </is>
      </c>
      <c r="G252" s="32" t="n"/>
      <c r="H252" s="32">
        <f>H253+H254+H255+H256+H257+H258+H259</f>
        <v/>
      </c>
      <c r="I252" s="30" t="n"/>
      <c r="J252" s="31" t="n"/>
      <c r="K252" s="30" t="inlineStr">
        <is>
          <t>Compra</t>
        </is>
      </c>
      <c r="L252" s="30" t="n"/>
      <c r="M252" s="31" t="n"/>
      <c r="N252" s="31" t="n"/>
      <c r="O252" s="31" t="inlineStr">
        <is>
          <t>22 Etiquetado (T07)</t>
        </is>
      </c>
      <c r="P252" s="31" t="n"/>
      <c r="Q252" s="30" t="n"/>
      <c r="R252" s="30" t="n"/>
      <c r="S252" s="31" t="n"/>
    </row>
    <row r="253">
      <c r="A253" s="33" t="inlineStr">
        <is>
          <t>FL_MAT_AGUA_10l</t>
        </is>
      </c>
      <c r="B253" s="33" t="n">
        <v>2</v>
      </c>
      <c r="C253" s="33" t="inlineStr">
        <is>
          <t>AGUA10-19</t>
        </is>
      </c>
      <c r="D253" s="17" t="inlineStr">
        <is>
          <t xml:space="preserve">        Etiqueta / placa de características</t>
        </is>
      </c>
      <c r="E253" s="33" t="n">
        <v>1</v>
      </c>
      <c r="F253" s="33" t="inlineStr">
        <is>
          <t>u</t>
        </is>
      </c>
      <c r="G253" s="34" t="n">
        <v>0.0285</v>
      </c>
      <c r="H253" s="34">
        <f>E253*G253</f>
        <v/>
      </c>
      <c r="I253" s="33" t="inlineStr">
        <is>
          <t>Vinilo autoadhesivo laminado</t>
        </is>
      </c>
      <c r="J253" s="17" t="inlineStr">
        <is>
          <t>359 × 189 (desarrollo × alto: panel central 108° + 2 alas laterales), e ≈ 0,3, laminado UV</t>
        </is>
      </c>
      <c r="K253" s="33" t="inlineStr">
        <is>
          <t>Compra</t>
        </is>
      </c>
      <c r="L253" s="33" t="inlineStr">
        <is>
          <t>No</t>
        </is>
      </c>
      <c r="M253" s="17" t="n"/>
      <c r="N253" s="17" t="n"/>
      <c r="O253" s="17" t="inlineStr">
        <is>
          <t>22 Etiquetado (T07)</t>
        </is>
      </c>
      <c r="P253" s="17" t="inlineStr">
        <is>
          <t>IRAM 3534 · IRAM 3525 cap. 5 · relevamiento de mercado</t>
        </is>
      </c>
      <c r="Q253" s="33" t="inlineStr">
        <is>
          <t>P</t>
        </is>
      </c>
      <c r="R253" s="33" t="inlineStr">
        <is>
          <t>FL_DES_AGUA_10l</t>
        </is>
      </c>
      <c r="S253" s="17" t="inlineStr">
        <is>
          <t>IRAM 3534</t>
        </is>
      </c>
    </row>
    <row r="254">
      <c r="A254" s="33" t="inlineStr">
        <is>
          <t>FL_MAT_AGUA_10l</t>
        </is>
      </c>
      <c r="B254" s="33" t="n">
        <v>2</v>
      </c>
      <c r="C254" s="33" t="inlineStr">
        <is>
          <t>AGUA10-20</t>
        </is>
      </c>
      <c r="D254" s="17" t="inlineStr">
        <is>
          <t xml:space="preserve">        Oblea de fabricación (PBA)</t>
        </is>
      </c>
      <c r="E254" s="33" t="n">
        <v>1</v>
      </c>
      <c r="F254" s="33" t="inlineStr">
        <is>
          <t>u</t>
        </is>
      </c>
      <c r="G254" s="34" t="n">
        <v>0.0009</v>
      </c>
      <c r="H254" s="34">
        <f>E254*G254</f>
        <v/>
      </c>
      <c r="I254" s="33" t="inlineStr">
        <is>
          <t>Papel de seguridad autodestructible</t>
        </is>
      </c>
      <c r="J254" s="17" t="inlineStr">
        <is>
          <t>Ø46 (Res. OPDS 522/07), numerada, autodestructible</t>
        </is>
      </c>
      <c r="K254" s="33" t="inlineStr">
        <is>
          <t>Compra</t>
        </is>
      </c>
      <c r="L254" s="33" t="inlineStr">
        <is>
          <t>No</t>
        </is>
      </c>
      <c r="M254" s="17" t="n"/>
      <c r="N254" s="17" t="n"/>
      <c r="O254" s="17" t="inlineStr">
        <is>
          <t>22 Etiquetado (T07)</t>
        </is>
      </c>
      <c r="P254" s="17" t="inlineStr">
        <is>
          <t>Res. OPDS 522/07 anexos 1, 2 y 6</t>
        </is>
      </c>
      <c r="Q254" s="33" t="inlineStr">
        <is>
          <t>P</t>
        </is>
      </c>
      <c r="R254" s="33" t="inlineStr">
        <is>
          <t>FL_DES_AGUA_10l</t>
        </is>
      </c>
      <c r="S254" s="17" t="inlineStr">
        <is>
          <t>Res. 522/07</t>
        </is>
      </c>
    </row>
    <row r="255">
      <c r="A255" s="33" t="inlineStr">
        <is>
          <t>FL_MAT_AGUA_10l</t>
        </is>
      </c>
      <c r="B255" s="33" t="n">
        <v>2</v>
      </c>
      <c r="C255" s="33" t="inlineStr">
        <is>
          <t>AGUA10-21</t>
        </is>
      </c>
      <c r="D255" s="17" t="inlineStr">
        <is>
          <t xml:space="preserve">        Estampilla IRAM de conformidad</t>
        </is>
      </c>
      <c r="E255" s="33" t="n">
        <v>1</v>
      </c>
      <c r="F255" s="33" t="inlineStr">
        <is>
          <t>u</t>
        </is>
      </c>
      <c r="G255" s="34" t="n">
        <v>0.001</v>
      </c>
      <c r="H255" s="34">
        <f>E255*G255</f>
        <v/>
      </c>
      <c r="I255" s="33" t="inlineStr">
        <is>
          <t>Provista por IRAM (Anexo R)</t>
        </is>
      </c>
      <c r="J255" s="17" t="inlineStr">
        <is>
          <t>60 × 40</t>
        </is>
      </c>
      <c r="K255" s="33" t="inlineStr">
        <is>
          <t>Compra</t>
        </is>
      </c>
      <c r="L255" s="33" t="inlineStr">
        <is>
          <t>No</t>
        </is>
      </c>
      <c r="M255" s="17" t="n"/>
      <c r="N255" s="17" t="n"/>
      <c r="O255" s="17" t="inlineStr">
        <is>
          <t>22 Etiquetado (T07)</t>
        </is>
      </c>
      <c r="P255" s="17" t="inlineStr">
        <is>
          <t>IRAM Anexo R (DC-PG-129)</t>
        </is>
      </c>
      <c r="Q255" s="33" t="inlineStr">
        <is>
          <t>P</t>
        </is>
      </c>
      <c r="R255" s="33" t="inlineStr">
        <is>
          <t>FL_DES_AGUA_10l</t>
        </is>
      </c>
      <c r="S255" s="17" t="inlineStr">
        <is>
          <t>numerada</t>
        </is>
      </c>
    </row>
    <row r="256">
      <c r="A256" s="33" t="inlineStr">
        <is>
          <t>FL_MAT_AGUA_10l</t>
        </is>
      </c>
      <c r="B256" s="33" t="n">
        <v>2</v>
      </c>
      <c r="C256" s="33" t="inlineStr">
        <is>
          <t>AGUA10-22</t>
        </is>
      </c>
      <c r="D256" s="17" t="inlineStr">
        <is>
          <t xml:space="preserve">        Tarjeta de identificación AGC (CABA)</t>
        </is>
      </c>
      <c r="E256" s="33" t="n">
        <v>1</v>
      </c>
      <c r="F256" s="33" t="inlineStr">
        <is>
          <t>u</t>
        </is>
      </c>
      <c r="G256" s="34" t="n">
        <v>0.0032</v>
      </c>
      <c r="H256" s="34">
        <f>E256*G256</f>
        <v/>
      </c>
      <c r="I256" s="33" t="inlineStr">
        <is>
          <t>Etiqueta autoadhesiva emitida por la AGC</t>
        </is>
      </c>
      <c r="J256" s="17" t="inlineStr">
        <is>
          <t>140 × 55</t>
        </is>
      </c>
      <c r="K256" s="33" t="inlineStr">
        <is>
          <t>Compra</t>
        </is>
      </c>
      <c r="L256" s="33" t="inlineStr">
        <is>
          <t>Sí</t>
        </is>
      </c>
      <c r="M256" s="17" t="inlineStr">
        <is>
          <t>Agencia Gubernamental de Control (CABA)</t>
        </is>
      </c>
      <c r="N256" s="17" t="inlineStr">
        <is>
          <t>-</t>
        </is>
      </c>
      <c r="O256" s="17" t="inlineStr">
        <is>
          <t>22 Etiquetado (T07)</t>
        </is>
      </c>
      <c r="P256" s="17" t="inlineStr">
        <is>
          <t>Ordenanza 40.473 art. 6 · Res. AGC 32/15</t>
        </is>
      </c>
      <c r="Q256" s="33" t="inlineStr">
        <is>
          <t>P</t>
        </is>
      </c>
      <c r="R256" s="33" t="inlineStr">
        <is>
          <t>FL_DES_AGUA_10l</t>
        </is>
      </c>
      <c r="S256" s="17" t="inlineStr">
        <is>
          <t>sólo destino CABA; sólo destino CABA</t>
        </is>
      </c>
    </row>
    <row r="257">
      <c r="A257" s="33" t="inlineStr">
        <is>
          <t>FL_MAT_AGUA_10l</t>
        </is>
      </c>
      <c r="B257" s="33" t="n">
        <v>2</v>
      </c>
      <c r="C257" s="33" t="inlineStr">
        <is>
          <t>AGUA10-23</t>
        </is>
      </c>
      <c r="D257" s="17" t="inlineStr">
        <is>
          <t xml:space="preserve">        Etiqueta de n° de serie GS1</t>
        </is>
      </c>
      <c r="E257" s="33" t="n">
        <v>1</v>
      </c>
      <c r="F257" s="33" t="inlineStr">
        <is>
          <t>u</t>
        </is>
      </c>
      <c r="G257" s="34" t="n">
        <v>0.0005</v>
      </c>
      <c r="H257" s="34">
        <f>E257*G257</f>
        <v/>
      </c>
      <c r="I257" s="33" t="inlineStr">
        <is>
          <t>Poliéster autoadhesivo impreso térmico</t>
        </is>
      </c>
      <c r="J257" s="17" t="inlineStr">
        <is>
          <t>45 × 25</t>
        </is>
      </c>
      <c r="K257" s="33" t="inlineStr">
        <is>
          <t>Compra</t>
        </is>
      </c>
      <c r="L257" s="33" t="inlineStr">
        <is>
          <t>No</t>
        </is>
      </c>
      <c r="M257" s="17" t="n"/>
      <c r="N257" s="17" t="n"/>
      <c r="O257" s="17" t="inlineStr">
        <is>
          <t>22 Etiquetado (T07)</t>
        </is>
      </c>
      <c r="P257" s="17" t="inlineStr">
        <is>
          <t>GS1 Argentina (GTIN 779) · trazabilidad IRAM 3523 5.1</t>
        </is>
      </c>
      <c r="Q257" s="33" t="inlineStr">
        <is>
          <t>P</t>
        </is>
      </c>
      <c r="R257" s="33" t="inlineStr">
        <is>
          <t>FL_DES_AGUA_10l</t>
        </is>
      </c>
      <c r="S257" s="17" t="inlineStr">
        <is>
          <t>QR GTIN + serie</t>
        </is>
      </c>
    </row>
    <row r="258">
      <c r="A258" s="33" t="inlineStr">
        <is>
          <t>FL_MAT_AGUA_10l</t>
        </is>
      </c>
      <c r="B258" s="33" t="n">
        <v>2</v>
      </c>
      <c r="C258" s="33" t="inlineStr">
        <is>
          <t>AGUA10-25</t>
        </is>
      </c>
      <c r="D258" s="17" t="inlineStr">
        <is>
          <t xml:space="preserve">        Faja de garantía válvula-cuello</t>
        </is>
      </c>
      <c r="E258" s="33" t="n">
        <v>1</v>
      </c>
      <c r="F258" s="33" t="inlineStr">
        <is>
          <t>u</t>
        </is>
      </c>
      <c r="G258" s="34" t="n">
        <v>0.0003</v>
      </c>
      <c r="H258" s="34">
        <f>E258*G258</f>
        <v/>
      </c>
      <c r="I258" s="33" t="inlineStr">
        <is>
          <t>Vinilo destructible rayado rojo/blanco</t>
        </is>
      </c>
      <c r="J258" s="17" t="inlineStr">
        <is>
          <t>30 × 40</t>
        </is>
      </c>
      <c r="K258" s="33" t="inlineStr">
        <is>
          <t>Compra</t>
        </is>
      </c>
      <c r="L258" s="33" t="inlineStr">
        <is>
          <t>No</t>
        </is>
      </c>
      <c r="M258" s="17" t="n"/>
      <c r="N258" s="17" t="n"/>
      <c r="O258" s="17" t="inlineStr">
        <is>
          <t>22 Etiquetado (T07)</t>
        </is>
      </c>
      <c r="P258" s="17" t="inlineStr">
        <is>
          <t>Sin norma: práctica de mercado (garantía de fábrica)</t>
        </is>
      </c>
      <c r="Q258" s="33" t="inlineStr">
        <is>
          <t>P</t>
        </is>
      </c>
      <c r="R258" s="33" t="inlineStr">
        <is>
          <t>FL_DES_AGUA_10l</t>
        </is>
      </c>
      <c r="S258" s="17" t="inlineStr">
        <is>
          <t>nuevo sin abrir</t>
        </is>
      </c>
    </row>
    <row r="259">
      <c r="A259" s="33" t="inlineStr">
        <is>
          <t>FL_MAT_AGUA_10l</t>
        </is>
      </c>
      <c r="B259" s="33" t="n">
        <v>2</v>
      </c>
      <c r="C259" s="33" t="inlineStr">
        <is>
          <t>AGUA10-26</t>
        </is>
      </c>
      <c r="D259" s="17" t="inlineStr">
        <is>
          <t xml:space="preserve">        Precinto de fábrica</t>
        </is>
      </c>
      <c r="E259" s="33" t="n">
        <v>1</v>
      </c>
      <c r="F259" s="33" t="inlineStr">
        <is>
          <t>u</t>
        </is>
      </c>
      <c r="G259" s="34" t="n">
        <v>0.0002</v>
      </c>
      <c r="H259" s="34">
        <f>E259*G259</f>
        <v/>
      </c>
      <c r="I259" s="33" t="inlineStr">
        <is>
          <t>Polipropileno color</t>
        </is>
      </c>
      <c r="J259" s="17" t="inlineStr">
        <is>
          <t>Ø5 × 10, numerado, rotura 30-50 N</t>
        </is>
      </c>
      <c r="K259" s="33" t="inlineStr">
        <is>
          <t>Compra</t>
        </is>
      </c>
      <c r="L259" s="33" t="inlineStr">
        <is>
          <t>No</t>
        </is>
      </c>
      <c r="M259" s="17" t="n"/>
      <c r="N259" s="17" t="n"/>
      <c r="O259" s="17" t="inlineStr">
        <is>
          <t>20 Presurización (T05)</t>
        </is>
      </c>
      <c r="P259" s="17" t="inlineStr">
        <is>
          <t>IRAM 3523 3.3.2 · IRAM 3517-2:2020 9.4.13</t>
        </is>
      </c>
      <c r="Q259" s="33" t="inlineStr">
        <is>
          <t>P</t>
        </is>
      </c>
      <c r="R259" s="33" t="inlineStr">
        <is>
          <t>FL_DES_AGUA_10l</t>
        </is>
      </c>
      <c r="S259" s="17" t="inlineStr">
        <is>
          <t>id. FLAMA y lote</t>
        </is>
      </c>
    </row>
    <row r="260">
      <c r="A260" s="30" t="inlineStr">
        <is>
          <t>FL_MAT_AGUA_10l</t>
        </is>
      </c>
      <c r="B260" s="30" t="n">
        <v>1</v>
      </c>
      <c r="C260" s="30" t="inlineStr">
        <is>
          <t>AGUA10-S8</t>
        </is>
      </c>
      <c r="D260" s="31" t="inlineStr">
        <is>
          <t xml:space="preserve">    Soporte (accesorio de montaje)</t>
        </is>
      </c>
      <c r="E260" s="30" t="n">
        <v>1</v>
      </c>
      <c r="F260" s="30" t="inlineStr">
        <is>
          <t>u</t>
        </is>
      </c>
      <c r="G260" s="32" t="n"/>
      <c r="H260" s="32">
        <f>H261</f>
        <v/>
      </c>
      <c r="I260" s="30" t="n"/>
      <c r="J260" s="31" t="n"/>
      <c r="K260" s="30" t="inlineStr">
        <is>
          <t>Compra</t>
        </is>
      </c>
      <c r="L260" s="30" t="n"/>
      <c r="M260" s="31" t="n"/>
      <c r="N260" s="31" t="n"/>
      <c r="O260" s="31" t="inlineStr">
        <is>
          <t>23 Embalaje (va dentro de la caja)</t>
        </is>
      </c>
      <c r="P260" s="31" t="inlineStr">
        <is>
          <t>IRAM 3517-2 7.4</t>
        </is>
      </c>
      <c r="Q260" s="30" t="n"/>
      <c r="R260" s="30" t="n"/>
      <c r="S260" s="31" t="n"/>
    </row>
    <row r="261">
      <c r="A261" s="33" t="inlineStr">
        <is>
          <t>FL_MAT_AGUA_10l</t>
        </is>
      </c>
      <c r="B261" s="33" t="n">
        <v>2</v>
      </c>
      <c r="C261" s="33" t="inlineStr">
        <is>
          <t>AGUA10-I5</t>
        </is>
      </c>
      <c r="D261" s="17" t="inlineStr">
        <is>
          <t xml:space="preserve">        Soporte de pared (FL_ACC_01)</t>
        </is>
      </c>
      <c r="E261" s="33" t="n">
        <v>1</v>
      </c>
      <c r="F261" s="33" t="inlineStr">
        <is>
          <t>u</t>
        </is>
      </c>
      <c r="G261" s="34" t="n">
        <v>0.327</v>
      </c>
      <c r="H261" s="34">
        <f>E261*G261</f>
        <v/>
      </c>
      <c r="I261" s="33" t="inlineStr">
        <is>
          <t>Chapa acero SAE 1010 e=2 pintada</t>
        </is>
      </c>
      <c r="J261" s="17" t="inlineStr">
        <is>
          <t>placa 60 × 180, ala con ranura Ø cuello + 3</t>
        </is>
      </c>
      <c r="K261" s="33" t="inlineStr">
        <is>
          <t>Compra</t>
        </is>
      </c>
      <c r="L261" s="33" t="inlineStr">
        <is>
          <t>No</t>
        </is>
      </c>
      <c r="M261" s="17" t="n"/>
      <c r="N261" s="17" t="n"/>
      <c r="O261" s="17" t="inlineStr">
        <is>
          <t>23 Embalaje</t>
        </is>
      </c>
      <c r="P261" s="17" t="inlineStr">
        <is>
          <t>IRAM 3517-2 7.4</t>
        </is>
      </c>
      <c r="Q261" s="33" t="inlineStr">
        <is>
          <t>P</t>
        </is>
      </c>
      <c r="R261" s="33" t="inlineStr">
        <is>
          <t>FL_ACC_01</t>
        </is>
      </c>
      <c r="S261" s="17" t="n"/>
    </row>
    <row r="262">
      <c r="A262" s="33" t="inlineStr">
        <is>
          <t>FL_MAT_AGUA_10l</t>
        </is>
      </c>
      <c r="B262" s="33" t="n">
        <v>2</v>
      </c>
      <c r="C262" s="33" t="inlineStr">
        <is>
          <t>AGUA10-I6</t>
        </is>
      </c>
      <c r="D262" s="17" t="inlineStr">
        <is>
          <t xml:space="preserve">        Tornillo y tarugo de fijación</t>
        </is>
      </c>
      <c r="E262" s="33" t="n">
        <v>2</v>
      </c>
      <c r="F262" s="33" t="inlineStr">
        <is>
          <t>u</t>
        </is>
      </c>
      <c r="G262" s="34" t="n"/>
      <c r="H262" s="34" t="n"/>
      <c r="I262" s="33" t="inlineStr">
        <is>
          <t>Acero cincado / nylon</t>
        </is>
      </c>
      <c r="J262" s="17" t="inlineStr">
        <is>
          <t>2 agujeros Ø8,5 del plano FL_ACC_01 → tornillo M8 + tarugo</t>
        </is>
      </c>
      <c r="K262" s="33" t="inlineStr">
        <is>
          <t>Compra</t>
        </is>
      </c>
      <c r="L262" s="33" t="inlineStr">
        <is>
          <t>No</t>
        </is>
      </c>
      <c r="M262" s="17" t="n"/>
      <c r="N262" s="17" t="n"/>
      <c r="O262" s="17" t="inlineStr">
        <is>
          <t>23 Embalaje</t>
        </is>
      </c>
      <c r="P262" s="17" t="n"/>
      <c r="Q262" s="33" t="inlineStr">
        <is>
          <t>P</t>
        </is>
      </c>
      <c r="R262" s="33" t="inlineStr">
        <is>
          <t>FL_ACC_01</t>
        </is>
      </c>
      <c r="S262" s="17" t="n"/>
    </row>
    <row r="263">
      <c r="A263" s="30" t="inlineStr">
        <is>
          <t>FL_MAT_AGUA_10l</t>
        </is>
      </c>
      <c r="B263" s="30" t="n">
        <v>1</v>
      </c>
      <c r="C263" s="30" t="inlineStr">
        <is>
          <t>AGUA10-S7</t>
        </is>
      </c>
      <c r="D263" s="31" t="inlineStr">
        <is>
          <t xml:space="preserve">    Embalaje</t>
        </is>
      </c>
      <c r="E263" s="30" t="n">
        <v>1</v>
      </c>
      <c r="F263" s="30" t="inlineStr">
        <is>
          <t>u</t>
        </is>
      </c>
      <c r="G263" s="32" t="n"/>
      <c r="H263" s="32">
        <f>H267</f>
        <v/>
      </c>
      <c r="I263" s="30" t="n"/>
      <c r="J263" s="31" t="n"/>
      <c r="K263" s="30" t="inlineStr">
        <is>
          <t>Compra</t>
        </is>
      </c>
      <c r="L263" s="30" t="n"/>
      <c r="M263" s="31" t="n"/>
      <c r="N263" s="31" t="n"/>
      <c r="O263" s="31" t="inlineStr">
        <is>
          <t>23 Embalaje -&gt; 24 envolvedora (T11)</t>
        </is>
      </c>
      <c r="P263" s="31" t="n"/>
      <c r="Q263" s="30" t="n"/>
      <c r="R263" s="30" t="n"/>
      <c r="S263" s="31" t="n"/>
    </row>
    <row r="264">
      <c r="A264" s="33" t="inlineStr">
        <is>
          <t>FL_MAT_AGUA_10l</t>
        </is>
      </c>
      <c r="B264" s="33" t="n">
        <v>2</v>
      </c>
      <c r="C264" s="33" t="inlineStr">
        <is>
          <t>AGUA10-E1</t>
        </is>
      </c>
      <c r="D264" s="17" t="inlineStr">
        <is>
          <t xml:space="preserve">        Caja de cartón corrugado doble</t>
        </is>
      </c>
      <c r="E264" s="33" t="n">
        <v>1</v>
      </c>
      <c r="F264" s="33" t="inlineStr">
        <is>
          <t>u</t>
        </is>
      </c>
      <c r="G264" s="34" t="n"/>
      <c r="H264" s="34" t="n"/>
      <c r="I264" s="33" t="inlineStr">
        <is>
          <t>Cartón corrugado</t>
        </is>
      </c>
      <c r="J264" s="17" t="inlineStr">
        <is>
          <t>270 × 223 × 670 interior (envolvente del plano + 15 por lado)</t>
        </is>
      </c>
      <c r="K264" s="33" t="inlineStr">
        <is>
          <t>Compra</t>
        </is>
      </c>
      <c r="L264" s="33" t="inlineStr">
        <is>
          <t>No</t>
        </is>
      </c>
      <c r="M264" s="17" t="n"/>
      <c r="N264" s="17" t="n"/>
      <c r="O264" s="17" t="inlineStr">
        <is>
          <t>23 Embalaje</t>
        </is>
      </c>
      <c r="P264" s="17" t="n"/>
      <c r="Q264" s="33" t="inlineStr">
        <is>
          <t>P</t>
        </is>
      </c>
      <c r="R264" s="33" t="n"/>
      <c r="S264" s="17" t="inlineStr">
        <is>
          <t>Medida del plano</t>
        </is>
      </c>
    </row>
    <row r="265">
      <c r="A265" s="33" t="inlineStr">
        <is>
          <t>FL_MAT_AGUA_10l</t>
        </is>
      </c>
      <c r="B265" s="33" t="n">
        <v>2</v>
      </c>
      <c r="C265" s="33" t="inlineStr">
        <is>
          <t>AGUA10-E2</t>
        </is>
      </c>
      <c r="D265" s="17" t="inlineStr">
        <is>
          <t xml:space="preserve">        Instructivo de uso y mantenimiento</t>
        </is>
      </c>
      <c r="E265" s="33" t="n">
        <v>1</v>
      </c>
      <c r="F265" s="33" t="inlineStr">
        <is>
          <t>u</t>
        </is>
      </c>
      <c r="G265" s="34" t="n"/>
      <c r="H265" s="34" t="n"/>
      <c r="I265" s="33" t="inlineStr">
        <is>
          <t>Papel</t>
        </is>
      </c>
      <c r="J265" s="17" t="inlineStr">
        <is>
          <t>A5</t>
        </is>
      </c>
      <c r="K265" s="33" t="inlineStr">
        <is>
          <t>Compra</t>
        </is>
      </c>
      <c r="L265" s="33" t="inlineStr">
        <is>
          <t>No</t>
        </is>
      </c>
      <c r="M265" s="17" t="n"/>
      <c r="N265" s="17" t="n"/>
      <c r="O265" s="17" t="inlineStr">
        <is>
          <t>23 Embalaje</t>
        </is>
      </c>
      <c r="P265" s="17" t="n"/>
      <c r="Q265" s="33" t="inlineStr">
        <is>
          <t>I</t>
        </is>
      </c>
      <c r="R265" s="33" t="n"/>
      <c r="S265" s="17" t="inlineStr">
        <is>
          <t>Decisión comercial de FLAMA (las instrucciones de uso obligatorias van en la etiqueta, IRAM 3534)</t>
        </is>
      </c>
    </row>
    <row r="266">
      <c r="A266" s="33" t="inlineStr">
        <is>
          <t>FL_MAT_AGUA_10l</t>
        </is>
      </c>
      <c r="B266" s="33" t="n">
        <v>2</v>
      </c>
      <c r="C266" s="33" t="inlineStr">
        <is>
          <t>AGUA10-E3</t>
        </is>
      </c>
      <c r="D266" s="17" t="inlineStr">
        <is>
          <t xml:space="preserve">        Pallet 1200 × 1000 (fracción)</t>
        </is>
      </c>
      <c r="E266" s="33" t="n">
        <v>0.0312</v>
      </c>
      <c r="F266" s="33" t="inlineStr">
        <is>
          <t>u</t>
        </is>
      </c>
      <c r="G266" s="34" t="n"/>
      <c r="H266" s="34" t="n"/>
      <c r="I266" s="33" t="inlineStr">
        <is>
          <t>Madera</t>
        </is>
      </c>
      <c r="J266" s="17" t="inlineStr">
        <is>
          <t>32 u por pallet</t>
        </is>
      </c>
      <c r="K266" s="33" t="inlineStr">
        <is>
          <t>Compra</t>
        </is>
      </c>
      <c r="L266" s="33" t="inlineStr">
        <is>
          <t>No</t>
        </is>
      </c>
      <c r="M266" s="17" t="n"/>
      <c r="N266" s="17" t="n"/>
      <c r="O266" s="17" t="inlineStr">
        <is>
          <t>23 Embalaje</t>
        </is>
      </c>
      <c r="P266" s="17" t="n"/>
      <c r="Q266" s="33" t="inlineStr">
        <is>
          <t>C</t>
        </is>
      </c>
      <c r="R266" s="33" t="n"/>
      <c r="S266" s="17" t="inlineStr">
        <is>
          <t>u por pallet = acomodo de la caja (plano) en 1200 × 1000 × 1450 de alto</t>
        </is>
      </c>
    </row>
    <row r="267">
      <c r="A267" s="33" t="inlineStr">
        <is>
          <t>FL_MAT_AGUA_10l</t>
        </is>
      </c>
      <c r="B267" s="33" t="n">
        <v>2</v>
      </c>
      <c r="C267" s="33" t="inlineStr">
        <is>
          <t>AGUA10-E4</t>
        </is>
      </c>
      <c r="D267" s="17" t="inlineStr">
        <is>
          <t xml:space="preserve">        Film stretch (fracción del pallet)</t>
        </is>
      </c>
      <c r="E267" s="33" t="n">
        <v>0.0037</v>
      </c>
      <c r="F267" s="33" t="inlineStr">
        <is>
          <t>kg</t>
        </is>
      </c>
      <c r="G267" s="34" t="n">
        <v>1</v>
      </c>
      <c r="H267" s="34">
        <f>E267*G267</f>
        <v/>
      </c>
      <c r="I267" s="33" t="inlineStr">
        <is>
          <t>PE lineal 23 µm</t>
        </is>
      </c>
      <c r="J267" s="17" t="inlineStr">
        <is>
          <t>0,12 kg por pallet / 32 u</t>
        </is>
      </c>
      <c r="K267" s="33" t="inlineStr">
        <is>
          <t>Compra</t>
        </is>
      </c>
      <c r="L267" s="33" t="inlineStr">
        <is>
          <t>No</t>
        </is>
      </c>
      <c r="M267" s="17" t="n"/>
      <c r="N267" s="17" t="n"/>
      <c r="O267" s="17" t="inlineStr">
        <is>
          <t>24 Envolvedora (T11)</t>
        </is>
      </c>
      <c r="P267" s="17" t="n"/>
      <c r="Q267" s="33" t="inlineStr">
        <is>
          <t>C</t>
        </is>
      </c>
      <c r="R267" s="33" t="n"/>
      <c r="S2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8">
      <c r="A268" s="33" t="inlineStr">
        <is>
          <t>FL_MAT_AGUA_10l</t>
        </is>
      </c>
      <c r="B268" s="33" t="n">
        <v>2</v>
      </c>
      <c r="C268" s="33" t="inlineStr">
        <is>
          <t>AGUA10-E5</t>
        </is>
      </c>
      <c r="D268" s="17" t="inlineStr">
        <is>
          <t xml:space="preserve">        Etiqueta de pallet (lote y destino, fracción)</t>
        </is>
      </c>
      <c r="E268" s="33" t="n">
        <v>0.0312</v>
      </c>
      <c r="F268" s="33" t="inlineStr">
        <is>
          <t>u</t>
        </is>
      </c>
      <c r="G268" s="34" t="n"/>
      <c r="H268" s="34" t="n"/>
      <c r="I268" s="33" t="inlineStr">
        <is>
          <t>Papel térmico</t>
        </is>
      </c>
      <c r="J268" s="17" t="inlineStr">
        <is>
          <t>100 × 150</t>
        </is>
      </c>
      <c r="K268" s="33" t="inlineStr">
        <is>
          <t>Compra</t>
        </is>
      </c>
      <c r="L268" s="33" t="inlineStr">
        <is>
          <t>No</t>
        </is>
      </c>
      <c r="M268" s="17" t="n"/>
      <c r="N268" s="17" t="n"/>
      <c r="O268" s="17" t="inlineStr">
        <is>
          <t>24 Envolvedora</t>
        </is>
      </c>
      <c r="P268" s="17" t="n"/>
      <c r="Q268" s="33" t="inlineStr">
        <is>
          <t>C</t>
        </is>
      </c>
      <c r="R268" s="33" t="n"/>
      <c r="S268" s="17" t="n"/>
    </row>
    <row r="269">
      <c r="A269" s="33" t="inlineStr">
        <is>
          <t>FL_MAT_AGUA_10l</t>
        </is>
      </c>
      <c r="B269" s="33" t="n">
        <v>2</v>
      </c>
      <c r="C269" s="33" t="inlineStr">
        <is>
          <t>AGUA10-E6</t>
        </is>
      </c>
      <c r="D269" s="17" t="inlineStr">
        <is>
          <t xml:space="preserve">        Cinta de embalaje PP 48 mm (cierre de la caja)</t>
        </is>
      </c>
      <c r="E269" s="33" t="n">
        <v>0.82</v>
      </c>
      <c r="F269" s="33" t="inlineStr">
        <is>
          <t>m</t>
        </is>
      </c>
      <c r="G269" s="34" t="n"/>
      <c r="H269" s="34" t="n"/>
      <c r="I269" s="33" t="inlineStr">
        <is>
          <t>Polipropileno con adhesivo acrílico</t>
        </is>
      </c>
      <c r="J269" s="17" t="inlineStr">
        <is>
          <t>cierre en I arriba y abajo: 2 × (270 + 2 × 70 de solapa)</t>
        </is>
      </c>
      <c r="K269" s="33" t="inlineStr">
        <is>
          <t>Compra</t>
        </is>
      </c>
      <c r="L269" s="33" t="inlineStr">
        <is>
          <t>No</t>
        </is>
      </c>
      <c r="M269" s="17" t="n"/>
      <c r="N269" s="17" t="n"/>
      <c r="O269" s="17" t="inlineStr">
        <is>
          <t>23 Embalaje</t>
        </is>
      </c>
      <c r="P269" s="17" t="n"/>
      <c r="Q269" s="33" t="inlineStr">
        <is>
          <t>C</t>
        </is>
      </c>
      <c r="R269" s="33" t="n"/>
      <c r="S269" s="17" t="inlineStr">
        <is>
          <t>Solapa de 70 mm por lado: práctica de cierre de cajas (medir en la línea)</t>
        </is>
      </c>
    </row>
    <row r="270">
      <c r="A270" s="33" t="inlineStr">
        <is>
          <t>FL_MAT_AGUA_10l</t>
        </is>
      </c>
      <c r="B270" s="33" t="n">
        <v>2</v>
      </c>
      <c r="C270" s="33" t="inlineStr">
        <is>
          <t>AGUA10-E7</t>
        </is>
      </c>
      <c r="D270" s="17" t="inlineStr">
        <is>
          <t xml:space="preserve">        Esquineros de cartón 50 × 50 × 1200 (fracción del pallet)</t>
        </is>
      </c>
      <c r="E270" s="33" t="n">
        <v>0.125</v>
      </c>
      <c r="F270" s="33" t="inlineStr">
        <is>
          <t>u</t>
        </is>
      </c>
      <c r="G270" s="34" t="n"/>
      <c r="H270" s="34" t="n"/>
      <c r="I270" s="33" t="inlineStr">
        <is>
          <t>Cartón</t>
        </is>
      </c>
      <c r="J270" s="17" t="inlineStr">
        <is>
          <t>4 por pallet / 32 u</t>
        </is>
      </c>
      <c r="K270" s="33" t="inlineStr">
        <is>
          <t>Compra</t>
        </is>
      </c>
      <c r="L270" s="33" t="inlineStr">
        <is>
          <t>No</t>
        </is>
      </c>
      <c r="M270" s="17" t="n"/>
      <c r="N270" s="17" t="n"/>
      <c r="O270" s="17" t="inlineStr">
        <is>
          <t>24 Envolvedora (T11)</t>
        </is>
      </c>
      <c r="P270" s="17" t="n"/>
      <c r="Q270" s="33" t="inlineStr">
        <is>
          <t>C</t>
        </is>
      </c>
      <c r="R270" s="33" t="n"/>
      <c r="S270" s="17" t="inlineStr">
        <is>
          <t>Planilla MP-64</t>
        </is>
      </c>
    </row>
    <row r="271">
      <c r="A271" s="27" t="inlineStr">
        <is>
          <t>FL_MAT_AFFF_10l</t>
        </is>
      </c>
      <c r="B271" s="27" t="n">
        <v>0</v>
      </c>
      <c r="C271" s="27" t="inlineStr">
        <is>
          <t>FL_MAT_AFFF_10l</t>
        </is>
      </c>
      <c r="D271" s="28" t="inlineStr">
        <is>
          <t>Extintor AFFF 10 l</t>
        </is>
      </c>
      <c r="E271" s="27" t="n">
        <v>1</v>
      </c>
      <c r="F271" s="27" t="inlineStr">
        <is>
          <t>u</t>
        </is>
      </c>
      <c r="G271" s="29" t="n"/>
      <c r="H271" s="29" t="n"/>
      <c r="I271" s="27" t="n"/>
      <c r="J271" s="28" t="n"/>
      <c r="K271" s="27" t="n"/>
      <c r="L271" s="27" t="n"/>
      <c r="M271" s="28" t="n"/>
      <c r="N271" s="28" t="n"/>
      <c r="O271" s="28" t="n"/>
      <c r="P271" s="28" t="inlineStr">
        <is>
          <t>IRAM 3527</t>
        </is>
      </c>
      <c r="Q271" s="27" t="inlineStr">
        <is>
          <t>P</t>
        </is>
      </c>
      <c r="R271" s="27" t="inlineStr">
        <is>
          <t>FL_MAT_AFFF_10l</t>
        </is>
      </c>
      <c r="S271" s="28" t="inlineStr">
        <is>
          <t>Revendido: se compra terminado al fabricante con Sello IRAM; las piezas internas quedan como referencia (no entran en MRP)</t>
        </is>
      </c>
    </row>
    <row r="272">
      <c r="A272" s="30" t="inlineStr">
        <is>
          <t>FL_MAT_AFFF_10l</t>
        </is>
      </c>
      <c r="B272" s="30" t="n">
        <v>1</v>
      </c>
      <c r="C272" s="30" t="inlineStr">
        <is>
          <t>AFFF10-S0</t>
        </is>
      </c>
      <c r="D272" s="31" t="inlineStr">
        <is>
          <t xml:space="preserve">    Equipo terminado comprado (fabricante con Sello IRAM)</t>
        </is>
      </c>
      <c r="E272" s="30" t="n">
        <v>1</v>
      </c>
      <c r="F272" s="30" t="inlineStr">
        <is>
          <t>u</t>
        </is>
      </c>
      <c r="G272" s="32" t="n"/>
      <c r="H272" s="32" t="n"/>
      <c r="I272" s="30" t="n"/>
      <c r="J272" s="31" t="n"/>
      <c r="K272" s="30" t="inlineStr">
        <is>
          <t>Compra</t>
        </is>
      </c>
      <c r="L272" s="30" t="inlineStr">
        <is>
          <t>Sí</t>
        </is>
      </c>
      <c r="M272" s="31" t="inlineStr">
        <is>
          <t>Matafuegos Georgia - venta mayorista</t>
        </is>
      </c>
      <c r="N272" s="31" t="inlineStr">
        <is>
          <t>Drago (Luis Pasquinelli e Hijos S.A.)</t>
        </is>
      </c>
      <c r="O272" s="31" t="inlineStr">
        <is>
          <t>Recepción y control de ingreso (SP-1)</t>
        </is>
      </c>
      <c r="P272" s="31" t="inlineStr">
        <is>
          <t>IRAM 3527</t>
        </is>
      </c>
      <c r="Q272" s="30" t="inlineStr">
        <is>
          <t>I</t>
        </is>
      </c>
      <c r="R272" s="30" t="inlineStr">
        <is>
          <t>FL_MAT_AFFF_10l</t>
        </is>
      </c>
      <c r="S272" s="31" t="inlineStr">
        <is>
          <t>Única fila de compra del revendido (más la tarjeta AGC si el destino es CABA)</t>
        </is>
      </c>
    </row>
    <row r="273">
      <c r="A273" s="30" t="inlineStr">
        <is>
          <t>FL_MAT_AFFF_10l</t>
        </is>
      </c>
      <c r="B273" s="30" t="n">
        <v>1</v>
      </c>
      <c r="C273" s="30" t="inlineStr">
        <is>
          <t>AFFF10-S1</t>
        </is>
      </c>
      <c r="D273" s="31" t="inlineStr">
        <is>
          <t xml:space="preserve">    Recipiente (cilindro)</t>
        </is>
      </c>
      <c r="E273" s="30" t="n">
        <v>1</v>
      </c>
      <c r="F273" s="30" t="inlineStr">
        <is>
          <t>u</t>
        </is>
      </c>
      <c r="G273" s="32" t="n"/>
      <c r="H273" s="32">
        <f>H274+H275+H276+H277</f>
        <v/>
      </c>
      <c r="I273" s="30" t="n"/>
      <c r="J273" s="31" t="n"/>
      <c r="K273" s="30" t="inlineStr">
        <is>
          <t>Compra / armado</t>
        </is>
      </c>
      <c r="L273" s="30" t="n"/>
      <c r="M273" s="31" t="n"/>
      <c r="N273" s="31" t="n"/>
      <c r="O273" s="31" t="n"/>
      <c r="P273" s="31" t="inlineStr">
        <is>
          <t>IRAM 3523 / 3550 (recipiente)</t>
        </is>
      </c>
      <c r="Q273" s="30" t="inlineStr">
        <is>
          <t>P</t>
        </is>
      </c>
      <c r="R273" s="30" t="inlineStr">
        <is>
          <t>FL_DES_AFFF_10l</t>
        </is>
      </c>
      <c r="S273" s="31" t="n"/>
    </row>
    <row r="274">
      <c r="A274" s="33" t="inlineStr">
        <is>
          <t>FL_MAT_AFFF_10l</t>
        </is>
      </c>
      <c r="B274" s="33" t="n">
        <v>2</v>
      </c>
      <c r="C274" s="33" t="inlineStr">
        <is>
          <t>AFFF10-01</t>
        </is>
      </c>
      <c r="D274" s="17" t="inlineStr">
        <is>
          <t xml:space="preserve">        Cuerpo (virola)</t>
        </is>
      </c>
      <c r="E274" s="33" t="n">
        <v>1</v>
      </c>
      <c r="F274" s="33" t="inlineStr">
        <is>
          <t>u</t>
        </is>
      </c>
      <c r="G274" s="34" t="n">
        <v>1.7949</v>
      </c>
      <c r="H274" s="34">
        <f>E274*G274</f>
        <v/>
      </c>
      <c r="I274" s="33" t="inlineStr">
        <is>
          <t>Chapa acero inox. AISI 304 e=0,8</t>
        </is>
      </c>
      <c r="J274" s="17" t="inlineStr">
        <is>
          <t>Ø190 × e0,8 × 476 de alto; desarrollo 594,4 × 476</t>
        </is>
      </c>
      <c r="K274" s="33" t="inlineStr">
        <is>
          <t>Compra (en el conjunto)</t>
        </is>
      </c>
      <c r="L274" s="33" t="inlineStr">
        <is>
          <t>No</t>
        </is>
      </c>
      <c r="M274" s="17" t="n"/>
      <c r="N274" s="17" t="n"/>
      <c r="O274" s="17" t="inlineStr">
        <is>
          <t>S4 - se compra terminado (tercerizado con sello IRAM)</t>
        </is>
      </c>
      <c r="P274" s="17" t="n"/>
      <c r="Q274" s="33" t="inlineStr">
        <is>
          <t>P</t>
        </is>
      </c>
      <c r="R274" s="33" t="inlineStr">
        <is>
          <t>FL_DES_AFFF_10l</t>
        </is>
      </c>
      <c r="S274" s="17" t="inlineStr">
        <is>
          <t>costura long. TIG</t>
        </is>
      </c>
    </row>
    <row r="275">
      <c r="A275" s="33" t="inlineStr">
        <is>
          <t>FL_MAT_AFFF_10l</t>
        </is>
      </c>
      <c r="B275" s="33" t="n">
        <v>2</v>
      </c>
      <c r="C275" s="33" t="inlineStr">
        <is>
          <t>AFFF10-02</t>
        </is>
      </c>
      <c r="D275" s="17" t="inlineStr">
        <is>
          <t xml:space="preserve">        Cúpula</t>
        </is>
      </c>
      <c r="E275" s="33" t="n">
        <v>1</v>
      </c>
      <c r="F275" s="33" t="inlineStr">
        <is>
          <t>u</t>
        </is>
      </c>
      <c r="G275" s="34" t="n">
        <v>0.2544</v>
      </c>
      <c r="H275" s="34">
        <f>E275*G275</f>
        <v/>
      </c>
      <c r="I275" s="33" t="inlineStr">
        <is>
          <t>Chapa acero inox. AISI 304 e=0,8</t>
        </is>
      </c>
      <c r="J275" s="17" t="inlineStr">
        <is>
          <t>Ø190 × e0,8 × 59 de alto; disco Ø232,7</t>
        </is>
      </c>
      <c r="K275" s="33" t="inlineStr">
        <is>
          <t>Compra (en el conjunto)</t>
        </is>
      </c>
      <c r="L275" s="33" t="inlineStr">
        <is>
          <t>No</t>
        </is>
      </c>
      <c r="M275" s="17" t="n"/>
      <c r="N275" s="17" t="n"/>
      <c r="O275" s="17" t="inlineStr">
        <is>
          <t>S4 - se compra terminado (tercerizado con sello IRAM)</t>
        </is>
      </c>
      <c r="P275" s="17" t="n"/>
      <c r="Q275" s="33" t="inlineStr">
        <is>
          <t>P</t>
        </is>
      </c>
      <c r="R275" s="33" t="inlineStr">
        <is>
          <t>FL_DES_AFFF_10l</t>
        </is>
      </c>
      <c r="S275" s="17" t="inlineStr">
        <is>
          <t>embutida</t>
        </is>
      </c>
    </row>
    <row r="276">
      <c r="A276" s="33" t="inlineStr">
        <is>
          <t>FL_MAT_AFFF_10l</t>
        </is>
      </c>
      <c r="B276" s="33" t="n">
        <v>2</v>
      </c>
      <c r="C276" s="33" t="inlineStr">
        <is>
          <t>AFFF10-03</t>
        </is>
      </c>
      <c r="D276" s="17" t="inlineStr">
        <is>
          <t xml:space="preserve">        Fondo</t>
        </is>
      </c>
      <c r="E276" s="33" t="n">
        <v>1</v>
      </c>
      <c r="F276" s="33" t="inlineStr">
        <is>
          <t>u</t>
        </is>
      </c>
      <c r="G276" s="34" t="n">
        <v>0.1769</v>
      </c>
      <c r="H276" s="34">
        <f>E276*G276</f>
        <v/>
      </c>
      <c r="I276" s="33" t="inlineStr">
        <is>
          <t>Chapa acero inox. AISI 304 e=0,8</t>
        </is>
      </c>
      <c r="J276" s="17" t="inlineStr">
        <is>
          <t>Ø190 × e0,8 × 10,8 de alto; disco Ø194,1</t>
        </is>
      </c>
      <c r="K276" s="33" t="inlineStr">
        <is>
          <t>Compra (en el conjunto)</t>
        </is>
      </c>
      <c r="L276" s="33" t="inlineStr">
        <is>
          <t>No</t>
        </is>
      </c>
      <c r="M276" s="17" t="n"/>
      <c r="N276" s="17" t="n"/>
      <c r="O276" s="17" t="inlineStr">
        <is>
          <t>S4 - se compra terminado (tercerizado con sello IRAM)</t>
        </is>
      </c>
      <c r="P276" s="17" t="n"/>
      <c r="Q276" s="33" t="inlineStr">
        <is>
          <t>P</t>
        </is>
      </c>
      <c r="R276" s="33" t="inlineStr">
        <is>
          <t>FL_DES_AFFF_10l</t>
        </is>
      </c>
      <c r="S276" s="17" t="inlineStr">
        <is>
          <t>embutido</t>
        </is>
      </c>
    </row>
    <row r="277">
      <c r="A277" s="33" t="inlineStr">
        <is>
          <t>FL_MAT_AFFF_10l</t>
        </is>
      </c>
      <c r="B277" s="33" t="n">
        <v>2</v>
      </c>
      <c r="C277" s="33" t="inlineStr">
        <is>
          <t>AFFF10-04</t>
        </is>
      </c>
      <c r="D277" s="17" t="inlineStr">
        <is>
          <t xml:space="preserve">        Cuello roscado</t>
        </is>
      </c>
      <c r="E277" s="33" t="n">
        <v>1</v>
      </c>
      <c r="F277" s="33" t="inlineStr">
        <is>
          <t>u</t>
        </is>
      </c>
      <c r="G277" s="34" t="n">
        <v>0.0539</v>
      </c>
      <c r="H277" s="34">
        <f>E277*G277</f>
        <v/>
      </c>
      <c r="I277" s="33" t="inlineStr">
        <is>
          <t>Acero inox. AISI 304</t>
        </is>
      </c>
      <c r="J277" s="17" t="inlineStr">
        <is>
          <t>Ø37 × 14 de alto, rosca M30x1,5, asiento Ø35</t>
        </is>
      </c>
      <c r="K277" s="33" t="inlineStr">
        <is>
          <t>Compra (en el conjunto)</t>
        </is>
      </c>
      <c r="L277" s="33" t="inlineStr">
        <is>
          <t>No</t>
        </is>
      </c>
      <c r="M277" s="17" t="n"/>
      <c r="N277" s="17" t="n"/>
      <c r="O277" s="17" t="inlineStr">
        <is>
          <t>S4 - se compra terminado (tercerizado con sello IRAM)</t>
        </is>
      </c>
      <c r="P277" s="17" t="n"/>
      <c r="Q277" s="33" t="inlineStr">
        <is>
          <t>P</t>
        </is>
      </c>
      <c r="R277" s="33" t="inlineStr">
        <is>
          <t>FL_DES_AFFF_10l</t>
        </is>
      </c>
      <c r="S277" s="17" t="inlineStr">
        <is>
          <t>M30x1,5</t>
        </is>
      </c>
    </row>
    <row r="278">
      <c r="A278" s="30" t="inlineStr">
        <is>
          <t>FL_MAT_AFFF_10l</t>
        </is>
      </c>
      <c r="B278" s="30" t="n">
        <v>1</v>
      </c>
      <c r="C278" s="30" t="inlineStr">
        <is>
          <t>AFFF10-S2</t>
        </is>
      </c>
      <c r="D278" s="31" t="inlineStr">
        <is>
          <t xml:space="preserve">    Conjunto de válvula</t>
        </is>
      </c>
      <c r="E278" s="30" t="n">
        <v>1</v>
      </c>
      <c r="F278" s="30" t="inlineStr">
        <is>
          <t>u</t>
        </is>
      </c>
      <c r="G278" s="32" t="n"/>
      <c r="H278" s="32">
        <f>H279+H280+H281+H283+H284+H285+H286+H287+H288+H289</f>
        <v/>
      </c>
      <c r="I278" s="30" t="n"/>
      <c r="J278" s="31" t="n"/>
      <c r="K278" s="30" t="inlineStr">
        <is>
          <t>Compra / armado</t>
        </is>
      </c>
      <c r="L278" s="30" t="n"/>
      <c r="M278" s="31" t="n"/>
      <c r="N278" s="31" t="n"/>
      <c r="O278" s="31" t="n"/>
      <c r="P278" s="31" t="inlineStr">
        <is>
          <t>Manómetro IRAM 3533</t>
        </is>
      </c>
      <c r="Q278" s="30" t="inlineStr">
        <is>
          <t>P</t>
        </is>
      </c>
      <c r="R278" s="30" t="inlineStr">
        <is>
          <t>FL_DES_AFFF_10l</t>
        </is>
      </c>
      <c r="S278" s="31" t="n"/>
    </row>
    <row r="279">
      <c r="A279" s="33" t="inlineStr">
        <is>
          <t>FL_MAT_AFFF_10l</t>
        </is>
      </c>
      <c r="B279" s="33" t="n">
        <v>2</v>
      </c>
      <c r="C279" s="33" t="inlineStr">
        <is>
          <t>AFFF10-05</t>
        </is>
      </c>
      <c r="D279" s="17" t="inlineStr">
        <is>
          <t xml:space="preserve">        Collarín de válvula</t>
        </is>
      </c>
      <c r="E279" s="33" t="n">
        <v>1</v>
      </c>
      <c r="F279" s="33" t="inlineStr">
        <is>
          <t>u</t>
        </is>
      </c>
      <c r="G279" s="34" t="n">
        <v>0.0833</v>
      </c>
      <c r="H279" s="34">
        <f>E279*G279</f>
        <v/>
      </c>
      <c r="I279" s="33" t="inlineStr">
        <is>
          <t>Latón forjado</t>
        </is>
      </c>
      <c r="J279" s="17" t="inlineStr">
        <is>
          <t>43 × 43 × 10</t>
        </is>
      </c>
      <c r="K279" s="33" t="inlineStr">
        <is>
          <t>Compra (en el conjunto)</t>
        </is>
      </c>
      <c r="L279" s="33" t="inlineStr">
        <is>
          <t>No</t>
        </is>
      </c>
      <c r="M279" s="17" t="n"/>
      <c r="N279" s="17" t="n"/>
      <c r="O279" s="17" t="inlineStr">
        <is>
          <t>S4 - se compra terminado (tercerizado con sello IRAM)</t>
        </is>
      </c>
      <c r="P279" s="17" t="n"/>
      <c r="Q279" s="33" t="inlineStr">
        <is>
          <t>P</t>
        </is>
      </c>
      <c r="R279" s="33" t="inlineStr">
        <is>
          <t>FL_DES_AFFF_10l</t>
        </is>
      </c>
      <c r="S279" s="17" t="n"/>
    </row>
    <row r="280">
      <c r="A280" s="33" t="inlineStr">
        <is>
          <t>FL_MAT_AFFF_10l</t>
        </is>
      </c>
      <c r="B280" s="33" t="n">
        <v>2</v>
      </c>
      <c r="C280" s="33" t="inlineStr">
        <is>
          <t>AFFF10-06</t>
        </is>
      </c>
      <c r="D280" s="17" t="inlineStr">
        <is>
          <t xml:space="preserve">        Espiga roscada</t>
        </is>
      </c>
      <c r="E280" s="33" t="n">
        <v>1</v>
      </c>
      <c r="F280" s="33" t="inlineStr">
        <is>
          <t>u</t>
        </is>
      </c>
      <c r="G280" s="34" t="n">
        <v>0.0243</v>
      </c>
      <c r="H280" s="34">
        <f>E280*G280</f>
        <v/>
      </c>
      <c r="I280" s="33" t="inlineStr">
        <is>
          <t>Latón forjado</t>
        </is>
      </c>
      <c r="J280" s="17" t="inlineStr">
        <is>
          <t>28,4 × 28,4 × 12</t>
        </is>
      </c>
      <c r="K280" s="33" t="inlineStr">
        <is>
          <t>Compra (en el conjunto)</t>
        </is>
      </c>
      <c r="L280" s="33" t="inlineStr">
        <is>
          <t>No</t>
        </is>
      </c>
      <c r="M280" s="17" t="n"/>
      <c r="N280" s="17" t="n"/>
      <c r="O280" s="17" t="inlineStr">
        <is>
          <t>S4 - se compra terminado (tercerizado con sello IRAM)</t>
        </is>
      </c>
      <c r="P280" s="17" t="n"/>
      <c r="Q280" s="33" t="inlineStr">
        <is>
          <t>P</t>
        </is>
      </c>
      <c r="R280" s="33" t="inlineStr">
        <is>
          <t>FL_DES_AFFF_10l</t>
        </is>
      </c>
      <c r="S280" s="17" t="n"/>
    </row>
    <row r="281">
      <c r="A281" s="33" t="inlineStr">
        <is>
          <t>FL_MAT_AFFF_10l</t>
        </is>
      </c>
      <c r="B281" s="33" t="n">
        <v>2</v>
      </c>
      <c r="C281" s="33" t="inlineStr">
        <is>
          <t>AFFF10-07</t>
        </is>
      </c>
      <c r="D281" s="17" t="inlineStr">
        <is>
          <t xml:space="preserve">        Cuerpo de válvula</t>
        </is>
      </c>
      <c r="E281" s="33" t="n">
        <v>1</v>
      </c>
      <c r="F281" s="33" t="inlineStr">
        <is>
          <t>u</t>
        </is>
      </c>
      <c r="G281" s="34" t="n">
        <v>0.4964</v>
      </c>
      <c r="H281" s="34">
        <f>E281*G281</f>
        <v/>
      </c>
      <c r="I281" s="33" t="inlineStr">
        <is>
          <t>Latón forjado</t>
        </is>
      </c>
      <c r="J281" s="17" t="inlineStr">
        <is>
          <t>68,2 × 43 × 34</t>
        </is>
      </c>
      <c r="K281" s="33" t="inlineStr">
        <is>
          <t>Compra (en el conjunto)</t>
        </is>
      </c>
      <c r="L281" s="33" t="inlineStr">
        <is>
          <t>No</t>
        </is>
      </c>
      <c r="M281" s="17" t="n"/>
      <c r="N281" s="17" t="n"/>
      <c r="O281" s="17" t="inlineStr">
        <is>
          <t>S4 - se compra terminado (tercerizado con sello IRAM)</t>
        </is>
      </c>
      <c r="P281" s="17" t="n"/>
      <c r="Q281" s="33" t="inlineStr">
        <is>
          <t>P</t>
        </is>
      </c>
      <c r="R281" s="33" t="inlineStr">
        <is>
          <t>FL_DES_AFFF_10l</t>
        </is>
      </c>
      <c r="S281" s="17" t="n"/>
    </row>
    <row r="282">
      <c r="A282" s="33" t="inlineStr">
        <is>
          <t>FL_MAT_AFFF_10l</t>
        </is>
      </c>
      <c r="B282" s="33" t="n">
        <v>2</v>
      </c>
      <c r="C282" s="33" t="inlineStr">
        <is>
          <t>AFFF10-08</t>
        </is>
      </c>
      <c r="D282" s="17" t="inlineStr">
        <is>
          <t xml:space="preserve">        Manómetro</t>
        </is>
      </c>
      <c r="E282" s="33" t="n">
        <v>1</v>
      </c>
      <c r="F282" s="33" t="inlineStr">
        <is>
          <t>u</t>
        </is>
      </c>
      <c r="G282" s="34" t="n"/>
      <c r="H282" s="34" t="n"/>
      <c r="I282" s="33" t="inlineStr">
        <is>
          <t>Comercial</t>
        </is>
      </c>
      <c r="J282" s="17" t="inlineStr">
        <is>
          <t>Ø38 esfera, rango 0-2 MPa, sector verde en 0,8</t>
        </is>
      </c>
      <c r="K282" s="33" t="inlineStr">
        <is>
          <t>Compra (en el conjunto)</t>
        </is>
      </c>
      <c r="L282" s="33" t="inlineStr">
        <is>
          <t>No</t>
        </is>
      </c>
      <c r="M282" s="17" t="n"/>
      <c r="N282" s="17" t="n"/>
      <c r="O282" s="17" t="inlineStr">
        <is>
          <t>S4 - se compra terminado (tercerizado con sello IRAM)</t>
        </is>
      </c>
      <c r="P282" s="17" t="inlineStr">
        <is>
          <t>IRAM 3533</t>
        </is>
      </c>
      <c r="Q282" s="33" t="inlineStr">
        <is>
          <t>P</t>
        </is>
      </c>
      <c r="R282" s="33" t="inlineStr">
        <is>
          <t>FL_DES_AFFF_10l</t>
        </is>
      </c>
      <c r="S282" s="17" t="inlineStr">
        <is>
          <t>Pieza comercial; sello IRAM 3533; peso: completar con la ficha del proveedor (no afecta el MRP)</t>
        </is>
      </c>
    </row>
    <row r="283">
      <c r="A283" s="33" t="inlineStr">
        <is>
          <t>FL_MAT_AFFF_10l</t>
        </is>
      </c>
      <c r="B283" s="33" t="n">
        <v>2</v>
      </c>
      <c r="C283" s="33" t="inlineStr">
        <is>
          <t>AFFF10-09</t>
        </is>
      </c>
      <c r="D283" s="17" t="inlineStr">
        <is>
          <t xml:space="preserve">        Manija de transporte</t>
        </is>
      </c>
      <c r="E283" s="33" t="n">
        <v>1</v>
      </c>
      <c r="F283" s="33" t="inlineStr">
        <is>
          <t>u</t>
        </is>
      </c>
      <c r="G283" s="34" t="n">
        <v>0.0546</v>
      </c>
      <c r="H283" s="34">
        <f>E283*G283</f>
        <v/>
      </c>
      <c r="I283" s="33" t="inlineStr">
        <is>
          <t>Chapa acero SAE 1010 pintada</t>
        </is>
      </c>
      <c r="J283" s="17" t="inlineStr">
        <is>
          <t>86,9 × 20 × 13,1</t>
        </is>
      </c>
      <c r="K283" s="33" t="inlineStr">
        <is>
          <t>Compra (en el conjunto)</t>
        </is>
      </c>
      <c r="L283" s="33" t="inlineStr">
        <is>
          <t>No</t>
        </is>
      </c>
      <c r="M283" s="17" t="n"/>
      <c r="N283" s="17" t="n"/>
      <c r="O283" s="17" t="inlineStr">
        <is>
          <t>S4 - se compra terminado (tercerizado con sello IRAM)</t>
        </is>
      </c>
      <c r="P283" s="17" t="n"/>
      <c r="Q283" s="33" t="inlineStr">
        <is>
          <t>P</t>
        </is>
      </c>
      <c r="R283" s="33" t="inlineStr">
        <is>
          <t>FL_DES_AFFF_10l</t>
        </is>
      </c>
      <c r="S283" s="17" t="n"/>
    </row>
    <row r="284">
      <c r="A284" s="33" t="inlineStr">
        <is>
          <t>FL_MAT_AFFF_10l</t>
        </is>
      </c>
      <c r="B284" s="33" t="n">
        <v>2</v>
      </c>
      <c r="C284" s="33" t="inlineStr">
        <is>
          <t>AFFF10-10</t>
        </is>
      </c>
      <c r="D284" s="17" t="inlineStr">
        <is>
          <t xml:space="preserve">        Manija de accionamiento</t>
        </is>
      </c>
      <c r="E284" s="33" t="n">
        <v>1</v>
      </c>
      <c r="F284" s="33" t="inlineStr">
        <is>
          <t>u</t>
        </is>
      </c>
      <c r="G284" s="34" t="n">
        <v>0.08160000000000001</v>
      </c>
      <c r="H284" s="34">
        <f>E284*G284</f>
        <v/>
      </c>
      <c r="I284" s="33" t="inlineStr">
        <is>
          <t>Chapa acero SAE 1010 pintada</t>
        </is>
      </c>
      <c r="J284" s="17" t="inlineStr">
        <is>
          <t>129,5 × 20 × 19,8</t>
        </is>
      </c>
      <c r="K284" s="33" t="inlineStr">
        <is>
          <t>Compra (en el conjunto)</t>
        </is>
      </c>
      <c r="L284" s="33" t="inlineStr">
        <is>
          <t>No</t>
        </is>
      </c>
      <c r="M284" s="17" t="n"/>
      <c r="N284" s="17" t="n"/>
      <c r="O284" s="17" t="inlineStr">
        <is>
          <t>S4 - se compra terminado (tercerizado con sello IRAM)</t>
        </is>
      </c>
      <c r="P284" s="17" t="n"/>
      <c r="Q284" s="33" t="inlineStr">
        <is>
          <t>P</t>
        </is>
      </c>
      <c r="R284" s="33" t="inlineStr">
        <is>
          <t>FL_DES_AFFF_10l</t>
        </is>
      </c>
      <c r="S284" s="17" t="n"/>
    </row>
    <row r="285">
      <c r="A285" s="33" t="inlineStr">
        <is>
          <t>FL_MAT_AFFF_10l</t>
        </is>
      </c>
      <c r="B285" s="33" t="n">
        <v>2</v>
      </c>
      <c r="C285" s="33" t="inlineStr">
        <is>
          <t>AFFF10-11</t>
        </is>
      </c>
      <c r="D285" s="17" t="inlineStr">
        <is>
          <t xml:space="preserve">        Eje de palanca</t>
        </is>
      </c>
      <c r="E285" s="33" t="n">
        <v>1</v>
      </c>
      <c r="F285" s="33" t="inlineStr">
        <is>
          <t>u</t>
        </is>
      </c>
      <c r="G285" s="34" t="n">
        <v>0.0081</v>
      </c>
      <c r="H285" s="34">
        <f>E285*G285</f>
        <v/>
      </c>
      <c r="I285" s="33" t="inlineStr">
        <is>
          <t>Acero inox. AISI 304</t>
        </is>
      </c>
      <c r="J285" s="17" t="inlineStr">
        <is>
          <t>36 × 6 × 6</t>
        </is>
      </c>
      <c r="K285" s="33" t="inlineStr">
        <is>
          <t>Compra (en el conjunto)</t>
        </is>
      </c>
      <c r="L285" s="33" t="inlineStr">
        <is>
          <t>No</t>
        </is>
      </c>
      <c r="M285" s="17" t="n"/>
      <c r="N285" s="17" t="n"/>
      <c r="O285" s="17" t="inlineStr">
        <is>
          <t>S4 - se compra terminado (tercerizado con sello IRAM)</t>
        </is>
      </c>
      <c r="P285" s="17" t="n"/>
      <c r="Q285" s="33" t="inlineStr">
        <is>
          <t>P</t>
        </is>
      </c>
      <c r="R285" s="33" t="inlineStr">
        <is>
          <t>FL_DES_AFFF_10l</t>
        </is>
      </c>
      <c r="S285" s="17" t="n"/>
    </row>
    <row r="286">
      <c r="A286" s="33" t="inlineStr">
        <is>
          <t>FL_MAT_AFFF_10l</t>
        </is>
      </c>
      <c r="B286" s="33" t="n">
        <v>2</v>
      </c>
      <c r="C286" s="33" t="inlineStr">
        <is>
          <t>AFFF10-12</t>
        </is>
      </c>
      <c r="D286" s="17" t="inlineStr">
        <is>
          <t xml:space="preserve">        Vástago</t>
        </is>
      </c>
      <c r="E286" s="33" t="n">
        <v>1</v>
      </c>
      <c r="F286" s="33" t="inlineStr">
        <is>
          <t>u</t>
        </is>
      </c>
      <c r="G286" s="34" t="n">
        <v>0.0017</v>
      </c>
      <c r="H286" s="34">
        <f>E286*G286</f>
        <v/>
      </c>
      <c r="I286" s="33" t="inlineStr">
        <is>
          <t>Latón</t>
        </is>
      </c>
      <c r="J286" s="17" t="inlineStr">
        <is>
          <t>8 × 8 × 4</t>
        </is>
      </c>
      <c r="K286" s="33" t="inlineStr">
        <is>
          <t>Compra (en el conjunto)</t>
        </is>
      </c>
      <c r="L286" s="33" t="inlineStr">
        <is>
          <t>No</t>
        </is>
      </c>
      <c r="M286" s="17" t="n"/>
      <c r="N286" s="17" t="n"/>
      <c r="O286" s="17" t="inlineStr">
        <is>
          <t>S4 - se compra terminado (tercerizado con sello IRAM)</t>
        </is>
      </c>
      <c r="P286" s="17" t="n"/>
      <c r="Q286" s="33" t="inlineStr">
        <is>
          <t>P</t>
        </is>
      </c>
      <c r="R286" s="33" t="inlineStr">
        <is>
          <t>FL_DES_AFFF_10l</t>
        </is>
      </c>
      <c r="S286" s="17" t="inlineStr">
        <is>
          <t>con junta tórica</t>
        </is>
      </c>
    </row>
    <row r="287">
      <c r="A287" s="33" t="inlineStr">
        <is>
          <t>FL_MAT_AFFF_10l</t>
        </is>
      </c>
      <c r="B287" s="33" t="n">
        <v>2</v>
      </c>
      <c r="C287" s="33" t="inlineStr">
        <is>
          <t>AFFF10-13</t>
        </is>
      </c>
      <c r="D287" s="17" t="inlineStr">
        <is>
          <t xml:space="preserve">        Pasador de seguridad</t>
        </is>
      </c>
      <c r="E287" s="33" t="n">
        <v>1</v>
      </c>
      <c r="F287" s="33" t="inlineStr">
        <is>
          <t>u</t>
        </is>
      </c>
      <c r="G287" s="34" t="n">
        <v>0.0055</v>
      </c>
      <c r="H287" s="34">
        <f>E287*G287</f>
        <v/>
      </c>
      <c r="I287" s="33" t="inlineStr">
        <is>
          <t>Alambre acero inox. AISI 304</t>
        </is>
      </c>
      <c r="J287" s="17" t="inlineStr">
        <is>
          <t>45,4 × 21 × 20,8</t>
        </is>
      </c>
      <c r="K287" s="33" t="inlineStr">
        <is>
          <t>Compra (en el conjunto)</t>
        </is>
      </c>
      <c r="L287" s="33" t="inlineStr">
        <is>
          <t>No</t>
        </is>
      </c>
      <c r="M287" s="17" t="n"/>
      <c r="N287" s="17" t="n"/>
      <c r="O287" s="17" t="inlineStr">
        <is>
          <t>S4 - se compra terminado (tercerizado con sello IRAM)</t>
        </is>
      </c>
      <c r="P287" s="17" t="n"/>
      <c r="Q287" s="33" t="inlineStr">
        <is>
          <t>P</t>
        </is>
      </c>
      <c r="R287" s="33" t="inlineStr">
        <is>
          <t>FL_DES_AFFF_10l</t>
        </is>
      </c>
      <c r="S287" s="17" t="inlineStr">
        <is>
          <t>con precinto</t>
        </is>
      </c>
    </row>
    <row r="288">
      <c r="A288" s="33" t="inlineStr">
        <is>
          <t>FL_MAT_AFFF_10l</t>
        </is>
      </c>
      <c r="B288" s="33" t="n">
        <v>2</v>
      </c>
      <c r="C288" s="33" t="inlineStr">
        <is>
          <t>AFFF10-14</t>
        </is>
      </c>
      <c r="D288" s="17" t="inlineStr">
        <is>
          <t xml:space="preserve">        Caño de pesca (sifón)</t>
        </is>
      </c>
      <c r="E288" s="33" t="n">
        <v>1</v>
      </c>
      <c r="F288" s="33" t="inlineStr">
        <is>
          <t>u</t>
        </is>
      </c>
      <c r="G288" s="34" t="n">
        <v>0.0229</v>
      </c>
      <c r="H288" s="34">
        <f>E288*G288</f>
        <v/>
      </c>
      <c r="I288" s="33" t="inlineStr">
        <is>
          <t>Tubo polipropileno</t>
        </is>
      </c>
      <c r="J288" s="17" t="inlineStr">
        <is>
          <t>Ø12 × 514,2 de largo</t>
        </is>
      </c>
      <c r="K288" s="33" t="inlineStr">
        <is>
          <t>Compra (en el conjunto)</t>
        </is>
      </c>
      <c r="L288" s="33" t="inlineStr">
        <is>
          <t>No</t>
        </is>
      </c>
      <c r="M288" s="17" t="n"/>
      <c r="N288" s="17" t="n"/>
      <c r="O288" s="17" t="inlineStr">
        <is>
          <t>S4 - se compra terminado (tercerizado con sello IRAM)</t>
        </is>
      </c>
      <c r="P288" s="17" t="n"/>
      <c r="Q288" s="33" t="inlineStr">
        <is>
          <t>P</t>
        </is>
      </c>
      <c r="R288" s="33" t="inlineStr">
        <is>
          <t>FL_DES_AFFF_10l</t>
        </is>
      </c>
      <c r="S288" s="17" t="n"/>
    </row>
    <row r="289">
      <c r="A289" s="33" t="inlineStr">
        <is>
          <t>FL_MAT_AFFF_10l</t>
        </is>
      </c>
      <c r="B289" s="33" t="n">
        <v>2</v>
      </c>
      <c r="C289" s="33" t="inlineStr">
        <is>
          <t>AFFF10-24</t>
        </is>
      </c>
      <c r="D289" s="17" t="inlineStr">
        <is>
          <t xml:space="preserve">        Junta tórica de asiento</t>
        </is>
      </c>
      <c r="E289" s="33" t="n">
        <v>1</v>
      </c>
      <c r="F289" s="33" t="inlineStr">
        <is>
          <t>u</t>
        </is>
      </c>
      <c r="G289" s="34" t="n">
        <v>0.001</v>
      </c>
      <c r="H289" s="34">
        <f>E289*G289</f>
        <v/>
      </c>
      <c r="I289" s="33" t="inlineStr">
        <is>
          <t>NBR 70 Shore A</t>
        </is>
      </c>
      <c r="J289" s="17" t="inlineStr">
        <is>
          <t>Ø31,4 ext. × cordón 3</t>
        </is>
      </c>
      <c r="K289" s="33" t="inlineStr">
        <is>
          <t>Compra (en el conjunto)</t>
        </is>
      </c>
      <c r="L289" s="33" t="inlineStr">
        <is>
          <t>No</t>
        </is>
      </c>
      <c r="M289" s="17" t="n"/>
      <c r="N289" s="17" t="n"/>
      <c r="O289" s="17" t="inlineStr">
        <is>
          <t>S4 - se compra terminado (tercerizado con sello IRAM)</t>
        </is>
      </c>
      <c r="P289" s="17" t="n"/>
      <c r="Q289" s="33" t="inlineStr">
        <is>
          <t>P</t>
        </is>
      </c>
      <c r="R289" s="33" t="inlineStr">
        <is>
          <t>FL_DES_AFFF_10l</t>
        </is>
      </c>
      <c r="S289" s="17" t="inlineStr">
        <is>
          <t>cambio c/recarga</t>
        </is>
      </c>
    </row>
    <row r="290">
      <c r="A290" s="33" t="inlineStr">
        <is>
          <t>FL_MAT_AFFF_10l</t>
        </is>
      </c>
      <c r="B290" s="33" t="n">
        <v>2</v>
      </c>
      <c r="C290" s="33" t="inlineStr">
        <is>
          <t>AFFF10-V2</t>
        </is>
      </c>
      <c r="D290" s="17" t="inlineStr">
        <is>
          <t xml:space="preserve">        Resorte de retorno del vástago</t>
        </is>
      </c>
      <c r="E290" s="33" t="n">
        <v>1</v>
      </c>
      <c r="F290" s="33" t="inlineStr">
        <is>
          <t>u</t>
        </is>
      </c>
      <c r="G290" s="34" t="n"/>
      <c r="H290" s="34" t="n"/>
      <c r="I290" s="33" t="inlineStr">
        <is>
          <t>Acero para resortes</t>
        </is>
      </c>
      <c r="J290" s="17" t="inlineStr">
        <is>
          <t>incluido en la válvula</t>
        </is>
      </c>
      <c r="K290" s="33" t="inlineStr">
        <is>
          <t>Compra (en el conjunto)</t>
        </is>
      </c>
      <c r="L290" s="33" t="inlineStr">
        <is>
          <t>No</t>
        </is>
      </c>
      <c r="M290" s="17" t="n"/>
      <c r="N290" s="17" t="n"/>
      <c r="O290" s="17" t="inlineStr">
        <is>
          <t>19 Ensamblaje</t>
        </is>
      </c>
      <c r="P290" s="17" t="n"/>
      <c r="Q290" s="33" t="inlineStr">
        <is>
          <t>Q</t>
        </is>
      </c>
      <c r="R290" s="33" t="n"/>
      <c r="S290" s="17" t="inlineStr">
        <is>
          <t>Lista de precios HZ: válvula «c/resorte» (Q-AGENTES)</t>
        </is>
      </c>
    </row>
    <row r="291">
      <c r="A291" s="33" t="inlineStr">
        <is>
          <t>FL_MAT_AFFF_10l</t>
        </is>
      </c>
      <c r="B291" s="33" t="n">
        <v>2</v>
      </c>
      <c r="C291" s="33" t="inlineStr">
        <is>
          <t>AFFF10-V3</t>
        </is>
      </c>
      <c r="D291" s="17" t="inlineStr">
        <is>
          <t xml:space="preserve">        Junta tórica del vástago</t>
        </is>
      </c>
      <c r="E291" s="33" t="n">
        <v>1</v>
      </c>
      <c r="F291" s="33" t="inlineStr">
        <is>
          <t>u</t>
        </is>
      </c>
      <c r="G291" s="34" t="n"/>
      <c r="H291" s="34" t="n"/>
      <c r="I291" s="33" t="inlineStr">
        <is>
          <t>NBR 70 Shore A</t>
        </is>
      </c>
      <c r="J291" s="17" t="inlineStr">
        <is>
          <t>incluida en la válvula</t>
        </is>
      </c>
      <c r="K291" s="33" t="inlineStr">
        <is>
          <t>Compra (en el conjunto)</t>
        </is>
      </c>
      <c r="L291" s="33" t="inlineStr">
        <is>
          <t>No</t>
        </is>
      </c>
      <c r="M291" s="17" t="n"/>
      <c r="N291" s="17" t="n"/>
      <c r="O291" s="17" t="inlineStr">
        <is>
          <t>19 Ensamblaje</t>
        </is>
      </c>
      <c r="P291" s="17" t="n"/>
      <c r="Q291" s="33" t="inlineStr">
        <is>
          <t>P</t>
        </is>
      </c>
      <c r="R291" s="33" t="n"/>
      <c r="S291" s="17" t="inlineStr">
        <is>
          <t>Figura en el plano como «vástago con junta tórica»</t>
        </is>
      </c>
    </row>
    <row r="292">
      <c r="A292" s="30" t="inlineStr">
        <is>
          <t>FL_MAT_AFFF_10l</t>
        </is>
      </c>
      <c r="B292" s="30" t="n">
        <v>1</v>
      </c>
      <c r="C292" s="30" t="inlineStr">
        <is>
          <t>AFFF10-S3</t>
        </is>
      </c>
      <c r="D292" s="31" t="inlineStr">
        <is>
          <t xml:space="preserve">    Dispositivo de descarga</t>
        </is>
      </c>
      <c r="E292" s="30" t="n">
        <v>1</v>
      </c>
      <c r="F292" s="30" t="inlineStr">
        <is>
          <t>u</t>
        </is>
      </c>
      <c r="G292" s="32" t="n"/>
      <c r="H292" s="32">
        <f>H293+H294+H295+H296</f>
        <v/>
      </c>
      <c r="I292" s="30" t="n"/>
      <c r="J292" s="31" t="n"/>
      <c r="K292" s="30" t="inlineStr">
        <is>
          <t>Compra / armado</t>
        </is>
      </c>
      <c r="L292" s="30" t="n"/>
      <c r="M292" s="31" t="n"/>
      <c r="N292" s="31" t="n"/>
      <c r="O292" s="31" t="n"/>
      <c r="P292" s="31" t="n"/>
      <c r="Q292" s="30" t="inlineStr">
        <is>
          <t>P</t>
        </is>
      </c>
      <c r="R292" s="30" t="inlineStr">
        <is>
          <t>FL_DES_AFFF_10l</t>
        </is>
      </c>
      <c r="S292" s="31" t="n"/>
    </row>
    <row r="293">
      <c r="A293" s="33" t="inlineStr">
        <is>
          <t>FL_MAT_AFFF_10l</t>
        </is>
      </c>
      <c r="B293" s="33" t="n">
        <v>2</v>
      </c>
      <c r="C293" s="33" t="inlineStr">
        <is>
          <t>AFFF10-15</t>
        </is>
      </c>
      <c r="D293" s="17" t="inlineStr">
        <is>
          <t xml:space="preserve">        Racor de manguera</t>
        </is>
      </c>
      <c r="E293" s="33" t="n">
        <v>1</v>
      </c>
      <c r="F293" s="33" t="inlineStr">
        <is>
          <t>u</t>
        </is>
      </c>
      <c r="G293" s="34" t="n">
        <v>0.0258</v>
      </c>
      <c r="H293" s="34">
        <f>E293*G293</f>
        <v/>
      </c>
      <c r="I293" s="33" t="inlineStr">
        <is>
          <t>Latón</t>
        </is>
      </c>
      <c r="J293" s="17" t="inlineStr">
        <is>
          <t>18 × 18 × 12</t>
        </is>
      </c>
      <c r="K293" s="33" t="inlineStr">
        <is>
          <t>Compra (en el conjunto)</t>
        </is>
      </c>
      <c r="L293" s="33" t="inlineStr">
        <is>
          <t>No</t>
        </is>
      </c>
      <c r="M293" s="17" t="n"/>
      <c r="N293" s="17" t="n"/>
      <c r="O293" s="17" t="inlineStr">
        <is>
          <t>S4 - se compra terminado (tercerizado con sello IRAM)</t>
        </is>
      </c>
      <c r="P293" s="17" t="n"/>
      <c r="Q293" s="33" t="inlineStr">
        <is>
          <t>P</t>
        </is>
      </c>
      <c r="R293" s="33" t="inlineStr">
        <is>
          <t>FL_DES_AFFF_10l</t>
        </is>
      </c>
      <c r="S293" s="17" t="n"/>
    </row>
    <row r="294">
      <c r="A294" s="33" t="inlineStr">
        <is>
          <t>FL_MAT_AFFF_10l</t>
        </is>
      </c>
      <c r="B294" s="33" t="n">
        <v>2</v>
      </c>
      <c r="C294" s="33" t="inlineStr">
        <is>
          <t>AFFF10-16</t>
        </is>
      </c>
      <c r="D294" s="17" t="inlineStr">
        <is>
          <t xml:space="preserve">        Manguera</t>
        </is>
      </c>
      <c r="E294" s="33" t="n">
        <v>1</v>
      </c>
      <c r="F294" s="33" t="inlineStr">
        <is>
          <t>u</t>
        </is>
      </c>
      <c r="G294" s="34" t="n">
        <v>0.0497</v>
      </c>
      <c r="H294" s="34">
        <f>E294*G294</f>
        <v/>
      </c>
      <c r="I294" s="33" t="inlineStr">
        <is>
          <t>Caucho sintético</t>
        </is>
      </c>
      <c r="J294" s="17" t="inlineStr">
        <is>
          <t>Ø16 × 322 de largo desarrollado</t>
        </is>
      </c>
      <c r="K294" s="33" t="inlineStr">
        <is>
          <t>Compra (en el conjunto)</t>
        </is>
      </c>
      <c r="L294" s="33" t="inlineStr">
        <is>
          <t>No</t>
        </is>
      </c>
      <c r="M294" s="17" t="n"/>
      <c r="N294" s="17" t="n"/>
      <c r="O294" s="17" t="inlineStr">
        <is>
          <t>S4 - se compra terminado (tercerizado con sello IRAM)</t>
        </is>
      </c>
      <c r="P294" s="17" t="n"/>
      <c r="Q294" s="33" t="inlineStr">
        <is>
          <t>P</t>
        </is>
      </c>
      <c r="R294" s="33" t="inlineStr">
        <is>
          <t>FL_DES_AFFF_10l</t>
        </is>
      </c>
      <c r="S294" s="17" t="n"/>
    </row>
    <row r="295">
      <c r="A295" s="33" t="inlineStr">
        <is>
          <t>FL_MAT_AFFF_10l</t>
        </is>
      </c>
      <c r="B295" s="33" t="n">
        <v>2</v>
      </c>
      <c r="C295" s="33" t="inlineStr">
        <is>
          <t>AFFF10-17</t>
        </is>
      </c>
      <c r="D295" s="17" t="inlineStr">
        <is>
          <t xml:space="preserve">        Lanza espumígena</t>
        </is>
      </c>
      <c r="E295" s="33" t="n">
        <v>1</v>
      </c>
      <c r="F295" s="33" t="inlineStr">
        <is>
          <t>u</t>
        </is>
      </c>
      <c r="G295" s="34" t="n">
        <v>0.051</v>
      </c>
      <c r="H295" s="34">
        <f>E295*G295</f>
        <v/>
      </c>
      <c r="I295" s="33" t="inlineStr">
        <is>
          <t>Polipropileno</t>
        </is>
      </c>
      <c r="J295" s="17" t="inlineStr">
        <is>
          <t>210 × 32 × 32</t>
        </is>
      </c>
      <c r="K295" s="33" t="inlineStr">
        <is>
          <t>Compra (en el conjunto)</t>
        </is>
      </c>
      <c r="L295" s="33" t="inlineStr">
        <is>
          <t>No</t>
        </is>
      </c>
      <c r="M295" s="17" t="n"/>
      <c r="N295" s="17" t="n"/>
      <c r="O295" s="17" t="inlineStr">
        <is>
          <t>S4 - se compra terminado (tercerizado con sello IRAM)</t>
        </is>
      </c>
      <c r="P295" s="17" t="n"/>
      <c r="Q295" s="33" t="inlineStr">
        <is>
          <t>P</t>
        </is>
      </c>
      <c r="R295" s="33" t="inlineStr">
        <is>
          <t>FL_DES_AFFF_10l</t>
        </is>
      </c>
      <c r="S295" s="17" t="n"/>
    </row>
    <row r="296">
      <c r="A296" s="33" t="inlineStr">
        <is>
          <t>FL_MAT_AFFF_10l</t>
        </is>
      </c>
      <c r="B296" s="33" t="n">
        <v>2</v>
      </c>
      <c r="C296" s="33" t="inlineStr">
        <is>
          <t>AFFF10-18</t>
        </is>
      </c>
      <c r="D296" s="17" t="inlineStr">
        <is>
          <t xml:space="preserve">        Suncho portatobera</t>
        </is>
      </c>
      <c r="E296" s="33" t="n">
        <v>1</v>
      </c>
      <c r="F296" s="33" t="inlineStr">
        <is>
          <t>u</t>
        </is>
      </c>
      <c r="G296" s="34" t="n">
        <v>0.163</v>
      </c>
      <c r="H296" s="34">
        <f>E296*G296</f>
        <v/>
      </c>
      <c r="I296" s="33" t="inlineStr">
        <is>
          <t>Fleje acero SAE 1010 pintado</t>
        </is>
      </c>
      <c r="J296" s="17" t="inlineStr">
        <is>
          <t>196,5 × 193 × 18</t>
        </is>
      </c>
      <c r="K296" s="33" t="inlineStr">
        <is>
          <t>Compra (en el conjunto)</t>
        </is>
      </c>
      <c r="L296" s="33" t="inlineStr">
        <is>
          <t>No</t>
        </is>
      </c>
      <c r="M296" s="17" t="n"/>
      <c r="N296" s="17" t="n"/>
      <c r="O296" s="17" t="inlineStr">
        <is>
          <t>S4 - se compra terminado (tercerizado con sello IRAM)</t>
        </is>
      </c>
      <c r="P296" s="17" t="n"/>
      <c r="Q296" s="33" t="inlineStr">
        <is>
          <t>P</t>
        </is>
      </c>
      <c r="R296" s="33" t="inlineStr">
        <is>
          <t>FL_DES_AFFF_10l</t>
        </is>
      </c>
      <c r="S296" s="17" t="n"/>
    </row>
    <row r="297">
      <c r="A297" s="30" t="inlineStr">
        <is>
          <t>FL_MAT_AFFF_10l</t>
        </is>
      </c>
      <c r="B297" s="30" t="n">
        <v>1</v>
      </c>
      <c r="C297" s="30" t="inlineStr">
        <is>
          <t>AFFF10-S5</t>
        </is>
      </c>
      <c r="D297" s="31" t="inlineStr">
        <is>
          <t xml:space="preserve">    Carga: agente extintor y gas impulsor</t>
        </is>
      </c>
      <c r="E297" s="30" t="n">
        <v>1</v>
      </c>
      <c r="F297" s="30" t="inlineStr">
        <is>
          <t>u</t>
        </is>
      </c>
      <c r="G297" s="32" t="n"/>
      <c r="H297" s="32">
        <f>H298+H299+H300</f>
        <v/>
      </c>
      <c r="I297" s="30" t="n"/>
      <c r="J297" s="31" t="n"/>
      <c r="K297" s="30" t="inlineStr">
        <is>
          <t>Compra</t>
        </is>
      </c>
      <c r="L297" s="30" t="n"/>
      <c r="M297" s="31" t="n"/>
      <c r="N297" s="31" t="n"/>
      <c r="O297" s="31" t="n"/>
      <c r="P297" s="31" t="n"/>
      <c r="Q297" s="30" t="n"/>
      <c r="R297" s="30" t="n"/>
      <c r="S297" s="31" t="n"/>
    </row>
    <row r="298">
      <c r="A298" s="33" t="inlineStr">
        <is>
          <t>FL_MAT_AFFF_10l</t>
        </is>
      </c>
      <c r="B298" s="33" t="n">
        <v>2</v>
      </c>
      <c r="C298" s="33" t="inlineStr">
        <is>
          <t>AFFF10-A1</t>
        </is>
      </c>
      <c r="D298" s="17" t="inlineStr">
        <is>
          <t xml:space="preserve">        Agua potable (premezcla)</t>
        </is>
      </c>
      <c r="E298" s="33" t="n">
        <v>9.699999999999999</v>
      </c>
      <c r="F298" s="33" t="inlineStr">
        <is>
          <t>L</t>
        </is>
      </c>
      <c r="G298" s="34" t="n">
        <v>1</v>
      </c>
      <c r="H298" s="34">
        <f>E298*G298</f>
        <v/>
      </c>
      <c r="I298" s="33" t="inlineStr">
        <is>
          <t>Agua</t>
        </is>
      </c>
      <c r="J298" s="17" t="inlineStr">
        <is>
          <t>97 % de 10 L; tolerancia ± 3 %</t>
        </is>
      </c>
      <c r="K298" s="33" t="inlineStr">
        <is>
          <t>Red</t>
        </is>
      </c>
      <c r="L298" s="33" t="inlineStr">
        <is>
          <t>No</t>
        </is>
      </c>
      <c r="M298" s="17" t="n"/>
      <c r="N298" s="17" t="n"/>
      <c r="O298" s="17" t="inlineStr">
        <is>
          <t>SP-1 premezcla</t>
        </is>
      </c>
      <c r="P298" s="17" t="inlineStr">
        <is>
          <t>IRAM 3517-2:2020 tabla 3</t>
        </is>
      </c>
      <c r="Q298" s="33" t="inlineStr">
        <is>
          <t>N</t>
        </is>
      </c>
      <c r="R298" s="33" t="n"/>
      <c r="S298" s="17" t="n"/>
    </row>
    <row r="299">
      <c r="A299" s="33" t="inlineStr">
        <is>
          <t>FL_MAT_AFFF_10l</t>
        </is>
      </c>
      <c r="B299" s="33" t="n">
        <v>2</v>
      </c>
      <c r="C299" s="33" t="inlineStr">
        <is>
          <t>AFFF10-A1b</t>
        </is>
      </c>
      <c r="D299" s="17" t="inlineStr">
        <is>
          <t xml:space="preserve">        Concentrado espumígeno AFFF 3 % (IRAM 3515)</t>
        </is>
      </c>
      <c r="E299" s="33" t="n">
        <v>0.3</v>
      </c>
      <c r="F299" s="33" t="inlineStr">
        <is>
          <t>L</t>
        </is>
      </c>
      <c r="G299" s="34" t="n">
        <v>1</v>
      </c>
      <c r="H299" s="34">
        <f>E299*G299</f>
        <v/>
      </c>
      <c r="I299" s="33" t="inlineStr">
        <is>
          <t>Concentrado espumígeno AFFF 3 % (IRAM 3515)</t>
        </is>
      </c>
      <c r="J299" s="17" t="inlineStr">
        <is>
          <t>nominal 0,3 L; tolerancia ± 3 % (IRAM 3517-2:2020 tabla 3)</t>
        </is>
      </c>
      <c r="K299" s="33" t="inlineStr">
        <is>
          <t>Compra</t>
        </is>
      </c>
      <c r="L299" s="33" t="inlineStr">
        <is>
          <t>No</t>
        </is>
      </c>
      <c r="M299" s="17" t="n"/>
      <c r="N299" s="17" t="n"/>
      <c r="O299" s="17" t="inlineStr">
        <is>
          <t>SP-1 almacén previo a la carga</t>
        </is>
      </c>
      <c r="P299" s="17" t="inlineStr">
        <is>
          <t>IRAM 3515</t>
        </is>
      </c>
      <c r="Q299" s="33" t="inlineStr">
        <is>
          <t>N</t>
        </is>
      </c>
      <c r="R299" s="33" t="n"/>
      <c r="S299" s="17" t="n"/>
    </row>
    <row r="300">
      <c r="A300" s="33" t="inlineStr">
        <is>
          <t>FL_MAT_AFFF_10l</t>
        </is>
      </c>
      <c r="B300" s="33" t="n">
        <v>2</v>
      </c>
      <c r="C300" s="33" t="inlineStr">
        <is>
          <t>AFFF10-A2</t>
        </is>
      </c>
      <c r="D300" s="17" t="inlineStr">
        <is>
          <t xml:space="preserve">        Gas impulsor: Aire comprimido</t>
        </is>
      </c>
      <c r="E300" s="33" t="n">
        <v>0.0427</v>
      </c>
      <c r="F300" s="33" t="inlineStr">
        <is>
          <t>kg</t>
        </is>
      </c>
      <c r="G300" s="34" t="n">
        <v>1</v>
      </c>
      <c r="H300" s="34">
        <f>E300*G300</f>
        <v/>
      </c>
      <c r="I300" s="33" t="inlineStr">
        <is>
          <t>Aire comprimido</t>
        </is>
      </c>
      <c r="J300" s="17" t="inlineStr">
        <is>
          <t>33 L normales para 0,8 MPa a 20 °C en 3,98 dm³ libres</t>
        </is>
      </c>
      <c r="K300" s="33" t="inlineStr">
        <is>
          <t>Compra</t>
        </is>
      </c>
      <c r="L300" s="33" t="inlineStr">
        <is>
          <t>No</t>
        </is>
      </c>
      <c r="M300" s="17" t="n"/>
      <c r="N300" s="17" t="n"/>
      <c r="O300" s="17" t="inlineStr">
        <is>
          <t>20 Presurización (T05) / C10</t>
        </is>
      </c>
      <c r="P300" s="17" t="inlineStr">
        <is>
          <t>IRAM 3517-2 9.4.9 (tabla 2) · IRAM 3523 2.3 y 3.10</t>
        </is>
      </c>
      <c r="Q300" s="33" t="inlineStr">
        <is>
          <t>C</t>
        </is>
      </c>
      <c r="R300" s="33" t="n"/>
      <c r="S300" s="17" t="inlineStr">
        <is>
          <t>Batería en SP-1; punto de rocío ≤ -56,7 °C para gases limpios</t>
        </is>
      </c>
    </row>
    <row r="301">
      <c r="A301" s="30" t="inlineStr">
        <is>
          <t>FL_MAT_AFFF_10l</t>
        </is>
      </c>
      <c r="B301" s="30" t="n">
        <v>1</v>
      </c>
      <c r="C301" s="30" t="inlineStr">
        <is>
          <t>AFFF10-S6</t>
        </is>
      </c>
      <c r="D301" s="31" t="inlineStr">
        <is>
          <t xml:space="preserve">    Identificación y precinto</t>
        </is>
      </c>
      <c r="E301" s="30" t="n">
        <v>1</v>
      </c>
      <c r="F301" s="30" t="inlineStr">
        <is>
          <t>u</t>
        </is>
      </c>
      <c r="G301" s="32" t="n"/>
      <c r="H301" s="32">
        <f>H302+H303+H304+H305+H306+H307+H308</f>
        <v/>
      </c>
      <c r="I301" s="30" t="n"/>
      <c r="J301" s="31" t="n"/>
      <c r="K301" s="30" t="inlineStr">
        <is>
          <t>Compra</t>
        </is>
      </c>
      <c r="L301" s="30" t="n"/>
      <c r="M301" s="31" t="n"/>
      <c r="N301" s="31" t="n"/>
      <c r="O301" s="31" t="inlineStr">
        <is>
          <t>22 Etiquetado (T07)</t>
        </is>
      </c>
      <c r="P301" s="31" t="n"/>
      <c r="Q301" s="30" t="n"/>
      <c r="R301" s="30" t="n"/>
      <c r="S301" s="31" t="n"/>
    </row>
    <row r="302">
      <c r="A302" s="33" t="inlineStr">
        <is>
          <t>FL_MAT_AFFF_10l</t>
        </is>
      </c>
      <c r="B302" s="33" t="n">
        <v>2</v>
      </c>
      <c r="C302" s="33" t="inlineStr">
        <is>
          <t>AFFF10-19</t>
        </is>
      </c>
      <c r="D302" s="17" t="inlineStr">
        <is>
          <t xml:space="preserve">        Etiqueta / placa de características</t>
        </is>
      </c>
      <c r="E302" s="33" t="n">
        <v>1</v>
      </c>
      <c r="F302" s="33" t="inlineStr">
        <is>
          <t>u</t>
        </is>
      </c>
      <c r="G302" s="34" t="n">
        <v>0.0323</v>
      </c>
      <c r="H302" s="34">
        <f>E302*G302</f>
        <v/>
      </c>
      <c r="I302" s="33" t="inlineStr">
        <is>
          <t>Vinilo autoadhesivo laminado</t>
        </is>
      </c>
      <c r="J302" s="17" t="inlineStr">
        <is>
          <t>359 × 215 (desarrollo × alto: panel central 108° + 2 alas laterales), e ≈ 0,3, laminado UV</t>
        </is>
      </c>
      <c r="K302" s="33" t="inlineStr">
        <is>
          <t>Compra</t>
        </is>
      </c>
      <c r="L302" s="33" t="inlineStr">
        <is>
          <t>No</t>
        </is>
      </c>
      <c r="M302" s="17" t="n"/>
      <c r="N302" s="17" t="n"/>
      <c r="O302" s="17" t="inlineStr">
        <is>
          <t>22 Etiquetado (T07)</t>
        </is>
      </c>
      <c r="P302" s="17" t="inlineStr">
        <is>
          <t>IRAM 3534 · IRAM 3527 cap. 5 · relevamiento de mercado</t>
        </is>
      </c>
      <c r="Q302" s="33" t="inlineStr">
        <is>
          <t>P</t>
        </is>
      </c>
      <c r="R302" s="33" t="inlineStr">
        <is>
          <t>FL_DES_AFFF_10l</t>
        </is>
      </c>
      <c r="S302" s="17" t="inlineStr">
        <is>
          <t>IRAM 3534</t>
        </is>
      </c>
    </row>
    <row r="303">
      <c r="A303" s="33" t="inlineStr">
        <is>
          <t>FL_MAT_AFFF_10l</t>
        </is>
      </c>
      <c r="B303" s="33" t="n">
        <v>2</v>
      </c>
      <c r="C303" s="33" t="inlineStr">
        <is>
          <t>AFFF10-20</t>
        </is>
      </c>
      <c r="D303" s="17" t="inlineStr">
        <is>
          <t xml:space="preserve">        Oblea de fabricación (PBA)</t>
        </is>
      </c>
      <c r="E303" s="33" t="n">
        <v>1</v>
      </c>
      <c r="F303" s="33" t="inlineStr">
        <is>
          <t>u</t>
        </is>
      </c>
      <c r="G303" s="34" t="n">
        <v>0.0009</v>
      </c>
      <c r="H303" s="34">
        <f>E303*G303</f>
        <v/>
      </c>
      <c r="I303" s="33" t="inlineStr">
        <is>
          <t>Papel de seguridad autodestructible</t>
        </is>
      </c>
      <c r="J303" s="17" t="inlineStr">
        <is>
          <t>Ø46 (Res. OPDS 522/07), numerada, autodestructible</t>
        </is>
      </c>
      <c r="K303" s="33" t="inlineStr">
        <is>
          <t>Compra</t>
        </is>
      </c>
      <c r="L303" s="33" t="inlineStr">
        <is>
          <t>No</t>
        </is>
      </c>
      <c r="M303" s="17" t="n"/>
      <c r="N303" s="17" t="n"/>
      <c r="O303" s="17" t="inlineStr">
        <is>
          <t>22 Etiquetado (T07)</t>
        </is>
      </c>
      <c r="P303" s="17" t="inlineStr">
        <is>
          <t>Res. OPDS 522/07 anexos 1, 2 y 6</t>
        </is>
      </c>
      <c r="Q303" s="33" t="inlineStr">
        <is>
          <t>P</t>
        </is>
      </c>
      <c r="R303" s="33" t="inlineStr">
        <is>
          <t>FL_DES_AFFF_10l</t>
        </is>
      </c>
      <c r="S303" s="17" t="inlineStr">
        <is>
          <t>Res. 522/07</t>
        </is>
      </c>
    </row>
    <row r="304">
      <c r="A304" s="33" t="inlineStr">
        <is>
          <t>FL_MAT_AFFF_10l</t>
        </is>
      </c>
      <c r="B304" s="33" t="n">
        <v>2</v>
      </c>
      <c r="C304" s="33" t="inlineStr">
        <is>
          <t>AFFF10-21</t>
        </is>
      </c>
      <c r="D304" s="17" t="inlineStr">
        <is>
          <t xml:space="preserve">        Estampilla IRAM de conformidad</t>
        </is>
      </c>
      <c r="E304" s="33" t="n">
        <v>1</v>
      </c>
      <c r="F304" s="33" t="inlineStr">
        <is>
          <t>u</t>
        </is>
      </c>
      <c r="G304" s="34" t="n">
        <v>0.001</v>
      </c>
      <c r="H304" s="34">
        <f>E304*G304</f>
        <v/>
      </c>
      <c r="I304" s="33" t="inlineStr">
        <is>
          <t>Provista por IRAM (Anexo R)</t>
        </is>
      </c>
      <c r="J304" s="17" t="inlineStr">
        <is>
          <t>60 × 40</t>
        </is>
      </c>
      <c r="K304" s="33" t="inlineStr">
        <is>
          <t>Compra</t>
        </is>
      </c>
      <c r="L304" s="33" t="inlineStr">
        <is>
          <t>No</t>
        </is>
      </c>
      <c r="M304" s="17" t="n"/>
      <c r="N304" s="17" t="n"/>
      <c r="O304" s="17" t="inlineStr">
        <is>
          <t>22 Etiquetado (T07)</t>
        </is>
      </c>
      <c r="P304" s="17" t="inlineStr">
        <is>
          <t>IRAM Anexo R (DC-PG-129)</t>
        </is>
      </c>
      <c r="Q304" s="33" t="inlineStr">
        <is>
          <t>P</t>
        </is>
      </c>
      <c r="R304" s="33" t="inlineStr">
        <is>
          <t>FL_DES_AFFF_10l</t>
        </is>
      </c>
      <c r="S304" s="17" t="inlineStr">
        <is>
          <t>numerada</t>
        </is>
      </c>
    </row>
    <row r="305">
      <c r="A305" s="33" t="inlineStr">
        <is>
          <t>FL_MAT_AFFF_10l</t>
        </is>
      </c>
      <c r="B305" s="33" t="n">
        <v>2</v>
      </c>
      <c r="C305" s="33" t="inlineStr">
        <is>
          <t>AFFF10-22</t>
        </is>
      </c>
      <c r="D305" s="17" t="inlineStr">
        <is>
          <t xml:space="preserve">        Tarjeta de identificación AGC (CABA)</t>
        </is>
      </c>
      <c r="E305" s="33" t="n">
        <v>1</v>
      </c>
      <c r="F305" s="33" t="inlineStr">
        <is>
          <t>u</t>
        </is>
      </c>
      <c r="G305" s="34" t="n">
        <v>0.0032</v>
      </c>
      <c r="H305" s="34">
        <f>E305*G305</f>
        <v/>
      </c>
      <c r="I305" s="33" t="inlineStr">
        <is>
          <t>Etiqueta autoadhesiva emitida por la AGC</t>
        </is>
      </c>
      <c r="J305" s="17" t="inlineStr">
        <is>
          <t>140 × 55</t>
        </is>
      </c>
      <c r="K305" s="33" t="inlineStr">
        <is>
          <t>Compra</t>
        </is>
      </c>
      <c r="L305" s="33" t="inlineStr">
        <is>
          <t>Sí</t>
        </is>
      </c>
      <c r="M305" s="17" t="inlineStr">
        <is>
          <t>Agencia Gubernamental de Control (CABA)</t>
        </is>
      </c>
      <c r="N305" s="17" t="inlineStr">
        <is>
          <t>-</t>
        </is>
      </c>
      <c r="O305" s="17" t="inlineStr">
        <is>
          <t>22 Etiquetado (T07)</t>
        </is>
      </c>
      <c r="P305" s="17" t="inlineStr">
        <is>
          <t>Ordenanza 40.473 art. 6 · Res. AGC 32/15</t>
        </is>
      </c>
      <c r="Q305" s="33" t="inlineStr">
        <is>
          <t>P</t>
        </is>
      </c>
      <c r="R305" s="33" t="inlineStr">
        <is>
          <t>FL_DES_AFFF_10l</t>
        </is>
      </c>
      <c r="S305" s="17" t="inlineStr">
        <is>
          <t>sólo destino CABA; sólo destino CABA</t>
        </is>
      </c>
    </row>
    <row r="306">
      <c r="A306" s="33" t="inlineStr">
        <is>
          <t>FL_MAT_AFFF_10l</t>
        </is>
      </c>
      <c r="B306" s="33" t="n">
        <v>2</v>
      </c>
      <c r="C306" s="33" t="inlineStr">
        <is>
          <t>AFFF10-23</t>
        </is>
      </c>
      <c r="D306" s="17" t="inlineStr">
        <is>
          <t xml:space="preserve">        Etiqueta de n° de serie GS1</t>
        </is>
      </c>
      <c r="E306" s="33" t="n">
        <v>1</v>
      </c>
      <c r="F306" s="33" t="inlineStr">
        <is>
          <t>u</t>
        </is>
      </c>
      <c r="G306" s="34" t="n">
        <v>0.0005</v>
      </c>
      <c r="H306" s="34">
        <f>E306*G306</f>
        <v/>
      </c>
      <c r="I306" s="33" t="inlineStr">
        <is>
          <t>Poliéster autoadhesivo impreso térmico</t>
        </is>
      </c>
      <c r="J306" s="17" t="inlineStr">
        <is>
          <t>45 × 25</t>
        </is>
      </c>
      <c r="K306" s="33" t="inlineStr">
        <is>
          <t>Compra</t>
        </is>
      </c>
      <c r="L306" s="33" t="inlineStr">
        <is>
          <t>No</t>
        </is>
      </c>
      <c r="M306" s="17" t="n"/>
      <c r="N306" s="17" t="n"/>
      <c r="O306" s="17" t="inlineStr">
        <is>
          <t>22 Etiquetado (T07)</t>
        </is>
      </c>
      <c r="P306" s="17" t="inlineStr">
        <is>
          <t>GS1 Argentina (GTIN 779) · trazabilidad IRAM 3523 5.1</t>
        </is>
      </c>
      <c r="Q306" s="33" t="inlineStr">
        <is>
          <t>P</t>
        </is>
      </c>
      <c r="R306" s="33" t="inlineStr">
        <is>
          <t>FL_DES_AFFF_10l</t>
        </is>
      </c>
      <c r="S306" s="17" t="inlineStr">
        <is>
          <t>QR GTIN + serie</t>
        </is>
      </c>
    </row>
    <row r="307">
      <c r="A307" s="33" t="inlineStr">
        <is>
          <t>FL_MAT_AFFF_10l</t>
        </is>
      </c>
      <c r="B307" s="33" t="n">
        <v>2</v>
      </c>
      <c r="C307" s="33" t="inlineStr">
        <is>
          <t>AFFF10-25</t>
        </is>
      </c>
      <c r="D307" s="17" t="inlineStr">
        <is>
          <t xml:space="preserve">        Faja de garantía válvula-cuello</t>
        </is>
      </c>
      <c r="E307" s="33" t="n">
        <v>1</v>
      </c>
      <c r="F307" s="33" t="inlineStr">
        <is>
          <t>u</t>
        </is>
      </c>
      <c r="G307" s="34" t="n">
        <v>0.0003</v>
      </c>
      <c r="H307" s="34">
        <f>E307*G307</f>
        <v/>
      </c>
      <c r="I307" s="33" t="inlineStr">
        <is>
          <t>Vinilo destructible rayado rojo/blanco</t>
        </is>
      </c>
      <c r="J307" s="17" t="inlineStr">
        <is>
          <t>30 × 40</t>
        </is>
      </c>
      <c r="K307" s="33" t="inlineStr">
        <is>
          <t>Compra</t>
        </is>
      </c>
      <c r="L307" s="33" t="inlineStr">
        <is>
          <t>No</t>
        </is>
      </c>
      <c r="M307" s="17" t="n"/>
      <c r="N307" s="17" t="n"/>
      <c r="O307" s="17" t="inlineStr">
        <is>
          <t>22 Etiquetado (T07)</t>
        </is>
      </c>
      <c r="P307" s="17" t="inlineStr">
        <is>
          <t>Sin norma: práctica de mercado (garantía de fábrica)</t>
        </is>
      </c>
      <c r="Q307" s="33" t="inlineStr">
        <is>
          <t>P</t>
        </is>
      </c>
      <c r="R307" s="33" t="inlineStr">
        <is>
          <t>FL_DES_AFFF_10l</t>
        </is>
      </c>
      <c r="S307" s="17" t="inlineStr">
        <is>
          <t>nuevo sin abrir</t>
        </is>
      </c>
    </row>
    <row r="308">
      <c r="A308" s="33" t="inlineStr">
        <is>
          <t>FL_MAT_AFFF_10l</t>
        </is>
      </c>
      <c r="B308" s="33" t="n">
        <v>2</v>
      </c>
      <c r="C308" s="33" t="inlineStr">
        <is>
          <t>AFFF10-26</t>
        </is>
      </c>
      <c r="D308" s="17" t="inlineStr">
        <is>
          <t xml:space="preserve">        Precinto de fábrica</t>
        </is>
      </c>
      <c r="E308" s="33" t="n">
        <v>1</v>
      </c>
      <c r="F308" s="33" t="inlineStr">
        <is>
          <t>u</t>
        </is>
      </c>
      <c r="G308" s="34" t="n">
        <v>0.0002</v>
      </c>
      <c r="H308" s="34">
        <f>E308*G308</f>
        <v/>
      </c>
      <c r="I308" s="33" t="inlineStr">
        <is>
          <t>Polipropileno color</t>
        </is>
      </c>
      <c r="J308" s="17" t="inlineStr">
        <is>
          <t>Ø5 × 10, numerado, rotura 30-50 N</t>
        </is>
      </c>
      <c r="K308" s="33" t="inlineStr">
        <is>
          <t>Compra</t>
        </is>
      </c>
      <c r="L308" s="33" t="inlineStr">
        <is>
          <t>No</t>
        </is>
      </c>
      <c r="M308" s="17" t="n"/>
      <c r="N308" s="17" t="n"/>
      <c r="O308" s="17" t="inlineStr">
        <is>
          <t>20 Presurización (T05)</t>
        </is>
      </c>
      <c r="P308" s="17" t="inlineStr">
        <is>
          <t>IRAM 3523 3.3.2 · IRAM 3517-2:2020 9.4.13</t>
        </is>
      </c>
      <c r="Q308" s="33" t="inlineStr">
        <is>
          <t>P</t>
        </is>
      </c>
      <c r="R308" s="33" t="inlineStr">
        <is>
          <t>FL_DES_AFFF_10l</t>
        </is>
      </c>
      <c r="S308" s="17" t="inlineStr">
        <is>
          <t>id. FLAMA y lote</t>
        </is>
      </c>
    </row>
    <row r="309">
      <c r="A309" s="30" t="inlineStr">
        <is>
          <t>FL_MAT_AFFF_10l</t>
        </is>
      </c>
      <c r="B309" s="30" t="n">
        <v>1</v>
      </c>
      <c r="C309" s="30" t="inlineStr">
        <is>
          <t>AFFF10-S8</t>
        </is>
      </c>
      <c r="D309" s="31" t="inlineStr">
        <is>
          <t xml:space="preserve">    Soporte (accesorio de montaje)</t>
        </is>
      </c>
      <c r="E309" s="30" t="n">
        <v>1</v>
      </c>
      <c r="F309" s="30" t="inlineStr">
        <is>
          <t>u</t>
        </is>
      </c>
      <c r="G309" s="32" t="n"/>
      <c r="H309" s="32">
        <f>H310</f>
        <v/>
      </c>
      <c r="I309" s="30" t="n"/>
      <c r="J309" s="31" t="n"/>
      <c r="K309" s="30" t="inlineStr">
        <is>
          <t>Compra</t>
        </is>
      </c>
      <c r="L309" s="30" t="n"/>
      <c r="M309" s="31" t="n"/>
      <c r="N309" s="31" t="n"/>
      <c r="O309" s="31" t="inlineStr">
        <is>
          <t>23 Embalaje (va dentro de la caja)</t>
        </is>
      </c>
      <c r="P309" s="31" t="inlineStr">
        <is>
          <t>IRAM 3517-2 7.4</t>
        </is>
      </c>
      <c r="Q309" s="30" t="n"/>
      <c r="R309" s="30" t="n"/>
      <c r="S309" s="31" t="n"/>
    </row>
    <row r="310">
      <c r="A310" s="33" t="inlineStr">
        <is>
          <t>FL_MAT_AFFF_10l</t>
        </is>
      </c>
      <c r="B310" s="33" t="n">
        <v>2</v>
      </c>
      <c r="C310" s="33" t="inlineStr">
        <is>
          <t>AFFF10-I5</t>
        </is>
      </c>
      <c r="D310" s="17" t="inlineStr">
        <is>
          <t xml:space="preserve">        Soporte de pared (FL_ACC_01)</t>
        </is>
      </c>
      <c r="E310" s="33" t="n">
        <v>1</v>
      </c>
      <c r="F310" s="33" t="inlineStr">
        <is>
          <t>u</t>
        </is>
      </c>
      <c r="G310" s="34" t="n">
        <v>0.327</v>
      </c>
      <c r="H310" s="34">
        <f>E310*G310</f>
        <v/>
      </c>
      <c r="I310" s="33" t="inlineStr">
        <is>
          <t>Chapa acero SAE 1010 e=2 pintada</t>
        </is>
      </c>
      <c r="J310" s="17" t="inlineStr">
        <is>
          <t>placa 60 × 180, ala con ranura Ø cuello + 3</t>
        </is>
      </c>
      <c r="K310" s="33" t="inlineStr">
        <is>
          <t>Compra</t>
        </is>
      </c>
      <c r="L310" s="33" t="inlineStr">
        <is>
          <t>No</t>
        </is>
      </c>
      <c r="M310" s="17" t="n"/>
      <c r="N310" s="17" t="n"/>
      <c r="O310" s="17" t="inlineStr">
        <is>
          <t>23 Embalaje</t>
        </is>
      </c>
      <c r="P310" s="17" t="inlineStr">
        <is>
          <t>IRAM 3517-2 7.4</t>
        </is>
      </c>
      <c r="Q310" s="33" t="inlineStr">
        <is>
          <t>P</t>
        </is>
      </c>
      <c r="R310" s="33" t="inlineStr">
        <is>
          <t>FL_ACC_01</t>
        </is>
      </c>
      <c r="S310" s="17" t="n"/>
    </row>
    <row r="311">
      <c r="A311" s="33" t="inlineStr">
        <is>
          <t>FL_MAT_AFFF_10l</t>
        </is>
      </c>
      <c r="B311" s="33" t="n">
        <v>2</v>
      </c>
      <c r="C311" s="33" t="inlineStr">
        <is>
          <t>AFFF10-I6</t>
        </is>
      </c>
      <c r="D311" s="17" t="inlineStr">
        <is>
          <t xml:space="preserve">        Tornillo y tarugo de fijación</t>
        </is>
      </c>
      <c r="E311" s="33" t="n">
        <v>2</v>
      </c>
      <c r="F311" s="33" t="inlineStr">
        <is>
          <t>u</t>
        </is>
      </c>
      <c r="G311" s="34" t="n"/>
      <c r="H311" s="34" t="n"/>
      <c r="I311" s="33" t="inlineStr">
        <is>
          <t>Acero cincado / nylon</t>
        </is>
      </c>
      <c r="J311" s="17" t="inlineStr">
        <is>
          <t>2 agujeros Ø8,5 del plano FL_ACC_01 → tornillo M8 + tarugo</t>
        </is>
      </c>
      <c r="K311" s="33" t="inlineStr">
        <is>
          <t>Compra</t>
        </is>
      </c>
      <c r="L311" s="33" t="inlineStr">
        <is>
          <t>No</t>
        </is>
      </c>
      <c r="M311" s="17" t="n"/>
      <c r="N311" s="17" t="n"/>
      <c r="O311" s="17" t="inlineStr">
        <is>
          <t>23 Embalaje</t>
        </is>
      </c>
      <c r="P311" s="17" t="n"/>
      <c r="Q311" s="33" t="inlineStr">
        <is>
          <t>P</t>
        </is>
      </c>
      <c r="R311" s="33" t="inlineStr">
        <is>
          <t>FL_ACC_01</t>
        </is>
      </c>
      <c r="S311" s="17" t="n"/>
    </row>
    <row r="312">
      <c r="A312" s="30" t="inlineStr">
        <is>
          <t>FL_MAT_AFFF_10l</t>
        </is>
      </c>
      <c r="B312" s="30" t="n">
        <v>1</v>
      </c>
      <c r="C312" s="30" t="inlineStr">
        <is>
          <t>AFFF10-S7</t>
        </is>
      </c>
      <c r="D312" s="31" t="inlineStr">
        <is>
          <t xml:space="preserve">    Embalaje</t>
        </is>
      </c>
      <c r="E312" s="30" t="n">
        <v>1</v>
      </c>
      <c r="F312" s="30" t="inlineStr">
        <is>
          <t>u</t>
        </is>
      </c>
      <c r="G312" s="32" t="n"/>
      <c r="H312" s="32">
        <f>H316</f>
        <v/>
      </c>
      <c r="I312" s="30" t="n"/>
      <c r="J312" s="31" t="n"/>
      <c r="K312" s="30" t="inlineStr">
        <is>
          <t>Compra</t>
        </is>
      </c>
      <c r="L312" s="30" t="n"/>
      <c r="M312" s="31" t="n"/>
      <c r="N312" s="31" t="n"/>
      <c r="O312" s="31" t="inlineStr">
        <is>
          <t>23 Embalaje -&gt; 24 envolvedora (T11)</t>
        </is>
      </c>
      <c r="P312" s="31" t="n"/>
      <c r="Q312" s="30" t="n"/>
      <c r="R312" s="30" t="n"/>
      <c r="S312" s="31" t="n"/>
    </row>
    <row r="313">
      <c r="A313" s="33" t="inlineStr">
        <is>
          <t>FL_MAT_AFFF_10l</t>
        </is>
      </c>
      <c r="B313" s="33" t="n">
        <v>2</v>
      </c>
      <c r="C313" s="33" t="inlineStr">
        <is>
          <t>AFFF10-E1</t>
        </is>
      </c>
      <c r="D313" s="17" t="inlineStr">
        <is>
          <t xml:space="preserve">        Caja de cartón corrugado doble</t>
        </is>
      </c>
      <c r="E313" s="33" t="n">
        <v>1</v>
      </c>
      <c r="F313" s="33" t="inlineStr">
        <is>
          <t>u</t>
        </is>
      </c>
      <c r="G313" s="34" t="n"/>
      <c r="H313" s="34" t="n"/>
      <c r="I313" s="33" t="inlineStr">
        <is>
          <t>Cartón corrugado</t>
        </is>
      </c>
      <c r="J313" s="17" t="inlineStr">
        <is>
          <t>270 × 223 × 670 interior (envolvente del plano + 15 por lado)</t>
        </is>
      </c>
      <c r="K313" s="33" t="inlineStr">
        <is>
          <t>Compra</t>
        </is>
      </c>
      <c r="L313" s="33" t="inlineStr">
        <is>
          <t>No</t>
        </is>
      </c>
      <c r="M313" s="17" t="n"/>
      <c r="N313" s="17" t="n"/>
      <c r="O313" s="17" t="inlineStr">
        <is>
          <t>23 Embalaje</t>
        </is>
      </c>
      <c r="P313" s="17" t="n"/>
      <c r="Q313" s="33" t="inlineStr">
        <is>
          <t>P</t>
        </is>
      </c>
      <c r="R313" s="33" t="n"/>
      <c r="S313" s="17" t="inlineStr">
        <is>
          <t>Medida del plano</t>
        </is>
      </c>
    </row>
    <row r="314">
      <c r="A314" s="33" t="inlineStr">
        <is>
          <t>FL_MAT_AFFF_10l</t>
        </is>
      </c>
      <c r="B314" s="33" t="n">
        <v>2</v>
      </c>
      <c r="C314" s="33" t="inlineStr">
        <is>
          <t>AFFF10-E2</t>
        </is>
      </c>
      <c r="D314" s="17" t="inlineStr">
        <is>
          <t xml:space="preserve">        Instructivo de uso y mantenimiento</t>
        </is>
      </c>
      <c r="E314" s="33" t="n">
        <v>1</v>
      </c>
      <c r="F314" s="33" t="inlineStr">
        <is>
          <t>u</t>
        </is>
      </c>
      <c r="G314" s="34" t="n"/>
      <c r="H314" s="34" t="n"/>
      <c r="I314" s="33" t="inlineStr">
        <is>
          <t>Papel</t>
        </is>
      </c>
      <c r="J314" s="17" t="inlineStr">
        <is>
          <t>A5</t>
        </is>
      </c>
      <c r="K314" s="33" t="inlineStr">
        <is>
          <t>Compra</t>
        </is>
      </c>
      <c r="L314" s="33" t="inlineStr">
        <is>
          <t>No</t>
        </is>
      </c>
      <c r="M314" s="17" t="n"/>
      <c r="N314" s="17" t="n"/>
      <c r="O314" s="17" t="inlineStr">
        <is>
          <t>23 Embalaje</t>
        </is>
      </c>
      <c r="P314" s="17" t="n"/>
      <c r="Q314" s="33" t="inlineStr">
        <is>
          <t>I</t>
        </is>
      </c>
      <c r="R314" s="33" t="n"/>
      <c r="S314" s="17" t="inlineStr">
        <is>
          <t>Decisión comercial de FLAMA (las instrucciones de uso obligatorias van en la etiqueta, IRAM 3534)</t>
        </is>
      </c>
    </row>
    <row r="315">
      <c r="A315" s="33" t="inlineStr">
        <is>
          <t>FL_MAT_AFFF_10l</t>
        </is>
      </c>
      <c r="B315" s="33" t="n">
        <v>2</v>
      </c>
      <c r="C315" s="33" t="inlineStr">
        <is>
          <t>AFFF10-E3</t>
        </is>
      </c>
      <c r="D315" s="17" t="inlineStr">
        <is>
          <t xml:space="preserve">        Pallet 1200 × 1000 (fracción)</t>
        </is>
      </c>
      <c r="E315" s="33" t="n">
        <v>0.0312</v>
      </c>
      <c r="F315" s="33" t="inlineStr">
        <is>
          <t>u</t>
        </is>
      </c>
      <c r="G315" s="34" t="n"/>
      <c r="H315" s="34" t="n"/>
      <c r="I315" s="33" t="inlineStr">
        <is>
          <t>Madera</t>
        </is>
      </c>
      <c r="J315" s="17" t="inlineStr">
        <is>
          <t>32 u por pallet</t>
        </is>
      </c>
      <c r="K315" s="33" t="inlineStr">
        <is>
          <t>Compra</t>
        </is>
      </c>
      <c r="L315" s="33" t="inlineStr">
        <is>
          <t>No</t>
        </is>
      </c>
      <c r="M315" s="17" t="n"/>
      <c r="N315" s="17" t="n"/>
      <c r="O315" s="17" t="inlineStr">
        <is>
          <t>23 Embalaje</t>
        </is>
      </c>
      <c r="P315" s="17" t="n"/>
      <c r="Q315" s="33" t="inlineStr">
        <is>
          <t>C</t>
        </is>
      </c>
      <c r="R315" s="33" t="n"/>
      <c r="S315" s="17" t="inlineStr">
        <is>
          <t>u por pallet = acomodo de la caja (plano) en 1200 × 1000 × 1450 de alto</t>
        </is>
      </c>
    </row>
    <row r="316">
      <c r="A316" s="33" t="inlineStr">
        <is>
          <t>FL_MAT_AFFF_10l</t>
        </is>
      </c>
      <c r="B316" s="33" t="n">
        <v>2</v>
      </c>
      <c r="C316" s="33" t="inlineStr">
        <is>
          <t>AFFF10-E4</t>
        </is>
      </c>
      <c r="D316" s="17" t="inlineStr">
        <is>
          <t xml:space="preserve">        Film stretch (fracción del pallet)</t>
        </is>
      </c>
      <c r="E316" s="33" t="n">
        <v>0.0037</v>
      </c>
      <c r="F316" s="33" t="inlineStr">
        <is>
          <t>kg</t>
        </is>
      </c>
      <c r="G316" s="34" t="n">
        <v>1</v>
      </c>
      <c r="H316" s="34">
        <f>E316*G316</f>
        <v/>
      </c>
      <c r="I316" s="33" t="inlineStr">
        <is>
          <t>PE lineal 23 µm</t>
        </is>
      </c>
      <c r="J316" s="17" t="inlineStr">
        <is>
          <t>0,12 kg por pallet / 32 u</t>
        </is>
      </c>
      <c r="K316" s="33" t="inlineStr">
        <is>
          <t>Compra</t>
        </is>
      </c>
      <c r="L316" s="33" t="inlineStr">
        <is>
          <t>No</t>
        </is>
      </c>
      <c r="M316" s="17" t="n"/>
      <c r="N316" s="17" t="n"/>
      <c r="O316" s="17" t="inlineStr">
        <is>
          <t>24 Envolvedora (T11)</t>
        </is>
      </c>
      <c r="P316" s="17" t="n"/>
      <c r="Q316" s="33" t="inlineStr">
        <is>
          <t>C</t>
        </is>
      </c>
      <c r="R316" s="33" t="n"/>
      <c r="S31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7">
      <c r="A317" s="33" t="inlineStr">
        <is>
          <t>FL_MAT_AFFF_10l</t>
        </is>
      </c>
      <c r="B317" s="33" t="n">
        <v>2</v>
      </c>
      <c r="C317" s="33" t="inlineStr">
        <is>
          <t>AFFF10-E5</t>
        </is>
      </c>
      <c r="D317" s="17" t="inlineStr">
        <is>
          <t xml:space="preserve">        Etiqueta de pallet (lote y destino, fracción)</t>
        </is>
      </c>
      <c r="E317" s="33" t="n">
        <v>0.0312</v>
      </c>
      <c r="F317" s="33" t="inlineStr">
        <is>
          <t>u</t>
        </is>
      </c>
      <c r="G317" s="34" t="n"/>
      <c r="H317" s="34" t="n"/>
      <c r="I317" s="33" t="inlineStr">
        <is>
          <t>Papel térmico</t>
        </is>
      </c>
      <c r="J317" s="17" t="inlineStr">
        <is>
          <t>100 × 150</t>
        </is>
      </c>
      <c r="K317" s="33" t="inlineStr">
        <is>
          <t>Compra</t>
        </is>
      </c>
      <c r="L317" s="33" t="inlineStr">
        <is>
          <t>No</t>
        </is>
      </c>
      <c r="M317" s="17" t="n"/>
      <c r="N317" s="17" t="n"/>
      <c r="O317" s="17" t="inlineStr">
        <is>
          <t>24 Envolvedora</t>
        </is>
      </c>
      <c r="P317" s="17" t="n"/>
      <c r="Q317" s="33" t="inlineStr">
        <is>
          <t>C</t>
        </is>
      </c>
      <c r="R317" s="33" t="n"/>
      <c r="S317" s="17" t="n"/>
    </row>
    <row r="318">
      <c r="A318" s="33" t="inlineStr">
        <is>
          <t>FL_MAT_AFFF_10l</t>
        </is>
      </c>
      <c r="B318" s="33" t="n">
        <v>2</v>
      </c>
      <c r="C318" s="33" t="inlineStr">
        <is>
          <t>AFFF10-E6</t>
        </is>
      </c>
      <c r="D318" s="17" t="inlineStr">
        <is>
          <t xml:space="preserve">        Cinta de embalaje PP 48 mm (cierre de la caja)</t>
        </is>
      </c>
      <c r="E318" s="33" t="n">
        <v>0.82</v>
      </c>
      <c r="F318" s="33" t="inlineStr">
        <is>
          <t>m</t>
        </is>
      </c>
      <c r="G318" s="34" t="n"/>
      <c r="H318" s="34" t="n"/>
      <c r="I318" s="33" t="inlineStr">
        <is>
          <t>Polipropileno con adhesivo acrílico</t>
        </is>
      </c>
      <c r="J318" s="17" t="inlineStr">
        <is>
          <t>cierre en I arriba y abajo: 2 × (270 + 2 × 70 de solapa)</t>
        </is>
      </c>
      <c r="K318" s="33" t="inlineStr">
        <is>
          <t>Compra</t>
        </is>
      </c>
      <c r="L318" s="33" t="inlineStr">
        <is>
          <t>No</t>
        </is>
      </c>
      <c r="M318" s="17" t="n"/>
      <c r="N318" s="17" t="n"/>
      <c r="O318" s="17" t="inlineStr">
        <is>
          <t>23 Embalaje</t>
        </is>
      </c>
      <c r="P318" s="17" t="n"/>
      <c r="Q318" s="33" t="inlineStr">
        <is>
          <t>C</t>
        </is>
      </c>
      <c r="R318" s="33" t="n"/>
      <c r="S318" s="17" t="inlineStr">
        <is>
          <t>Solapa de 70 mm por lado: práctica de cierre de cajas (medir en la línea)</t>
        </is>
      </c>
    </row>
    <row r="319">
      <c r="A319" s="33" t="inlineStr">
        <is>
          <t>FL_MAT_AFFF_10l</t>
        </is>
      </c>
      <c r="B319" s="33" t="n">
        <v>2</v>
      </c>
      <c r="C319" s="33" t="inlineStr">
        <is>
          <t>AFFF10-E7</t>
        </is>
      </c>
      <c r="D319" s="17" t="inlineStr">
        <is>
          <t xml:space="preserve">        Esquineros de cartón 50 × 50 × 1200 (fracción del pallet)</t>
        </is>
      </c>
      <c r="E319" s="33" t="n">
        <v>0.125</v>
      </c>
      <c r="F319" s="33" t="inlineStr">
        <is>
          <t>u</t>
        </is>
      </c>
      <c r="G319" s="34" t="n"/>
      <c r="H319" s="34" t="n"/>
      <c r="I319" s="33" t="inlineStr">
        <is>
          <t>Cartón</t>
        </is>
      </c>
      <c r="J319" s="17" t="inlineStr">
        <is>
          <t>4 por pallet / 32 u</t>
        </is>
      </c>
      <c r="K319" s="33" t="inlineStr">
        <is>
          <t>Compra</t>
        </is>
      </c>
      <c r="L319" s="33" t="inlineStr">
        <is>
          <t>No</t>
        </is>
      </c>
      <c r="M319" s="17" t="n"/>
      <c r="N319" s="17" t="n"/>
      <c r="O319" s="17" t="inlineStr">
        <is>
          <t>24 Envolvedora (T11)</t>
        </is>
      </c>
      <c r="P319" s="17" t="n"/>
      <c r="Q319" s="33" t="inlineStr">
        <is>
          <t>C</t>
        </is>
      </c>
      <c r="R319" s="33" t="n"/>
      <c r="S319" s="17" t="inlineStr">
        <is>
          <t>Planilla MP-64</t>
        </is>
      </c>
    </row>
    <row r="320">
      <c r="A320" s="27" t="inlineStr">
        <is>
          <t>FL_MAT_AFFF_50l</t>
        </is>
      </c>
      <c r="B320" s="27" t="n">
        <v>0</v>
      </c>
      <c r="C320" s="27" t="inlineStr">
        <is>
          <t>FL_MAT_AFFF_50l</t>
        </is>
      </c>
      <c r="D320" s="28" t="inlineStr">
        <is>
          <t>Extintor AFFF 50 l sobre ruedas</t>
        </is>
      </c>
      <c r="E320" s="27" t="n">
        <v>1</v>
      </c>
      <c r="F320" s="27" t="inlineStr">
        <is>
          <t>u</t>
        </is>
      </c>
      <c r="G320" s="29" t="n"/>
      <c r="H320" s="29" t="n"/>
      <c r="I320" s="27" t="n"/>
      <c r="J320" s="28" t="n"/>
      <c r="K320" s="27" t="n"/>
      <c r="L320" s="27" t="n"/>
      <c r="M320" s="28" t="n"/>
      <c r="N320" s="28" t="n"/>
      <c r="O320" s="28" t="n"/>
      <c r="P320" s="28" t="inlineStr">
        <is>
          <t>IRAM 3541</t>
        </is>
      </c>
      <c r="Q320" s="27" t="inlineStr">
        <is>
          <t>P</t>
        </is>
      </c>
      <c r="R320" s="27" t="inlineStr">
        <is>
          <t>FL_MAT_AFFF_50l</t>
        </is>
      </c>
      <c r="S320" s="28" t="inlineStr">
        <is>
          <t>Revendido: se compra terminado al fabricante con Sello IRAM; las piezas internas quedan como referencia (no entran en MRP)</t>
        </is>
      </c>
    </row>
    <row r="321">
      <c r="A321" s="30" t="inlineStr">
        <is>
          <t>FL_MAT_AFFF_50l</t>
        </is>
      </c>
      <c r="B321" s="30" t="n">
        <v>1</v>
      </c>
      <c r="C321" s="30" t="inlineStr">
        <is>
          <t>AFFF50-S0</t>
        </is>
      </c>
      <c r="D321" s="31" t="inlineStr">
        <is>
          <t xml:space="preserve">    Equipo terminado comprado (fabricante con Sello IRAM)</t>
        </is>
      </c>
      <c r="E321" s="30" t="n">
        <v>1</v>
      </c>
      <c r="F321" s="30" t="inlineStr">
        <is>
          <t>u</t>
        </is>
      </c>
      <c r="G321" s="32" t="n"/>
      <c r="H321" s="32" t="n"/>
      <c r="I321" s="30" t="n"/>
      <c r="J321" s="31" t="n"/>
      <c r="K321" s="30" t="inlineStr">
        <is>
          <t>Compra</t>
        </is>
      </c>
      <c r="L321" s="30" t="inlineStr">
        <is>
          <t>Sí</t>
        </is>
      </c>
      <c r="M321" s="31" t="inlineStr">
        <is>
          <t>Matafuegos Georgia - venta mayorista</t>
        </is>
      </c>
      <c r="N321" s="31" t="inlineStr">
        <is>
          <t>Drago (Luis Pasquinelli e Hijos S.A.)</t>
        </is>
      </c>
      <c r="O321" s="31" t="inlineStr">
        <is>
          <t>Recepción y control de ingreso (SP-1)</t>
        </is>
      </c>
      <c r="P321" s="31" t="inlineStr">
        <is>
          <t>IRAM 3541</t>
        </is>
      </c>
      <c r="Q321" s="30" t="inlineStr">
        <is>
          <t>I</t>
        </is>
      </c>
      <c r="R321" s="30" t="inlineStr">
        <is>
          <t>FL_MAT_AFFF_50l</t>
        </is>
      </c>
      <c r="S321" s="31" t="inlineStr">
        <is>
          <t>Única fila de compra del revendido (más la tarjeta AGC si el destino es CABA)</t>
        </is>
      </c>
    </row>
    <row r="322">
      <c r="A322" s="30" t="inlineStr">
        <is>
          <t>FL_MAT_AFFF_50l</t>
        </is>
      </c>
      <c r="B322" s="30" t="n">
        <v>1</v>
      </c>
      <c r="C322" s="30" t="inlineStr">
        <is>
          <t>AFFF50-S1</t>
        </is>
      </c>
      <c r="D322" s="31" t="inlineStr">
        <is>
          <t xml:space="preserve">    Recipiente (cilindro)</t>
        </is>
      </c>
      <c r="E322" s="30" t="n">
        <v>1</v>
      </c>
      <c r="F322" s="30" t="inlineStr">
        <is>
          <t>u</t>
        </is>
      </c>
      <c r="G322" s="32" t="n"/>
      <c r="H322" s="32">
        <f>H323+H324+H325+H326</f>
        <v/>
      </c>
      <c r="I322" s="30" t="n"/>
      <c r="J322" s="31" t="n"/>
      <c r="K322" s="30" t="inlineStr">
        <is>
          <t>Compra / armado</t>
        </is>
      </c>
      <c r="L322" s="30" t="n"/>
      <c r="M322" s="31" t="n"/>
      <c r="N322" s="31" t="n"/>
      <c r="O322" s="31" t="n"/>
      <c r="P322" s="31" t="inlineStr">
        <is>
          <t>IRAM 3523 / 3550 (recipiente)</t>
        </is>
      </c>
      <c r="Q322" s="30" t="inlineStr">
        <is>
          <t>P</t>
        </is>
      </c>
      <c r="R322" s="30" t="inlineStr">
        <is>
          <t>FL_DES_AFFF_50l</t>
        </is>
      </c>
      <c r="S322" s="31" t="n"/>
    </row>
    <row r="323">
      <c r="A323" s="33" t="inlineStr">
        <is>
          <t>FL_MAT_AFFF_50l</t>
        </is>
      </c>
      <c r="B323" s="33" t="n">
        <v>2</v>
      </c>
      <c r="C323" s="33" t="inlineStr">
        <is>
          <t>AFFF50-01</t>
        </is>
      </c>
      <c r="D323" s="17" t="inlineStr">
        <is>
          <t xml:space="preserve">        Cuerpo (virola)</t>
        </is>
      </c>
      <c r="E323" s="33" t="n">
        <v>1</v>
      </c>
      <c r="F323" s="33" t="inlineStr">
        <is>
          <t>u</t>
        </is>
      </c>
      <c r="G323" s="34" t="n">
        <v>13.3755</v>
      </c>
      <c r="H323" s="34">
        <f>E323*G323</f>
        <v/>
      </c>
      <c r="I323" s="33" t="inlineStr">
        <is>
          <t>Chapa LAC IRAM-IAS U 500-04 e=3,2</t>
        </is>
      </c>
      <c r="J323" s="17" t="inlineStr">
        <is>
          <t>Ø320 × e3,2 × 535 de alto; desarrollo 995,3 × 535</t>
        </is>
      </c>
      <c r="K323" s="33" t="inlineStr">
        <is>
          <t>Compra (en el conjunto)</t>
        </is>
      </c>
      <c r="L323" s="33" t="inlineStr">
        <is>
          <t>No</t>
        </is>
      </c>
      <c r="M323" s="17" t="n"/>
      <c r="N323" s="17" t="n"/>
      <c r="O323" s="17" t="inlineStr">
        <is>
          <t>S4 - se compra terminado (tercerizado con sello IRAM)</t>
        </is>
      </c>
      <c r="P323" s="17" t="n"/>
      <c r="Q323" s="33" t="inlineStr">
        <is>
          <t>P</t>
        </is>
      </c>
      <c r="R323" s="33" t="inlineStr">
        <is>
          <t>FL_DES_AFFF_50l</t>
        </is>
      </c>
      <c r="S323" s="17" t="inlineStr">
        <is>
          <t>costura long. MAG</t>
        </is>
      </c>
    </row>
    <row r="324">
      <c r="A324" s="33" t="inlineStr">
        <is>
          <t>FL_MAT_AFFF_50l</t>
        </is>
      </c>
      <c r="B324" s="33" t="n">
        <v>2</v>
      </c>
      <c r="C324" s="33" t="inlineStr">
        <is>
          <t>AFFF50-02</t>
        </is>
      </c>
      <c r="D324" s="17" t="inlineStr">
        <is>
          <t xml:space="preserve">        Cúpula</t>
        </is>
      </c>
      <c r="E324" s="33" t="n">
        <v>1</v>
      </c>
      <c r="F324" s="33" t="inlineStr">
        <is>
          <t>u</t>
        </is>
      </c>
      <c r="G324" s="34" t="n">
        <v>2.884</v>
      </c>
      <c r="H324" s="34">
        <f>E324*G324</f>
        <v/>
      </c>
      <c r="I324" s="33" t="inlineStr">
        <is>
          <t>Chapa LAC IRAM-IAS U 500-04 e=3,2</t>
        </is>
      </c>
      <c r="J324" s="17" t="inlineStr">
        <is>
          <t>Ø320 × e3,2 × 101,7 de alto; disco Ø393,8</t>
        </is>
      </c>
      <c r="K324" s="33" t="inlineStr">
        <is>
          <t>Compra (en el conjunto)</t>
        </is>
      </c>
      <c r="L324" s="33" t="inlineStr">
        <is>
          <t>No</t>
        </is>
      </c>
      <c r="M324" s="17" t="n"/>
      <c r="N324" s="17" t="n"/>
      <c r="O324" s="17" t="inlineStr">
        <is>
          <t>S4 - se compra terminado (tercerizado con sello IRAM)</t>
        </is>
      </c>
      <c r="P324" s="17" t="n"/>
      <c r="Q324" s="33" t="inlineStr">
        <is>
          <t>P</t>
        </is>
      </c>
      <c r="R324" s="33" t="inlineStr">
        <is>
          <t>FL_DES_AFFF_50l</t>
        </is>
      </c>
      <c r="S324" s="17" t="inlineStr">
        <is>
          <t>embutida</t>
        </is>
      </c>
    </row>
    <row r="325">
      <c r="A325" s="33" t="inlineStr">
        <is>
          <t>FL_MAT_AFFF_50l</t>
        </is>
      </c>
      <c r="B325" s="33" t="n">
        <v>2</v>
      </c>
      <c r="C325" s="33" t="inlineStr">
        <is>
          <t>AFFF50-03</t>
        </is>
      </c>
      <c r="D325" s="17" t="inlineStr">
        <is>
          <t xml:space="preserve">        Fondo</t>
        </is>
      </c>
      <c r="E325" s="33" t="n">
        <v>1</v>
      </c>
      <c r="F325" s="33" t="inlineStr">
        <is>
          <t>u</t>
        </is>
      </c>
      <c r="G325" s="34" t="n">
        <v>3.1025</v>
      </c>
      <c r="H325" s="34">
        <f>E325*G325</f>
        <v/>
      </c>
      <c r="I325" s="33" t="inlineStr">
        <is>
          <t>Chapa LAC IRAM-IAS U 500-04 e=3,2</t>
        </is>
      </c>
      <c r="J325" s="17" t="inlineStr">
        <is>
          <t>Ø320 × e3,2 × 105 de alto; disco Ø408,5</t>
        </is>
      </c>
      <c r="K325" s="33" t="inlineStr">
        <is>
          <t>Compra (en el conjunto)</t>
        </is>
      </c>
      <c r="L325" s="33" t="inlineStr">
        <is>
          <t>No</t>
        </is>
      </c>
      <c r="M325" s="17" t="n"/>
      <c r="N325" s="17" t="n"/>
      <c r="O325" s="17" t="inlineStr">
        <is>
          <t>S4 - se compra terminado (tercerizado con sello IRAM)</t>
        </is>
      </c>
      <c r="P325" s="17" t="n"/>
      <c r="Q325" s="33" t="inlineStr">
        <is>
          <t>P</t>
        </is>
      </c>
      <c r="R325" s="33" t="inlineStr">
        <is>
          <t>FL_DES_AFFF_50l</t>
        </is>
      </c>
      <c r="S325" s="17" t="inlineStr">
        <is>
          <t>embutido</t>
        </is>
      </c>
    </row>
    <row r="326">
      <c r="A326" s="33" t="inlineStr">
        <is>
          <t>FL_MAT_AFFF_50l</t>
        </is>
      </c>
      <c r="B326" s="33" t="n">
        <v>2</v>
      </c>
      <c r="C326" s="33" t="inlineStr">
        <is>
          <t>AFFF50-04</t>
        </is>
      </c>
      <c r="D326" s="17" t="inlineStr">
        <is>
          <t xml:space="preserve">        Cuello roscado</t>
        </is>
      </c>
      <c r="E326" s="33" t="n">
        <v>1</v>
      </c>
      <c r="F326" s="33" t="inlineStr">
        <is>
          <t>u</t>
        </is>
      </c>
      <c r="G326" s="34" t="n">
        <v>0.6085</v>
      </c>
      <c r="H326" s="34">
        <f>E326*G326</f>
        <v/>
      </c>
      <c r="I326" s="33" t="inlineStr">
        <is>
          <t>Acero SAE 1010</t>
        </is>
      </c>
      <c r="J326" s="17" t="inlineStr">
        <is>
          <t>Ø88 × 37 de alto, rosca RBSP 2 1/2"-11 h, asiento Ø80</t>
        </is>
      </c>
      <c r="K326" s="33" t="inlineStr">
        <is>
          <t>Compra (en el conjunto)</t>
        </is>
      </c>
      <c r="L326" s="33" t="inlineStr">
        <is>
          <t>No</t>
        </is>
      </c>
      <c r="M326" s="17" t="n"/>
      <c r="N326" s="17" t="n"/>
      <c r="O326" s="17" t="inlineStr">
        <is>
          <t>S4 - se compra terminado (tercerizado con sello IRAM)</t>
        </is>
      </c>
      <c r="P326" s="17" t="n"/>
      <c r="Q326" s="33" t="inlineStr">
        <is>
          <t>P</t>
        </is>
      </c>
      <c r="R326" s="33" t="inlineStr">
        <is>
          <t>FL_DES_AFFF_50l</t>
        </is>
      </c>
      <c r="S326" s="17" t="inlineStr">
        <is>
          <t>RBSP 2 1/2"-11 h</t>
        </is>
      </c>
    </row>
    <row r="327">
      <c r="A327" s="30" t="inlineStr">
        <is>
          <t>FL_MAT_AFFF_50l</t>
        </is>
      </c>
      <c r="B327" s="30" t="n">
        <v>1</v>
      </c>
      <c r="C327" s="30" t="inlineStr">
        <is>
          <t>AFFF50-S2</t>
        </is>
      </c>
      <c r="D327" s="31" t="inlineStr">
        <is>
          <t xml:space="preserve">    Conjunto de válvula</t>
        </is>
      </c>
      <c r="E327" s="30" t="n">
        <v>1</v>
      </c>
      <c r="F327" s="30" t="inlineStr">
        <is>
          <t>u</t>
        </is>
      </c>
      <c r="G327" s="32" t="n"/>
      <c r="H327" s="32">
        <f>H328+H329+H330+H332+H333+H334+H335+H336+H337+H338</f>
        <v/>
      </c>
      <c r="I327" s="30" t="n"/>
      <c r="J327" s="31" t="n"/>
      <c r="K327" s="30" t="inlineStr">
        <is>
          <t>Compra / armado</t>
        </is>
      </c>
      <c r="L327" s="30" t="n"/>
      <c r="M327" s="31" t="n"/>
      <c r="N327" s="31" t="n"/>
      <c r="O327" s="31" t="n"/>
      <c r="P327" s="31" t="inlineStr">
        <is>
          <t>Manómetro IRAM 3533</t>
        </is>
      </c>
      <c r="Q327" s="30" t="inlineStr">
        <is>
          <t>P</t>
        </is>
      </c>
      <c r="R327" s="30" t="inlineStr">
        <is>
          <t>FL_DES_AFFF_50l</t>
        </is>
      </c>
      <c r="S327" s="31" t="n"/>
    </row>
    <row r="328">
      <c r="A328" s="33" t="inlineStr">
        <is>
          <t>FL_MAT_AFFF_50l</t>
        </is>
      </c>
      <c r="B328" s="33" t="n">
        <v>2</v>
      </c>
      <c r="C328" s="33" t="inlineStr">
        <is>
          <t>AFFF50-11</t>
        </is>
      </c>
      <c r="D328" s="17" t="inlineStr">
        <is>
          <t xml:space="preserve">        Collarín de válvula</t>
        </is>
      </c>
      <c r="E328" s="33" t="n">
        <v>1</v>
      </c>
      <c r="F328" s="33" t="inlineStr">
        <is>
          <t>u</t>
        </is>
      </c>
      <c r="G328" s="34" t="n">
        <v>0.4107</v>
      </c>
      <c r="H328" s="34">
        <f>E328*G328</f>
        <v/>
      </c>
      <c r="I328" s="33" t="inlineStr">
        <is>
          <t>Latón forjado</t>
        </is>
      </c>
      <c r="J328" s="17" t="inlineStr">
        <is>
          <t>96,1 × 96,1 × 13,5</t>
        </is>
      </c>
      <c r="K328" s="33" t="inlineStr">
        <is>
          <t>Compra (en el conjunto)</t>
        </is>
      </c>
      <c r="L328" s="33" t="inlineStr">
        <is>
          <t>No</t>
        </is>
      </c>
      <c r="M328" s="17" t="n"/>
      <c r="N328" s="17" t="n"/>
      <c r="O328" s="17" t="inlineStr">
        <is>
          <t>S4 - se compra terminado (tercerizado con sello IRAM)</t>
        </is>
      </c>
      <c r="P328" s="17" t="n"/>
      <c r="Q328" s="33" t="inlineStr">
        <is>
          <t>P</t>
        </is>
      </c>
      <c r="R328" s="33" t="inlineStr">
        <is>
          <t>FL_DES_AFFF_50l</t>
        </is>
      </c>
      <c r="S328" s="17" t="n"/>
    </row>
    <row r="329">
      <c r="A329" s="33" t="inlineStr">
        <is>
          <t>FL_MAT_AFFF_50l</t>
        </is>
      </c>
      <c r="B329" s="33" t="n">
        <v>2</v>
      </c>
      <c r="C329" s="33" t="inlineStr">
        <is>
          <t>AFFF50-12</t>
        </is>
      </c>
      <c r="D329" s="17" t="inlineStr">
        <is>
          <t xml:space="preserve">        Espiga roscada</t>
        </is>
      </c>
      <c r="E329" s="33" t="n">
        <v>1</v>
      </c>
      <c r="F329" s="33" t="inlineStr">
        <is>
          <t>u</t>
        </is>
      </c>
      <c r="G329" s="34" t="n">
        <v>0.1187</v>
      </c>
      <c r="H329" s="34">
        <f>E329*G329</f>
        <v/>
      </c>
      <c r="I329" s="33" t="inlineStr">
        <is>
          <t>Latón forjado</t>
        </is>
      </c>
      <c r="J329" s="17" t="inlineStr">
        <is>
          <t>72,2 × 72,2 × 16,2</t>
        </is>
      </c>
      <c r="K329" s="33" t="inlineStr">
        <is>
          <t>Compra (en el conjunto)</t>
        </is>
      </c>
      <c r="L329" s="33" t="inlineStr">
        <is>
          <t>No</t>
        </is>
      </c>
      <c r="M329" s="17" t="n"/>
      <c r="N329" s="17" t="n"/>
      <c r="O329" s="17" t="inlineStr">
        <is>
          <t>S4 - se compra terminado (tercerizado con sello IRAM)</t>
        </is>
      </c>
      <c r="P329" s="17" t="n"/>
      <c r="Q329" s="33" t="inlineStr">
        <is>
          <t>P</t>
        </is>
      </c>
      <c r="R329" s="33" t="inlineStr">
        <is>
          <t>FL_DES_AFFF_50l</t>
        </is>
      </c>
      <c r="S329" s="17" t="n"/>
    </row>
    <row r="330">
      <c r="A330" s="33" t="inlineStr">
        <is>
          <t>FL_MAT_AFFF_50l</t>
        </is>
      </c>
      <c r="B330" s="33" t="n">
        <v>2</v>
      </c>
      <c r="C330" s="33" t="inlineStr">
        <is>
          <t>AFFF50-13</t>
        </is>
      </c>
      <c r="D330" s="17" t="inlineStr">
        <is>
          <t xml:space="preserve">        Cuerpo de válvula</t>
        </is>
      </c>
      <c r="E330" s="33" t="n">
        <v>1</v>
      </c>
      <c r="F330" s="33" t="inlineStr">
        <is>
          <t>u</t>
        </is>
      </c>
      <c r="G330" s="34" t="n">
        <v>0.7378</v>
      </c>
      <c r="H330" s="34">
        <f>E330*G330</f>
        <v/>
      </c>
      <c r="I330" s="33" t="inlineStr">
        <is>
          <t>Latón forjado</t>
        </is>
      </c>
      <c r="J330" s="17" t="inlineStr">
        <is>
          <t>58,4 × 54 × 46,3</t>
        </is>
      </c>
      <c r="K330" s="33" t="inlineStr">
        <is>
          <t>Compra (en el conjunto)</t>
        </is>
      </c>
      <c r="L330" s="33" t="inlineStr">
        <is>
          <t>No</t>
        </is>
      </c>
      <c r="M330" s="17" t="n"/>
      <c r="N330" s="17" t="n"/>
      <c r="O330" s="17" t="inlineStr">
        <is>
          <t>S4 - se compra terminado (tercerizado con sello IRAM)</t>
        </is>
      </c>
      <c r="P330" s="17" t="n"/>
      <c r="Q330" s="33" t="inlineStr">
        <is>
          <t>P</t>
        </is>
      </c>
      <c r="R330" s="33" t="inlineStr">
        <is>
          <t>FL_DES_AFFF_50l</t>
        </is>
      </c>
      <c r="S330" s="17" t="n"/>
    </row>
    <row r="331">
      <c r="A331" s="33" t="inlineStr">
        <is>
          <t>FL_MAT_AFFF_50l</t>
        </is>
      </c>
      <c r="B331" s="33" t="n">
        <v>2</v>
      </c>
      <c r="C331" s="33" t="inlineStr">
        <is>
          <t>AFFF50-14</t>
        </is>
      </c>
      <c r="D331" s="17" t="inlineStr">
        <is>
          <t xml:space="preserve">        Manómetro</t>
        </is>
      </c>
      <c r="E331" s="33" t="n">
        <v>1</v>
      </c>
      <c r="F331" s="33" t="inlineStr">
        <is>
          <t>u</t>
        </is>
      </c>
      <c r="G331" s="34" t="n"/>
      <c r="H331" s="34" t="n"/>
      <c r="I331" s="33" t="inlineStr">
        <is>
          <t>Comercial</t>
        </is>
      </c>
      <c r="J331" s="17" t="inlineStr">
        <is>
          <t>Ø50 esfera, rango 0-2 MPa, sector verde en 0,8</t>
        </is>
      </c>
      <c r="K331" s="33" t="inlineStr">
        <is>
          <t>Compra (en el conjunto)</t>
        </is>
      </c>
      <c r="L331" s="33" t="inlineStr">
        <is>
          <t>No</t>
        </is>
      </c>
      <c r="M331" s="17" t="n"/>
      <c r="N331" s="17" t="n"/>
      <c r="O331" s="17" t="inlineStr">
        <is>
          <t>S4 - se compra terminado (tercerizado con sello IRAM)</t>
        </is>
      </c>
      <c r="P331" s="17" t="inlineStr">
        <is>
          <t>IRAM 3533</t>
        </is>
      </c>
      <c r="Q331" s="33" t="inlineStr">
        <is>
          <t>P</t>
        </is>
      </c>
      <c r="R331" s="33" t="inlineStr">
        <is>
          <t>FL_DES_AFFF_50l</t>
        </is>
      </c>
      <c r="S331" s="17" t="inlineStr">
        <is>
          <t>Pieza comercial; sello IRAM 3533; peso: completar con la ficha del proveedor (no afecta el MRP)</t>
        </is>
      </c>
    </row>
    <row r="332">
      <c r="A332" s="33" t="inlineStr">
        <is>
          <t>FL_MAT_AFFF_50l</t>
        </is>
      </c>
      <c r="B332" s="33" t="n">
        <v>2</v>
      </c>
      <c r="C332" s="33" t="inlineStr">
        <is>
          <t>AFFF50-15</t>
        </is>
      </c>
      <c r="D332" s="17" t="inlineStr">
        <is>
          <t xml:space="preserve">        Manija de transporte</t>
        </is>
      </c>
      <c r="E332" s="33" t="n">
        <v>1</v>
      </c>
      <c r="F332" s="33" t="inlineStr">
        <is>
          <t>u</t>
        </is>
      </c>
      <c r="G332" s="34" t="n">
        <v>0.1002</v>
      </c>
      <c r="H332" s="34">
        <f>E332*G332</f>
        <v/>
      </c>
      <c r="I332" s="33" t="inlineStr">
        <is>
          <t>Chapa acero SAE 1010 pintada</t>
        </is>
      </c>
      <c r="J332" s="17" t="inlineStr">
        <is>
          <t>87,6 × 27 × 14,5</t>
        </is>
      </c>
      <c r="K332" s="33" t="inlineStr">
        <is>
          <t>Compra (en el conjunto)</t>
        </is>
      </c>
      <c r="L332" s="33" t="inlineStr">
        <is>
          <t>No</t>
        </is>
      </c>
      <c r="M332" s="17" t="n"/>
      <c r="N332" s="17" t="n"/>
      <c r="O332" s="17" t="inlineStr">
        <is>
          <t>S4 - se compra terminado (tercerizado con sello IRAM)</t>
        </is>
      </c>
      <c r="P332" s="17" t="n"/>
      <c r="Q332" s="33" t="inlineStr">
        <is>
          <t>P</t>
        </is>
      </c>
      <c r="R332" s="33" t="inlineStr">
        <is>
          <t>FL_DES_AFFF_50l</t>
        </is>
      </c>
      <c r="S332" s="17" t="n"/>
    </row>
    <row r="333">
      <c r="A333" s="33" t="inlineStr">
        <is>
          <t>FL_MAT_AFFF_50l</t>
        </is>
      </c>
      <c r="B333" s="33" t="n">
        <v>2</v>
      </c>
      <c r="C333" s="33" t="inlineStr">
        <is>
          <t>AFFF50-16</t>
        </is>
      </c>
      <c r="D333" s="17" t="inlineStr">
        <is>
          <t xml:space="preserve">        Manija de accionamiento</t>
        </is>
      </c>
      <c r="E333" s="33" t="n">
        <v>1</v>
      </c>
      <c r="F333" s="33" t="inlineStr">
        <is>
          <t>u</t>
        </is>
      </c>
      <c r="G333" s="34" t="n">
        <v>0.1682</v>
      </c>
      <c r="H333" s="34">
        <f>E333*G333</f>
        <v/>
      </c>
      <c r="I333" s="33" t="inlineStr">
        <is>
          <t>Chapa acero SAE 1010 pintada</t>
        </is>
      </c>
      <c r="J333" s="17" t="inlineStr">
        <is>
          <t>146,6 × 27 × 23,3</t>
        </is>
      </c>
      <c r="K333" s="33" t="inlineStr">
        <is>
          <t>Compra (en el conjunto)</t>
        </is>
      </c>
      <c r="L333" s="33" t="inlineStr">
        <is>
          <t>No</t>
        </is>
      </c>
      <c r="M333" s="17" t="n"/>
      <c r="N333" s="17" t="n"/>
      <c r="O333" s="17" t="inlineStr">
        <is>
          <t>S4 - se compra terminado (tercerizado con sello IRAM)</t>
        </is>
      </c>
      <c r="P333" s="17" t="n"/>
      <c r="Q333" s="33" t="inlineStr">
        <is>
          <t>P</t>
        </is>
      </c>
      <c r="R333" s="33" t="inlineStr">
        <is>
          <t>FL_DES_AFFF_50l</t>
        </is>
      </c>
      <c r="S333" s="17" t="n"/>
    </row>
    <row r="334">
      <c r="A334" s="33" t="inlineStr">
        <is>
          <t>FL_MAT_AFFF_50l</t>
        </is>
      </c>
      <c r="B334" s="33" t="n">
        <v>2</v>
      </c>
      <c r="C334" s="33" t="inlineStr">
        <is>
          <t>AFFF50-17</t>
        </is>
      </c>
      <c r="D334" s="17" t="inlineStr">
        <is>
          <t xml:space="preserve">        Eje de palanca</t>
        </is>
      </c>
      <c r="E334" s="33" t="n">
        <v>1</v>
      </c>
      <c r="F334" s="33" t="inlineStr">
        <is>
          <t>u</t>
        </is>
      </c>
      <c r="G334" s="34" t="n">
        <v>0.0199</v>
      </c>
      <c r="H334" s="34">
        <f>E334*G334</f>
        <v/>
      </c>
      <c r="I334" s="33" t="inlineStr">
        <is>
          <t>Acero inox. AISI 304</t>
        </is>
      </c>
      <c r="J334" s="17" t="inlineStr">
        <is>
          <t>48,6 × 8,1 × 8,1</t>
        </is>
      </c>
      <c r="K334" s="33" t="inlineStr">
        <is>
          <t>Compra (en el conjunto)</t>
        </is>
      </c>
      <c r="L334" s="33" t="inlineStr">
        <is>
          <t>No</t>
        </is>
      </c>
      <c r="M334" s="17" t="n"/>
      <c r="N334" s="17" t="n"/>
      <c r="O334" s="17" t="inlineStr">
        <is>
          <t>S4 - se compra terminado (tercerizado con sello IRAM)</t>
        </is>
      </c>
      <c r="P334" s="17" t="n"/>
      <c r="Q334" s="33" t="inlineStr">
        <is>
          <t>P</t>
        </is>
      </c>
      <c r="R334" s="33" t="inlineStr">
        <is>
          <t>FL_DES_AFFF_50l</t>
        </is>
      </c>
      <c r="S334" s="17" t="n"/>
    </row>
    <row r="335">
      <c r="A335" s="33" t="inlineStr">
        <is>
          <t>FL_MAT_AFFF_50l</t>
        </is>
      </c>
      <c r="B335" s="33" t="n">
        <v>2</v>
      </c>
      <c r="C335" s="33" t="inlineStr">
        <is>
          <t>AFFF50-18</t>
        </is>
      </c>
      <c r="D335" s="17" t="inlineStr">
        <is>
          <t xml:space="preserve">        Vástago</t>
        </is>
      </c>
      <c r="E335" s="33" t="n">
        <v>1</v>
      </c>
      <c r="F335" s="33" t="inlineStr">
        <is>
          <t>u</t>
        </is>
      </c>
      <c r="G335" s="34" t="n">
        <v>0.0039</v>
      </c>
      <c r="H335" s="34">
        <f>E335*G335</f>
        <v/>
      </c>
      <c r="I335" s="33" t="inlineStr">
        <is>
          <t>Latón</t>
        </is>
      </c>
      <c r="J335" s="17" t="inlineStr">
        <is>
          <t>10,8 × 10,8 × 5</t>
        </is>
      </c>
      <c r="K335" s="33" t="inlineStr">
        <is>
          <t>Compra (en el conjunto)</t>
        </is>
      </c>
      <c r="L335" s="33" t="inlineStr">
        <is>
          <t>No</t>
        </is>
      </c>
      <c r="M335" s="17" t="n"/>
      <c r="N335" s="17" t="n"/>
      <c r="O335" s="17" t="inlineStr">
        <is>
          <t>S4 - se compra terminado (tercerizado con sello IRAM)</t>
        </is>
      </c>
      <c r="P335" s="17" t="n"/>
      <c r="Q335" s="33" t="inlineStr">
        <is>
          <t>P</t>
        </is>
      </c>
      <c r="R335" s="33" t="inlineStr">
        <is>
          <t>FL_DES_AFFF_50l</t>
        </is>
      </c>
      <c r="S335" s="17" t="inlineStr">
        <is>
          <t>con junta tórica</t>
        </is>
      </c>
    </row>
    <row r="336">
      <c r="A336" s="33" t="inlineStr">
        <is>
          <t>FL_MAT_AFFF_50l</t>
        </is>
      </c>
      <c r="B336" s="33" t="n">
        <v>2</v>
      </c>
      <c r="C336" s="33" t="inlineStr">
        <is>
          <t>AFFF50-19</t>
        </is>
      </c>
      <c r="D336" s="17" t="inlineStr">
        <is>
          <t xml:space="preserve">        Pasador de seguridad</t>
        </is>
      </c>
      <c r="E336" s="33" t="n">
        <v>1</v>
      </c>
      <c r="F336" s="33" t="inlineStr">
        <is>
          <t>u</t>
        </is>
      </c>
      <c r="G336" s="34" t="n">
        <v>0.0135</v>
      </c>
      <c r="H336" s="34">
        <f>E336*G336</f>
        <v/>
      </c>
      <c r="I336" s="33" t="inlineStr">
        <is>
          <t>Alambre acero inox. AISI 304</t>
        </is>
      </c>
      <c r="J336" s="17" t="inlineStr">
        <is>
          <t>61,3 × 28,4 × 28,1</t>
        </is>
      </c>
      <c r="K336" s="33" t="inlineStr">
        <is>
          <t>Compra (en el conjunto)</t>
        </is>
      </c>
      <c r="L336" s="33" t="inlineStr">
        <is>
          <t>No</t>
        </is>
      </c>
      <c r="M336" s="17" t="n"/>
      <c r="N336" s="17" t="n"/>
      <c r="O336" s="17" t="inlineStr">
        <is>
          <t>S4 - se compra terminado (tercerizado con sello IRAM)</t>
        </is>
      </c>
      <c r="P336" s="17" t="n"/>
      <c r="Q336" s="33" t="inlineStr">
        <is>
          <t>P</t>
        </is>
      </c>
      <c r="R336" s="33" t="inlineStr">
        <is>
          <t>FL_DES_AFFF_50l</t>
        </is>
      </c>
      <c r="S336" s="17" t="inlineStr">
        <is>
          <t>con precinto</t>
        </is>
      </c>
    </row>
    <row r="337">
      <c r="A337" s="33" t="inlineStr">
        <is>
          <t>FL_MAT_AFFF_50l</t>
        </is>
      </c>
      <c r="B337" s="33" t="n">
        <v>2</v>
      </c>
      <c r="C337" s="33" t="inlineStr">
        <is>
          <t>AFFF50-20</t>
        </is>
      </c>
      <c r="D337" s="17" t="inlineStr">
        <is>
          <t xml:space="preserve">        Caño de pesca (sifón)</t>
        </is>
      </c>
      <c r="E337" s="33" t="n">
        <v>1</v>
      </c>
      <c r="F337" s="33" t="inlineStr">
        <is>
          <t>u</t>
        </is>
      </c>
      <c r="G337" s="34" t="n">
        <v>0.1736</v>
      </c>
      <c r="H337" s="34">
        <f>E337*G337</f>
        <v/>
      </c>
      <c r="I337" s="33" t="inlineStr">
        <is>
          <t>Tubo PVC rígido</t>
        </is>
      </c>
      <c r="J337" s="17" t="inlineStr">
        <is>
          <t>Ø24 × 734,3 de largo</t>
        </is>
      </c>
      <c r="K337" s="33" t="inlineStr">
        <is>
          <t>Compra (en el conjunto)</t>
        </is>
      </c>
      <c r="L337" s="33" t="inlineStr">
        <is>
          <t>No</t>
        </is>
      </c>
      <c r="M337" s="17" t="n"/>
      <c r="N337" s="17" t="n"/>
      <c r="O337" s="17" t="inlineStr">
        <is>
          <t>S4 - se compra terminado (tercerizado con sello IRAM)</t>
        </is>
      </c>
      <c r="P337" s="17" t="n"/>
      <c r="Q337" s="33" t="inlineStr">
        <is>
          <t>P</t>
        </is>
      </c>
      <c r="R337" s="33" t="inlineStr">
        <is>
          <t>FL_DES_AFFF_50l</t>
        </is>
      </c>
      <c r="S337" s="17" t="n"/>
    </row>
    <row r="338">
      <c r="A338" s="33" t="inlineStr">
        <is>
          <t>FL_MAT_AFFF_50l</t>
        </is>
      </c>
      <c r="B338" s="33" t="n">
        <v>2</v>
      </c>
      <c r="C338" s="33" t="inlineStr">
        <is>
          <t>AFFF50-32</t>
        </is>
      </c>
      <c r="D338" s="17" t="inlineStr">
        <is>
          <t xml:space="preserve">        Junta tórica de asiento</t>
        </is>
      </c>
      <c r="E338" s="33" t="n">
        <v>1</v>
      </c>
      <c r="F338" s="33" t="inlineStr">
        <is>
          <t>u</t>
        </is>
      </c>
      <c r="G338" s="34" t="n">
        <v>0.0024</v>
      </c>
      <c r="H338" s="34">
        <f>E338*G338</f>
        <v/>
      </c>
      <c r="I338" s="33" t="inlineStr">
        <is>
          <t>NBR 70 Shore A</t>
        </is>
      </c>
      <c r="J338" s="17" t="inlineStr">
        <is>
          <t>Ø75,2 ext. × cordón 3</t>
        </is>
      </c>
      <c r="K338" s="33" t="inlineStr">
        <is>
          <t>Compra (en el conjunto)</t>
        </is>
      </c>
      <c r="L338" s="33" t="inlineStr">
        <is>
          <t>No</t>
        </is>
      </c>
      <c r="M338" s="17" t="n"/>
      <c r="N338" s="17" t="n"/>
      <c r="O338" s="17" t="inlineStr">
        <is>
          <t>S4 - se compra terminado (tercerizado con sello IRAM)</t>
        </is>
      </c>
      <c r="P338" s="17" t="n"/>
      <c r="Q338" s="33" t="inlineStr">
        <is>
          <t>P</t>
        </is>
      </c>
      <c r="R338" s="33" t="inlineStr">
        <is>
          <t>FL_DES_AFFF_50l</t>
        </is>
      </c>
      <c r="S338" s="17" t="inlineStr">
        <is>
          <t>cambio c/recarga</t>
        </is>
      </c>
    </row>
    <row r="339">
      <c r="A339" s="33" t="inlineStr">
        <is>
          <t>FL_MAT_AFFF_50l</t>
        </is>
      </c>
      <c r="B339" s="33" t="n">
        <v>2</v>
      </c>
      <c r="C339" s="33" t="inlineStr">
        <is>
          <t>AFFF50-V2</t>
        </is>
      </c>
      <c r="D339" s="17" t="inlineStr">
        <is>
          <t xml:space="preserve">        Resorte de retorno del vástago</t>
        </is>
      </c>
      <c r="E339" s="33" t="n">
        <v>1</v>
      </c>
      <c r="F339" s="33" t="inlineStr">
        <is>
          <t>u</t>
        </is>
      </c>
      <c r="G339" s="34" t="n"/>
      <c r="H339" s="34" t="n"/>
      <c r="I339" s="33" t="inlineStr">
        <is>
          <t>Acero para resortes</t>
        </is>
      </c>
      <c r="J339" s="17" t="inlineStr">
        <is>
          <t>incluido en la válvula</t>
        </is>
      </c>
      <c r="K339" s="33" t="inlineStr">
        <is>
          <t>Compra (en el conjunto)</t>
        </is>
      </c>
      <c r="L339" s="33" t="inlineStr">
        <is>
          <t>No</t>
        </is>
      </c>
      <c r="M339" s="17" t="n"/>
      <c r="N339" s="17" t="n"/>
      <c r="O339" s="17" t="inlineStr">
        <is>
          <t>19 Ensamblaje</t>
        </is>
      </c>
      <c r="P339" s="17" t="n"/>
      <c r="Q339" s="33" t="inlineStr">
        <is>
          <t>Q</t>
        </is>
      </c>
      <c r="R339" s="33" t="n"/>
      <c r="S339" s="17" t="inlineStr">
        <is>
          <t>Lista de precios HZ: válvula «c/resorte» (Q-AGENTES)</t>
        </is>
      </c>
    </row>
    <row r="340">
      <c r="A340" s="33" t="inlineStr">
        <is>
          <t>FL_MAT_AFFF_50l</t>
        </is>
      </c>
      <c r="B340" s="33" t="n">
        <v>2</v>
      </c>
      <c r="C340" s="33" t="inlineStr">
        <is>
          <t>AFFF50-V3</t>
        </is>
      </c>
      <c r="D340" s="17" t="inlineStr">
        <is>
          <t xml:space="preserve">        Junta tórica del vástago</t>
        </is>
      </c>
      <c r="E340" s="33" t="n">
        <v>1</v>
      </c>
      <c r="F340" s="33" t="inlineStr">
        <is>
          <t>u</t>
        </is>
      </c>
      <c r="G340" s="34" t="n"/>
      <c r="H340" s="34" t="n"/>
      <c r="I340" s="33" t="inlineStr">
        <is>
          <t>NBR 70 Shore A</t>
        </is>
      </c>
      <c r="J340" s="17" t="inlineStr">
        <is>
          <t>incluida en la válvula</t>
        </is>
      </c>
      <c r="K340" s="33" t="inlineStr">
        <is>
          <t>Compra (en el conjunto)</t>
        </is>
      </c>
      <c r="L340" s="33" t="inlineStr">
        <is>
          <t>No</t>
        </is>
      </c>
      <c r="M340" s="17" t="n"/>
      <c r="N340" s="17" t="n"/>
      <c r="O340" s="17" t="inlineStr">
        <is>
          <t>19 Ensamblaje</t>
        </is>
      </c>
      <c r="P340" s="17" t="n"/>
      <c r="Q340" s="33" t="inlineStr">
        <is>
          <t>P</t>
        </is>
      </c>
      <c r="R340" s="33" t="n"/>
      <c r="S340" s="17" t="inlineStr">
        <is>
          <t>Figura en el plano como «vástago con junta tórica»</t>
        </is>
      </c>
    </row>
    <row r="341">
      <c r="A341" s="30" t="inlineStr">
        <is>
          <t>FL_MAT_AFFF_50l</t>
        </is>
      </c>
      <c r="B341" s="30" t="n">
        <v>1</v>
      </c>
      <c r="C341" s="30" t="inlineStr">
        <is>
          <t>AFFF50-S3</t>
        </is>
      </c>
      <c r="D341" s="31" t="inlineStr">
        <is>
          <t xml:space="preserve">    Dispositivo de descarga</t>
        </is>
      </c>
      <c r="E341" s="30" t="n">
        <v>1</v>
      </c>
      <c r="F341" s="30" t="inlineStr">
        <is>
          <t>u</t>
        </is>
      </c>
      <c r="G341" s="32" t="n"/>
      <c r="H341" s="32">
        <f>H342+H343+H344+H345+H346+H347</f>
        <v/>
      </c>
      <c r="I341" s="30" t="n"/>
      <c r="J341" s="31" t="n"/>
      <c r="K341" s="30" t="inlineStr">
        <is>
          <t>Compra / armado</t>
        </is>
      </c>
      <c r="L341" s="30" t="n"/>
      <c r="M341" s="31" t="n"/>
      <c r="N341" s="31" t="n"/>
      <c r="O341" s="31" t="n"/>
      <c r="P341" s="31" t="n"/>
      <c r="Q341" s="30" t="inlineStr">
        <is>
          <t>P</t>
        </is>
      </c>
      <c r="R341" s="30" t="inlineStr">
        <is>
          <t>FL_DES_AFFF_50l</t>
        </is>
      </c>
      <c r="S341" s="31" t="n"/>
    </row>
    <row r="342">
      <c r="A342" s="33" t="inlineStr">
        <is>
          <t>FL_MAT_AFFF_50l</t>
        </is>
      </c>
      <c r="B342" s="33" t="n">
        <v>2</v>
      </c>
      <c r="C342" s="33" t="inlineStr">
        <is>
          <t>AFFF50-21</t>
        </is>
      </c>
      <c r="D342" s="17" t="inlineStr">
        <is>
          <t xml:space="preserve">        Manguera (tramo enrollado)</t>
        </is>
      </c>
      <c r="E342" s="33" t="n">
        <v>1</v>
      </c>
      <c r="F342" s="33" t="inlineStr">
        <is>
          <t>u</t>
        </is>
      </c>
      <c r="G342" s="34" t="n">
        <v>0.4763</v>
      </c>
      <c r="H342" s="34">
        <f>E342*G342</f>
        <v/>
      </c>
      <c r="I342" s="33" t="inlineStr">
        <is>
          <t>Caucho sintético</t>
        </is>
      </c>
      <c r="J342" s="17" t="inlineStr">
        <is>
          <t>Ø25 × 1.263 de largo desarrollado</t>
        </is>
      </c>
      <c r="K342" s="33" t="inlineStr">
        <is>
          <t>Compra (en el conjunto)</t>
        </is>
      </c>
      <c r="L342" s="33" t="inlineStr">
        <is>
          <t>No</t>
        </is>
      </c>
      <c r="M342" s="17" t="n"/>
      <c r="N342" s="17" t="n"/>
      <c r="O342" s="17" t="inlineStr">
        <is>
          <t>S4 - se compra terminado (tercerizado con sello IRAM)</t>
        </is>
      </c>
      <c r="P342" s="17" t="n"/>
      <c r="Q342" s="33" t="inlineStr">
        <is>
          <t>P</t>
        </is>
      </c>
      <c r="R342" s="33" t="inlineStr">
        <is>
          <t>FL_DES_AFFF_50l</t>
        </is>
      </c>
      <c r="S342" s="17" t="n"/>
    </row>
    <row r="343">
      <c r="A343" s="33" t="inlineStr">
        <is>
          <t>FL_MAT_AFFF_50l</t>
        </is>
      </c>
      <c r="B343" s="33" t="n">
        <v>2</v>
      </c>
      <c r="C343" s="33" t="inlineStr">
        <is>
          <t>AFFF50-22</t>
        </is>
      </c>
      <c r="D343" s="17" t="inlineStr">
        <is>
          <t xml:space="preserve">        Soporte de manguera</t>
        </is>
      </c>
      <c r="E343" s="33" t="n">
        <v>1</v>
      </c>
      <c r="F343" s="33" t="inlineStr">
        <is>
          <t>u</t>
        </is>
      </c>
      <c r="G343" s="34" t="n">
        <v>1.6857</v>
      </c>
      <c r="H343" s="34">
        <f>E343*G343</f>
        <v/>
      </c>
      <c r="I343" s="33" t="inlineStr">
        <is>
          <t>Planchuela acero SAE 1010</t>
        </is>
      </c>
      <c r="J343" s="17" t="inlineStr">
        <is>
          <t>490,8 × 217 × 40,5</t>
        </is>
      </c>
      <c r="K343" s="33" t="inlineStr">
        <is>
          <t>Compra (en el conjunto)</t>
        </is>
      </c>
      <c r="L343" s="33" t="inlineStr">
        <is>
          <t>No</t>
        </is>
      </c>
      <c r="M343" s="17" t="n"/>
      <c r="N343" s="17" t="n"/>
      <c r="O343" s="17" t="inlineStr">
        <is>
          <t>S4 - se compra terminado (tercerizado con sello IRAM)</t>
        </is>
      </c>
      <c r="P343" s="17" t="n"/>
      <c r="Q343" s="33" t="inlineStr">
        <is>
          <t>P</t>
        </is>
      </c>
      <c r="R343" s="33" t="inlineStr">
        <is>
          <t>FL_DES_AFFF_50l</t>
        </is>
      </c>
      <c r="S343" s="17" t="n"/>
    </row>
    <row r="344">
      <c r="A344" s="33" t="inlineStr">
        <is>
          <t>FL_MAT_AFFF_50l</t>
        </is>
      </c>
      <c r="B344" s="33" t="n">
        <v>2</v>
      </c>
      <c r="C344" s="33" t="inlineStr">
        <is>
          <t>AFFF50-23</t>
        </is>
      </c>
      <c r="D344" s="17" t="inlineStr">
        <is>
          <t xml:space="preserve">        Racor de manguera</t>
        </is>
      </c>
      <c r="E344" s="33" t="n">
        <v>1</v>
      </c>
      <c r="F344" s="33" t="inlineStr">
        <is>
          <t>u</t>
        </is>
      </c>
      <c r="G344" s="34" t="n">
        <v>0.0612</v>
      </c>
      <c r="H344" s="34">
        <f>E344*G344</f>
        <v/>
      </c>
      <c r="I344" s="33" t="inlineStr">
        <is>
          <t>Latón</t>
        </is>
      </c>
      <c r="J344" s="17" t="inlineStr">
        <is>
          <t>24 × 24 × 16</t>
        </is>
      </c>
      <c r="K344" s="33" t="inlineStr">
        <is>
          <t>Compra (en el conjunto)</t>
        </is>
      </c>
      <c r="L344" s="33" t="inlineStr">
        <is>
          <t>No</t>
        </is>
      </c>
      <c r="M344" s="17" t="n"/>
      <c r="N344" s="17" t="n"/>
      <c r="O344" s="17" t="inlineStr">
        <is>
          <t>S4 - se compra terminado (tercerizado con sello IRAM)</t>
        </is>
      </c>
      <c r="P344" s="17" t="n"/>
      <c r="Q344" s="33" t="inlineStr">
        <is>
          <t>P</t>
        </is>
      </c>
      <c r="R344" s="33" t="inlineStr">
        <is>
          <t>FL_DES_AFFF_50l</t>
        </is>
      </c>
      <c r="S344" s="17" t="n"/>
    </row>
    <row r="345">
      <c r="A345" s="33" t="inlineStr">
        <is>
          <t>FL_MAT_AFFF_50l</t>
        </is>
      </c>
      <c r="B345" s="33" t="n">
        <v>2</v>
      </c>
      <c r="C345" s="33" t="inlineStr">
        <is>
          <t>AFFF50-24</t>
        </is>
      </c>
      <c r="D345" s="17" t="inlineStr">
        <is>
          <t xml:space="preserve">        Manguera</t>
        </is>
      </c>
      <c r="E345" s="33" t="n">
        <v>1</v>
      </c>
      <c r="F345" s="33" t="inlineStr">
        <is>
          <t>u</t>
        </is>
      </c>
      <c r="G345" s="34" t="n">
        <v>0.1766</v>
      </c>
      <c r="H345" s="34">
        <f>E345*G345</f>
        <v/>
      </c>
      <c r="I345" s="33" t="inlineStr">
        <is>
          <t>Caucho sintético</t>
        </is>
      </c>
      <c r="J345" s="17" t="inlineStr">
        <is>
          <t>Ø16 × 1.144 de largo desarrollado</t>
        </is>
      </c>
      <c r="K345" s="33" t="inlineStr">
        <is>
          <t>Compra (en el conjunto)</t>
        </is>
      </c>
      <c r="L345" s="33" t="inlineStr">
        <is>
          <t>No</t>
        </is>
      </c>
      <c r="M345" s="17" t="n"/>
      <c r="N345" s="17" t="n"/>
      <c r="O345" s="17" t="inlineStr">
        <is>
          <t>S4 - se compra terminado (tercerizado con sello IRAM)</t>
        </is>
      </c>
      <c r="P345" s="17" t="n"/>
      <c r="Q345" s="33" t="inlineStr">
        <is>
          <t>P</t>
        </is>
      </c>
      <c r="R345" s="33" t="inlineStr">
        <is>
          <t>FL_DES_AFFF_50l</t>
        </is>
      </c>
      <c r="S345" s="17" t="n"/>
    </row>
    <row r="346">
      <c r="A346" s="33" t="inlineStr">
        <is>
          <t>FL_MAT_AFFF_50l</t>
        </is>
      </c>
      <c r="B346" s="33" t="n">
        <v>2</v>
      </c>
      <c r="C346" s="33" t="inlineStr">
        <is>
          <t>AFFF50-25</t>
        </is>
      </c>
      <c r="D346" s="17" t="inlineStr">
        <is>
          <t xml:space="preserve">        Válvula esférica</t>
        </is>
      </c>
      <c r="E346" s="33" t="n">
        <v>1</v>
      </c>
      <c r="F346" s="33" t="inlineStr">
        <is>
          <t>u</t>
        </is>
      </c>
      <c r="G346" s="34" t="n">
        <v>0.4225</v>
      </c>
      <c r="H346" s="34">
        <f>E346*G346</f>
        <v/>
      </c>
      <c r="I346" s="33" t="inlineStr">
        <is>
          <t>Latón cromado</t>
        </is>
      </c>
      <c r="J346" s="17" t="inlineStr">
        <is>
          <t>130 × 60 × 40</t>
        </is>
      </c>
      <c r="K346" s="33" t="inlineStr">
        <is>
          <t>Compra (en el conjunto)</t>
        </is>
      </c>
      <c r="L346" s="33" t="inlineStr">
        <is>
          <t>No</t>
        </is>
      </c>
      <c r="M346" s="17" t="n"/>
      <c r="N346" s="17" t="n"/>
      <c r="O346" s="17" t="inlineStr">
        <is>
          <t>S4 - se compra terminado (tercerizado con sello IRAM)</t>
        </is>
      </c>
      <c r="P346" s="17" t="n"/>
      <c r="Q346" s="33" t="inlineStr">
        <is>
          <t>P</t>
        </is>
      </c>
      <c r="R346" s="33" t="inlineStr">
        <is>
          <t>FL_DES_AFFF_50l</t>
        </is>
      </c>
      <c r="S346" s="17" t="n"/>
    </row>
    <row r="347">
      <c r="A347" s="33" t="inlineStr">
        <is>
          <t>FL_MAT_AFFF_50l</t>
        </is>
      </c>
      <c r="B347" s="33" t="n">
        <v>2</v>
      </c>
      <c r="C347" s="33" t="inlineStr">
        <is>
          <t>AFFF50-26</t>
        </is>
      </c>
      <c r="D347" s="17" t="inlineStr">
        <is>
          <t xml:space="preserve">        Lanza espumígena</t>
        </is>
      </c>
      <c r="E347" s="33" t="n">
        <v>1</v>
      </c>
      <c r="F347" s="33" t="inlineStr">
        <is>
          <t>u</t>
        </is>
      </c>
      <c r="G347" s="34" t="n">
        <v>0.1023</v>
      </c>
      <c r="H347" s="34">
        <f>E347*G347</f>
        <v/>
      </c>
      <c r="I347" s="33" t="inlineStr">
        <is>
          <t>Polipropileno</t>
        </is>
      </c>
      <c r="J347" s="17" t="inlineStr">
        <is>
          <t>380 × 56 × 56</t>
        </is>
      </c>
      <c r="K347" s="33" t="inlineStr">
        <is>
          <t>Compra (en el conjunto)</t>
        </is>
      </c>
      <c r="L347" s="33" t="inlineStr">
        <is>
          <t>No</t>
        </is>
      </c>
      <c r="M347" s="17" t="n"/>
      <c r="N347" s="17" t="n"/>
      <c r="O347" s="17" t="inlineStr">
        <is>
          <t>S4 - se compra terminado (tercerizado con sello IRAM)</t>
        </is>
      </c>
      <c r="P347" s="17" t="n"/>
      <c r="Q347" s="33" t="inlineStr">
        <is>
          <t>P</t>
        </is>
      </c>
      <c r="R347" s="33" t="inlineStr">
        <is>
          <t>FL_DES_AFFF_50l</t>
        </is>
      </c>
      <c r="S347" s="17" t="n"/>
    </row>
    <row r="348">
      <c r="A348" s="30" t="inlineStr">
        <is>
          <t>FL_MAT_AFFF_50l</t>
        </is>
      </c>
      <c r="B348" s="30" t="n">
        <v>1</v>
      </c>
      <c r="C348" s="30" t="inlineStr">
        <is>
          <t>AFFF50-S4</t>
        </is>
      </c>
      <c r="D348" s="31" t="inlineStr">
        <is>
          <t xml:space="preserve">    Carro (bastidor y ruedas)</t>
        </is>
      </c>
      <c r="E348" s="30" t="n">
        <v>1</v>
      </c>
      <c r="F348" s="30" t="inlineStr">
        <is>
          <t>u</t>
        </is>
      </c>
      <c r="G348" s="32" t="n"/>
      <c r="H348" s="32">
        <f>H349+H350+H351+H352+H353+H354</f>
        <v/>
      </c>
      <c r="I348" s="30" t="n"/>
      <c r="J348" s="31" t="n"/>
      <c r="K348" s="30" t="inlineStr">
        <is>
          <t>Compra / armado</t>
        </is>
      </c>
      <c r="L348" s="30" t="n"/>
      <c r="M348" s="31" t="n"/>
      <c r="N348" s="31" t="n"/>
      <c r="O348" s="31" t="n"/>
      <c r="P348" s="31" t="inlineStr">
        <is>
          <t>IRAM 3550 3.12 y 4.8 (ruedas ≥ Ø300 × 50)</t>
        </is>
      </c>
      <c r="Q348" s="30" t="inlineStr">
        <is>
          <t>P</t>
        </is>
      </c>
      <c r="R348" s="30" t="inlineStr">
        <is>
          <t>FL_DES_AFFF_50l</t>
        </is>
      </c>
      <c r="S348" s="31" t="n"/>
    </row>
    <row r="349">
      <c r="A349" s="33" t="inlineStr">
        <is>
          <t>FL_MAT_AFFF_50l</t>
        </is>
      </c>
      <c r="B349" s="33" t="n">
        <v>2</v>
      </c>
      <c r="C349" s="33" t="inlineStr">
        <is>
          <t>AFFF50-05</t>
        </is>
      </c>
      <c r="D349" s="17" t="inlineStr">
        <is>
          <t xml:space="preserve">        Neumático macizo</t>
        </is>
      </c>
      <c r="E349" s="33" t="n">
        <v>2</v>
      </c>
      <c r="F349" s="33" t="inlineStr">
        <is>
          <t>u</t>
        </is>
      </c>
      <c r="G349" s="34" t="n">
        <v>3.8922</v>
      </c>
      <c r="H349" s="34">
        <f>E349*G349</f>
        <v/>
      </c>
      <c r="I349" s="33" t="inlineStr">
        <is>
          <t>Caucho</t>
        </is>
      </c>
      <c r="J349" s="17" t="inlineStr">
        <is>
          <t>Ø350 × 70 de ancho</t>
        </is>
      </c>
      <c r="K349" s="33" t="inlineStr">
        <is>
          <t>Compra (en el conjunto)</t>
        </is>
      </c>
      <c r="L349" s="33" t="inlineStr">
        <is>
          <t>No</t>
        </is>
      </c>
      <c r="M349" s="17" t="n"/>
      <c r="N349" s="17" t="n"/>
      <c r="O349" s="17" t="inlineStr">
        <is>
          <t>S4 - se compra terminado (tercerizado con sello IRAM)</t>
        </is>
      </c>
      <c r="P349" s="17" t="n"/>
      <c r="Q349" s="33" t="inlineStr">
        <is>
          <t>P</t>
        </is>
      </c>
      <c r="R349" s="33" t="inlineStr">
        <is>
          <t>FL_DES_AFFF_50l</t>
        </is>
      </c>
      <c r="S349" s="17" t="inlineStr">
        <is>
          <t>IRAM 3550 4.8: Ø ≥ 300 y ancho ≥ 50</t>
        </is>
      </c>
    </row>
    <row r="350">
      <c r="A350" s="33" t="inlineStr">
        <is>
          <t>FL_MAT_AFFF_50l</t>
        </is>
      </c>
      <c r="B350" s="33" t="n">
        <v>2</v>
      </c>
      <c r="C350" s="33" t="inlineStr">
        <is>
          <t>AFFF50-06</t>
        </is>
      </c>
      <c r="D350" s="17" t="inlineStr">
        <is>
          <t xml:space="preserve">        Llanta con cubo</t>
        </is>
      </c>
      <c r="E350" s="33" t="n">
        <v>2</v>
      </c>
      <c r="F350" s="33" t="inlineStr">
        <is>
          <t>u</t>
        </is>
      </c>
      <c r="G350" s="34" t="n">
        <v>4.0415</v>
      </c>
      <c r="H350" s="34">
        <f>E350*G350</f>
        <v/>
      </c>
      <c r="I350" s="33" t="inlineStr">
        <is>
          <t>Chapa acero SAE 1010</t>
        </is>
      </c>
      <c r="J350" s="17" t="inlineStr">
        <is>
          <t>Ø252 × 80 de ancho</t>
        </is>
      </c>
      <c r="K350" s="33" t="inlineStr">
        <is>
          <t>Compra (en el conjunto)</t>
        </is>
      </c>
      <c r="L350" s="33" t="inlineStr">
        <is>
          <t>No</t>
        </is>
      </c>
      <c r="M350" s="17" t="n"/>
      <c r="N350" s="17" t="n"/>
      <c r="O350" s="17" t="inlineStr">
        <is>
          <t>S4 - se compra terminado (tercerizado con sello IRAM)</t>
        </is>
      </c>
      <c r="P350" s="17" t="n"/>
      <c r="Q350" s="33" t="inlineStr">
        <is>
          <t>P</t>
        </is>
      </c>
      <c r="R350" s="33" t="inlineStr">
        <is>
          <t>FL_DES_AFFF_50l</t>
        </is>
      </c>
      <c r="S350" s="17" t="n"/>
    </row>
    <row r="351">
      <c r="A351" s="33" t="inlineStr">
        <is>
          <t>FL_MAT_AFFF_50l</t>
        </is>
      </c>
      <c r="B351" s="33" t="n">
        <v>2</v>
      </c>
      <c r="C351" s="33" t="inlineStr">
        <is>
          <t>AFFF50-07</t>
        </is>
      </c>
      <c r="D351" s="17" t="inlineStr">
        <is>
          <t xml:space="preserve">        Eje de ruedas</t>
        </is>
      </c>
      <c r="E351" s="33" t="n">
        <v>1</v>
      </c>
      <c r="F351" s="33" t="inlineStr">
        <is>
          <t>u</t>
        </is>
      </c>
      <c r="G351" s="34" t="n">
        <v>1.3333</v>
      </c>
      <c r="H351" s="34">
        <f>E351*G351</f>
        <v/>
      </c>
      <c r="I351" s="33" t="inlineStr">
        <is>
          <t>Acero SAE 1045</t>
        </is>
      </c>
      <c r="J351" s="17" t="inlineStr">
        <is>
          <t>Ø25 × 346 de largo</t>
        </is>
      </c>
      <c r="K351" s="33" t="inlineStr">
        <is>
          <t>Compra (en el conjunto)</t>
        </is>
      </c>
      <c r="L351" s="33" t="inlineStr">
        <is>
          <t>No</t>
        </is>
      </c>
      <c r="M351" s="17" t="n"/>
      <c r="N351" s="17" t="n"/>
      <c r="O351" s="17" t="inlineStr">
        <is>
          <t>S4 - se compra terminado (tercerizado con sello IRAM)</t>
        </is>
      </c>
      <c r="P351" s="17" t="n"/>
      <c r="Q351" s="33" t="inlineStr">
        <is>
          <t>P</t>
        </is>
      </c>
      <c r="R351" s="33" t="inlineStr">
        <is>
          <t>FL_DES_AFFF_50l</t>
        </is>
      </c>
      <c r="S351" s="17" t="n"/>
    </row>
    <row r="352">
      <c r="A352" s="33" t="inlineStr">
        <is>
          <t>FL_MAT_AFFF_50l</t>
        </is>
      </c>
      <c r="B352" s="33" t="n">
        <v>2</v>
      </c>
      <c r="C352" s="33" t="inlineStr">
        <is>
          <t>AFFF50-08</t>
        </is>
      </c>
      <c r="D352" s="17" t="inlineStr">
        <is>
          <t xml:space="preserve">        Bastidor</t>
        </is>
      </c>
      <c r="E352" s="33" t="n">
        <v>1</v>
      </c>
      <c r="F352" s="33" t="inlineStr">
        <is>
          <t>u</t>
        </is>
      </c>
      <c r="G352" s="34" t="n">
        <v>2.0504</v>
      </c>
      <c r="H352" s="34">
        <f>E352*G352</f>
        <v/>
      </c>
      <c r="I352" s="33" t="inlineStr">
        <is>
          <t>Caño acero SAE 1010 Ø25,4×1,6</t>
        </is>
      </c>
      <c r="J352" s="17" t="inlineStr">
        <is>
          <t>caño Ø25,4 × 1,6 × 2.148 de largo desarrollado</t>
        </is>
      </c>
      <c r="K352" s="33" t="inlineStr">
        <is>
          <t>Compra (en el conjunto)</t>
        </is>
      </c>
      <c r="L352" s="33" t="inlineStr">
        <is>
          <t>No</t>
        </is>
      </c>
      <c r="M352" s="17" t="n"/>
      <c r="N352" s="17" t="n"/>
      <c r="O352" s="17" t="inlineStr">
        <is>
          <t>S4 - se compra terminado (tercerizado con sello IRAM)</t>
        </is>
      </c>
      <c r="P352" s="17" t="n"/>
      <c r="Q352" s="33" t="inlineStr">
        <is>
          <t>P</t>
        </is>
      </c>
      <c r="R352" s="33" t="inlineStr">
        <is>
          <t>FL_DES_AFFF_50l</t>
        </is>
      </c>
      <c r="S352" s="17" t="n"/>
    </row>
    <row r="353">
      <c r="A353" s="33" t="inlineStr">
        <is>
          <t>FL_MAT_AFFF_50l</t>
        </is>
      </c>
      <c r="B353" s="33" t="n">
        <v>2</v>
      </c>
      <c r="C353" s="33" t="inlineStr">
        <is>
          <t>AFFF50-09</t>
        </is>
      </c>
      <c r="D353" s="17" t="inlineStr">
        <is>
          <t xml:space="preserve">        Sunchos de fijación</t>
        </is>
      </c>
      <c r="E353" s="33" t="n">
        <v>1</v>
      </c>
      <c r="F353" s="33" t="inlineStr">
        <is>
          <t>u</t>
        </is>
      </c>
      <c r="G353" s="34" t="n">
        <v>5.4228</v>
      </c>
      <c r="H353" s="34">
        <f>E353*G353</f>
        <v/>
      </c>
      <c r="I353" s="33" t="inlineStr">
        <is>
          <t>Planchuela acero SAE 1010</t>
        </is>
      </c>
      <c r="J353" s="17" t="inlineStr">
        <is>
          <t>459 × 424 × 332</t>
        </is>
      </c>
      <c r="K353" s="33" t="inlineStr">
        <is>
          <t>Compra (en el conjunto)</t>
        </is>
      </c>
      <c r="L353" s="33" t="inlineStr">
        <is>
          <t>No</t>
        </is>
      </c>
      <c r="M353" s="17" t="n"/>
      <c r="N353" s="17" t="n"/>
      <c r="O353" s="17" t="inlineStr">
        <is>
          <t>S4 - se compra terminado (tercerizado con sello IRAM)</t>
        </is>
      </c>
      <c r="P353" s="17" t="n"/>
      <c r="Q353" s="33" t="inlineStr">
        <is>
          <t>P</t>
        </is>
      </c>
      <c r="R353" s="33" t="inlineStr">
        <is>
          <t>FL_DES_AFFF_50l</t>
        </is>
      </c>
      <c r="S353" s="17" t="n"/>
    </row>
    <row r="354">
      <c r="A354" s="33" t="inlineStr">
        <is>
          <t>FL_MAT_AFFF_50l</t>
        </is>
      </c>
      <c r="B354" s="33" t="n">
        <v>2</v>
      </c>
      <c r="C354" s="33" t="inlineStr">
        <is>
          <t>AFFF50-10</t>
        </is>
      </c>
      <c r="D354" s="17" t="inlineStr">
        <is>
          <t xml:space="preserve">        Apoyo delantero</t>
        </is>
      </c>
      <c r="E354" s="33" t="n">
        <v>1</v>
      </c>
      <c r="F354" s="33" t="inlineStr">
        <is>
          <t>u</t>
        </is>
      </c>
      <c r="G354" s="34" t="n">
        <v>0.3022</v>
      </c>
      <c r="H354" s="34">
        <f>E354*G354</f>
        <v/>
      </c>
      <c r="I354" s="33" t="inlineStr">
        <is>
          <t>Chapa acero SAE 1010 plegada</t>
        </is>
      </c>
      <c r="J354" s="17" t="inlineStr">
        <is>
          <t>70 × 55 × 50</t>
        </is>
      </c>
      <c r="K354" s="33" t="inlineStr">
        <is>
          <t>Compra (en el conjunto)</t>
        </is>
      </c>
      <c r="L354" s="33" t="inlineStr">
        <is>
          <t>No</t>
        </is>
      </c>
      <c r="M354" s="17" t="n"/>
      <c r="N354" s="17" t="n"/>
      <c r="O354" s="17" t="inlineStr">
        <is>
          <t>S4 - se compra terminado (tercerizado con sello IRAM)</t>
        </is>
      </c>
      <c r="P354" s="17" t="n"/>
      <c r="Q354" s="33" t="inlineStr">
        <is>
          <t>P</t>
        </is>
      </c>
      <c r="R354" s="33" t="inlineStr">
        <is>
          <t>FL_DES_AFFF_50l</t>
        </is>
      </c>
      <c r="S354" s="17" t="n"/>
    </row>
    <row r="355">
      <c r="A355" s="30" t="inlineStr">
        <is>
          <t>FL_MAT_AFFF_50l</t>
        </is>
      </c>
      <c r="B355" s="30" t="n">
        <v>1</v>
      </c>
      <c r="C355" s="30" t="inlineStr">
        <is>
          <t>AFFF50-S5</t>
        </is>
      </c>
      <c r="D355" s="31" t="inlineStr">
        <is>
          <t xml:space="preserve">    Carga: agente extintor y gas impulsor</t>
        </is>
      </c>
      <c r="E355" s="30" t="n">
        <v>1</v>
      </c>
      <c r="F355" s="30" t="inlineStr">
        <is>
          <t>u</t>
        </is>
      </c>
      <c r="G355" s="32" t="n"/>
      <c r="H355" s="32">
        <f>H356+H357+H358</f>
        <v/>
      </c>
      <c r="I355" s="30" t="n"/>
      <c r="J355" s="31" t="n"/>
      <c r="K355" s="30" t="inlineStr">
        <is>
          <t>Compra</t>
        </is>
      </c>
      <c r="L355" s="30" t="n"/>
      <c r="M355" s="31" t="n"/>
      <c r="N355" s="31" t="n"/>
      <c r="O355" s="31" t="n"/>
      <c r="P355" s="31" t="n"/>
      <c r="Q355" s="30" t="n"/>
      <c r="R355" s="30" t="n"/>
      <c r="S355" s="31" t="n"/>
    </row>
    <row r="356">
      <c r="A356" s="33" t="inlineStr">
        <is>
          <t>FL_MAT_AFFF_50l</t>
        </is>
      </c>
      <c r="B356" s="33" t="n">
        <v>2</v>
      </c>
      <c r="C356" s="33" t="inlineStr">
        <is>
          <t>AFFF50-A1</t>
        </is>
      </c>
      <c r="D356" s="17" t="inlineStr">
        <is>
          <t xml:space="preserve">        Agua potable (premezcla)</t>
        </is>
      </c>
      <c r="E356" s="33" t="n">
        <v>48.5</v>
      </c>
      <c r="F356" s="33" t="inlineStr">
        <is>
          <t>L</t>
        </is>
      </c>
      <c r="G356" s="34" t="n">
        <v>1</v>
      </c>
      <c r="H356" s="34">
        <f>E356*G356</f>
        <v/>
      </c>
      <c r="I356" s="33" t="inlineStr">
        <is>
          <t>Agua</t>
        </is>
      </c>
      <c r="J356" s="17" t="inlineStr">
        <is>
          <t>97 % de 50 L; tolerancia ± 3 %</t>
        </is>
      </c>
      <c r="K356" s="33" t="inlineStr">
        <is>
          <t>Red</t>
        </is>
      </c>
      <c r="L356" s="33" t="inlineStr">
        <is>
          <t>No</t>
        </is>
      </c>
      <c r="M356" s="17" t="n"/>
      <c r="N356" s="17" t="n"/>
      <c r="O356" s="17" t="inlineStr">
        <is>
          <t>SP-1 premezcla</t>
        </is>
      </c>
      <c r="P356" s="17" t="inlineStr">
        <is>
          <t>IRAM 3517-2:2020 tabla 3</t>
        </is>
      </c>
      <c r="Q356" s="33" t="inlineStr">
        <is>
          <t>N</t>
        </is>
      </c>
      <c r="R356" s="33" t="n"/>
      <c r="S356" s="17" t="n"/>
    </row>
    <row r="357">
      <c r="A357" s="33" t="inlineStr">
        <is>
          <t>FL_MAT_AFFF_50l</t>
        </is>
      </c>
      <c r="B357" s="33" t="n">
        <v>2</v>
      </c>
      <c r="C357" s="33" t="inlineStr">
        <is>
          <t>AFFF50-A1b</t>
        </is>
      </c>
      <c r="D357" s="17" t="inlineStr">
        <is>
          <t xml:space="preserve">        Concentrado espumígeno AFFF 3 % (IRAM 3515)</t>
        </is>
      </c>
      <c r="E357" s="33" t="n">
        <v>1.5</v>
      </c>
      <c r="F357" s="33" t="inlineStr">
        <is>
          <t>L</t>
        </is>
      </c>
      <c r="G357" s="34" t="n">
        <v>1</v>
      </c>
      <c r="H357" s="34">
        <f>E357*G357</f>
        <v/>
      </c>
      <c r="I357" s="33" t="inlineStr">
        <is>
          <t>Concentrado espumígeno AFFF 3 % (IRAM 3515)</t>
        </is>
      </c>
      <c r="J357" s="17" t="inlineStr">
        <is>
          <t>nominal 1,5 L; tolerancia ± 3 % (IRAM 3517-2:2020 tabla 3)</t>
        </is>
      </c>
      <c r="K357" s="33" t="inlineStr">
        <is>
          <t>Compra</t>
        </is>
      </c>
      <c r="L357" s="33" t="inlineStr">
        <is>
          <t>No</t>
        </is>
      </c>
      <c r="M357" s="17" t="n"/>
      <c r="N357" s="17" t="n"/>
      <c r="O357" s="17" t="inlineStr">
        <is>
          <t>SP-1 almacén previo a la carga</t>
        </is>
      </c>
      <c r="P357" s="17" t="inlineStr">
        <is>
          <t>IRAM 3515</t>
        </is>
      </c>
      <c r="Q357" s="33" t="inlineStr">
        <is>
          <t>N</t>
        </is>
      </c>
      <c r="R357" s="33" t="n"/>
      <c r="S357" s="17" t="n"/>
    </row>
    <row r="358">
      <c r="A358" s="33" t="inlineStr">
        <is>
          <t>FL_MAT_AFFF_50l</t>
        </is>
      </c>
      <c r="B358" s="33" t="n">
        <v>2</v>
      </c>
      <c r="C358" s="33" t="inlineStr">
        <is>
          <t>AFFF50-A2</t>
        </is>
      </c>
      <c r="D358" s="17" t="inlineStr">
        <is>
          <t xml:space="preserve">        Gas impulsor: Aire comprimido</t>
        </is>
      </c>
      <c r="E358" s="33" t="n">
        <v>0.1265</v>
      </c>
      <c r="F358" s="33" t="inlineStr">
        <is>
          <t>kg</t>
        </is>
      </c>
      <c r="G358" s="34" t="n">
        <v>1</v>
      </c>
      <c r="H358" s="34">
        <f>E358*G358</f>
        <v/>
      </c>
      <c r="I358" s="33" t="inlineStr">
        <is>
          <t>Aire comprimido</t>
        </is>
      </c>
      <c r="J358" s="17" t="inlineStr">
        <is>
          <t>97,8 L normales para 0,8 MPa a 20 °C en 11,8 dm³ libres</t>
        </is>
      </c>
      <c r="K358" s="33" t="inlineStr">
        <is>
          <t>Compra</t>
        </is>
      </c>
      <c r="L358" s="33" t="inlineStr">
        <is>
          <t>No</t>
        </is>
      </c>
      <c r="M358" s="17" t="n"/>
      <c r="N358" s="17" t="n"/>
      <c r="O358" s="17" t="inlineStr">
        <is>
          <t>20 Presurización (T05) / C10</t>
        </is>
      </c>
      <c r="P358" s="17" t="inlineStr">
        <is>
          <t>IRAM 3517-2 9.4.9 (tabla 2) · IRAM 3523 2.3 y 3.10</t>
        </is>
      </c>
      <c r="Q358" s="33" t="inlineStr">
        <is>
          <t>C</t>
        </is>
      </c>
      <c r="R358" s="33" t="n"/>
      <c r="S358" s="17" t="inlineStr">
        <is>
          <t>Batería en SP-1; punto de rocío ≤ -56,7 °C para gases limpios</t>
        </is>
      </c>
    </row>
    <row r="359">
      <c r="A359" s="30" t="inlineStr">
        <is>
          <t>FL_MAT_AFFF_50l</t>
        </is>
      </c>
      <c r="B359" s="30" t="n">
        <v>1</v>
      </c>
      <c r="C359" s="30" t="inlineStr">
        <is>
          <t>AFFF50-S6</t>
        </is>
      </c>
      <c r="D359" s="31" t="inlineStr">
        <is>
          <t xml:space="preserve">    Identificación y precinto</t>
        </is>
      </c>
      <c r="E359" s="30" t="n">
        <v>1</v>
      </c>
      <c r="F359" s="30" t="inlineStr">
        <is>
          <t>u</t>
        </is>
      </c>
      <c r="G359" s="32" t="n"/>
      <c r="H359" s="32">
        <f>H360+H361+H362+H363+H364+H365+H366</f>
        <v/>
      </c>
      <c r="I359" s="30" t="n"/>
      <c r="J359" s="31" t="n"/>
      <c r="K359" s="30" t="inlineStr">
        <is>
          <t>Compra</t>
        </is>
      </c>
      <c r="L359" s="30" t="n"/>
      <c r="M359" s="31" t="n"/>
      <c r="N359" s="31" t="n"/>
      <c r="O359" s="31" t="inlineStr">
        <is>
          <t>22 Etiquetado (T07)</t>
        </is>
      </c>
      <c r="P359" s="31" t="n"/>
      <c r="Q359" s="30" t="n"/>
      <c r="R359" s="30" t="n"/>
      <c r="S359" s="31" t="n"/>
    </row>
    <row r="360">
      <c r="A360" s="33" t="inlineStr">
        <is>
          <t>FL_MAT_AFFF_50l</t>
        </is>
      </c>
      <c r="B360" s="33" t="n">
        <v>2</v>
      </c>
      <c r="C360" s="33" t="inlineStr">
        <is>
          <t>AFFF50-27</t>
        </is>
      </c>
      <c r="D360" s="17" t="inlineStr">
        <is>
          <t xml:space="preserve">        Etiqueta / placa de características</t>
        </is>
      </c>
      <c r="E360" s="33" t="n">
        <v>1</v>
      </c>
      <c r="F360" s="33" t="inlineStr">
        <is>
          <t>u</t>
        </is>
      </c>
      <c r="G360" s="34" t="n">
        <v>0.0543</v>
      </c>
      <c r="H360" s="34">
        <f>E360*G360</f>
        <v/>
      </c>
      <c r="I360" s="33" t="inlineStr">
        <is>
          <t>Vinilo autoadhesivo laminado</t>
        </is>
      </c>
      <c r="J360" s="17" t="inlineStr">
        <is>
          <t>604 × 214 (desarrollo × alto: panel central 108° + 2 alas laterales), e ≈ 0,3, laminado UV</t>
        </is>
      </c>
      <c r="K360" s="33" t="inlineStr">
        <is>
          <t>Compra</t>
        </is>
      </c>
      <c r="L360" s="33" t="inlineStr">
        <is>
          <t>No</t>
        </is>
      </c>
      <c r="M360" s="17" t="n"/>
      <c r="N360" s="17" t="n"/>
      <c r="O360" s="17" t="inlineStr">
        <is>
          <t>22 Etiquetado (T07)</t>
        </is>
      </c>
      <c r="P360" s="17" t="inlineStr">
        <is>
          <t>IRAM 3534 · IRAM 3541 cap. 5 · relevamiento de mercado</t>
        </is>
      </c>
      <c r="Q360" s="33" t="inlineStr">
        <is>
          <t>P</t>
        </is>
      </c>
      <c r="R360" s="33" t="inlineStr">
        <is>
          <t>FL_DES_AFFF_50l</t>
        </is>
      </c>
      <c r="S360" s="17" t="inlineStr">
        <is>
          <t>IRAM 3534</t>
        </is>
      </c>
    </row>
    <row r="361">
      <c r="A361" s="33" t="inlineStr">
        <is>
          <t>FL_MAT_AFFF_50l</t>
        </is>
      </c>
      <c r="B361" s="33" t="n">
        <v>2</v>
      </c>
      <c r="C361" s="33" t="inlineStr">
        <is>
          <t>AFFF50-28</t>
        </is>
      </c>
      <c r="D361" s="17" t="inlineStr">
        <is>
          <t xml:space="preserve">        Oblea de fabricación (PBA)</t>
        </is>
      </c>
      <c r="E361" s="33" t="n">
        <v>1</v>
      </c>
      <c r="F361" s="33" t="inlineStr">
        <is>
          <t>u</t>
        </is>
      </c>
      <c r="G361" s="34" t="n">
        <v>0.0009</v>
      </c>
      <c r="H361" s="34">
        <f>E361*G361</f>
        <v/>
      </c>
      <c r="I361" s="33" t="inlineStr">
        <is>
          <t>Papel de seguridad autodestructible</t>
        </is>
      </c>
      <c r="J361" s="17" t="inlineStr">
        <is>
          <t>Ø46 (Res. OPDS 522/07), numerada, autodestructible</t>
        </is>
      </c>
      <c r="K361" s="33" t="inlineStr">
        <is>
          <t>Compra</t>
        </is>
      </c>
      <c r="L361" s="33" t="inlineStr">
        <is>
          <t>No</t>
        </is>
      </c>
      <c r="M361" s="17" t="n"/>
      <c r="N361" s="17" t="n"/>
      <c r="O361" s="17" t="inlineStr">
        <is>
          <t>22 Etiquetado (T07)</t>
        </is>
      </c>
      <c r="P361" s="17" t="inlineStr">
        <is>
          <t>Res. OPDS 522/07 anexos 1, 2 y 6</t>
        </is>
      </c>
      <c r="Q361" s="33" t="inlineStr">
        <is>
          <t>P</t>
        </is>
      </c>
      <c r="R361" s="33" t="inlineStr">
        <is>
          <t>FL_DES_AFFF_50l</t>
        </is>
      </c>
      <c r="S361" s="17" t="inlineStr">
        <is>
          <t>Res. 522/07</t>
        </is>
      </c>
    </row>
    <row r="362">
      <c r="A362" s="33" t="inlineStr">
        <is>
          <t>FL_MAT_AFFF_50l</t>
        </is>
      </c>
      <c r="B362" s="33" t="n">
        <v>2</v>
      </c>
      <c r="C362" s="33" t="inlineStr">
        <is>
          <t>AFFF50-29</t>
        </is>
      </c>
      <c r="D362" s="17" t="inlineStr">
        <is>
          <t xml:space="preserve">        Estampilla IRAM de conformidad</t>
        </is>
      </c>
      <c r="E362" s="33" t="n">
        <v>1</v>
      </c>
      <c r="F362" s="33" t="inlineStr">
        <is>
          <t>u</t>
        </is>
      </c>
      <c r="G362" s="34" t="n">
        <v>0.001</v>
      </c>
      <c r="H362" s="34">
        <f>E362*G362</f>
        <v/>
      </c>
      <c r="I362" s="33" t="inlineStr">
        <is>
          <t>Provista por IRAM (Anexo R)</t>
        </is>
      </c>
      <c r="J362" s="17" t="inlineStr">
        <is>
          <t>60 × 40</t>
        </is>
      </c>
      <c r="K362" s="33" t="inlineStr">
        <is>
          <t>Compra</t>
        </is>
      </c>
      <c r="L362" s="33" t="inlineStr">
        <is>
          <t>No</t>
        </is>
      </c>
      <c r="M362" s="17" t="n"/>
      <c r="N362" s="17" t="n"/>
      <c r="O362" s="17" t="inlineStr">
        <is>
          <t>22 Etiquetado (T07)</t>
        </is>
      </c>
      <c r="P362" s="17" t="inlineStr">
        <is>
          <t>IRAM Anexo R (DC-PG-129)</t>
        </is>
      </c>
      <c r="Q362" s="33" t="inlineStr">
        <is>
          <t>P</t>
        </is>
      </c>
      <c r="R362" s="33" t="inlineStr">
        <is>
          <t>FL_DES_AFFF_50l</t>
        </is>
      </c>
      <c r="S362" s="17" t="inlineStr">
        <is>
          <t>numerada</t>
        </is>
      </c>
    </row>
    <row r="363">
      <c r="A363" s="33" t="inlineStr">
        <is>
          <t>FL_MAT_AFFF_50l</t>
        </is>
      </c>
      <c r="B363" s="33" t="n">
        <v>2</v>
      </c>
      <c r="C363" s="33" t="inlineStr">
        <is>
          <t>AFFF50-30</t>
        </is>
      </c>
      <c r="D363" s="17" t="inlineStr">
        <is>
          <t xml:space="preserve">        Tarjeta de identificación AGC (CABA)</t>
        </is>
      </c>
      <c r="E363" s="33" t="n">
        <v>1</v>
      </c>
      <c r="F363" s="33" t="inlineStr">
        <is>
          <t>u</t>
        </is>
      </c>
      <c r="G363" s="34" t="n">
        <v>0.0032</v>
      </c>
      <c r="H363" s="34">
        <f>E363*G363</f>
        <v/>
      </c>
      <c r="I363" s="33" t="inlineStr">
        <is>
          <t>Etiqueta autoadhesiva emitida por la AGC</t>
        </is>
      </c>
      <c r="J363" s="17" t="inlineStr">
        <is>
          <t>140 × 55</t>
        </is>
      </c>
      <c r="K363" s="33" t="inlineStr">
        <is>
          <t>Compra</t>
        </is>
      </c>
      <c r="L363" s="33" t="inlineStr">
        <is>
          <t>Sí</t>
        </is>
      </c>
      <c r="M363" s="17" t="inlineStr">
        <is>
          <t>Agencia Gubernamental de Control (CABA)</t>
        </is>
      </c>
      <c r="N363" s="17" t="inlineStr">
        <is>
          <t>-</t>
        </is>
      </c>
      <c r="O363" s="17" t="inlineStr">
        <is>
          <t>22 Etiquetado (T07)</t>
        </is>
      </c>
      <c r="P363" s="17" t="inlineStr">
        <is>
          <t>Ordenanza 40.473 art. 6 · Res. AGC 32/15</t>
        </is>
      </c>
      <c r="Q363" s="33" t="inlineStr">
        <is>
          <t>P</t>
        </is>
      </c>
      <c r="R363" s="33" t="inlineStr">
        <is>
          <t>FL_DES_AFFF_50l</t>
        </is>
      </c>
      <c r="S363" s="17" t="inlineStr">
        <is>
          <t>sólo destino CABA; sólo destino CABA</t>
        </is>
      </c>
    </row>
    <row r="364">
      <c r="A364" s="33" t="inlineStr">
        <is>
          <t>FL_MAT_AFFF_50l</t>
        </is>
      </c>
      <c r="B364" s="33" t="n">
        <v>2</v>
      </c>
      <c r="C364" s="33" t="inlineStr">
        <is>
          <t>AFFF50-31</t>
        </is>
      </c>
      <c r="D364" s="17" t="inlineStr">
        <is>
          <t xml:space="preserve">        Etiqueta de n° de serie GS1</t>
        </is>
      </c>
      <c r="E364" s="33" t="n">
        <v>1</v>
      </c>
      <c r="F364" s="33" t="inlineStr">
        <is>
          <t>u</t>
        </is>
      </c>
      <c r="G364" s="34" t="n">
        <v>0.0005</v>
      </c>
      <c r="H364" s="34">
        <f>E364*G364</f>
        <v/>
      </c>
      <c r="I364" s="33" t="inlineStr">
        <is>
          <t>Poliéster autoadhesivo impreso térmico</t>
        </is>
      </c>
      <c r="J364" s="17" t="inlineStr">
        <is>
          <t>45 × 25</t>
        </is>
      </c>
      <c r="K364" s="33" t="inlineStr">
        <is>
          <t>Compra</t>
        </is>
      </c>
      <c r="L364" s="33" t="inlineStr">
        <is>
          <t>No</t>
        </is>
      </c>
      <c r="M364" s="17" t="n"/>
      <c r="N364" s="17" t="n"/>
      <c r="O364" s="17" t="inlineStr">
        <is>
          <t>22 Etiquetado (T07)</t>
        </is>
      </c>
      <c r="P364" s="17" t="inlineStr">
        <is>
          <t>GS1 Argentina (GTIN 779) · trazabilidad IRAM 3523 5.1</t>
        </is>
      </c>
      <c r="Q364" s="33" t="inlineStr">
        <is>
          <t>P</t>
        </is>
      </c>
      <c r="R364" s="33" t="inlineStr">
        <is>
          <t>FL_DES_AFFF_50l</t>
        </is>
      </c>
      <c r="S364" s="17" t="inlineStr">
        <is>
          <t>QR GTIN + serie</t>
        </is>
      </c>
    </row>
    <row r="365">
      <c r="A365" s="33" t="inlineStr">
        <is>
          <t>FL_MAT_AFFF_50l</t>
        </is>
      </c>
      <c r="B365" s="33" t="n">
        <v>2</v>
      </c>
      <c r="C365" s="33" t="inlineStr">
        <is>
          <t>AFFF50-33</t>
        </is>
      </c>
      <c r="D365" s="17" t="inlineStr">
        <is>
          <t xml:space="preserve">        Faja de garantía válvula-cuello</t>
        </is>
      </c>
      <c r="E365" s="33" t="n">
        <v>1</v>
      </c>
      <c r="F365" s="33" t="inlineStr">
        <is>
          <t>u</t>
        </is>
      </c>
      <c r="G365" s="34" t="n">
        <v>0.0003</v>
      </c>
      <c r="H365" s="34">
        <f>E365*G365</f>
        <v/>
      </c>
      <c r="I365" s="33" t="inlineStr">
        <is>
          <t>Vinilo destructible rayado rojo/blanco</t>
        </is>
      </c>
      <c r="J365" s="17" t="inlineStr">
        <is>
          <t>30 × 40</t>
        </is>
      </c>
      <c r="K365" s="33" t="inlineStr">
        <is>
          <t>Compra</t>
        </is>
      </c>
      <c r="L365" s="33" t="inlineStr">
        <is>
          <t>No</t>
        </is>
      </c>
      <c r="M365" s="17" t="n"/>
      <c r="N365" s="17" t="n"/>
      <c r="O365" s="17" t="inlineStr">
        <is>
          <t>22 Etiquetado (T07)</t>
        </is>
      </c>
      <c r="P365" s="17" t="inlineStr">
        <is>
          <t>Sin norma: práctica de mercado (garantía de fábrica)</t>
        </is>
      </c>
      <c r="Q365" s="33" t="inlineStr">
        <is>
          <t>P</t>
        </is>
      </c>
      <c r="R365" s="33" t="inlineStr">
        <is>
          <t>FL_DES_AFFF_50l</t>
        </is>
      </c>
      <c r="S365" s="17" t="inlineStr">
        <is>
          <t>nuevo sin abrir</t>
        </is>
      </c>
    </row>
    <row r="366">
      <c r="A366" s="33" t="inlineStr">
        <is>
          <t>FL_MAT_AFFF_50l</t>
        </is>
      </c>
      <c r="B366" s="33" t="n">
        <v>2</v>
      </c>
      <c r="C366" s="33" t="inlineStr">
        <is>
          <t>AFFF50-34</t>
        </is>
      </c>
      <c r="D366" s="17" t="inlineStr">
        <is>
          <t xml:space="preserve">        Precinto de fábrica</t>
        </is>
      </c>
      <c r="E366" s="33" t="n">
        <v>1</v>
      </c>
      <c r="F366" s="33" t="inlineStr">
        <is>
          <t>u</t>
        </is>
      </c>
      <c r="G366" s="34" t="n">
        <v>0.0002</v>
      </c>
      <c r="H366" s="34">
        <f>E366*G366</f>
        <v/>
      </c>
      <c r="I366" s="33" t="inlineStr">
        <is>
          <t>Polipropileno color</t>
        </is>
      </c>
      <c r="J366" s="17" t="inlineStr">
        <is>
          <t>Ø5 × 10, numerado, rotura 30-50 N</t>
        </is>
      </c>
      <c r="K366" s="33" t="inlineStr">
        <is>
          <t>Compra</t>
        </is>
      </c>
      <c r="L366" s="33" t="inlineStr">
        <is>
          <t>No</t>
        </is>
      </c>
      <c r="M366" s="17" t="n"/>
      <c r="N366" s="17" t="n"/>
      <c r="O366" s="17" t="inlineStr">
        <is>
          <t>20 Presurización (T05)</t>
        </is>
      </c>
      <c r="P366" s="17" t="inlineStr">
        <is>
          <t>IRAM 3523 3.3.2 · IRAM 3517-2:2020 9.4.13</t>
        </is>
      </c>
      <c r="Q366" s="33" t="inlineStr">
        <is>
          <t>P</t>
        </is>
      </c>
      <c r="R366" s="33" t="inlineStr">
        <is>
          <t>FL_DES_AFFF_50l</t>
        </is>
      </c>
      <c r="S366" s="17" t="inlineStr">
        <is>
          <t>id. FLAMA y lote</t>
        </is>
      </c>
    </row>
    <row r="367">
      <c r="A367" s="30" t="inlineStr">
        <is>
          <t>FL_MAT_AFFF_50l</t>
        </is>
      </c>
      <c r="B367" s="30" t="n">
        <v>1</v>
      </c>
      <c r="C367" s="30" t="inlineStr">
        <is>
          <t>AFFF50-S7</t>
        </is>
      </c>
      <c r="D367" s="31" t="inlineStr">
        <is>
          <t xml:space="preserve">    Embalaje</t>
        </is>
      </c>
      <c r="E367" s="30" t="n">
        <v>1</v>
      </c>
      <c r="F367" s="30" t="inlineStr">
        <is>
          <t>u</t>
        </is>
      </c>
      <c r="G367" s="32" t="n"/>
      <c r="H367" s="32">
        <f>H370</f>
        <v/>
      </c>
      <c r="I367" s="30" t="n"/>
      <c r="J367" s="31" t="n"/>
      <c r="K367" s="30" t="inlineStr">
        <is>
          <t>Compra</t>
        </is>
      </c>
      <c r="L367" s="30" t="n"/>
      <c r="M367" s="31" t="n"/>
      <c r="N367" s="31" t="n"/>
      <c r="O367" s="31" t="inlineStr">
        <is>
          <t>23 Embalaje -&gt; 24 envolvedora (T11)</t>
        </is>
      </c>
      <c r="P367" s="31" t="n"/>
      <c r="Q367" s="30" t="n"/>
      <c r="R367" s="30" t="n"/>
      <c r="S367" s="31" t="n"/>
    </row>
    <row r="368">
      <c r="A368" s="33" t="inlineStr">
        <is>
          <t>FL_MAT_AFFF_50l</t>
        </is>
      </c>
      <c r="B368" s="33" t="n">
        <v>2</v>
      </c>
      <c r="C368" s="33" t="inlineStr">
        <is>
          <t>AFFF50-E1</t>
        </is>
      </c>
      <c r="D368" s="17" t="inlineStr">
        <is>
          <t xml:space="preserve">        Esquineros y funda de polietileno</t>
        </is>
      </c>
      <c r="E368" s="33" t="n">
        <v>1</v>
      </c>
      <c r="F368" s="33" t="inlineStr">
        <is>
          <t>jgo</t>
        </is>
      </c>
      <c r="G368" s="34" t="n"/>
      <c r="H368" s="34" t="n"/>
      <c r="I368" s="33" t="inlineStr">
        <is>
          <t>PE / cartón</t>
        </is>
      </c>
      <c r="J368" s="17" t="inlineStr">
        <is>
          <t>a medida de la envolvente del plano</t>
        </is>
      </c>
      <c r="K368" s="33" t="inlineStr">
        <is>
          <t>Compra</t>
        </is>
      </c>
      <c r="L368" s="33" t="inlineStr">
        <is>
          <t>No</t>
        </is>
      </c>
      <c r="M368" s="17" t="n"/>
      <c r="N368" s="17" t="n"/>
      <c r="O368" s="17" t="inlineStr">
        <is>
          <t>23 Embalaje</t>
        </is>
      </c>
      <c r="P368" s="17" t="n"/>
      <c r="Q368" s="33" t="inlineStr">
        <is>
          <t>P</t>
        </is>
      </c>
      <c r="R368" s="33" t="n"/>
      <c r="S368" s="17" t="inlineStr">
        <is>
          <t>Medida del plano</t>
        </is>
      </c>
    </row>
    <row r="369">
      <c r="A369" s="33" t="inlineStr">
        <is>
          <t>FL_MAT_AFFF_50l</t>
        </is>
      </c>
      <c r="B369" s="33" t="n">
        <v>2</v>
      </c>
      <c r="C369" s="33" t="inlineStr">
        <is>
          <t>AFFF50-E3</t>
        </is>
      </c>
      <c r="D369" s="17" t="inlineStr">
        <is>
          <t xml:space="preserve">        Pallet 1200 × 1000 (fracción)</t>
        </is>
      </c>
      <c r="E369" s="33" t="n">
        <v>0.5</v>
      </c>
      <c r="F369" s="33" t="inlineStr">
        <is>
          <t>u</t>
        </is>
      </c>
      <c r="G369" s="34" t="n"/>
      <c r="H369" s="34" t="n"/>
      <c r="I369" s="33" t="inlineStr">
        <is>
          <t>Madera</t>
        </is>
      </c>
      <c r="J369" s="17" t="inlineStr">
        <is>
          <t>2 u por pallet</t>
        </is>
      </c>
      <c r="K369" s="33" t="inlineStr">
        <is>
          <t>Compra</t>
        </is>
      </c>
      <c r="L369" s="33" t="inlineStr">
        <is>
          <t>No</t>
        </is>
      </c>
      <c r="M369" s="17" t="n"/>
      <c r="N369" s="17" t="n"/>
      <c r="O369" s="17" t="inlineStr">
        <is>
          <t>23 Embalaje</t>
        </is>
      </c>
      <c r="P369" s="17" t="n"/>
      <c r="Q369" s="33" t="inlineStr">
        <is>
          <t>C</t>
        </is>
      </c>
      <c r="R369" s="33" t="n"/>
      <c r="S369" s="17" t="inlineStr">
        <is>
          <t>u por pallet = acomodo de la caja (plano) en 1200 × 1000 × 1450 de alto</t>
        </is>
      </c>
    </row>
    <row r="370">
      <c r="A370" s="33" t="inlineStr">
        <is>
          <t>FL_MAT_AFFF_50l</t>
        </is>
      </c>
      <c r="B370" s="33" t="n">
        <v>2</v>
      </c>
      <c r="C370" s="33" t="inlineStr">
        <is>
          <t>AFFF50-E4</t>
        </is>
      </c>
      <c r="D370" s="17" t="inlineStr">
        <is>
          <t xml:space="preserve">        Film stretch (fracción del pallet)</t>
        </is>
      </c>
      <c r="E370" s="33" t="n">
        <v>0.06</v>
      </c>
      <c r="F370" s="33" t="inlineStr">
        <is>
          <t>kg</t>
        </is>
      </c>
      <c r="G370" s="34" t="n">
        <v>1</v>
      </c>
      <c r="H370" s="34">
        <f>E370*G370</f>
        <v/>
      </c>
      <c r="I370" s="33" t="inlineStr">
        <is>
          <t>PE lineal 23 µm</t>
        </is>
      </c>
      <c r="J370" s="17" t="inlineStr">
        <is>
          <t>0,12 kg por pallet / 2 u</t>
        </is>
      </c>
      <c r="K370" s="33" t="inlineStr">
        <is>
          <t>Compra</t>
        </is>
      </c>
      <c r="L370" s="33" t="inlineStr">
        <is>
          <t>No</t>
        </is>
      </c>
      <c r="M370" s="17" t="n"/>
      <c r="N370" s="17" t="n"/>
      <c r="O370" s="17" t="inlineStr">
        <is>
          <t>24 Envolvedora (T11)</t>
        </is>
      </c>
      <c r="P370" s="17" t="n"/>
      <c r="Q370" s="33" t="inlineStr">
        <is>
          <t>C</t>
        </is>
      </c>
      <c r="R370" s="33" t="n"/>
      <c r="S3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71">
      <c r="A371" s="33" t="inlineStr">
        <is>
          <t>FL_MAT_AFFF_50l</t>
        </is>
      </c>
      <c r="B371" s="33" t="n">
        <v>2</v>
      </c>
      <c r="C371" s="33" t="inlineStr">
        <is>
          <t>AFFF50-E5</t>
        </is>
      </c>
      <c r="D371" s="17" t="inlineStr">
        <is>
          <t xml:space="preserve">        Etiqueta de pallet (lote y destino, fracción)</t>
        </is>
      </c>
      <c r="E371" s="33" t="n">
        <v>0.5</v>
      </c>
      <c r="F371" s="33" t="inlineStr">
        <is>
          <t>u</t>
        </is>
      </c>
      <c r="G371" s="34" t="n"/>
      <c r="H371" s="34" t="n"/>
      <c r="I371" s="33" t="inlineStr">
        <is>
          <t>Papel térmico</t>
        </is>
      </c>
      <c r="J371" s="17" t="inlineStr">
        <is>
          <t>100 × 150</t>
        </is>
      </c>
      <c r="K371" s="33" t="inlineStr">
        <is>
          <t>Compra</t>
        </is>
      </c>
      <c r="L371" s="33" t="inlineStr">
        <is>
          <t>No</t>
        </is>
      </c>
      <c r="M371" s="17" t="n"/>
      <c r="N371" s="17" t="n"/>
      <c r="O371" s="17" t="inlineStr">
        <is>
          <t>24 Envolvedora</t>
        </is>
      </c>
      <c r="P371" s="17" t="n"/>
      <c r="Q371" s="33" t="inlineStr">
        <is>
          <t>C</t>
        </is>
      </c>
      <c r="R371" s="33" t="n"/>
      <c r="S371" s="17" t="n"/>
    </row>
    <row r="372">
      <c r="A372" s="27" t="inlineStr">
        <is>
          <t>FL_MAT_BC_5kg</t>
        </is>
      </c>
      <c r="B372" s="27" t="n">
        <v>0</v>
      </c>
      <c r="C372" s="27" t="inlineStr">
        <is>
          <t>FL_MAT_BC_5kg</t>
        </is>
      </c>
      <c r="D372" s="28" t="inlineStr">
        <is>
          <t>Extintor BC 5 kg</t>
        </is>
      </c>
      <c r="E372" s="27" t="n">
        <v>1</v>
      </c>
      <c r="F372" s="27" t="inlineStr">
        <is>
          <t>u</t>
        </is>
      </c>
      <c r="G372" s="29" t="n"/>
      <c r="H372" s="29" t="n"/>
      <c r="I372" s="27" t="n"/>
      <c r="J372" s="28" t="n"/>
      <c r="K372" s="27" t="n"/>
      <c r="L372" s="27" t="n"/>
      <c r="M372" s="28" t="n"/>
      <c r="N372" s="28" t="n"/>
      <c r="O372" s="28" t="n"/>
      <c r="P372" s="28" t="inlineStr">
        <is>
          <t>IRAM 3523</t>
        </is>
      </c>
      <c r="Q372" s="27" t="inlineStr">
        <is>
          <t>P</t>
        </is>
      </c>
      <c r="R372" s="27" t="inlineStr">
        <is>
          <t>FL_MAT_BC_5kg</t>
        </is>
      </c>
      <c r="S372" s="28" t="inlineStr">
        <is>
          <t>Revendido: se compra terminado al fabricante con Sello IRAM; las piezas internas quedan como referencia (no entran en MRP)</t>
        </is>
      </c>
    </row>
    <row r="373">
      <c r="A373" s="30" t="inlineStr">
        <is>
          <t>FL_MAT_BC_5kg</t>
        </is>
      </c>
      <c r="B373" s="30" t="n">
        <v>1</v>
      </c>
      <c r="C373" s="30" t="inlineStr">
        <is>
          <t>BC5-S0</t>
        </is>
      </c>
      <c r="D373" s="31" t="inlineStr">
        <is>
          <t xml:space="preserve">    Equipo terminado comprado (fabricante con Sello IRAM)</t>
        </is>
      </c>
      <c r="E373" s="30" t="n">
        <v>1</v>
      </c>
      <c r="F373" s="30" t="inlineStr">
        <is>
          <t>u</t>
        </is>
      </c>
      <c r="G373" s="32" t="n"/>
      <c r="H373" s="32" t="n"/>
      <c r="I373" s="30" t="n"/>
      <c r="J373" s="31" t="n"/>
      <c r="K373" s="30" t="inlineStr">
        <is>
          <t>Compra</t>
        </is>
      </c>
      <c r="L373" s="30" t="inlineStr">
        <is>
          <t>Sí</t>
        </is>
      </c>
      <c r="M373" s="31" t="inlineStr">
        <is>
          <t>Matafuegos Georgia - venta mayorista</t>
        </is>
      </c>
      <c r="N373" s="31" t="inlineStr">
        <is>
          <t>Melisam</t>
        </is>
      </c>
      <c r="O373" s="31" t="inlineStr">
        <is>
          <t>Recepción y control de ingreso (SP-1)</t>
        </is>
      </c>
      <c r="P373" s="31" t="inlineStr">
        <is>
          <t>IRAM 3523</t>
        </is>
      </c>
      <c r="Q373" s="30" t="inlineStr">
        <is>
          <t>I</t>
        </is>
      </c>
      <c r="R373" s="30" t="inlineStr">
        <is>
          <t>FL_MAT_BC_5kg</t>
        </is>
      </c>
      <c r="S373" s="31" t="inlineStr">
        <is>
          <t>Única fila de compra del revendido (más la tarjeta AGC si el destino es CABA)</t>
        </is>
      </c>
    </row>
    <row r="374">
      <c r="A374" s="30" t="inlineStr">
        <is>
          <t>FL_MAT_BC_5kg</t>
        </is>
      </c>
      <c r="B374" s="30" t="n">
        <v>1</v>
      </c>
      <c r="C374" s="30" t="inlineStr">
        <is>
          <t>BC5-S1</t>
        </is>
      </c>
      <c r="D374" s="31" t="inlineStr">
        <is>
          <t xml:space="preserve">    Recipiente (cilindro)</t>
        </is>
      </c>
      <c r="E374" s="30" t="n">
        <v>1</v>
      </c>
      <c r="F374" s="30" t="inlineStr">
        <is>
          <t>u</t>
        </is>
      </c>
      <c r="G374" s="32" t="n"/>
      <c r="H374" s="32">
        <f>H375+H376+H377+H378</f>
        <v/>
      </c>
      <c r="I374" s="30" t="n"/>
      <c r="J374" s="31" t="n"/>
      <c r="K374" s="30" t="inlineStr">
        <is>
          <t>Compra / armado</t>
        </is>
      </c>
      <c r="L374" s="30" t="n"/>
      <c r="M374" s="31" t="n"/>
      <c r="N374" s="31" t="n"/>
      <c r="O374" s="31" t="n"/>
      <c r="P374" s="31" t="inlineStr">
        <is>
          <t>IRAM 3523 / 3550 (recipiente)</t>
        </is>
      </c>
      <c r="Q374" s="30" t="inlineStr">
        <is>
          <t>P</t>
        </is>
      </c>
      <c r="R374" s="30" t="inlineStr">
        <is>
          <t>FL_DES_BC_5kg</t>
        </is>
      </c>
      <c r="S374" s="31" t="n"/>
    </row>
    <row r="375">
      <c r="A375" s="33" t="inlineStr">
        <is>
          <t>FL_MAT_BC_5kg</t>
        </is>
      </c>
      <c r="B375" s="33" t="n">
        <v>2</v>
      </c>
      <c r="C375" s="33" t="inlineStr">
        <is>
          <t>BC5-01</t>
        </is>
      </c>
      <c r="D375" s="17" t="inlineStr">
        <is>
          <t xml:space="preserve">        Cuerpo (virola)</t>
        </is>
      </c>
      <c r="E375" s="33" t="n">
        <v>1</v>
      </c>
      <c r="F375" s="33" t="inlineStr">
        <is>
          <t>u</t>
        </is>
      </c>
      <c r="G375" s="34" t="n">
        <v>1.9203</v>
      </c>
      <c r="H375" s="34">
        <f>E375*G375</f>
        <v/>
      </c>
      <c r="I375" s="33" t="inlineStr">
        <is>
          <t>Chapa LAF IRAM-IAS U 500-05 e=1,6</t>
        </is>
      </c>
      <c r="J375" s="17" t="inlineStr">
        <is>
          <t>Ø153 × e1,6 × 321,4 de alto; desarrollo 475,6 × 321,4</t>
        </is>
      </c>
      <c r="K375" s="33" t="inlineStr">
        <is>
          <t>Compra (en el conjunto)</t>
        </is>
      </c>
      <c r="L375" s="33" t="inlineStr">
        <is>
          <t>No</t>
        </is>
      </c>
      <c r="M375" s="17" t="n"/>
      <c r="N375" s="17" t="n"/>
      <c r="O375" s="17" t="inlineStr">
        <is>
          <t>S4 - se compra terminado (tercerizado con sello IRAM)</t>
        </is>
      </c>
      <c r="P375" s="17" t="n"/>
      <c r="Q375" s="33" t="inlineStr">
        <is>
          <t>P</t>
        </is>
      </c>
      <c r="R375" s="33" t="inlineStr">
        <is>
          <t>FL_DES_BC_5kg</t>
        </is>
      </c>
      <c r="S375" s="17" t="inlineStr">
        <is>
          <t>costura long. MAG</t>
        </is>
      </c>
    </row>
    <row r="376">
      <c r="A376" s="33" t="inlineStr">
        <is>
          <t>FL_MAT_BC_5kg</t>
        </is>
      </c>
      <c r="B376" s="33" t="n">
        <v>2</v>
      </c>
      <c r="C376" s="33" t="inlineStr">
        <is>
          <t>BC5-02</t>
        </is>
      </c>
      <c r="D376" s="17" t="inlineStr">
        <is>
          <t xml:space="preserve">        Cúpula</t>
        </is>
      </c>
      <c r="E376" s="33" t="n">
        <v>1</v>
      </c>
      <c r="F376" s="33" t="inlineStr">
        <is>
          <t>u</t>
        </is>
      </c>
      <c r="G376" s="34" t="n">
        <v>0.3505</v>
      </c>
      <c r="H376" s="34">
        <f>E376*G376</f>
        <v/>
      </c>
      <c r="I376" s="33" t="inlineStr">
        <is>
          <t>Chapa LAF IRAM-IAS U 500-05 e=1,6</t>
        </is>
      </c>
      <c r="J376" s="17" t="inlineStr">
        <is>
          <t>Ø153 × e1,6 × 53,1 de alto; disco Ø221</t>
        </is>
      </c>
      <c r="K376" s="33" t="inlineStr">
        <is>
          <t>Compra (en el conjunto)</t>
        </is>
      </c>
      <c r="L376" s="33" t="inlineStr">
        <is>
          <t>No</t>
        </is>
      </c>
      <c r="M376" s="17" t="n"/>
      <c r="N376" s="17" t="n"/>
      <c r="O376" s="17" t="inlineStr">
        <is>
          <t>S4 - se compra terminado (tercerizado con sello IRAM)</t>
        </is>
      </c>
      <c r="P376" s="17" t="n"/>
      <c r="Q376" s="33" t="inlineStr">
        <is>
          <t>P</t>
        </is>
      </c>
      <c r="R376" s="33" t="inlineStr">
        <is>
          <t>FL_DES_BC_5kg</t>
        </is>
      </c>
      <c r="S376" s="17" t="inlineStr">
        <is>
          <t>embutida</t>
        </is>
      </c>
    </row>
    <row r="377">
      <c r="A377" s="33" t="inlineStr">
        <is>
          <t>FL_MAT_BC_5kg</t>
        </is>
      </c>
      <c r="B377" s="33" t="n">
        <v>2</v>
      </c>
      <c r="C377" s="33" t="inlineStr">
        <is>
          <t>BC5-03</t>
        </is>
      </c>
      <c r="D377" s="17" t="inlineStr">
        <is>
          <t xml:space="preserve">        Fondo</t>
        </is>
      </c>
      <c r="E377" s="33" t="n">
        <v>1</v>
      </c>
      <c r="F377" s="33" t="inlineStr">
        <is>
          <t>u</t>
        </is>
      </c>
      <c r="G377" s="34" t="n">
        <v>0.2214</v>
      </c>
      <c r="H377" s="34">
        <f>E377*G377</f>
        <v/>
      </c>
      <c r="I377" s="33" t="inlineStr">
        <is>
          <t>Chapa LAF IRAM-IAS U 500-05 e=1,6</t>
        </is>
      </c>
      <c r="J377" s="17" t="inlineStr">
        <is>
          <t>Ø153 × e1,6 × 17,6 de alto; disco Ø177</t>
        </is>
      </c>
      <c r="K377" s="33" t="inlineStr">
        <is>
          <t>Compra (en el conjunto)</t>
        </is>
      </c>
      <c r="L377" s="33" t="inlineStr">
        <is>
          <t>No</t>
        </is>
      </c>
      <c r="M377" s="17" t="n"/>
      <c r="N377" s="17" t="n"/>
      <c r="O377" s="17" t="inlineStr">
        <is>
          <t>S4 - se compra terminado (tercerizado con sello IRAM)</t>
        </is>
      </c>
      <c r="P377" s="17" t="n"/>
      <c r="Q377" s="33" t="inlineStr">
        <is>
          <t>P</t>
        </is>
      </c>
      <c r="R377" s="33" t="inlineStr">
        <is>
          <t>FL_DES_BC_5kg</t>
        </is>
      </c>
      <c r="S377" s="17" t="inlineStr">
        <is>
          <t>embutido</t>
        </is>
      </c>
    </row>
    <row r="378">
      <c r="A378" s="33" t="inlineStr">
        <is>
          <t>FL_MAT_BC_5kg</t>
        </is>
      </c>
      <c r="B378" s="33" t="n">
        <v>2</v>
      </c>
      <c r="C378" s="33" t="inlineStr">
        <is>
          <t>BC5-04</t>
        </is>
      </c>
      <c r="D378" s="17" t="inlineStr">
        <is>
          <t xml:space="preserve">        Cuello roscado</t>
        </is>
      </c>
      <c r="E378" s="33" t="n">
        <v>1</v>
      </c>
      <c r="F378" s="33" t="inlineStr">
        <is>
          <t>u</t>
        </is>
      </c>
      <c r="G378" s="34" t="n">
        <v>0.0589</v>
      </c>
      <c r="H378" s="34">
        <f>E378*G378</f>
        <v/>
      </c>
      <c r="I378" s="33" t="inlineStr">
        <is>
          <t>Acero SAE 1010</t>
        </is>
      </c>
      <c r="J378" s="17" t="inlineStr">
        <is>
          <t>Ø37 × 15 de alto, rosca M30x1,5, asiento Ø35</t>
        </is>
      </c>
      <c r="K378" s="33" t="inlineStr">
        <is>
          <t>Compra (en el conjunto)</t>
        </is>
      </c>
      <c r="L378" s="33" t="inlineStr">
        <is>
          <t>No</t>
        </is>
      </c>
      <c r="M378" s="17" t="n"/>
      <c r="N378" s="17" t="n"/>
      <c r="O378" s="17" t="inlineStr">
        <is>
          <t>S4 - se compra terminado (tercerizado con sello IRAM)</t>
        </is>
      </c>
      <c r="P378" s="17" t="n"/>
      <c r="Q378" s="33" t="inlineStr">
        <is>
          <t>P</t>
        </is>
      </c>
      <c r="R378" s="33" t="inlineStr">
        <is>
          <t>FL_DES_BC_5kg</t>
        </is>
      </c>
      <c r="S378" s="17" t="inlineStr">
        <is>
          <t>M30x1,5</t>
        </is>
      </c>
    </row>
    <row r="379">
      <c r="A379" s="30" t="inlineStr">
        <is>
          <t>FL_MAT_BC_5kg</t>
        </is>
      </c>
      <c r="B379" s="30" t="n">
        <v>1</v>
      </c>
      <c r="C379" s="30" t="inlineStr">
        <is>
          <t>BC5-S2</t>
        </is>
      </c>
      <c r="D379" s="31" t="inlineStr">
        <is>
          <t xml:space="preserve">    Conjunto de válvula</t>
        </is>
      </c>
      <c r="E379" s="30" t="n">
        <v>1</v>
      </c>
      <c r="F379" s="30" t="inlineStr">
        <is>
          <t>u</t>
        </is>
      </c>
      <c r="G379" s="32" t="n"/>
      <c r="H379" s="32">
        <f>H380+H381+H382+H384+H385+H386+H387+H388+H389+H390</f>
        <v/>
      </c>
      <c r="I379" s="30" t="n"/>
      <c r="J379" s="31" t="n"/>
      <c r="K379" s="30" t="inlineStr">
        <is>
          <t>Compra / armado</t>
        </is>
      </c>
      <c r="L379" s="30" t="n"/>
      <c r="M379" s="31" t="n"/>
      <c r="N379" s="31" t="n"/>
      <c r="O379" s="31" t="n"/>
      <c r="P379" s="31" t="inlineStr">
        <is>
          <t>Manómetro IRAM 3533</t>
        </is>
      </c>
      <c r="Q379" s="30" t="inlineStr">
        <is>
          <t>P</t>
        </is>
      </c>
      <c r="R379" s="30" t="inlineStr">
        <is>
          <t>FL_DES_BC_5kg</t>
        </is>
      </c>
      <c r="S379" s="31" t="n"/>
    </row>
    <row r="380">
      <c r="A380" s="33" t="inlineStr">
        <is>
          <t>FL_MAT_BC_5kg</t>
        </is>
      </c>
      <c r="B380" s="33" t="n">
        <v>2</v>
      </c>
      <c r="C380" s="33" t="inlineStr">
        <is>
          <t>BC5-05</t>
        </is>
      </c>
      <c r="D380" s="17" t="inlineStr">
        <is>
          <t xml:space="preserve">        Collarín de válvula</t>
        </is>
      </c>
      <c r="E380" s="33" t="n">
        <v>1</v>
      </c>
      <c r="F380" s="33" t="inlineStr">
        <is>
          <t>u</t>
        </is>
      </c>
      <c r="G380" s="34" t="n">
        <v>0.0833</v>
      </c>
      <c r="H380" s="34">
        <f>E380*G380</f>
        <v/>
      </c>
      <c r="I380" s="33" t="inlineStr">
        <is>
          <t>Latón forjado</t>
        </is>
      </c>
      <c r="J380" s="17" t="inlineStr">
        <is>
          <t>43 × 43 × 10</t>
        </is>
      </c>
      <c r="K380" s="33" t="inlineStr">
        <is>
          <t>Compra (en el conjunto)</t>
        </is>
      </c>
      <c r="L380" s="33" t="inlineStr">
        <is>
          <t>No</t>
        </is>
      </c>
      <c r="M380" s="17" t="n"/>
      <c r="N380" s="17" t="n"/>
      <c r="O380" s="17" t="inlineStr">
        <is>
          <t>S4 - se compra terminado (tercerizado con sello IRAM)</t>
        </is>
      </c>
      <c r="P380" s="17" t="n"/>
      <c r="Q380" s="33" t="inlineStr">
        <is>
          <t>P</t>
        </is>
      </c>
      <c r="R380" s="33" t="inlineStr">
        <is>
          <t>FL_DES_BC_5kg</t>
        </is>
      </c>
      <c r="S380" s="17" t="n"/>
    </row>
    <row r="381">
      <c r="A381" s="33" t="inlineStr">
        <is>
          <t>FL_MAT_BC_5kg</t>
        </is>
      </c>
      <c r="B381" s="33" t="n">
        <v>2</v>
      </c>
      <c r="C381" s="33" t="inlineStr">
        <is>
          <t>BC5-06</t>
        </is>
      </c>
      <c r="D381" s="17" t="inlineStr">
        <is>
          <t xml:space="preserve">        Espiga roscada</t>
        </is>
      </c>
      <c r="E381" s="33" t="n">
        <v>1</v>
      </c>
      <c r="F381" s="33" t="inlineStr">
        <is>
          <t>u</t>
        </is>
      </c>
      <c r="G381" s="34" t="n">
        <v>0.0243</v>
      </c>
      <c r="H381" s="34">
        <f>E381*G381</f>
        <v/>
      </c>
      <c r="I381" s="33" t="inlineStr">
        <is>
          <t>Latón forjado</t>
        </is>
      </c>
      <c r="J381" s="17" t="inlineStr">
        <is>
          <t>28,4 × 28,4 × 12</t>
        </is>
      </c>
      <c r="K381" s="33" t="inlineStr">
        <is>
          <t>Compra (en el conjunto)</t>
        </is>
      </c>
      <c r="L381" s="33" t="inlineStr">
        <is>
          <t>No</t>
        </is>
      </c>
      <c r="M381" s="17" t="n"/>
      <c r="N381" s="17" t="n"/>
      <c r="O381" s="17" t="inlineStr">
        <is>
          <t>S4 - se compra terminado (tercerizado con sello IRAM)</t>
        </is>
      </c>
      <c r="P381" s="17" t="n"/>
      <c r="Q381" s="33" t="inlineStr">
        <is>
          <t>P</t>
        </is>
      </c>
      <c r="R381" s="33" t="inlineStr">
        <is>
          <t>FL_DES_BC_5kg</t>
        </is>
      </c>
      <c r="S381" s="17" t="n"/>
    </row>
    <row r="382">
      <c r="A382" s="33" t="inlineStr">
        <is>
          <t>FL_MAT_BC_5kg</t>
        </is>
      </c>
      <c r="B382" s="33" t="n">
        <v>2</v>
      </c>
      <c r="C382" s="33" t="inlineStr">
        <is>
          <t>BC5-07</t>
        </is>
      </c>
      <c r="D382" s="17" t="inlineStr">
        <is>
          <t xml:space="preserve">        Cuerpo de válvula</t>
        </is>
      </c>
      <c r="E382" s="33" t="n">
        <v>1</v>
      </c>
      <c r="F382" s="33" t="inlineStr">
        <is>
          <t>u</t>
        </is>
      </c>
      <c r="G382" s="34" t="n">
        <v>0.4131</v>
      </c>
      <c r="H382" s="34">
        <f>E382*G382</f>
        <v/>
      </c>
      <c r="I382" s="33" t="inlineStr">
        <is>
          <t>Latón forjado</t>
        </is>
      </c>
      <c r="J382" s="17" t="inlineStr">
        <is>
          <t>56,3 × 43 × 34</t>
        </is>
      </c>
      <c r="K382" s="33" t="inlineStr">
        <is>
          <t>Compra (en el conjunto)</t>
        </is>
      </c>
      <c r="L382" s="33" t="inlineStr">
        <is>
          <t>No</t>
        </is>
      </c>
      <c r="M382" s="17" t="n"/>
      <c r="N382" s="17" t="n"/>
      <c r="O382" s="17" t="inlineStr">
        <is>
          <t>S4 - se compra terminado (tercerizado con sello IRAM)</t>
        </is>
      </c>
      <c r="P382" s="17" t="n"/>
      <c r="Q382" s="33" t="inlineStr">
        <is>
          <t>P</t>
        </is>
      </c>
      <c r="R382" s="33" t="inlineStr">
        <is>
          <t>FL_DES_BC_5kg</t>
        </is>
      </c>
      <c r="S382" s="17" t="n"/>
    </row>
    <row r="383">
      <c r="A383" s="33" t="inlineStr">
        <is>
          <t>FL_MAT_BC_5kg</t>
        </is>
      </c>
      <c r="B383" s="33" t="n">
        <v>2</v>
      </c>
      <c r="C383" s="33" t="inlineStr">
        <is>
          <t>BC5-08</t>
        </is>
      </c>
      <c r="D383" s="17" t="inlineStr">
        <is>
          <t xml:space="preserve">        Manómetro</t>
        </is>
      </c>
      <c r="E383" s="33" t="n">
        <v>1</v>
      </c>
      <c r="F383" s="33" t="inlineStr">
        <is>
          <t>u</t>
        </is>
      </c>
      <c r="G383" s="34" t="n"/>
      <c r="H383" s="34" t="n"/>
      <c r="I383" s="33" t="inlineStr">
        <is>
          <t>Comercial</t>
        </is>
      </c>
      <c r="J383" s="17" t="inlineStr">
        <is>
          <t>Ø38 esfera, rango 0-3,5 MPa, sector verde en 1,4</t>
        </is>
      </c>
      <c r="K383" s="33" t="inlineStr">
        <is>
          <t>Compra (en el conjunto)</t>
        </is>
      </c>
      <c r="L383" s="33" t="inlineStr">
        <is>
          <t>No</t>
        </is>
      </c>
      <c r="M383" s="17" t="n"/>
      <c r="N383" s="17" t="n"/>
      <c r="O383" s="17" t="inlineStr">
        <is>
          <t>S4 - se compra terminado (tercerizado con sello IRAM)</t>
        </is>
      </c>
      <c r="P383" s="17" t="inlineStr">
        <is>
          <t>IRAM 3533</t>
        </is>
      </c>
      <c r="Q383" s="33" t="inlineStr">
        <is>
          <t>P</t>
        </is>
      </c>
      <c r="R383" s="33" t="inlineStr">
        <is>
          <t>FL_DES_BC_5kg</t>
        </is>
      </c>
      <c r="S383" s="17" t="inlineStr">
        <is>
          <t>Pieza comercial; sello IRAM 3533; peso: completar con la ficha del proveedor (no afecta el MRP)</t>
        </is>
      </c>
    </row>
    <row r="384">
      <c r="A384" s="33" t="inlineStr">
        <is>
          <t>FL_MAT_BC_5kg</t>
        </is>
      </c>
      <c r="B384" s="33" t="n">
        <v>2</v>
      </c>
      <c r="C384" s="33" t="inlineStr">
        <is>
          <t>BC5-09</t>
        </is>
      </c>
      <c r="D384" s="17" t="inlineStr">
        <is>
          <t xml:space="preserve">        Manija de transporte</t>
        </is>
      </c>
      <c r="E384" s="33" t="n">
        <v>1</v>
      </c>
      <c r="F384" s="33" t="inlineStr">
        <is>
          <t>u</t>
        </is>
      </c>
      <c r="G384" s="34" t="n">
        <v>0.0619</v>
      </c>
      <c r="H384" s="34">
        <f>E384*G384</f>
        <v/>
      </c>
      <c r="I384" s="33" t="inlineStr">
        <is>
          <t>Chapa acero SAE 1010 pintada</t>
        </is>
      </c>
      <c r="J384" s="17" t="inlineStr">
        <is>
          <t>98,4 × 20 × 14,3</t>
        </is>
      </c>
      <c r="K384" s="33" t="inlineStr">
        <is>
          <t>Compra (en el conjunto)</t>
        </is>
      </c>
      <c r="L384" s="33" t="inlineStr">
        <is>
          <t>No</t>
        </is>
      </c>
      <c r="M384" s="17" t="n"/>
      <c r="N384" s="17" t="n"/>
      <c r="O384" s="17" t="inlineStr">
        <is>
          <t>S4 - se compra terminado (tercerizado con sello IRAM)</t>
        </is>
      </c>
      <c r="P384" s="17" t="n"/>
      <c r="Q384" s="33" t="inlineStr">
        <is>
          <t>P</t>
        </is>
      </c>
      <c r="R384" s="33" t="inlineStr">
        <is>
          <t>FL_DES_BC_5kg</t>
        </is>
      </c>
      <c r="S384" s="17" t="n"/>
    </row>
    <row r="385">
      <c r="A385" s="33" t="inlineStr">
        <is>
          <t>FL_MAT_BC_5kg</t>
        </is>
      </c>
      <c r="B385" s="33" t="n">
        <v>2</v>
      </c>
      <c r="C385" s="33" t="inlineStr">
        <is>
          <t>BC5-10</t>
        </is>
      </c>
      <c r="D385" s="17" t="inlineStr">
        <is>
          <t xml:space="preserve">        Manija de accionamiento</t>
        </is>
      </c>
      <c r="E385" s="33" t="n">
        <v>1</v>
      </c>
      <c r="F385" s="33" t="inlineStr">
        <is>
          <t>u</t>
        </is>
      </c>
      <c r="G385" s="34" t="n">
        <v>0.08890000000000001</v>
      </c>
      <c r="H385" s="34">
        <f>E385*G385</f>
        <v/>
      </c>
      <c r="I385" s="33" t="inlineStr">
        <is>
          <t>Chapa acero SAE 1010 pintada</t>
        </is>
      </c>
      <c r="J385" s="17" t="inlineStr">
        <is>
          <t>141 × 21,2 × 20</t>
        </is>
      </c>
      <c r="K385" s="33" t="inlineStr">
        <is>
          <t>Compra (en el conjunto)</t>
        </is>
      </c>
      <c r="L385" s="33" t="inlineStr">
        <is>
          <t>No</t>
        </is>
      </c>
      <c r="M385" s="17" t="n"/>
      <c r="N385" s="17" t="n"/>
      <c r="O385" s="17" t="inlineStr">
        <is>
          <t>S4 - se compra terminado (tercerizado con sello IRAM)</t>
        </is>
      </c>
      <c r="P385" s="17" t="n"/>
      <c r="Q385" s="33" t="inlineStr">
        <is>
          <t>P</t>
        </is>
      </c>
      <c r="R385" s="33" t="inlineStr">
        <is>
          <t>FL_DES_BC_5kg</t>
        </is>
      </c>
      <c r="S385" s="17" t="n"/>
    </row>
    <row r="386">
      <c r="A386" s="33" t="inlineStr">
        <is>
          <t>FL_MAT_BC_5kg</t>
        </is>
      </c>
      <c r="B386" s="33" t="n">
        <v>2</v>
      </c>
      <c r="C386" s="33" t="inlineStr">
        <is>
          <t>BC5-11</t>
        </is>
      </c>
      <c r="D386" s="17" t="inlineStr">
        <is>
          <t xml:space="preserve">        Eje de palanca</t>
        </is>
      </c>
      <c r="E386" s="33" t="n">
        <v>1</v>
      </c>
      <c r="F386" s="33" t="inlineStr">
        <is>
          <t>u</t>
        </is>
      </c>
      <c r="G386" s="34" t="n">
        <v>0.0081</v>
      </c>
      <c r="H386" s="34">
        <f>E386*G386</f>
        <v/>
      </c>
      <c r="I386" s="33" t="inlineStr">
        <is>
          <t>Acero inox. AISI 304</t>
        </is>
      </c>
      <c r="J386" s="17" t="inlineStr">
        <is>
          <t>36 × 6 × 6</t>
        </is>
      </c>
      <c r="K386" s="33" t="inlineStr">
        <is>
          <t>Compra (en el conjunto)</t>
        </is>
      </c>
      <c r="L386" s="33" t="inlineStr">
        <is>
          <t>No</t>
        </is>
      </c>
      <c r="M386" s="17" t="n"/>
      <c r="N386" s="17" t="n"/>
      <c r="O386" s="17" t="inlineStr">
        <is>
          <t>S4 - se compra terminado (tercerizado con sello IRAM)</t>
        </is>
      </c>
      <c r="P386" s="17" t="n"/>
      <c r="Q386" s="33" t="inlineStr">
        <is>
          <t>P</t>
        </is>
      </c>
      <c r="R386" s="33" t="inlineStr">
        <is>
          <t>FL_DES_BC_5kg</t>
        </is>
      </c>
      <c r="S386" s="17" t="n"/>
    </row>
    <row r="387">
      <c r="A387" s="33" t="inlineStr">
        <is>
          <t>FL_MAT_BC_5kg</t>
        </is>
      </c>
      <c r="B387" s="33" t="n">
        <v>2</v>
      </c>
      <c r="C387" s="33" t="inlineStr">
        <is>
          <t>BC5-12</t>
        </is>
      </c>
      <c r="D387" s="17" t="inlineStr">
        <is>
          <t xml:space="preserve">        Vástago</t>
        </is>
      </c>
      <c r="E387" s="33" t="n">
        <v>1</v>
      </c>
      <c r="F387" s="33" t="inlineStr">
        <is>
          <t>u</t>
        </is>
      </c>
      <c r="G387" s="34" t="n">
        <v>0.0017</v>
      </c>
      <c r="H387" s="34">
        <f>E387*G387</f>
        <v/>
      </c>
      <c r="I387" s="33" t="inlineStr">
        <is>
          <t>Latón</t>
        </is>
      </c>
      <c r="J387" s="17" t="inlineStr">
        <is>
          <t>8 × 8 × 4</t>
        </is>
      </c>
      <c r="K387" s="33" t="inlineStr">
        <is>
          <t>Compra (en el conjunto)</t>
        </is>
      </c>
      <c r="L387" s="33" t="inlineStr">
        <is>
          <t>No</t>
        </is>
      </c>
      <c r="M387" s="17" t="n"/>
      <c r="N387" s="17" t="n"/>
      <c r="O387" s="17" t="inlineStr">
        <is>
          <t>S4 - se compra terminado (tercerizado con sello IRAM)</t>
        </is>
      </c>
      <c r="P387" s="17" t="n"/>
      <c r="Q387" s="33" t="inlineStr">
        <is>
          <t>P</t>
        </is>
      </c>
      <c r="R387" s="33" t="inlineStr">
        <is>
          <t>FL_DES_BC_5kg</t>
        </is>
      </c>
      <c r="S387" s="17" t="inlineStr">
        <is>
          <t>con junta tórica</t>
        </is>
      </c>
    </row>
    <row r="388">
      <c r="A388" s="33" t="inlineStr">
        <is>
          <t>FL_MAT_BC_5kg</t>
        </is>
      </c>
      <c r="B388" s="33" t="n">
        <v>2</v>
      </c>
      <c r="C388" s="33" t="inlineStr">
        <is>
          <t>BC5-13</t>
        </is>
      </c>
      <c r="D388" s="17" t="inlineStr">
        <is>
          <t xml:space="preserve">        Pasador de seguridad</t>
        </is>
      </c>
      <c r="E388" s="33" t="n">
        <v>1</v>
      </c>
      <c r="F388" s="33" t="inlineStr">
        <is>
          <t>u</t>
        </is>
      </c>
      <c r="G388" s="34" t="n">
        <v>0.0055</v>
      </c>
      <c r="H388" s="34">
        <f>E388*G388</f>
        <v/>
      </c>
      <c r="I388" s="33" t="inlineStr">
        <is>
          <t>Alambre acero inox. AISI 304</t>
        </is>
      </c>
      <c r="J388" s="17" t="inlineStr">
        <is>
          <t>45,4 × 21 × 20,8</t>
        </is>
      </c>
      <c r="K388" s="33" t="inlineStr">
        <is>
          <t>Compra (en el conjunto)</t>
        </is>
      </c>
      <c r="L388" s="33" t="inlineStr">
        <is>
          <t>No</t>
        </is>
      </c>
      <c r="M388" s="17" t="n"/>
      <c r="N388" s="17" t="n"/>
      <c r="O388" s="17" t="inlineStr">
        <is>
          <t>S4 - se compra terminado (tercerizado con sello IRAM)</t>
        </is>
      </c>
      <c r="P388" s="17" t="n"/>
      <c r="Q388" s="33" t="inlineStr">
        <is>
          <t>P</t>
        </is>
      </c>
      <c r="R388" s="33" t="inlineStr">
        <is>
          <t>FL_DES_BC_5kg</t>
        </is>
      </c>
      <c r="S388" s="17" t="inlineStr">
        <is>
          <t>con precinto</t>
        </is>
      </c>
    </row>
    <row r="389">
      <c r="A389" s="33" t="inlineStr">
        <is>
          <t>FL_MAT_BC_5kg</t>
        </is>
      </c>
      <c r="B389" s="33" t="n">
        <v>2</v>
      </c>
      <c r="C389" s="33" t="inlineStr">
        <is>
          <t>BC5-14</t>
        </is>
      </c>
      <c r="D389" s="17" t="inlineStr">
        <is>
          <t xml:space="preserve">        Caño de pesca (sifón)</t>
        </is>
      </c>
      <c r="E389" s="33" t="n">
        <v>1</v>
      </c>
      <c r="F389" s="33" t="inlineStr">
        <is>
          <t>u</t>
        </is>
      </c>
      <c r="G389" s="34" t="n">
        <v>0.0244</v>
      </c>
      <c r="H389" s="34">
        <f>E389*G389</f>
        <v/>
      </c>
      <c r="I389" s="33" t="inlineStr">
        <is>
          <t>Tubo PVC rígido</t>
        </is>
      </c>
      <c r="J389" s="17" t="inlineStr">
        <is>
          <t>Ø12 × 352,4 de largo</t>
        </is>
      </c>
      <c r="K389" s="33" t="inlineStr">
        <is>
          <t>Compra (en el conjunto)</t>
        </is>
      </c>
      <c r="L389" s="33" t="inlineStr">
        <is>
          <t>No</t>
        </is>
      </c>
      <c r="M389" s="17" t="n"/>
      <c r="N389" s="17" t="n"/>
      <c r="O389" s="17" t="inlineStr">
        <is>
          <t>S4 - se compra terminado (tercerizado con sello IRAM)</t>
        </is>
      </c>
      <c r="P389" s="17" t="n"/>
      <c r="Q389" s="33" t="inlineStr">
        <is>
          <t>P</t>
        </is>
      </c>
      <c r="R389" s="33" t="inlineStr">
        <is>
          <t>FL_DES_BC_5kg</t>
        </is>
      </c>
      <c r="S389" s="17" t="n"/>
    </row>
    <row r="390">
      <c r="A390" s="33" t="inlineStr">
        <is>
          <t>FL_MAT_BC_5kg</t>
        </is>
      </c>
      <c r="B390" s="33" t="n">
        <v>2</v>
      </c>
      <c r="C390" s="33" t="inlineStr">
        <is>
          <t>BC5-24</t>
        </is>
      </c>
      <c r="D390" s="17" t="inlineStr">
        <is>
          <t xml:space="preserve">        Junta tórica de asiento</t>
        </is>
      </c>
      <c r="E390" s="33" t="n">
        <v>1</v>
      </c>
      <c r="F390" s="33" t="inlineStr">
        <is>
          <t>u</t>
        </is>
      </c>
      <c r="G390" s="34" t="n">
        <v>0.001</v>
      </c>
      <c r="H390" s="34">
        <f>E390*G390</f>
        <v/>
      </c>
      <c r="I390" s="33" t="inlineStr">
        <is>
          <t>NBR 70 Shore A</t>
        </is>
      </c>
      <c r="J390" s="17" t="inlineStr">
        <is>
          <t>Ø31,4 ext. × cordón 3</t>
        </is>
      </c>
      <c r="K390" s="33" t="inlineStr">
        <is>
          <t>Compra (en el conjunto)</t>
        </is>
      </c>
      <c r="L390" s="33" t="inlineStr">
        <is>
          <t>No</t>
        </is>
      </c>
      <c r="M390" s="17" t="n"/>
      <c r="N390" s="17" t="n"/>
      <c r="O390" s="17" t="inlineStr">
        <is>
          <t>S4 - se compra terminado (tercerizado con sello IRAM)</t>
        </is>
      </c>
      <c r="P390" s="17" t="n"/>
      <c r="Q390" s="33" t="inlineStr">
        <is>
          <t>P</t>
        </is>
      </c>
      <c r="R390" s="33" t="inlineStr">
        <is>
          <t>FL_DES_BC_5kg</t>
        </is>
      </c>
      <c r="S390" s="17" t="inlineStr">
        <is>
          <t>cambio c/recarga</t>
        </is>
      </c>
    </row>
    <row r="391">
      <c r="A391" s="33" t="inlineStr">
        <is>
          <t>FL_MAT_BC_5kg</t>
        </is>
      </c>
      <c r="B391" s="33" t="n">
        <v>2</v>
      </c>
      <c r="C391" s="33" t="inlineStr">
        <is>
          <t>BC5-V2</t>
        </is>
      </c>
      <c r="D391" s="17" t="inlineStr">
        <is>
          <t xml:space="preserve">        Resorte de retorno del vástago</t>
        </is>
      </c>
      <c r="E391" s="33" t="n">
        <v>1</v>
      </c>
      <c r="F391" s="33" t="inlineStr">
        <is>
          <t>u</t>
        </is>
      </c>
      <c r="G391" s="34" t="n"/>
      <c r="H391" s="34" t="n"/>
      <c r="I391" s="33" t="inlineStr">
        <is>
          <t>Acero para resortes</t>
        </is>
      </c>
      <c r="J391" s="17" t="inlineStr">
        <is>
          <t>incluido en la válvula</t>
        </is>
      </c>
      <c r="K391" s="33" t="inlineStr">
        <is>
          <t>Compra (en el conjunto)</t>
        </is>
      </c>
      <c r="L391" s="33" t="inlineStr">
        <is>
          <t>No</t>
        </is>
      </c>
      <c r="M391" s="17" t="n"/>
      <c r="N391" s="17" t="n"/>
      <c r="O391" s="17" t="inlineStr">
        <is>
          <t>19 Ensamblaje</t>
        </is>
      </c>
      <c r="P391" s="17" t="n"/>
      <c r="Q391" s="33" t="inlineStr">
        <is>
          <t>Q</t>
        </is>
      </c>
      <c r="R391" s="33" t="n"/>
      <c r="S391" s="17" t="inlineStr">
        <is>
          <t>Lista de precios HZ: válvula «c/resorte» (Q-AGENTES)</t>
        </is>
      </c>
    </row>
    <row r="392">
      <c r="A392" s="33" t="inlineStr">
        <is>
          <t>FL_MAT_BC_5kg</t>
        </is>
      </c>
      <c r="B392" s="33" t="n">
        <v>2</v>
      </c>
      <c r="C392" s="33" t="inlineStr">
        <is>
          <t>BC5-V3</t>
        </is>
      </c>
      <c r="D392" s="17" t="inlineStr">
        <is>
          <t xml:space="preserve">        Junta tórica del vástago</t>
        </is>
      </c>
      <c r="E392" s="33" t="n">
        <v>1</v>
      </c>
      <c r="F392" s="33" t="inlineStr">
        <is>
          <t>u</t>
        </is>
      </c>
      <c r="G392" s="34" t="n"/>
      <c r="H392" s="34" t="n"/>
      <c r="I392" s="33" t="inlineStr">
        <is>
          <t>NBR 70 Shore A</t>
        </is>
      </c>
      <c r="J392" s="17" t="inlineStr">
        <is>
          <t>incluida en la válvula</t>
        </is>
      </c>
      <c r="K392" s="33" t="inlineStr">
        <is>
          <t>Compra (en el conjunto)</t>
        </is>
      </c>
      <c r="L392" s="33" t="inlineStr">
        <is>
          <t>No</t>
        </is>
      </c>
      <c r="M392" s="17" t="n"/>
      <c r="N392" s="17" t="n"/>
      <c r="O392" s="17" t="inlineStr">
        <is>
          <t>19 Ensamblaje</t>
        </is>
      </c>
      <c r="P392" s="17" t="n"/>
      <c r="Q392" s="33" t="inlineStr">
        <is>
          <t>P</t>
        </is>
      </c>
      <c r="R392" s="33" t="n"/>
      <c r="S392" s="17" t="inlineStr">
        <is>
          <t>Figura en el plano como «vástago con junta tórica»</t>
        </is>
      </c>
    </row>
    <row r="393">
      <c r="A393" s="30" t="inlineStr">
        <is>
          <t>FL_MAT_BC_5kg</t>
        </is>
      </c>
      <c r="B393" s="30" t="n">
        <v>1</v>
      </c>
      <c r="C393" s="30" t="inlineStr">
        <is>
          <t>BC5-S3</t>
        </is>
      </c>
      <c r="D393" s="31" t="inlineStr">
        <is>
          <t xml:space="preserve">    Dispositivo de descarga</t>
        </is>
      </c>
      <c r="E393" s="30" t="n">
        <v>1</v>
      </c>
      <c r="F393" s="30" t="inlineStr">
        <is>
          <t>u</t>
        </is>
      </c>
      <c r="G393" s="32" t="n"/>
      <c r="H393" s="32">
        <f>H394+H395+H396+H397</f>
        <v/>
      </c>
      <c r="I393" s="30" t="n"/>
      <c r="J393" s="31" t="n"/>
      <c r="K393" s="30" t="inlineStr">
        <is>
          <t>Compra / armado</t>
        </is>
      </c>
      <c r="L393" s="30" t="n"/>
      <c r="M393" s="31" t="n"/>
      <c r="N393" s="31" t="n"/>
      <c r="O393" s="31" t="n"/>
      <c r="P393" s="31" t="n"/>
      <c r="Q393" s="30" t="inlineStr">
        <is>
          <t>P</t>
        </is>
      </c>
      <c r="R393" s="30" t="inlineStr">
        <is>
          <t>FL_DES_BC_5kg</t>
        </is>
      </c>
      <c r="S393" s="31" t="n"/>
    </row>
    <row r="394">
      <c r="A394" s="33" t="inlineStr">
        <is>
          <t>FL_MAT_BC_5kg</t>
        </is>
      </c>
      <c r="B394" s="33" t="n">
        <v>2</v>
      </c>
      <c r="C394" s="33" t="inlineStr">
        <is>
          <t>BC5-15</t>
        </is>
      </c>
      <c r="D394" s="17" t="inlineStr">
        <is>
          <t xml:space="preserve">        Racor de manguera</t>
        </is>
      </c>
      <c r="E394" s="33" t="n">
        <v>1</v>
      </c>
      <c r="F394" s="33" t="inlineStr">
        <is>
          <t>u</t>
        </is>
      </c>
      <c r="G394" s="34" t="n">
        <v>0.0258</v>
      </c>
      <c r="H394" s="34">
        <f>E394*G394</f>
        <v/>
      </c>
      <c r="I394" s="33" t="inlineStr">
        <is>
          <t>Latón</t>
        </is>
      </c>
      <c r="J394" s="17" t="inlineStr">
        <is>
          <t>18 × 18 × 12</t>
        </is>
      </c>
      <c r="K394" s="33" t="inlineStr">
        <is>
          <t>Compra (en el conjunto)</t>
        </is>
      </c>
      <c r="L394" s="33" t="inlineStr">
        <is>
          <t>No</t>
        </is>
      </c>
      <c r="M394" s="17" t="n"/>
      <c r="N394" s="17" t="n"/>
      <c r="O394" s="17" t="inlineStr">
        <is>
          <t>S4 - se compra terminado (tercerizado con sello IRAM)</t>
        </is>
      </c>
      <c r="P394" s="17" t="n"/>
      <c r="Q394" s="33" t="inlineStr">
        <is>
          <t>P</t>
        </is>
      </c>
      <c r="R394" s="33" t="inlineStr">
        <is>
          <t>FL_DES_BC_5kg</t>
        </is>
      </c>
      <c r="S394" s="17" t="n"/>
    </row>
    <row r="395">
      <c r="A395" s="33" t="inlineStr">
        <is>
          <t>FL_MAT_BC_5kg</t>
        </is>
      </c>
      <c r="B395" s="33" t="n">
        <v>2</v>
      </c>
      <c r="C395" s="33" t="inlineStr">
        <is>
          <t>BC5-16</t>
        </is>
      </c>
      <c r="D395" s="17" t="inlineStr">
        <is>
          <t xml:space="preserve">        Manguera</t>
        </is>
      </c>
      <c r="E395" s="33" t="n">
        <v>1</v>
      </c>
      <c r="F395" s="33" t="inlineStr">
        <is>
          <t>u</t>
        </is>
      </c>
      <c r="G395" s="34" t="n">
        <v>0.046</v>
      </c>
      <c r="H395" s="34">
        <f>E395*G395</f>
        <v/>
      </c>
      <c r="I395" s="33" t="inlineStr">
        <is>
          <t>Caucho sintético</t>
        </is>
      </c>
      <c r="J395" s="17" t="inlineStr">
        <is>
          <t>Ø16 × 298 de largo desarrollado</t>
        </is>
      </c>
      <c r="K395" s="33" t="inlineStr">
        <is>
          <t>Compra (en el conjunto)</t>
        </is>
      </c>
      <c r="L395" s="33" t="inlineStr">
        <is>
          <t>No</t>
        </is>
      </c>
      <c r="M395" s="17" t="n"/>
      <c r="N395" s="17" t="n"/>
      <c r="O395" s="17" t="inlineStr">
        <is>
          <t>S4 - se compra terminado (tercerizado con sello IRAM)</t>
        </is>
      </c>
      <c r="P395" s="17" t="n"/>
      <c r="Q395" s="33" t="inlineStr">
        <is>
          <t>P</t>
        </is>
      </c>
      <c r="R395" s="33" t="inlineStr">
        <is>
          <t>FL_DES_BC_5kg</t>
        </is>
      </c>
      <c r="S395" s="17" t="n"/>
    </row>
    <row r="396">
      <c r="A396" s="33" t="inlineStr">
        <is>
          <t>FL_MAT_BC_5kg</t>
        </is>
      </c>
      <c r="B396" s="33" t="n">
        <v>2</v>
      </c>
      <c r="C396" s="33" t="inlineStr">
        <is>
          <t>BC5-17</t>
        </is>
      </c>
      <c r="D396" s="17" t="inlineStr">
        <is>
          <t xml:space="preserve">        Tobera con portatobera</t>
        </is>
      </c>
      <c r="E396" s="33" t="n">
        <v>1</v>
      </c>
      <c r="F396" s="33" t="inlineStr">
        <is>
          <t>u</t>
        </is>
      </c>
      <c r="G396" s="34" t="n">
        <v>0.0166</v>
      </c>
      <c r="H396" s="34">
        <f>E396*G396</f>
        <v/>
      </c>
      <c r="I396" s="33" t="inlineStr">
        <is>
          <t>Polipropileno</t>
        </is>
      </c>
      <c r="J396" s="17" t="inlineStr">
        <is>
          <t>75 × 24 × 24</t>
        </is>
      </c>
      <c r="K396" s="33" t="inlineStr">
        <is>
          <t>Compra (en el conjunto)</t>
        </is>
      </c>
      <c r="L396" s="33" t="inlineStr">
        <is>
          <t>No</t>
        </is>
      </c>
      <c r="M396" s="17" t="n"/>
      <c r="N396" s="17" t="n"/>
      <c r="O396" s="17" t="inlineStr">
        <is>
          <t>S4 - se compra terminado (tercerizado con sello IRAM)</t>
        </is>
      </c>
      <c r="P396" s="17" t="n"/>
      <c r="Q396" s="33" t="inlineStr">
        <is>
          <t>P</t>
        </is>
      </c>
      <c r="R396" s="33" t="inlineStr">
        <is>
          <t>FL_DES_BC_5kg</t>
        </is>
      </c>
      <c r="S396" s="17" t="n"/>
    </row>
    <row r="397">
      <c r="A397" s="33" t="inlineStr">
        <is>
          <t>FL_MAT_BC_5kg</t>
        </is>
      </c>
      <c r="B397" s="33" t="n">
        <v>2</v>
      </c>
      <c r="C397" s="33" t="inlineStr">
        <is>
          <t>BC5-18</t>
        </is>
      </c>
      <c r="D397" s="17" t="inlineStr">
        <is>
          <t xml:space="preserve">        Suncho portatobera</t>
        </is>
      </c>
      <c r="E397" s="33" t="n">
        <v>1</v>
      </c>
      <c r="F397" s="33" t="inlineStr">
        <is>
          <t>u</t>
        </is>
      </c>
      <c r="G397" s="34" t="n">
        <v>0.1319</v>
      </c>
      <c r="H397" s="34">
        <f>E397*G397</f>
        <v/>
      </c>
      <c r="I397" s="33" t="inlineStr">
        <is>
          <t>Fleje acero SAE 1010 pintado</t>
        </is>
      </c>
      <c r="J397" s="17" t="inlineStr">
        <is>
          <t>159,9 × 156 × 18</t>
        </is>
      </c>
      <c r="K397" s="33" t="inlineStr">
        <is>
          <t>Compra (en el conjunto)</t>
        </is>
      </c>
      <c r="L397" s="33" t="inlineStr">
        <is>
          <t>No</t>
        </is>
      </c>
      <c r="M397" s="17" t="n"/>
      <c r="N397" s="17" t="n"/>
      <c r="O397" s="17" t="inlineStr">
        <is>
          <t>S4 - se compra terminado (tercerizado con sello IRAM)</t>
        </is>
      </c>
      <c r="P397" s="17" t="n"/>
      <c r="Q397" s="33" t="inlineStr">
        <is>
          <t>P</t>
        </is>
      </c>
      <c r="R397" s="33" t="inlineStr">
        <is>
          <t>FL_DES_BC_5kg</t>
        </is>
      </c>
      <c r="S397" s="17" t="n"/>
    </row>
    <row r="398">
      <c r="A398" s="30" t="inlineStr">
        <is>
          <t>FL_MAT_BC_5kg</t>
        </is>
      </c>
      <c r="B398" s="30" t="n">
        <v>1</v>
      </c>
      <c r="C398" s="30" t="inlineStr">
        <is>
          <t>BC5-S5</t>
        </is>
      </c>
      <c r="D398" s="31" t="inlineStr">
        <is>
          <t xml:space="preserve">    Carga: agente extintor y gas impulsor</t>
        </is>
      </c>
      <c r="E398" s="30" t="n">
        <v>1</v>
      </c>
      <c r="F398" s="30" t="inlineStr">
        <is>
          <t>u</t>
        </is>
      </c>
      <c r="G398" s="32" t="n"/>
      <c r="H398" s="32">
        <f>H399+H400</f>
        <v/>
      </c>
      <c r="I398" s="30" t="n"/>
      <c r="J398" s="31" t="n"/>
      <c r="K398" s="30" t="inlineStr">
        <is>
          <t>Compra</t>
        </is>
      </c>
      <c r="L398" s="30" t="n"/>
      <c r="M398" s="31" t="n"/>
      <c r="N398" s="31" t="n"/>
      <c r="O398" s="31" t="n"/>
      <c r="P398" s="31" t="n"/>
      <c r="Q398" s="30" t="n"/>
      <c r="R398" s="30" t="n"/>
      <c r="S398" s="31" t="n"/>
    </row>
    <row r="399">
      <c r="A399" s="33" t="inlineStr">
        <is>
          <t>FL_MAT_BC_5kg</t>
        </is>
      </c>
      <c r="B399" s="33" t="n">
        <v>2</v>
      </c>
      <c r="C399" s="33" t="inlineStr">
        <is>
          <t>BC5-A1</t>
        </is>
      </c>
      <c r="D399" s="17" t="inlineStr">
        <is>
          <t xml:space="preserve">        Polvo químico seco BC - BC sódico (NaHCO₃ ≥ 85,5 %)</t>
        </is>
      </c>
      <c r="E399" s="33" t="n">
        <v>5.15</v>
      </c>
      <c r="F399" s="33" t="inlineStr">
        <is>
          <t>kg</t>
        </is>
      </c>
      <c r="G399" s="34" t="n">
        <v>1</v>
      </c>
      <c r="H399" s="34">
        <f>E399*G399</f>
        <v/>
      </c>
      <c r="I399" s="33" t="inlineStr">
        <is>
          <t>Polvo químico seco BC - BC sódico (NaHCO₃ ≥ 85,5 %)</t>
        </is>
      </c>
      <c r="J399" s="17" t="inlineStr">
        <is>
          <t>nominal 5 kg; tolerancia 0 / +300 g (IRAM 3517-2:2020 tabla 3 · IRAM 3523 tabla II)</t>
        </is>
      </c>
      <c r="K399" s="33" t="inlineStr">
        <is>
          <t>Compra</t>
        </is>
      </c>
      <c r="L399" s="33" t="inlineStr">
        <is>
          <t>No</t>
        </is>
      </c>
      <c r="M399" s="17" t="n"/>
      <c r="N399" s="17" t="n"/>
      <c r="O399" s="17" t="inlineStr">
        <is>
          <t>SP-1 almacén previo a la carga</t>
        </is>
      </c>
      <c r="P399" s="17" t="inlineStr">
        <is>
          <t>IRAM 3566</t>
        </is>
      </c>
      <c r="Q399" s="33" t="inlineStr">
        <is>
          <t>N</t>
        </is>
      </c>
      <c r="R399" s="33" t="n"/>
      <c r="S399" s="17" t="inlineStr">
        <is>
          <t>potencial - · alternativa BC Púrpura K (KHCO₃ 92 ± 5 %): 40B · Lote único por extintor; prohibido mezclar ABC con BC (3517-2 9.9.1.6)</t>
        </is>
      </c>
    </row>
    <row r="400">
      <c r="A400" s="33" t="inlineStr">
        <is>
          <t>FL_MAT_BC_5kg</t>
        </is>
      </c>
      <c r="B400" s="33" t="n">
        <v>2</v>
      </c>
      <c r="C400" s="33" t="inlineStr">
        <is>
          <t>BC5-A2</t>
        </is>
      </c>
      <c r="D400" s="17" t="inlineStr">
        <is>
          <t xml:space="preserve">        Gas impulsor: N₂</t>
        </is>
      </c>
      <c r="E400" s="33" t="n">
        <v>0.0077</v>
      </c>
      <c r="F400" s="33" t="inlineStr">
        <is>
          <t>kg</t>
        </is>
      </c>
      <c r="G400" s="34" t="n">
        <v>1</v>
      </c>
      <c r="H400" s="34">
        <f>E400*G400</f>
        <v/>
      </c>
      <c r="I400" s="33" t="inlineStr">
        <is>
          <t>N₂</t>
        </is>
      </c>
      <c r="J400" s="17" t="inlineStr">
        <is>
          <t>6,1 L normales para 1,4 MPa a 20 °C en 0,44 dm³ libres</t>
        </is>
      </c>
      <c r="K400" s="33" t="inlineStr">
        <is>
          <t>Compra</t>
        </is>
      </c>
      <c r="L400" s="33" t="inlineStr">
        <is>
          <t>No</t>
        </is>
      </c>
      <c r="M400" s="17" t="n"/>
      <c r="N400" s="17" t="n"/>
      <c r="O400" s="17" t="inlineStr">
        <is>
          <t>20 Presurización (T05) / C10</t>
        </is>
      </c>
      <c r="P400" s="17" t="inlineStr">
        <is>
          <t>IRAM 3517-2 9.4.9 (tabla 2) · IRAM 3523 2.3 y 3.10</t>
        </is>
      </c>
      <c r="Q400" s="33" t="inlineStr">
        <is>
          <t>C</t>
        </is>
      </c>
      <c r="R400" s="33" t="n"/>
      <c r="S400" s="17" t="inlineStr">
        <is>
          <t>N₂ ≥ 99,8 %, H₂O ≤ 40 ppm (Q-N2, Air Liquide)</t>
        </is>
      </c>
    </row>
    <row r="401">
      <c r="A401" s="30" t="inlineStr">
        <is>
          <t>FL_MAT_BC_5kg</t>
        </is>
      </c>
      <c r="B401" s="30" t="n">
        <v>1</v>
      </c>
      <c r="C401" s="30" t="inlineStr">
        <is>
          <t>BC5-S6</t>
        </is>
      </c>
      <c r="D401" s="31" t="inlineStr">
        <is>
          <t xml:space="preserve">    Identificación y precinto</t>
        </is>
      </c>
      <c r="E401" s="30" t="n">
        <v>1</v>
      </c>
      <c r="F401" s="30" t="inlineStr">
        <is>
          <t>u</t>
        </is>
      </c>
      <c r="G401" s="32" t="n"/>
      <c r="H401" s="32">
        <f>H402+H403+H404+H405+H406+H407+H408</f>
        <v/>
      </c>
      <c r="I401" s="30" t="n"/>
      <c r="J401" s="31" t="n"/>
      <c r="K401" s="30" t="inlineStr">
        <is>
          <t>Compra</t>
        </is>
      </c>
      <c r="L401" s="30" t="n"/>
      <c r="M401" s="31" t="n"/>
      <c r="N401" s="31" t="n"/>
      <c r="O401" s="31" t="inlineStr">
        <is>
          <t>22 Etiquetado (T07)</t>
        </is>
      </c>
      <c r="P401" s="31" t="n"/>
      <c r="Q401" s="30" t="n"/>
      <c r="R401" s="30" t="n"/>
      <c r="S401" s="31" t="n"/>
    </row>
    <row r="402">
      <c r="A402" s="33" t="inlineStr">
        <is>
          <t>FL_MAT_BC_5kg</t>
        </is>
      </c>
      <c r="B402" s="33" t="n">
        <v>2</v>
      </c>
      <c r="C402" s="33" t="inlineStr">
        <is>
          <t>BC5-19</t>
        </is>
      </c>
      <c r="D402" s="17" t="inlineStr">
        <is>
          <t xml:space="preserve">        Etiqueta / placa de características</t>
        </is>
      </c>
      <c r="E402" s="33" t="n">
        <v>1</v>
      </c>
      <c r="F402" s="33" t="inlineStr">
        <is>
          <t>u</t>
        </is>
      </c>
      <c r="G402" s="34" t="n">
        <v>0.0172</v>
      </c>
      <c r="H402" s="34">
        <f>E402*G402</f>
        <v/>
      </c>
      <c r="I402" s="33" t="inlineStr">
        <is>
          <t>Vinilo autoadhesivo laminado</t>
        </is>
      </c>
      <c r="J402" s="17" t="inlineStr">
        <is>
          <t>289 × 142 (desarrollo × alto: panel central 108° + 2 alas laterales), e ≈ 0,3, laminado UV</t>
        </is>
      </c>
      <c r="K402" s="33" t="inlineStr">
        <is>
          <t>Compra</t>
        </is>
      </c>
      <c r="L402" s="33" t="inlineStr">
        <is>
          <t>No</t>
        </is>
      </c>
      <c r="M402" s="17" t="n"/>
      <c r="N402" s="17" t="n"/>
      <c r="O402" s="17" t="inlineStr">
        <is>
          <t>22 Etiquetado (T07)</t>
        </is>
      </c>
      <c r="P402" s="17" t="inlineStr">
        <is>
          <t>IRAM 3534 · IRAM 3523 cap. 5 · relevamiento de mercado</t>
        </is>
      </c>
      <c r="Q402" s="33" t="inlineStr">
        <is>
          <t>P</t>
        </is>
      </c>
      <c r="R402" s="33" t="inlineStr">
        <is>
          <t>FL_DES_BC_5kg</t>
        </is>
      </c>
      <c r="S402" s="17" t="inlineStr">
        <is>
          <t>IRAM 3534</t>
        </is>
      </c>
    </row>
    <row r="403">
      <c r="A403" s="33" t="inlineStr">
        <is>
          <t>FL_MAT_BC_5kg</t>
        </is>
      </c>
      <c r="B403" s="33" t="n">
        <v>2</v>
      </c>
      <c r="C403" s="33" t="inlineStr">
        <is>
          <t>BC5-20</t>
        </is>
      </c>
      <c r="D403" s="17" t="inlineStr">
        <is>
          <t xml:space="preserve">        Oblea de fabricación (PBA)</t>
        </is>
      </c>
      <c r="E403" s="33" t="n">
        <v>1</v>
      </c>
      <c r="F403" s="33" t="inlineStr">
        <is>
          <t>u</t>
        </is>
      </c>
      <c r="G403" s="34" t="n">
        <v>0.0009</v>
      </c>
      <c r="H403" s="34">
        <f>E403*G403</f>
        <v/>
      </c>
      <c r="I403" s="33" t="inlineStr">
        <is>
          <t>Papel de seguridad autodestructible</t>
        </is>
      </c>
      <c r="J403" s="17" t="inlineStr">
        <is>
          <t>Ø46 (Res. OPDS 522/07), numerada, autodestructible</t>
        </is>
      </c>
      <c r="K403" s="33" t="inlineStr">
        <is>
          <t>Compra</t>
        </is>
      </c>
      <c r="L403" s="33" t="inlineStr">
        <is>
          <t>No</t>
        </is>
      </c>
      <c r="M403" s="17" t="n"/>
      <c r="N403" s="17" t="n"/>
      <c r="O403" s="17" t="inlineStr">
        <is>
          <t>22 Etiquetado (T07)</t>
        </is>
      </c>
      <c r="P403" s="17" t="inlineStr">
        <is>
          <t>Res. OPDS 522/07 anexos 1, 2 y 6</t>
        </is>
      </c>
      <c r="Q403" s="33" t="inlineStr">
        <is>
          <t>P</t>
        </is>
      </c>
      <c r="R403" s="33" t="inlineStr">
        <is>
          <t>FL_DES_BC_5kg</t>
        </is>
      </c>
      <c r="S403" s="17" t="inlineStr">
        <is>
          <t>Res. 522/07</t>
        </is>
      </c>
    </row>
    <row r="404">
      <c r="A404" s="33" t="inlineStr">
        <is>
          <t>FL_MAT_BC_5kg</t>
        </is>
      </c>
      <c r="B404" s="33" t="n">
        <v>2</v>
      </c>
      <c r="C404" s="33" t="inlineStr">
        <is>
          <t>BC5-21</t>
        </is>
      </c>
      <c r="D404" s="17" t="inlineStr">
        <is>
          <t xml:space="preserve">        Estampilla IRAM de conformidad</t>
        </is>
      </c>
      <c r="E404" s="33" t="n">
        <v>1</v>
      </c>
      <c r="F404" s="33" t="inlineStr">
        <is>
          <t>u</t>
        </is>
      </c>
      <c r="G404" s="34" t="n">
        <v>0.001</v>
      </c>
      <c r="H404" s="34">
        <f>E404*G404</f>
        <v/>
      </c>
      <c r="I404" s="33" t="inlineStr">
        <is>
          <t>Provista por IRAM (Anexo R)</t>
        </is>
      </c>
      <c r="J404" s="17" t="inlineStr">
        <is>
          <t>60 × 40</t>
        </is>
      </c>
      <c r="K404" s="33" t="inlineStr">
        <is>
          <t>Compra</t>
        </is>
      </c>
      <c r="L404" s="33" t="inlineStr">
        <is>
          <t>No</t>
        </is>
      </c>
      <c r="M404" s="17" t="n"/>
      <c r="N404" s="17" t="n"/>
      <c r="O404" s="17" t="inlineStr">
        <is>
          <t>22 Etiquetado (T07)</t>
        </is>
      </c>
      <c r="P404" s="17" t="inlineStr">
        <is>
          <t>IRAM Anexo R (DC-PG-129)</t>
        </is>
      </c>
      <c r="Q404" s="33" t="inlineStr">
        <is>
          <t>P</t>
        </is>
      </c>
      <c r="R404" s="33" t="inlineStr">
        <is>
          <t>FL_DES_BC_5kg</t>
        </is>
      </c>
      <c r="S404" s="17" t="inlineStr">
        <is>
          <t>numerada</t>
        </is>
      </c>
    </row>
    <row r="405">
      <c r="A405" s="33" t="inlineStr">
        <is>
          <t>FL_MAT_BC_5kg</t>
        </is>
      </c>
      <c r="B405" s="33" t="n">
        <v>2</v>
      </c>
      <c r="C405" s="33" t="inlineStr">
        <is>
          <t>BC5-22</t>
        </is>
      </c>
      <c r="D405" s="17" t="inlineStr">
        <is>
          <t xml:space="preserve">        Tarjeta de identificación AGC (CABA)</t>
        </is>
      </c>
      <c r="E405" s="33" t="n">
        <v>1</v>
      </c>
      <c r="F405" s="33" t="inlineStr">
        <is>
          <t>u</t>
        </is>
      </c>
      <c r="G405" s="34" t="n">
        <v>0.0032</v>
      </c>
      <c r="H405" s="34">
        <f>E405*G405</f>
        <v/>
      </c>
      <c r="I405" s="33" t="inlineStr">
        <is>
          <t>Etiqueta autoadhesiva emitida por la AGC</t>
        </is>
      </c>
      <c r="J405" s="17" t="inlineStr">
        <is>
          <t>140 × 55</t>
        </is>
      </c>
      <c r="K405" s="33" t="inlineStr">
        <is>
          <t>Compra</t>
        </is>
      </c>
      <c r="L405" s="33" t="inlineStr">
        <is>
          <t>Sí</t>
        </is>
      </c>
      <c r="M405" s="17" t="inlineStr">
        <is>
          <t>Agencia Gubernamental de Control (CABA)</t>
        </is>
      </c>
      <c r="N405" s="17" t="inlineStr">
        <is>
          <t>-</t>
        </is>
      </c>
      <c r="O405" s="17" t="inlineStr">
        <is>
          <t>22 Etiquetado (T07)</t>
        </is>
      </c>
      <c r="P405" s="17" t="inlineStr">
        <is>
          <t>Ordenanza 40.473 art. 6 · Res. AGC 32/15</t>
        </is>
      </c>
      <c r="Q405" s="33" t="inlineStr">
        <is>
          <t>P</t>
        </is>
      </c>
      <c r="R405" s="33" t="inlineStr">
        <is>
          <t>FL_DES_BC_5kg</t>
        </is>
      </c>
      <c r="S405" s="17" t="inlineStr">
        <is>
          <t>sólo destino CABA; sólo destino CABA</t>
        </is>
      </c>
    </row>
    <row r="406">
      <c r="A406" s="33" t="inlineStr">
        <is>
          <t>FL_MAT_BC_5kg</t>
        </is>
      </c>
      <c r="B406" s="33" t="n">
        <v>2</v>
      </c>
      <c r="C406" s="33" t="inlineStr">
        <is>
          <t>BC5-23</t>
        </is>
      </c>
      <c r="D406" s="17" t="inlineStr">
        <is>
          <t xml:space="preserve">        Etiqueta de n° de serie GS1</t>
        </is>
      </c>
      <c r="E406" s="33" t="n">
        <v>1</v>
      </c>
      <c r="F406" s="33" t="inlineStr">
        <is>
          <t>u</t>
        </is>
      </c>
      <c r="G406" s="34" t="n">
        <v>0.0005</v>
      </c>
      <c r="H406" s="34">
        <f>E406*G406</f>
        <v/>
      </c>
      <c r="I406" s="33" t="inlineStr">
        <is>
          <t>Poliéster autoadhesivo impreso térmico</t>
        </is>
      </c>
      <c r="J406" s="17" t="inlineStr">
        <is>
          <t>45 × 25</t>
        </is>
      </c>
      <c r="K406" s="33" t="inlineStr">
        <is>
          <t>Compra</t>
        </is>
      </c>
      <c r="L406" s="33" t="inlineStr">
        <is>
          <t>No</t>
        </is>
      </c>
      <c r="M406" s="17" t="n"/>
      <c r="N406" s="17" t="n"/>
      <c r="O406" s="17" t="inlineStr">
        <is>
          <t>22 Etiquetado (T07)</t>
        </is>
      </c>
      <c r="P406" s="17" t="inlineStr">
        <is>
          <t>GS1 Argentina (GTIN 779) · trazabilidad IRAM 3523 5.1</t>
        </is>
      </c>
      <c r="Q406" s="33" t="inlineStr">
        <is>
          <t>P</t>
        </is>
      </c>
      <c r="R406" s="33" t="inlineStr">
        <is>
          <t>FL_DES_BC_5kg</t>
        </is>
      </c>
      <c r="S406" s="17" t="inlineStr">
        <is>
          <t>QR GTIN + serie</t>
        </is>
      </c>
    </row>
    <row r="407">
      <c r="A407" s="33" t="inlineStr">
        <is>
          <t>FL_MAT_BC_5kg</t>
        </is>
      </c>
      <c r="B407" s="33" t="n">
        <v>2</v>
      </c>
      <c r="C407" s="33" t="inlineStr">
        <is>
          <t>BC5-25</t>
        </is>
      </c>
      <c r="D407" s="17" t="inlineStr">
        <is>
          <t xml:space="preserve">        Faja de garantía válvula-cuello</t>
        </is>
      </c>
      <c r="E407" s="33" t="n">
        <v>1</v>
      </c>
      <c r="F407" s="33" t="inlineStr">
        <is>
          <t>u</t>
        </is>
      </c>
      <c r="G407" s="34" t="n">
        <v>0.0003</v>
      </c>
      <c r="H407" s="34">
        <f>E407*G407</f>
        <v/>
      </c>
      <c r="I407" s="33" t="inlineStr">
        <is>
          <t>Vinilo destructible rayado rojo/blanco</t>
        </is>
      </c>
      <c r="J407" s="17" t="inlineStr">
        <is>
          <t>30 × 40</t>
        </is>
      </c>
      <c r="K407" s="33" t="inlineStr">
        <is>
          <t>Compra</t>
        </is>
      </c>
      <c r="L407" s="33" t="inlineStr">
        <is>
          <t>No</t>
        </is>
      </c>
      <c r="M407" s="17" t="n"/>
      <c r="N407" s="17" t="n"/>
      <c r="O407" s="17" t="inlineStr">
        <is>
          <t>22 Etiquetado (T07)</t>
        </is>
      </c>
      <c r="P407" s="17" t="inlineStr">
        <is>
          <t>Sin norma: práctica de mercado (garantía de fábrica)</t>
        </is>
      </c>
      <c r="Q407" s="33" t="inlineStr">
        <is>
          <t>P</t>
        </is>
      </c>
      <c r="R407" s="33" t="inlineStr">
        <is>
          <t>FL_DES_BC_5kg</t>
        </is>
      </c>
      <c r="S407" s="17" t="inlineStr">
        <is>
          <t>nuevo sin abrir</t>
        </is>
      </c>
    </row>
    <row r="408">
      <c r="A408" s="33" t="inlineStr">
        <is>
          <t>FL_MAT_BC_5kg</t>
        </is>
      </c>
      <c r="B408" s="33" t="n">
        <v>2</v>
      </c>
      <c r="C408" s="33" t="inlineStr">
        <is>
          <t>BC5-26</t>
        </is>
      </c>
      <c r="D408" s="17" t="inlineStr">
        <is>
          <t xml:space="preserve">        Precinto de fábrica</t>
        </is>
      </c>
      <c r="E408" s="33" t="n">
        <v>1</v>
      </c>
      <c r="F408" s="33" t="inlineStr">
        <is>
          <t>u</t>
        </is>
      </c>
      <c r="G408" s="34" t="n">
        <v>0.0002</v>
      </c>
      <c r="H408" s="34">
        <f>E408*G408</f>
        <v/>
      </c>
      <c r="I408" s="33" t="inlineStr">
        <is>
          <t>Polipropileno color</t>
        </is>
      </c>
      <c r="J408" s="17" t="inlineStr">
        <is>
          <t>Ø5 × 10, numerado, rotura 30-50 N</t>
        </is>
      </c>
      <c r="K408" s="33" t="inlineStr">
        <is>
          <t>Compra</t>
        </is>
      </c>
      <c r="L408" s="33" t="inlineStr">
        <is>
          <t>No</t>
        </is>
      </c>
      <c r="M408" s="17" t="n"/>
      <c r="N408" s="17" t="n"/>
      <c r="O408" s="17" t="inlineStr">
        <is>
          <t>20 Presurización (T05)</t>
        </is>
      </c>
      <c r="P408" s="17" t="inlineStr">
        <is>
          <t>IRAM 3523 3.3.2 · IRAM 3517-2:2020 9.4.13</t>
        </is>
      </c>
      <c r="Q408" s="33" t="inlineStr">
        <is>
          <t>P</t>
        </is>
      </c>
      <c r="R408" s="33" t="inlineStr">
        <is>
          <t>FL_DES_BC_5kg</t>
        </is>
      </c>
      <c r="S408" s="17" t="inlineStr">
        <is>
          <t>id. FLAMA y lote</t>
        </is>
      </c>
    </row>
    <row r="409">
      <c r="A409" s="30" t="inlineStr">
        <is>
          <t>FL_MAT_BC_5kg</t>
        </is>
      </c>
      <c r="B409" s="30" t="n">
        <v>1</v>
      </c>
      <c r="C409" s="30" t="inlineStr">
        <is>
          <t>BC5-S8</t>
        </is>
      </c>
      <c r="D409" s="31" t="inlineStr">
        <is>
          <t xml:space="preserve">    Soporte (accesorio de montaje)</t>
        </is>
      </c>
      <c r="E409" s="30" t="n">
        <v>1</v>
      </c>
      <c r="F409" s="30" t="inlineStr">
        <is>
          <t>u</t>
        </is>
      </c>
      <c r="G409" s="32" t="n"/>
      <c r="H409" s="32">
        <f>H410</f>
        <v/>
      </c>
      <c r="I409" s="30" t="n"/>
      <c r="J409" s="31" t="n"/>
      <c r="K409" s="30" t="inlineStr">
        <is>
          <t>Compra</t>
        </is>
      </c>
      <c r="L409" s="30" t="n"/>
      <c r="M409" s="31" t="n"/>
      <c r="N409" s="31" t="n"/>
      <c r="O409" s="31" t="inlineStr">
        <is>
          <t>23 Embalaje (va dentro de la caja)</t>
        </is>
      </c>
      <c r="P409" s="31" t="inlineStr">
        <is>
          <t>IRAM 3517-2 7.4</t>
        </is>
      </c>
      <c r="Q409" s="30" t="n"/>
      <c r="R409" s="30" t="n"/>
      <c r="S409" s="31" t="n"/>
    </row>
    <row r="410">
      <c r="A410" s="33" t="inlineStr">
        <is>
          <t>FL_MAT_BC_5kg</t>
        </is>
      </c>
      <c r="B410" s="33" t="n">
        <v>2</v>
      </c>
      <c r="C410" s="33" t="inlineStr">
        <is>
          <t>BC5-I5</t>
        </is>
      </c>
      <c r="D410" s="17" t="inlineStr">
        <is>
          <t xml:space="preserve">        Soporte de pared (FL_ACC_01)</t>
        </is>
      </c>
      <c r="E410" s="33" t="n">
        <v>1</v>
      </c>
      <c r="F410" s="33" t="inlineStr">
        <is>
          <t>u</t>
        </is>
      </c>
      <c r="G410" s="34" t="n">
        <v>0.29</v>
      </c>
      <c r="H410" s="34">
        <f>E410*G410</f>
        <v/>
      </c>
      <c r="I410" s="33" t="inlineStr">
        <is>
          <t>Chapa acero SAE 1010 e=2 pintada</t>
        </is>
      </c>
      <c r="J410" s="17" t="inlineStr">
        <is>
          <t>placa 60 × 180, ala con ranura Ø cuello + 3</t>
        </is>
      </c>
      <c r="K410" s="33" t="inlineStr">
        <is>
          <t>Compra</t>
        </is>
      </c>
      <c r="L410" s="33" t="inlineStr">
        <is>
          <t>No</t>
        </is>
      </c>
      <c r="M410" s="17" t="n"/>
      <c r="N410" s="17" t="n"/>
      <c r="O410" s="17" t="inlineStr">
        <is>
          <t>23 Embalaje</t>
        </is>
      </c>
      <c r="P410" s="17" t="inlineStr">
        <is>
          <t>IRAM 3517-2 7.4</t>
        </is>
      </c>
      <c r="Q410" s="33" t="inlineStr">
        <is>
          <t>P</t>
        </is>
      </c>
      <c r="R410" s="33" t="inlineStr">
        <is>
          <t>FL_ACC_01</t>
        </is>
      </c>
      <c r="S410" s="17" t="n"/>
    </row>
    <row r="411">
      <c r="A411" s="33" t="inlineStr">
        <is>
          <t>FL_MAT_BC_5kg</t>
        </is>
      </c>
      <c r="B411" s="33" t="n">
        <v>2</v>
      </c>
      <c r="C411" s="33" t="inlineStr">
        <is>
          <t>BC5-I6</t>
        </is>
      </c>
      <c r="D411" s="17" t="inlineStr">
        <is>
          <t xml:space="preserve">        Tornillo y tarugo de fijación</t>
        </is>
      </c>
      <c r="E411" s="33" t="n">
        <v>2</v>
      </c>
      <c r="F411" s="33" t="inlineStr">
        <is>
          <t>u</t>
        </is>
      </c>
      <c r="G411" s="34" t="n"/>
      <c r="H411" s="34" t="n"/>
      <c r="I411" s="33" t="inlineStr">
        <is>
          <t>Acero cincado / nylon</t>
        </is>
      </c>
      <c r="J411" s="17" t="inlineStr">
        <is>
          <t>2 agujeros Ø8,5 del plano FL_ACC_01 → tornillo M8 + tarugo</t>
        </is>
      </c>
      <c r="K411" s="33" t="inlineStr">
        <is>
          <t>Compra</t>
        </is>
      </c>
      <c r="L411" s="33" t="inlineStr">
        <is>
          <t>No</t>
        </is>
      </c>
      <c r="M411" s="17" t="n"/>
      <c r="N411" s="17" t="n"/>
      <c r="O411" s="17" t="inlineStr">
        <is>
          <t>23 Embalaje</t>
        </is>
      </c>
      <c r="P411" s="17" t="n"/>
      <c r="Q411" s="33" t="inlineStr">
        <is>
          <t>P</t>
        </is>
      </c>
      <c r="R411" s="33" t="inlineStr">
        <is>
          <t>FL_ACC_01</t>
        </is>
      </c>
      <c r="S411" s="17" t="n"/>
    </row>
    <row r="412">
      <c r="A412" s="33" t="inlineStr">
        <is>
          <t>FL_MAT_BC_5kg</t>
        </is>
      </c>
      <c r="B412" s="33" t="n">
        <v>2</v>
      </c>
      <c r="C412" s="33" t="inlineStr">
        <is>
          <t>BC5-I8</t>
        </is>
      </c>
      <c r="D412" s="17" t="inlineStr">
        <is>
          <t xml:space="preserve">        Soporte opcional (pared o vehicular, según pedido)</t>
        </is>
      </c>
      <c r="E412" s="33" t="n">
        <v>0</v>
      </c>
      <c r="F412" s="33" t="inlineStr">
        <is>
          <t>u</t>
        </is>
      </c>
      <c r="G412" s="34" t="n"/>
      <c r="H412" s="34" t="n"/>
      <c r="I412" s="33" t="inlineStr">
        <is>
          <t>-</t>
        </is>
      </c>
      <c r="J412" s="17" t="inlineStr">
        <is>
          <t>-</t>
        </is>
      </c>
      <c r="K412" s="33" t="inlineStr">
        <is>
          <t>Compra</t>
        </is>
      </c>
      <c r="L412" s="33" t="inlineStr">
        <is>
          <t>No</t>
        </is>
      </c>
      <c r="M412" s="17" t="n"/>
      <c r="N412" s="17" t="n"/>
      <c r="O412" s="17" t="n"/>
      <c r="P412" s="17" t="inlineStr">
        <is>
          <t>IRAM 3517-2 7.4</t>
        </is>
      </c>
      <c r="Q412" s="33" t="inlineStr">
        <is>
          <t>N</t>
        </is>
      </c>
      <c r="R412" s="33" t="n"/>
      <c r="S412" s="17" t="inlineStr">
        <is>
          <t>Sólo si el pedido lo incluye</t>
        </is>
      </c>
    </row>
    <row r="413">
      <c r="A413" s="30" t="inlineStr">
        <is>
          <t>FL_MAT_BC_5kg</t>
        </is>
      </c>
      <c r="B413" s="30" t="n">
        <v>1</v>
      </c>
      <c r="C413" s="30" t="inlineStr">
        <is>
          <t>BC5-S7</t>
        </is>
      </c>
      <c r="D413" s="31" t="inlineStr">
        <is>
          <t xml:space="preserve">    Embalaje</t>
        </is>
      </c>
      <c r="E413" s="30" t="n">
        <v>1</v>
      </c>
      <c r="F413" s="30" t="inlineStr">
        <is>
          <t>u</t>
        </is>
      </c>
      <c r="G413" s="32" t="n"/>
      <c r="H413" s="32">
        <f>H417</f>
        <v/>
      </c>
      <c r="I413" s="30" t="n"/>
      <c r="J413" s="31" t="n"/>
      <c r="K413" s="30" t="inlineStr">
        <is>
          <t>Compra</t>
        </is>
      </c>
      <c r="L413" s="30" t="n"/>
      <c r="M413" s="31" t="n"/>
      <c r="N413" s="31" t="n"/>
      <c r="O413" s="31" t="inlineStr">
        <is>
          <t>23 Embalaje -&gt; 24 envolvedora (T11)</t>
        </is>
      </c>
      <c r="P413" s="31" t="n"/>
      <c r="Q413" s="30" t="n"/>
      <c r="R413" s="30" t="n"/>
      <c r="S413" s="31" t="n"/>
    </row>
    <row r="414">
      <c r="A414" s="33" t="inlineStr">
        <is>
          <t>FL_MAT_BC_5kg</t>
        </is>
      </c>
      <c r="B414" s="33" t="n">
        <v>2</v>
      </c>
      <c r="C414" s="33" t="inlineStr">
        <is>
          <t>BC5-E1</t>
        </is>
      </c>
      <c r="D414" s="17" t="inlineStr">
        <is>
          <t xml:space="preserve">        Caja de cartón corrugado simple</t>
        </is>
      </c>
      <c r="E414" s="33" t="n">
        <v>1</v>
      </c>
      <c r="F414" s="33" t="inlineStr">
        <is>
          <t>u</t>
        </is>
      </c>
      <c r="G414" s="34" t="n"/>
      <c r="H414" s="34" t="n"/>
      <c r="I414" s="33" t="inlineStr">
        <is>
          <t>Cartón corrugado</t>
        </is>
      </c>
      <c r="J414" s="17" t="inlineStr">
        <is>
          <t>255 × 186 × 500 interior (envolvente del plano + 15 por lado)</t>
        </is>
      </c>
      <c r="K414" s="33" t="inlineStr">
        <is>
          <t>Compra</t>
        </is>
      </c>
      <c r="L414" s="33" t="inlineStr">
        <is>
          <t>No</t>
        </is>
      </c>
      <c r="M414" s="17" t="n"/>
      <c r="N414" s="17" t="n"/>
      <c r="O414" s="17" t="inlineStr">
        <is>
          <t>23 Embalaje</t>
        </is>
      </c>
      <c r="P414" s="17" t="n"/>
      <c r="Q414" s="33" t="inlineStr">
        <is>
          <t>P</t>
        </is>
      </c>
      <c r="R414" s="33" t="n"/>
      <c r="S414" s="17" t="inlineStr">
        <is>
          <t>Medida del plano</t>
        </is>
      </c>
    </row>
    <row r="415">
      <c r="A415" s="33" t="inlineStr">
        <is>
          <t>FL_MAT_BC_5kg</t>
        </is>
      </c>
      <c r="B415" s="33" t="n">
        <v>2</v>
      </c>
      <c r="C415" s="33" t="inlineStr">
        <is>
          <t>BC5-E2</t>
        </is>
      </c>
      <c r="D415" s="17" t="inlineStr">
        <is>
          <t xml:space="preserve">        Instructivo de uso y mantenimiento</t>
        </is>
      </c>
      <c r="E415" s="33" t="n">
        <v>1</v>
      </c>
      <c r="F415" s="33" t="inlineStr">
        <is>
          <t>u</t>
        </is>
      </c>
      <c r="G415" s="34" t="n"/>
      <c r="H415" s="34" t="n"/>
      <c r="I415" s="33" t="inlineStr">
        <is>
          <t>Papel</t>
        </is>
      </c>
      <c r="J415" s="17" t="inlineStr">
        <is>
          <t>A5</t>
        </is>
      </c>
      <c r="K415" s="33" t="inlineStr">
        <is>
          <t>Compra</t>
        </is>
      </c>
      <c r="L415" s="33" t="inlineStr">
        <is>
          <t>No</t>
        </is>
      </c>
      <c r="M415" s="17" t="n"/>
      <c r="N415" s="17" t="n"/>
      <c r="O415" s="17" t="inlineStr">
        <is>
          <t>23 Embalaje</t>
        </is>
      </c>
      <c r="P415" s="17" t="n"/>
      <c r="Q415" s="33" t="inlineStr">
        <is>
          <t>I</t>
        </is>
      </c>
      <c r="R415" s="33" t="n"/>
      <c r="S415" s="17" t="inlineStr">
        <is>
          <t>Decisión comercial de FLAMA (las instrucciones de uso obligatorias van en la etiqueta, IRAM 3534)</t>
        </is>
      </c>
    </row>
    <row r="416">
      <c r="A416" s="33" t="inlineStr">
        <is>
          <t>FL_MAT_BC_5kg</t>
        </is>
      </c>
      <c r="B416" s="33" t="n">
        <v>2</v>
      </c>
      <c r="C416" s="33" t="inlineStr">
        <is>
          <t>BC5-E3</t>
        </is>
      </c>
      <c r="D416" s="17" t="inlineStr">
        <is>
          <t xml:space="preserve">        Pallet 1200 × 1000 (fracción)</t>
        </is>
      </c>
      <c r="E416" s="33" t="n">
        <v>0.025</v>
      </c>
      <c r="F416" s="33" t="inlineStr">
        <is>
          <t>u</t>
        </is>
      </c>
      <c r="G416" s="34" t="n"/>
      <c r="H416" s="34" t="n"/>
      <c r="I416" s="33" t="inlineStr">
        <is>
          <t>Madera</t>
        </is>
      </c>
      <c r="J416" s="17" t="inlineStr">
        <is>
          <t>40 u por pallet</t>
        </is>
      </c>
      <c r="K416" s="33" t="inlineStr">
        <is>
          <t>Compra</t>
        </is>
      </c>
      <c r="L416" s="33" t="inlineStr">
        <is>
          <t>No</t>
        </is>
      </c>
      <c r="M416" s="17" t="n"/>
      <c r="N416" s="17" t="n"/>
      <c r="O416" s="17" t="inlineStr">
        <is>
          <t>23 Embalaje</t>
        </is>
      </c>
      <c r="P416" s="17" t="n"/>
      <c r="Q416" s="33" t="inlineStr">
        <is>
          <t>C</t>
        </is>
      </c>
      <c r="R416" s="33" t="n"/>
      <c r="S416" s="17" t="inlineStr">
        <is>
          <t>u por pallet = acomodo de la caja (plano) en 1200 × 1000 × 1450 de alto</t>
        </is>
      </c>
    </row>
    <row r="417">
      <c r="A417" s="33" t="inlineStr">
        <is>
          <t>FL_MAT_BC_5kg</t>
        </is>
      </c>
      <c r="B417" s="33" t="n">
        <v>2</v>
      </c>
      <c r="C417" s="33" t="inlineStr">
        <is>
          <t>BC5-E4</t>
        </is>
      </c>
      <c r="D417" s="17" t="inlineStr">
        <is>
          <t xml:space="preserve">        Film stretch (fracción del pallet)</t>
        </is>
      </c>
      <c r="E417" s="33" t="n">
        <v>0.003</v>
      </c>
      <c r="F417" s="33" t="inlineStr">
        <is>
          <t>kg</t>
        </is>
      </c>
      <c r="G417" s="34" t="n">
        <v>1</v>
      </c>
      <c r="H417" s="34">
        <f>E417*G417</f>
        <v/>
      </c>
      <c r="I417" s="33" t="inlineStr">
        <is>
          <t>PE lineal 23 µm</t>
        </is>
      </c>
      <c r="J417" s="17" t="inlineStr">
        <is>
          <t>0,12 kg por pallet / 40 u</t>
        </is>
      </c>
      <c r="K417" s="33" t="inlineStr">
        <is>
          <t>Compra</t>
        </is>
      </c>
      <c r="L417" s="33" t="inlineStr">
        <is>
          <t>No</t>
        </is>
      </c>
      <c r="M417" s="17" t="n"/>
      <c r="N417" s="17" t="n"/>
      <c r="O417" s="17" t="inlineStr">
        <is>
          <t>24 Envolvedora (T11)</t>
        </is>
      </c>
      <c r="P417" s="17" t="n"/>
      <c r="Q417" s="33" t="inlineStr">
        <is>
          <t>C</t>
        </is>
      </c>
      <c r="R417" s="33" t="n"/>
      <c r="S41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18">
      <c r="A418" s="33" t="inlineStr">
        <is>
          <t>FL_MAT_BC_5kg</t>
        </is>
      </c>
      <c r="B418" s="33" t="n">
        <v>2</v>
      </c>
      <c r="C418" s="33" t="inlineStr">
        <is>
          <t>BC5-E5</t>
        </is>
      </c>
      <c r="D418" s="17" t="inlineStr">
        <is>
          <t xml:space="preserve">        Etiqueta de pallet (lote y destino, fracción)</t>
        </is>
      </c>
      <c r="E418" s="33" t="n">
        <v>0.025</v>
      </c>
      <c r="F418" s="33" t="inlineStr">
        <is>
          <t>u</t>
        </is>
      </c>
      <c r="G418" s="34" t="n"/>
      <c r="H418" s="34" t="n"/>
      <c r="I418" s="33" t="inlineStr">
        <is>
          <t>Papel térmico</t>
        </is>
      </c>
      <c r="J418" s="17" t="inlineStr">
        <is>
          <t>100 × 150</t>
        </is>
      </c>
      <c r="K418" s="33" t="inlineStr">
        <is>
          <t>Compra</t>
        </is>
      </c>
      <c r="L418" s="33" t="inlineStr">
        <is>
          <t>No</t>
        </is>
      </c>
      <c r="M418" s="17" t="n"/>
      <c r="N418" s="17" t="n"/>
      <c r="O418" s="17" t="inlineStr">
        <is>
          <t>24 Envolvedora</t>
        </is>
      </c>
      <c r="P418" s="17" t="n"/>
      <c r="Q418" s="33" t="inlineStr">
        <is>
          <t>C</t>
        </is>
      </c>
      <c r="R418" s="33" t="n"/>
      <c r="S418" s="17" t="n"/>
    </row>
    <row r="419">
      <c r="A419" s="33" t="inlineStr">
        <is>
          <t>FL_MAT_BC_5kg</t>
        </is>
      </c>
      <c r="B419" s="33" t="n">
        <v>2</v>
      </c>
      <c r="C419" s="33" t="inlineStr">
        <is>
          <t>BC5-E6</t>
        </is>
      </c>
      <c r="D419" s="17" t="inlineStr">
        <is>
          <t xml:space="preserve">        Cinta de embalaje PP 48 mm (cierre de la caja)</t>
        </is>
      </c>
      <c r="E419" s="33" t="n">
        <v>0.79</v>
      </c>
      <c r="F419" s="33" t="inlineStr">
        <is>
          <t>m</t>
        </is>
      </c>
      <c r="G419" s="34" t="n"/>
      <c r="H419" s="34" t="n"/>
      <c r="I419" s="33" t="inlineStr">
        <is>
          <t>Polipropileno con adhesivo acrílico</t>
        </is>
      </c>
      <c r="J419" s="17" t="inlineStr">
        <is>
          <t>cierre en I arriba y abajo: 2 × (255 + 2 × 70 de solapa)</t>
        </is>
      </c>
      <c r="K419" s="33" t="inlineStr">
        <is>
          <t>Compra</t>
        </is>
      </c>
      <c r="L419" s="33" t="inlineStr">
        <is>
          <t>No</t>
        </is>
      </c>
      <c r="M419" s="17" t="n"/>
      <c r="N419" s="17" t="n"/>
      <c r="O419" s="17" t="inlineStr">
        <is>
          <t>23 Embalaje</t>
        </is>
      </c>
      <c r="P419" s="17" t="n"/>
      <c r="Q419" s="33" t="inlineStr">
        <is>
          <t>C</t>
        </is>
      </c>
      <c r="R419" s="33" t="n"/>
      <c r="S419" s="17" t="inlineStr">
        <is>
          <t>Solapa de 70 mm por lado: práctica de cierre de cajas (medir en la línea)</t>
        </is>
      </c>
    </row>
    <row r="420">
      <c r="A420" s="33" t="inlineStr">
        <is>
          <t>FL_MAT_BC_5kg</t>
        </is>
      </c>
      <c r="B420" s="33" t="n">
        <v>2</v>
      </c>
      <c r="C420" s="33" t="inlineStr">
        <is>
          <t>BC5-E7</t>
        </is>
      </c>
      <c r="D420" s="17" t="inlineStr">
        <is>
          <t xml:space="preserve">        Esquineros de cartón 50 × 50 × 1200 (fracción del pallet)</t>
        </is>
      </c>
      <c r="E420" s="33" t="n">
        <v>0.1</v>
      </c>
      <c r="F420" s="33" t="inlineStr">
        <is>
          <t>u</t>
        </is>
      </c>
      <c r="G420" s="34" t="n"/>
      <c r="H420" s="34" t="n"/>
      <c r="I420" s="33" t="inlineStr">
        <is>
          <t>Cartón</t>
        </is>
      </c>
      <c r="J420" s="17" t="inlineStr">
        <is>
          <t>4 por pallet / 40 u</t>
        </is>
      </c>
      <c r="K420" s="33" t="inlineStr">
        <is>
          <t>Compra</t>
        </is>
      </c>
      <c r="L420" s="33" t="inlineStr">
        <is>
          <t>No</t>
        </is>
      </c>
      <c r="M420" s="17" t="n"/>
      <c r="N420" s="17" t="n"/>
      <c r="O420" s="17" t="inlineStr">
        <is>
          <t>24 Envolvedora (T11)</t>
        </is>
      </c>
      <c r="P420" s="17" t="n"/>
      <c r="Q420" s="33" t="inlineStr">
        <is>
          <t>C</t>
        </is>
      </c>
      <c r="R420" s="33" t="n"/>
      <c r="S420" s="17" t="inlineStr">
        <is>
          <t>Planilla MP-64</t>
        </is>
      </c>
    </row>
    <row r="421">
      <c r="A421" s="27" t="inlineStr">
        <is>
          <t>FL_MAT_SALESK_6l</t>
        </is>
      </c>
      <c r="B421" s="27" t="n">
        <v>0</v>
      </c>
      <c r="C421" s="27" t="inlineStr">
        <is>
          <t>FL_MAT_SALESK_6l</t>
        </is>
      </c>
      <c r="D421" s="28" t="inlineStr">
        <is>
          <t>Extintor Sales K 6 l</t>
        </is>
      </c>
      <c r="E421" s="27" t="n">
        <v>1</v>
      </c>
      <c r="F421" s="27" t="inlineStr">
        <is>
          <t>u</t>
        </is>
      </c>
      <c r="G421" s="29" t="n"/>
      <c r="H421" s="29" t="n"/>
      <c r="I421" s="27" t="n"/>
      <c r="J421" s="28" t="n"/>
      <c r="K421" s="27" t="n"/>
      <c r="L421" s="27" t="n"/>
      <c r="M421" s="28" t="n"/>
      <c r="N421" s="28" t="n"/>
      <c r="O421" s="28" t="n"/>
      <c r="P421" s="28" t="inlineStr">
        <is>
          <t>IRAM 3694</t>
        </is>
      </c>
      <c r="Q421" s="27" t="inlineStr">
        <is>
          <t>P</t>
        </is>
      </c>
      <c r="R421" s="27" t="inlineStr">
        <is>
          <t>FL_MAT_SALESK_6l</t>
        </is>
      </c>
      <c r="S421" s="28" t="inlineStr">
        <is>
          <t>Revendido: se compra terminado al fabricante con Sello IRAM; las piezas internas quedan como referencia (no entran en MRP)</t>
        </is>
      </c>
    </row>
    <row r="422">
      <c r="A422" s="30" t="inlineStr">
        <is>
          <t>FL_MAT_SALESK_6l</t>
        </is>
      </c>
      <c r="B422" s="30" t="n">
        <v>1</v>
      </c>
      <c r="C422" s="30" t="inlineStr">
        <is>
          <t>SALESK6-S0</t>
        </is>
      </c>
      <c r="D422" s="31" t="inlineStr">
        <is>
          <t xml:space="preserve">    Equipo terminado comprado (fabricante con Sello IRAM)</t>
        </is>
      </c>
      <c r="E422" s="30" t="n">
        <v>1</v>
      </c>
      <c r="F422" s="30" t="inlineStr">
        <is>
          <t>u</t>
        </is>
      </c>
      <c r="G422" s="32" t="n"/>
      <c r="H422" s="32" t="n"/>
      <c r="I422" s="30" t="n"/>
      <c r="J422" s="31" t="n"/>
      <c r="K422" s="30" t="inlineStr">
        <is>
          <t>Compra</t>
        </is>
      </c>
      <c r="L422" s="30" t="inlineStr">
        <is>
          <t>Sí</t>
        </is>
      </c>
      <c r="M422" s="31" t="inlineStr">
        <is>
          <t>Matafuegos Georgia - venta mayorista</t>
        </is>
      </c>
      <c r="N422" s="31" t="inlineStr">
        <is>
          <t>Drago (Luis Pasquinelli e Hijos S.A.)</t>
        </is>
      </c>
      <c r="O422" s="31" t="inlineStr">
        <is>
          <t>Recepción y control de ingreso (SP-1)</t>
        </is>
      </c>
      <c r="P422" s="31" t="inlineStr">
        <is>
          <t>IRAM 3694</t>
        </is>
      </c>
      <c r="Q422" s="30" t="inlineStr">
        <is>
          <t>I</t>
        </is>
      </c>
      <c r="R422" s="30" t="inlineStr">
        <is>
          <t>FL_MAT_SALESK_6l</t>
        </is>
      </c>
      <c r="S422" s="31" t="inlineStr">
        <is>
          <t>Única fila de compra del revendido (más la tarjeta AGC si el destino es CABA)</t>
        </is>
      </c>
    </row>
    <row r="423">
      <c r="A423" s="30" t="inlineStr">
        <is>
          <t>FL_MAT_SALESK_6l</t>
        </is>
      </c>
      <c r="B423" s="30" t="n">
        <v>1</v>
      </c>
      <c r="C423" s="30" t="inlineStr">
        <is>
          <t>SALESK6-S1</t>
        </is>
      </c>
      <c r="D423" s="31" t="inlineStr">
        <is>
          <t xml:space="preserve">    Recipiente (cilindro)</t>
        </is>
      </c>
      <c r="E423" s="30" t="n">
        <v>1</v>
      </c>
      <c r="F423" s="30" t="inlineStr">
        <is>
          <t>u</t>
        </is>
      </c>
      <c r="G423" s="32" t="n"/>
      <c r="H423" s="32">
        <f>H424+H425+H426+H427</f>
        <v/>
      </c>
      <c r="I423" s="30" t="n"/>
      <c r="J423" s="31" t="n"/>
      <c r="K423" s="30" t="inlineStr">
        <is>
          <t>Compra / armado</t>
        </is>
      </c>
      <c r="L423" s="30" t="n"/>
      <c r="M423" s="31" t="n"/>
      <c r="N423" s="31" t="n"/>
      <c r="O423" s="31" t="n"/>
      <c r="P423" s="31" t="inlineStr">
        <is>
          <t>IRAM 3523 / 3550 (recipiente)</t>
        </is>
      </c>
      <c r="Q423" s="30" t="inlineStr">
        <is>
          <t>P</t>
        </is>
      </c>
      <c r="R423" s="30" t="inlineStr">
        <is>
          <t>FL_DES_SALESK_6l</t>
        </is>
      </c>
      <c r="S423" s="31" t="n"/>
    </row>
    <row r="424">
      <c r="A424" s="33" t="inlineStr">
        <is>
          <t>FL_MAT_SALESK_6l</t>
        </is>
      </c>
      <c r="B424" s="33" t="n">
        <v>2</v>
      </c>
      <c r="C424" s="33" t="inlineStr">
        <is>
          <t>SALESK6-01</t>
        </is>
      </c>
      <c r="D424" s="17" t="inlineStr">
        <is>
          <t xml:space="preserve">        Cuerpo (virola)</t>
        </is>
      </c>
      <c r="E424" s="33" t="n">
        <v>1</v>
      </c>
      <c r="F424" s="33" t="inlineStr">
        <is>
          <t>u</t>
        </is>
      </c>
      <c r="G424" s="34" t="n">
        <v>1.1162</v>
      </c>
      <c r="H424" s="34">
        <f>E424*G424</f>
        <v/>
      </c>
      <c r="I424" s="33" t="inlineStr">
        <is>
          <t>Chapa acero inox. AISI 304 e=0,8</t>
        </is>
      </c>
      <c r="J424" s="17" t="inlineStr">
        <is>
          <t>Ø190 × e0,8 × 296 de alto; desarrollo 594,4 × 296</t>
        </is>
      </c>
      <c r="K424" s="33" t="inlineStr">
        <is>
          <t>Compra (en el conjunto)</t>
        </is>
      </c>
      <c r="L424" s="33" t="inlineStr">
        <is>
          <t>No</t>
        </is>
      </c>
      <c r="M424" s="17" t="n"/>
      <c r="N424" s="17" t="n"/>
      <c r="O424" s="17" t="inlineStr">
        <is>
          <t>S4 - se compra terminado (tercerizado con sello IRAM)</t>
        </is>
      </c>
      <c r="P424" s="17" t="n"/>
      <c r="Q424" s="33" t="inlineStr">
        <is>
          <t>P</t>
        </is>
      </c>
      <c r="R424" s="33" t="inlineStr">
        <is>
          <t>FL_DES_SALESK_6l</t>
        </is>
      </c>
      <c r="S424" s="17" t="inlineStr">
        <is>
          <t>costura long. TIG</t>
        </is>
      </c>
    </row>
    <row r="425">
      <c r="A425" s="33" t="inlineStr">
        <is>
          <t>FL_MAT_SALESK_6l</t>
        </is>
      </c>
      <c r="B425" s="33" t="n">
        <v>2</v>
      </c>
      <c r="C425" s="33" t="inlineStr">
        <is>
          <t>SALESK6-02</t>
        </is>
      </c>
      <c r="D425" s="17" t="inlineStr">
        <is>
          <t xml:space="preserve">        Cúpula</t>
        </is>
      </c>
      <c r="E425" s="33" t="n">
        <v>1</v>
      </c>
      <c r="F425" s="33" t="inlineStr">
        <is>
          <t>u</t>
        </is>
      </c>
      <c r="G425" s="34" t="n">
        <v>0.2544</v>
      </c>
      <c r="H425" s="34">
        <f>E425*G425</f>
        <v/>
      </c>
      <c r="I425" s="33" t="inlineStr">
        <is>
          <t>Chapa acero inox. AISI 304 e=0,8</t>
        </is>
      </c>
      <c r="J425" s="17" t="inlineStr">
        <is>
          <t>Ø190 × e0,8 × 59 de alto; disco Ø232,7</t>
        </is>
      </c>
      <c r="K425" s="33" t="inlineStr">
        <is>
          <t>Compra (en el conjunto)</t>
        </is>
      </c>
      <c r="L425" s="33" t="inlineStr">
        <is>
          <t>No</t>
        </is>
      </c>
      <c r="M425" s="17" t="n"/>
      <c r="N425" s="17" t="n"/>
      <c r="O425" s="17" t="inlineStr">
        <is>
          <t>S4 - se compra terminado (tercerizado con sello IRAM)</t>
        </is>
      </c>
      <c r="P425" s="17" t="n"/>
      <c r="Q425" s="33" t="inlineStr">
        <is>
          <t>P</t>
        </is>
      </c>
      <c r="R425" s="33" t="inlineStr">
        <is>
          <t>FL_DES_SALESK_6l</t>
        </is>
      </c>
      <c r="S425" s="17" t="inlineStr">
        <is>
          <t>embutida</t>
        </is>
      </c>
    </row>
    <row r="426">
      <c r="A426" s="33" t="inlineStr">
        <is>
          <t>FL_MAT_SALESK_6l</t>
        </is>
      </c>
      <c r="B426" s="33" t="n">
        <v>2</v>
      </c>
      <c r="C426" s="33" t="inlineStr">
        <is>
          <t>SALESK6-03</t>
        </is>
      </c>
      <c r="D426" s="17" t="inlineStr">
        <is>
          <t xml:space="preserve">        Fondo</t>
        </is>
      </c>
      <c r="E426" s="33" t="n">
        <v>1</v>
      </c>
      <c r="F426" s="33" t="inlineStr">
        <is>
          <t>u</t>
        </is>
      </c>
      <c r="G426" s="34" t="n">
        <v>0.1769</v>
      </c>
      <c r="H426" s="34">
        <f>E426*G426</f>
        <v/>
      </c>
      <c r="I426" s="33" t="inlineStr">
        <is>
          <t>Chapa acero inox. AISI 304 e=0,8</t>
        </is>
      </c>
      <c r="J426" s="17" t="inlineStr">
        <is>
          <t>Ø190 × e0,8 × 10,8 de alto; disco Ø194,1</t>
        </is>
      </c>
      <c r="K426" s="33" t="inlineStr">
        <is>
          <t>Compra (en el conjunto)</t>
        </is>
      </c>
      <c r="L426" s="33" t="inlineStr">
        <is>
          <t>No</t>
        </is>
      </c>
      <c r="M426" s="17" t="n"/>
      <c r="N426" s="17" t="n"/>
      <c r="O426" s="17" t="inlineStr">
        <is>
          <t>S4 - se compra terminado (tercerizado con sello IRAM)</t>
        </is>
      </c>
      <c r="P426" s="17" t="n"/>
      <c r="Q426" s="33" t="inlineStr">
        <is>
          <t>P</t>
        </is>
      </c>
      <c r="R426" s="33" t="inlineStr">
        <is>
          <t>FL_DES_SALESK_6l</t>
        </is>
      </c>
      <c r="S426" s="17" t="inlineStr">
        <is>
          <t>embutido</t>
        </is>
      </c>
    </row>
    <row r="427">
      <c r="A427" s="33" t="inlineStr">
        <is>
          <t>FL_MAT_SALESK_6l</t>
        </is>
      </c>
      <c r="B427" s="33" t="n">
        <v>2</v>
      </c>
      <c r="C427" s="33" t="inlineStr">
        <is>
          <t>SALESK6-04</t>
        </is>
      </c>
      <c r="D427" s="17" t="inlineStr">
        <is>
          <t xml:space="preserve">        Cuello roscado</t>
        </is>
      </c>
      <c r="E427" s="33" t="n">
        <v>1</v>
      </c>
      <c r="F427" s="33" t="inlineStr">
        <is>
          <t>u</t>
        </is>
      </c>
      <c r="G427" s="34" t="n">
        <v>0.0539</v>
      </c>
      <c r="H427" s="34">
        <f>E427*G427</f>
        <v/>
      </c>
      <c r="I427" s="33" t="inlineStr">
        <is>
          <t>Acero inox. AISI 304</t>
        </is>
      </c>
      <c r="J427" s="17" t="inlineStr">
        <is>
          <t>Ø37 × 14 de alto, rosca M30x1,5, asiento Ø35</t>
        </is>
      </c>
      <c r="K427" s="33" t="inlineStr">
        <is>
          <t>Compra (en el conjunto)</t>
        </is>
      </c>
      <c r="L427" s="33" t="inlineStr">
        <is>
          <t>No</t>
        </is>
      </c>
      <c r="M427" s="17" t="n"/>
      <c r="N427" s="17" t="n"/>
      <c r="O427" s="17" t="inlineStr">
        <is>
          <t>S4 - se compra terminado (tercerizado con sello IRAM)</t>
        </is>
      </c>
      <c r="P427" s="17" t="n"/>
      <c r="Q427" s="33" t="inlineStr">
        <is>
          <t>P</t>
        </is>
      </c>
      <c r="R427" s="33" t="inlineStr">
        <is>
          <t>FL_DES_SALESK_6l</t>
        </is>
      </c>
      <c r="S427" s="17" t="inlineStr">
        <is>
          <t>M30x1,5</t>
        </is>
      </c>
    </row>
    <row r="428">
      <c r="A428" s="30" t="inlineStr">
        <is>
          <t>FL_MAT_SALESK_6l</t>
        </is>
      </c>
      <c r="B428" s="30" t="n">
        <v>1</v>
      </c>
      <c r="C428" s="30" t="inlineStr">
        <is>
          <t>SALESK6-S2</t>
        </is>
      </c>
      <c r="D428" s="31" t="inlineStr">
        <is>
          <t xml:space="preserve">    Conjunto de válvula</t>
        </is>
      </c>
      <c r="E428" s="30" t="n">
        <v>1</v>
      </c>
      <c r="F428" s="30" t="inlineStr">
        <is>
          <t>u</t>
        </is>
      </c>
      <c r="G428" s="32" t="n"/>
      <c r="H428" s="32">
        <f>H429+H430+H431+H433+H434+H435+H436+H437+H438+H439</f>
        <v/>
      </c>
      <c r="I428" s="30" t="n"/>
      <c r="J428" s="31" t="n"/>
      <c r="K428" s="30" t="inlineStr">
        <is>
          <t>Compra / armado</t>
        </is>
      </c>
      <c r="L428" s="30" t="n"/>
      <c r="M428" s="31" t="n"/>
      <c r="N428" s="31" t="n"/>
      <c r="O428" s="31" t="n"/>
      <c r="P428" s="31" t="inlineStr">
        <is>
          <t>Manómetro IRAM 3533</t>
        </is>
      </c>
      <c r="Q428" s="30" t="inlineStr">
        <is>
          <t>P</t>
        </is>
      </c>
      <c r="R428" s="30" t="inlineStr">
        <is>
          <t>FL_DES_SALESK_6l</t>
        </is>
      </c>
      <c r="S428" s="31" t="n"/>
    </row>
    <row r="429">
      <c r="A429" s="33" t="inlineStr">
        <is>
          <t>FL_MAT_SALESK_6l</t>
        </is>
      </c>
      <c r="B429" s="33" t="n">
        <v>2</v>
      </c>
      <c r="C429" s="33" t="inlineStr">
        <is>
          <t>SALESK6-05</t>
        </is>
      </c>
      <c r="D429" s="17" t="inlineStr">
        <is>
          <t xml:space="preserve">        Collarín de válvula</t>
        </is>
      </c>
      <c r="E429" s="33" t="n">
        <v>1</v>
      </c>
      <c r="F429" s="33" t="inlineStr">
        <is>
          <t>u</t>
        </is>
      </c>
      <c r="G429" s="34" t="n">
        <v>0.0833</v>
      </c>
      <c r="H429" s="34">
        <f>E429*G429</f>
        <v/>
      </c>
      <c r="I429" s="33" t="inlineStr">
        <is>
          <t>Latón forjado</t>
        </is>
      </c>
      <c r="J429" s="17" t="inlineStr">
        <is>
          <t>43 × 43 × 10</t>
        </is>
      </c>
      <c r="K429" s="33" t="inlineStr">
        <is>
          <t>Compra (en el conjunto)</t>
        </is>
      </c>
      <c r="L429" s="33" t="inlineStr">
        <is>
          <t>No</t>
        </is>
      </c>
      <c r="M429" s="17" t="n"/>
      <c r="N429" s="17" t="n"/>
      <c r="O429" s="17" t="inlineStr">
        <is>
          <t>S4 - se compra terminado (tercerizado con sello IRAM)</t>
        </is>
      </c>
      <c r="P429" s="17" t="n"/>
      <c r="Q429" s="33" t="inlineStr">
        <is>
          <t>P</t>
        </is>
      </c>
      <c r="R429" s="33" t="inlineStr">
        <is>
          <t>FL_DES_SALESK_6l</t>
        </is>
      </c>
      <c r="S429" s="17" t="n"/>
    </row>
    <row r="430">
      <c r="A430" s="33" t="inlineStr">
        <is>
          <t>FL_MAT_SALESK_6l</t>
        </is>
      </c>
      <c r="B430" s="33" t="n">
        <v>2</v>
      </c>
      <c r="C430" s="33" t="inlineStr">
        <is>
          <t>SALESK6-06</t>
        </is>
      </c>
      <c r="D430" s="17" t="inlineStr">
        <is>
          <t xml:space="preserve">        Espiga roscada</t>
        </is>
      </c>
      <c r="E430" s="33" t="n">
        <v>1</v>
      </c>
      <c r="F430" s="33" t="inlineStr">
        <is>
          <t>u</t>
        </is>
      </c>
      <c r="G430" s="34" t="n">
        <v>0.0243</v>
      </c>
      <c r="H430" s="34">
        <f>E430*G430</f>
        <v/>
      </c>
      <c r="I430" s="33" t="inlineStr">
        <is>
          <t>Latón forjado</t>
        </is>
      </c>
      <c r="J430" s="17" t="inlineStr">
        <is>
          <t>28,4 × 28,4 × 12</t>
        </is>
      </c>
      <c r="K430" s="33" t="inlineStr">
        <is>
          <t>Compra (en el conjunto)</t>
        </is>
      </c>
      <c r="L430" s="33" t="inlineStr">
        <is>
          <t>No</t>
        </is>
      </c>
      <c r="M430" s="17" t="n"/>
      <c r="N430" s="17" t="n"/>
      <c r="O430" s="17" t="inlineStr">
        <is>
          <t>S4 - se compra terminado (tercerizado con sello IRAM)</t>
        </is>
      </c>
      <c r="P430" s="17" t="n"/>
      <c r="Q430" s="33" t="inlineStr">
        <is>
          <t>P</t>
        </is>
      </c>
      <c r="R430" s="33" t="inlineStr">
        <is>
          <t>FL_DES_SALESK_6l</t>
        </is>
      </c>
      <c r="S430" s="17" t="n"/>
    </row>
    <row r="431">
      <c r="A431" s="33" t="inlineStr">
        <is>
          <t>FL_MAT_SALESK_6l</t>
        </is>
      </c>
      <c r="B431" s="33" t="n">
        <v>2</v>
      </c>
      <c r="C431" s="33" t="inlineStr">
        <is>
          <t>SALESK6-07</t>
        </is>
      </c>
      <c r="D431" s="17" t="inlineStr">
        <is>
          <t xml:space="preserve">        Cuerpo de válvula</t>
        </is>
      </c>
      <c r="E431" s="33" t="n">
        <v>1</v>
      </c>
      <c r="F431" s="33" t="inlineStr">
        <is>
          <t>u</t>
        </is>
      </c>
      <c r="G431" s="34" t="n">
        <v>0.463</v>
      </c>
      <c r="H431" s="34">
        <f>E431*G431</f>
        <v/>
      </c>
      <c r="I431" s="33" t="inlineStr">
        <is>
          <t>Latón forjado</t>
        </is>
      </c>
      <c r="J431" s="17" t="inlineStr">
        <is>
          <t>63,4 × 43 × 34</t>
        </is>
      </c>
      <c r="K431" s="33" t="inlineStr">
        <is>
          <t>Compra (en el conjunto)</t>
        </is>
      </c>
      <c r="L431" s="33" t="inlineStr">
        <is>
          <t>No</t>
        </is>
      </c>
      <c r="M431" s="17" t="n"/>
      <c r="N431" s="17" t="n"/>
      <c r="O431" s="17" t="inlineStr">
        <is>
          <t>S4 - se compra terminado (tercerizado con sello IRAM)</t>
        </is>
      </c>
      <c r="P431" s="17" t="n"/>
      <c r="Q431" s="33" t="inlineStr">
        <is>
          <t>P</t>
        </is>
      </c>
      <c r="R431" s="33" t="inlineStr">
        <is>
          <t>FL_DES_SALESK_6l</t>
        </is>
      </c>
      <c r="S431" s="17" t="n"/>
    </row>
    <row r="432">
      <c r="A432" s="33" t="inlineStr">
        <is>
          <t>FL_MAT_SALESK_6l</t>
        </is>
      </c>
      <c r="B432" s="33" t="n">
        <v>2</v>
      </c>
      <c r="C432" s="33" t="inlineStr">
        <is>
          <t>SALESK6-08</t>
        </is>
      </c>
      <c r="D432" s="17" t="inlineStr">
        <is>
          <t xml:space="preserve">        Manómetro</t>
        </is>
      </c>
      <c r="E432" s="33" t="n">
        <v>1</v>
      </c>
      <c r="F432" s="33" t="inlineStr">
        <is>
          <t>u</t>
        </is>
      </c>
      <c r="G432" s="34" t="n"/>
      <c r="H432" s="34" t="n"/>
      <c r="I432" s="33" t="inlineStr">
        <is>
          <t>Comercial</t>
        </is>
      </c>
      <c r="J432" s="17" t="inlineStr">
        <is>
          <t>Ø38 esfera, rango 0-2 MPa, sector verde en 0,8</t>
        </is>
      </c>
      <c r="K432" s="33" t="inlineStr">
        <is>
          <t>Compra (en el conjunto)</t>
        </is>
      </c>
      <c r="L432" s="33" t="inlineStr">
        <is>
          <t>No</t>
        </is>
      </c>
      <c r="M432" s="17" t="n"/>
      <c r="N432" s="17" t="n"/>
      <c r="O432" s="17" t="inlineStr">
        <is>
          <t>S4 - se compra terminado (tercerizado con sello IRAM)</t>
        </is>
      </c>
      <c r="P432" s="17" t="inlineStr">
        <is>
          <t>IRAM 3533</t>
        </is>
      </c>
      <c r="Q432" s="33" t="inlineStr">
        <is>
          <t>P</t>
        </is>
      </c>
      <c r="R432" s="33" t="inlineStr">
        <is>
          <t>FL_DES_SALESK_6l</t>
        </is>
      </c>
      <c r="S432" s="17" t="inlineStr">
        <is>
          <t>Pieza comercial; sello IRAM 3533; peso: completar con la ficha del proveedor (no afecta el MRP)</t>
        </is>
      </c>
    </row>
    <row r="433">
      <c r="A433" s="33" t="inlineStr">
        <is>
          <t>FL_MAT_SALESK_6l</t>
        </is>
      </c>
      <c r="B433" s="33" t="n">
        <v>2</v>
      </c>
      <c r="C433" s="33" t="inlineStr">
        <is>
          <t>SALESK6-09</t>
        </is>
      </c>
      <c r="D433" s="17" t="inlineStr">
        <is>
          <t xml:space="preserve">        Manija de transporte</t>
        </is>
      </c>
      <c r="E433" s="33" t="n">
        <v>1</v>
      </c>
      <c r="F433" s="33" t="inlineStr">
        <is>
          <t>u</t>
        </is>
      </c>
      <c r="G433" s="34" t="n">
        <v>0.0793</v>
      </c>
      <c r="H433" s="34">
        <f>E433*G433</f>
        <v/>
      </c>
      <c r="I433" s="33" t="inlineStr">
        <is>
          <t>Chapa acero SAE 1010 pintada</t>
        </is>
      </c>
      <c r="J433" s="17" t="inlineStr">
        <is>
          <t>126 × 20 × 17,2</t>
        </is>
      </c>
      <c r="K433" s="33" t="inlineStr">
        <is>
          <t>Compra (en el conjunto)</t>
        </is>
      </c>
      <c r="L433" s="33" t="inlineStr">
        <is>
          <t>No</t>
        </is>
      </c>
      <c r="M433" s="17" t="n"/>
      <c r="N433" s="17" t="n"/>
      <c r="O433" s="17" t="inlineStr">
        <is>
          <t>S4 - se compra terminado (tercerizado con sello IRAM)</t>
        </is>
      </c>
      <c r="P433" s="17" t="n"/>
      <c r="Q433" s="33" t="inlineStr">
        <is>
          <t>P</t>
        </is>
      </c>
      <c r="R433" s="33" t="inlineStr">
        <is>
          <t>FL_DES_SALESK_6l</t>
        </is>
      </c>
      <c r="S433" s="17" t="n"/>
    </row>
    <row r="434">
      <c r="A434" s="33" t="inlineStr">
        <is>
          <t>FL_MAT_SALESK_6l</t>
        </is>
      </c>
      <c r="B434" s="33" t="n">
        <v>2</v>
      </c>
      <c r="C434" s="33" t="inlineStr">
        <is>
          <t>SALESK6-10</t>
        </is>
      </c>
      <c r="D434" s="17" t="inlineStr">
        <is>
          <t xml:space="preserve">        Manija de accionamiento</t>
        </is>
      </c>
      <c r="E434" s="33" t="n">
        <v>1</v>
      </c>
      <c r="F434" s="33" t="inlineStr">
        <is>
          <t>u</t>
        </is>
      </c>
      <c r="G434" s="34" t="n">
        <v>0.1063</v>
      </c>
      <c r="H434" s="34">
        <f>E434*G434</f>
        <v/>
      </c>
      <c r="I434" s="33" t="inlineStr">
        <is>
          <t>Chapa acero SAE 1010 pintada</t>
        </is>
      </c>
      <c r="J434" s="17" t="inlineStr">
        <is>
          <t>168,5 × 24,6 × 20</t>
        </is>
      </c>
      <c r="K434" s="33" t="inlineStr">
        <is>
          <t>Compra (en el conjunto)</t>
        </is>
      </c>
      <c r="L434" s="33" t="inlineStr">
        <is>
          <t>No</t>
        </is>
      </c>
      <c r="M434" s="17" t="n"/>
      <c r="N434" s="17" t="n"/>
      <c r="O434" s="17" t="inlineStr">
        <is>
          <t>S4 - se compra terminado (tercerizado con sello IRAM)</t>
        </is>
      </c>
      <c r="P434" s="17" t="n"/>
      <c r="Q434" s="33" t="inlineStr">
        <is>
          <t>P</t>
        </is>
      </c>
      <c r="R434" s="33" t="inlineStr">
        <is>
          <t>FL_DES_SALESK_6l</t>
        </is>
      </c>
      <c r="S434" s="17" t="n"/>
    </row>
    <row r="435">
      <c r="A435" s="33" t="inlineStr">
        <is>
          <t>FL_MAT_SALESK_6l</t>
        </is>
      </c>
      <c r="B435" s="33" t="n">
        <v>2</v>
      </c>
      <c r="C435" s="33" t="inlineStr">
        <is>
          <t>SALESK6-11</t>
        </is>
      </c>
      <c r="D435" s="17" t="inlineStr">
        <is>
          <t xml:space="preserve">        Eje de palanca</t>
        </is>
      </c>
      <c r="E435" s="33" t="n">
        <v>1</v>
      </c>
      <c r="F435" s="33" t="inlineStr">
        <is>
          <t>u</t>
        </is>
      </c>
      <c r="G435" s="34" t="n">
        <v>0.0081</v>
      </c>
      <c r="H435" s="34">
        <f>E435*G435</f>
        <v/>
      </c>
      <c r="I435" s="33" t="inlineStr">
        <is>
          <t>Acero inox. AISI 304</t>
        </is>
      </c>
      <c r="J435" s="17" t="inlineStr">
        <is>
          <t>36 × 6 × 6</t>
        </is>
      </c>
      <c r="K435" s="33" t="inlineStr">
        <is>
          <t>Compra (en el conjunto)</t>
        </is>
      </c>
      <c r="L435" s="33" t="inlineStr">
        <is>
          <t>No</t>
        </is>
      </c>
      <c r="M435" s="17" t="n"/>
      <c r="N435" s="17" t="n"/>
      <c r="O435" s="17" t="inlineStr">
        <is>
          <t>S4 - se compra terminado (tercerizado con sello IRAM)</t>
        </is>
      </c>
      <c r="P435" s="17" t="n"/>
      <c r="Q435" s="33" t="inlineStr">
        <is>
          <t>P</t>
        </is>
      </c>
      <c r="R435" s="33" t="inlineStr">
        <is>
          <t>FL_DES_SALESK_6l</t>
        </is>
      </c>
      <c r="S435" s="17" t="n"/>
    </row>
    <row r="436">
      <c r="A436" s="33" t="inlineStr">
        <is>
          <t>FL_MAT_SALESK_6l</t>
        </is>
      </c>
      <c r="B436" s="33" t="n">
        <v>2</v>
      </c>
      <c r="C436" s="33" t="inlineStr">
        <is>
          <t>SALESK6-12</t>
        </is>
      </c>
      <c r="D436" s="17" t="inlineStr">
        <is>
          <t xml:space="preserve">        Vástago</t>
        </is>
      </c>
      <c r="E436" s="33" t="n">
        <v>1</v>
      </c>
      <c r="F436" s="33" t="inlineStr">
        <is>
          <t>u</t>
        </is>
      </c>
      <c r="G436" s="34" t="n">
        <v>0.0017</v>
      </c>
      <c r="H436" s="34">
        <f>E436*G436</f>
        <v/>
      </c>
      <c r="I436" s="33" t="inlineStr">
        <is>
          <t>Latón</t>
        </is>
      </c>
      <c r="J436" s="17" t="inlineStr">
        <is>
          <t>8 × 8 × 4</t>
        </is>
      </c>
      <c r="K436" s="33" t="inlineStr">
        <is>
          <t>Compra (en el conjunto)</t>
        </is>
      </c>
      <c r="L436" s="33" t="inlineStr">
        <is>
          <t>No</t>
        </is>
      </c>
      <c r="M436" s="17" t="n"/>
      <c r="N436" s="17" t="n"/>
      <c r="O436" s="17" t="inlineStr">
        <is>
          <t>S4 - se compra terminado (tercerizado con sello IRAM)</t>
        </is>
      </c>
      <c r="P436" s="17" t="n"/>
      <c r="Q436" s="33" t="inlineStr">
        <is>
          <t>P</t>
        </is>
      </c>
      <c r="R436" s="33" t="inlineStr">
        <is>
          <t>FL_DES_SALESK_6l</t>
        </is>
      </c>
      <c r="S436" s="17" t="inlineStr">
        <is>
          <t>con junta tórica</t>
        </is>
      </c>
    </row>
    <row r="437">
      <c r="A437" s="33" t="inlineStr">
        <is>
          <t>FL_MAT_SALESK_6l</t>
        </is>
      </c>
      <c r="B437" s="33" t="n">
        <v>2</v>
      </c>
      <c r="C437" s="33" t="inlineStr">
        <is>
          <t>SALESK6-13</t>
        </is>
      </c>
      <c r="D437" s="17" t="inlineStr">
        <is>
          <t xml:space="preserve">        Pasador de seguridad</t>
        </is>
      </c>
      <c r="E437" s="33" t="n">
        <v>1</v>
      </c>
      <c r="F437" s="33" t="inlineStr">
        <is>
          <t>u</t>
        </is>
      </c>
      <c r="G437" s="34" t="n">
        <v>0.0055</v>
      </c>
      <c r="H437" s="34">
        <f>E437*G437</f>
        <v/>
      </c>
      <c r="I437" s="33" t="inlineStr">
        <is>
          <t>Alambre acero inox. AISI 304</t>
        </is>
      </c>
      <c r="J437" s="17" t="inlineStr">
        <is>
          <t>45,4 × 21 × 20,8</t>
        </is>
      </c>
      <c r="K437" s="33" t="inlineStr">
        <is>
          <t>Compra (en el conjunto)</t>
        </is>
      </c>
      <c r="L437" s="33" t="inlineStr">
        <is>
          <t>No</t>
        </is>
      </c>
      <c r="M437" s="17" t="n"/>
      <c r="N437" s="17" t="n"/>
      <c r="O437" s="17" t="inlineStr">
        <is>
          <t>S4 - se compra terminado (tercerizado con sello IRAM)</t>
        </is>
      </c>
      <c r="P437" s="17" t="n"/>
      <c r="Q437" s="33" t="inlineStr">
        <is>
          <t>P</t>
        </is>
      </c>
      <c r="R437" s="33" t="inlineStr">
        <is>
          <t>FL_DES_SALESK_6l</t>
        </is>
      </c>
      <c r="S437" s="17" t="inlineStr">
        <is>
          <t>con precinto</t>
        </is>
      </c>
    </row>
    <row r="438">
      <c r="A438" s="33" t="inlineStr">
        <is>
          <t>FL_MAT_SALESK_6l</t>
        </is>
      </c>
      <c r="B438" s="33" t="n">
        <v>2</v>
      </c>
      <c r="C438" s="33" t="inlineStr">
        <is>
          <t>SALESK6-14</t>
        </is>
      </c>
      <c r="D438" s="17" t="inlineStr">
        <is>
          <t xml:space="preserve">        Caño de pesca (sifón)</t>
        </is>
      </c>
      <c r="E438" s="33" t="n">
        <v>1</v>
      </c>
      <c r="F438" s="33" t="inlineStr">
        <is>
          <t>u</t>
        </is>
      </c>
      <c r="G438" s="34" t="n">
        <v>0.0149</v>
      </c>
      <c r="H438" s="34">
        <f>E438*G438</f>
        <v/>
      </c>
      <c r="I438" s="33" t="inlineStr">
        <is>
          <t>Tubo polipropileno</t>
        </is>
      </c>
      <c r="J438" s="17" t="inlineStr">
        <is>
          <t>Ø12 × 334,2 de largo</t>
        </is>
      </c>
      <c r="K438" s="33" t="inlineStr">
        <is>
          <t>Compra (en el conjunto)</t>
        </is>
      </c>
      <c r="L438" s="33" t="inlineStr">
        <is>
          <t>No</t>
        </is>
      </c>
      <c r="M438" s="17" t="n"/>
      <c r="N438" s="17" t="n"/>
      <c r="O438" s="17" t="inlineStr">
        <is>
          <t>S4 - se compra terminado (tercerizado con sello IRAM)</t>
        </is>
      </c>
      <c r="P438" s="17" t="n"/>
      <c r="Q438" s="33" t="inlineStr">
        <is>
          <t>P</t>
        </is>
      </c>
      <c r="R438" s="33" t="inlineStr">
        <is>
          <t>FL_DES_SALESK_6l</t>
        </is>
      </c>
      <c r="S438" s="17" t="n"/>
    </row>
    <row r="439">
      <c r="A439" s="33" t="inlineStr">
        <is>
          <t>FL_MAT_SALESK_6l</t>
        </is>
      </c>
      <c r="B439" s="33" t="n">
        <v>2</v>
      </c>
      <c r="C439" s="33" t="inlineStr">
        <is>
          <t>SALESK6-24</t>
        </is>
      </c>
      <c r="D439" s="17" t="inlineStr">
        <is>
          <t xml:space="preserve">        Junta tórica de asiento</t>
        </is>
      </c>
      <c r="E439" s="33" t="n">
        <v>1</v>
      </c>
      <c r="F439" s="33" t="inlineStr">
        <is>
          <t>u</t>
        </is>
      </c>
      <c r="G439" s="34" t="n">
        <v>0.001</v>
      </c>
      <c r="H439" s="34">
        <f>E439*G439</f>
        <v/>
      </c>
      <c r="I439" s="33" t="inlineStr">
        <is>
          <t>NBR 70 Shore A</t>
        </is>
      </c>
      <c r="J439" s="17" t="inlineStr">
        <is>
          <t>Ø31,4 ext. × cordón 3</t>
        </is>
      </c>
      <c r="K439" s="33" t="inlineStr">
        <is>
          <t>Compra (en el conjunto)</t>
        </is>
      </c>
      <c r="L439" s="33" t="inlineStr">
        <is>
          <t>No</t>
        </is>
      </c>
      <c r="M439" s="17" t="n"/>
      <c r="N439" s="17" t="n"/>
      <c r="O439" s="17" t="inlineStr">
        <is>
          <t>S4 - se compra terminado (tercerizado con sello IRAM)</t>
        </is>
      </c>
      <c r="P439" s="17" t="n"/>
      <c r="Q439" s="33" t="inlineStr">
        <is>
          <t>P</t>
        </is>
      </c>
      <c r="R439" s="33" t="inlineStr">
        <is>
          <t>FL_DES_SALESK_6l</t>
        </is>
      </c>
      <c r="S439" s="17" t="inlineStr">
        <is>
          <t>cambio c/recarga</t>
        </is>
      </c>
    </row>
    <row r="440">
      <c r="A440" s="33" t="inlineStr">
        <is>
          <t>FL_MAT_SALESK_6l</t>
        </is>
      </c>
      <c r="B440" s="33" t="n">
        <v>2</v>
      </c>
      <c r="C440" s="33" t="inlineStr">
        <is>
          <t>SALESK6-V2</t>
        </is>
      </c>
      <c r="D440" s="17" t="inlineStr">
        <is>
          <t xml:space="preserve">        Resorte de retorno del vástago</t>
        </is>
      </c>
      <c r="E440" s="33" t="n">
        <v>1</v>
      </c>
      <c r="F440" s="33" t="inlineStr">
        <is>
          <t>u</t>
        </is>
      </c>
      <c r="G440" s="34" t="n"/>
      <c r="H440" s="34" t="n"/>
      <c r="I440" s="33" t="inlineStr">
        <is>
          <t>Acero para resortes</t>
        </is>
      </c>
      <c r="J440" s="17" t="inlineStr">
        <is>
          <t>incluido en la válvula</t>
        </is>
      </c>
      <c r="K440" s="33" t="inlineStr">
        <is>
          <t>Compra (en el conjunto)</t>
        </is>
      </c>
      <c r="L440" s="33" t="inlineStr">
        <is>
          <t>No</t>
        </is>
      </c>
      <c r="M440" s="17" t="n"/>
      <c r="N440" s="17" t="n"/>
      <c r="O440" s="17" t="inlineStr">
        <is>
          <t>19 Ensamblaje</t>
        </is>
      </c>
      <c r="P440" s="17" t="n"/>
      <c r="Q440" s="33" t="inlineStr">
        <is>
          <t>Q</t>
        </is>
      </c>
      <c r="R440" s="33" t="n"/>
      <c r="S440" s="17" t="inlineStr">
        <is>
          <t>Lista de precios HZ: válvula «c/resorte» (Q-AGENTES)</t>
        </is>
      </c>
    </row>
    <row r="441">
      <c r="A441" s="33" t="inlineStr">
        <is>
          <t>FL_MAT_SALESK_6l</t>
        </is>
      </c>
      <c r="B441" s="33" t="n">
        <v>2</v>
      </c>
      <c r="C441" s="33" t="inlineStr">
        <is>
          <t>SALESK6-V3</t>
        </is>
      </c>
      <c r="D441" s="17" t="inlineStr">
        <is>
          <t xml:space="preserve">        Junta tórica del vástago</t>
        </is>
      </c>
      <c r="E441" s="33" t="n">
        <v>1</v>
      </c>
      <c r="F441" s="33" t="inlineStr">
        <is>
          <t>u</t>
        </is>
      </c>
      <c r="G441" s="34" t="n"/>
      <c r="H441" s="34" t="n"/>
      <c r="I441" s="33" t="inlineStr">
        <is>
          <t>NBR 70 Shore A</t>
        </is>
      </c>
      <c r="J441" s="17" t="inlineStr">
        <is>
          <t>incluida en la válvula</t>
        </is>
      </c>
      <c r="K441" s="33" t="inlineStr">
        <is>
          <t>Compra (en el conjunto)</t>
        </is>
      </c>
      <c r="L441" s="33" t="inlineStr">
        <is>
          <t>No</t>
        </is>
      </c>
      <c r="M441" s="17" t="n"/>
      <c r="N441" s="17" t="n"/>
      <c r="O441" s="17" t="inlineStr">
        <is>
          <t>19 Ensamblaje</t>
        </is>
      </c>
      <c r="P441" s="17" t="n"/>
      <c r="Q441" s="33" t="inlineStr">
        <is>
          <t>P</t>
        </is>
      </c>
      <c r="R441" s="33" t="n"/>
      <c r="S441" s="17" t="inlineStr">
        <is>
          <t>Figura en el plano como «vástago con junta tórica»</t>
        </is>
      </c>
    </row>
    <row r="442">
      <c r="A442" s="30" t="inlineStr">
        <is>
          <t>FL_MAT_SALESK_6l</t>
        </is>
      </c>
      <c r="B442" s="30" t="n">
        <v>1</v>
      </c>
      <c r="C442" s="30" t="inlineStr">
        <is>
          <t>SALESK6-S3</t>
        </is>
      </c>
      <c r="D442" s="31" t="inlineStr">
        <is>
          <t xml:space="preserve">    Dispositivo de descarga</t>
        </is>
      </c>
      <c r="E442" s="30" t="n">
        <v>1</v>
      </c>
      <c r="F442" s="30" t="inlineStr">
        <is>
          <t>u</t>
        </is>
      </c>
      <c r="G442" s="32" t="n"/>
      <c r="H442" s="32">
        <f>H443+H444+H445+H446</f>
        <v/>
      </c>
      <c r="I442" s="30" t="n"/>
      <c r="J442" s="31" t="n"/>
      <c r="K442" s="30" t="inlineStr">
        <is>
          <t>Compra / armado</t>
        </is>
      </c>
      <c r="L442" s="30" t="n"/>
      <c r="M442" s="31" t="n"/>
      <c r="N442" s="31" t="n"/>
      <c r="O442" s="31" t="n"/>
      <c r="P442" s="31" t="n"/>
      <c r="Q442" s="30" t="inlineStr">
        <is>
          <t>P</t>
        </is>
      </c>
      <c r="R442" s="30" t="inlineStr">
        <is>
          <t>FL_DES_SALESK_6l</t>
        </is>
      </c>
      <c r="S442" s="31" t="n"/>
    </row>
    <row r="443">
      <c r="A443" s="33" t="inlineStr">
        <is>
          <t>FL_MAT_SALESK_6l</t>
        </is>
      </c>
      <c r="B443" s="33" t="n">
        <v>2</v>
      </c>
      <c r="C443" s="33" t="inlineStr">
        <is>
          <t>SALESK6-15</t>
        </is>
      </c>
      <c r="D443" s="17" t="inlineStr">
        <is>
          <t xml:space="preserve">        Racor de manguera</t>
        </is>
      </c>
      <c r="E443" s="33" t="n">
        <v>1</v>
      </c>
      <c r="F443" s="33" t="inlineStr">
        <is>
          <t>u</t>
        </is>
      </c>
      <c r="G443" s="34" t="n">
        <v>0.0258</v>
      </c>
      <c r="H443" s="34">
        <f>E443*G443</f>
        <v/>
      </c>
      <c r="I443" s="33" t="inlineStr">
        <is>
          <t>Latón</t>
        </is>
      </c>
      <c r="J443" s="17" t="inlineStr">
        <is>
          <t>18 × 18 × 12</t>
        </is>
      </c>
      <c r="K443" s="33" t="inlineStr">
        <is>
          <t>Compra (en el conjunto)</t>
        </is>
      </c>
      <c r="L443" s="33" t="inlineStr">
        <is>
          <t>No</t>
        </is>
      </c>
      <c r="M443" s="17" t="n"/>
      <c r="N443" s="17" t="n"/>
      <c r="O443" s="17" t="inlineStr">
        <is>
          <t>S4 - se compra terminado (tercerizado con sello IRAM)</t>
        </is>
      </c>
      <c r="P443" s="17" t="n"/>
      <c r="Q443" s="33" t="inlineStr">
        <is>
          <t>P</t>
        </is>
      </c>
      <c r="R443" s="33" t="inlineStr">
        <is>
          <t>FL_DES_SALESK_6l</t>
        </is>
      </c>
      <c r="S443" s="17" t="n"/>
    </row>
    <row r="444">
      <c r="A444" s="33" t="inlineStr">
        <is>
          <t>FL_MAT_SALESK_6l</t>
        </is>
      </c>
      <c r="B444" s="33" t="n">
        <v>2</v>
      </c>
      <c r="C444" s="33" t="inlineStr">
        <is>
          <t>SALESK6-16</t>
        </is>
      </c>
      <c r="D444" s="17" t="inlineStr">
        <is>
          <t xml:space="preserve">        Manguera</t>
        </is>
      </c>
      <c r="E444" s="33" t="n">
        <v>1</v>
      </c>
      <c r="F444" s="33" t="inlineStr">
        <is>
          <t>u</t>
        </is>
      </c>
      <c r="G444" s="34" t="n">
        <v>0.0198</v>
      </c>
      <c r="H444" s="34">
        <f>E444*G444</f>
        <v/>
      </c>
      <c r="I444" s="33" t="inlineStr">
        <is>
          <t>Caucho sintético</t>
        </is>
      </c>
      <c r="J444" s="17" t="inlineStr">
        <is>
          <t>Ø16 × 128 de largo desarrollado</t>
        </is>
      </c>
      <c r="K444" s="33" t="inlineStr">
        <is>
          <t>Compra (en el conjunto)</t>
        </is>
      </c>
      <c r="L444" s="33" t="inlineStr">
        <is>
          <t>No</t>
        </is>
      </c>
      <c r="M444" s="17" t="n"/>
      <c r="N444" s="17" t="n"/>
      <c r="O444" s="17" t="inlineStr">
        <is>
          <t>S4 - se compra terminado (tercerizado con sello IRAM)</t>
        </is>
      </c>
      <c r="P444" s="17" t="n"/>
      <c r="Q444" s="33" t="inlineStr">
        <is>
          <t>P</t>
        </is>
      </c>
      <c r="R444" s="33" t="inlineStr">
        <is>
          <t>FL_DES_SALESK_6l</t>
        </is>
      </c>
      <c r="S444" s="17" t="n"/>
    </row>
    <row r="445">
      <c r="A445" s="33" t="inlineStr">
        <is>
          <t>FL_MAT_SALESK_6l</t>
        </is>
      </c>
      <c r="B445" s="33" t="n">
        <v>2</v>
      </c>
      <c r="C445" s="33" t="inlineStr">
        <is>
          <t>SALESK6-17</t>
        </is>
      </c>
      <c r="D445" s="17" t="inlineStr">
        <is>
          <t xml:space="preserve">        Lanza aplicadora clase K</t>
        </is>
      </c>
      <c r="E445" s="33" t="n">
        <v>1</v>
      </c>
      <c r="F445" s="33" t="inlineStr">
        <is>
          <t>u</t>
        </is>
      </c>
      <c r="G445" s="34" t="n">
        <v>0.2727</v>
      </c>
      <c r="H445" s="34">
        <f>E445*G445</f>
        <v/>
      </c>
      <c r="I445" s="33" t="inlineStr">
        <is>
          <t>Acero inox. AISI 304</t>
        </is>
      </c>
      <c r="J445" s="17" t="inlineStr">
        <is>
          <t>300 × 26 × 26</t>
        </is>
      </c>
      <c r="K445" s="33" t="inlineStr">
        <is>
          <t>Compra (en el conjunto)</t>
        </is>
      </c>
      <c r="L445" s="33" t="inlineStr">
        <is>
          <t>No</t>
        </is>
      </c>
      <c r="M445" s="17" t="n"/>
      <c r="N445" s="17" t="n"/>
      <c r="O445" s="17" t="inlineStr">
        <is>
          <t>S4 - se compra terminado (tercerizado con sello IRAM)</t>
        </is>
      </c>
      <c r="P445" s="17" t="n"/>
      <c r="Q445" s="33" t="inlineStr">
        <is>
          <t>P</t>
        </is>
      </c>
      <c r="R445" s="33" t="inlineStr">
        <is>
          <t>FL_DES_SALESK_6l</t>
        </is>
      </c>
      <c r="S445" s="17" t="n"/>
    </row>
    <row r="446">
      <c r="A446" s="33" t="inlineStr">
        <is>
          <t>FL_MAT_SALESK_6l</t>
        </is>
      </c>
      <c r="B446" s="33" t="n">
        <v>2</v>
      </c>
      <c r="C446" s="33" t="inlineStr">
        <is>
          <t>SALESK6-18</t>
        </is>
      </c>
      <c r="D446" s="17" t="inlineStr">
        <is>
          <t xml:space="preserve">        Suncho portatobera</t>
        </is>
      </c>
      <c r="E446" s="33" t="n">
        <v>1</v>
      </c>
      <c r="F446" s="33" t="inlineStr">
        <is>
          <t>u</t>
        </is>
      </c>
      <c r="G446" s="34" t="n">
        <v>0.162</v>
      </c>
      <c r="H446" s="34">
        <f>E446*G446</f>
        <v/>
      </c>
      <c r="I446" s="33" t="inlineStr">
        <is>
          <t>Fleje acero SAE 1010 pintado</t>
        </is>
      </c>
      <c r="J446" s="17" t="inlineStr">
        <is>
          <t>199,9 × 193 × 18</t>
        </is>
      </c>
      <c r="K446" s="33" t="inlineStr">
        <is>
          <t>Compra (en el conjunto)</t>
        </is>
      </c>
      <c r="L446" s="33" t="inlineStr">
        <is>
          <t>No</t>
        </is>
      </c>
      <c r="M446" s="17" t="n"/>
      <c r="N446" s="17" t="n"/>
      <c r="O446" s="17" t="inlineStr">
        <is>
          <t>S4 - se compra terminado (tercerizado con sello IRAM)</t>
        </is>
      </c>
      <c r="P446" s="17" t="n"/>
      <c r="Q446" s="33" t="inlineStr">
        <is>
          <t>P</t>
        </is>
      </c>
      <c r="R446" s="33" t="inlineStr">
        <is>
          <t>FL_DES_SALESK_6l</t>
        </is>
      </c>
      <c r="S446" s="17" t="n"/>
    </row>
    <row r="447">
      <c r="A447" s="30" t="inlineStr">
        <is>
          <t>FL_MAT_SALESK_6l</t>
        </is>
      </c>
      <c r="B447" s="30" t="n">
        <v>1</v>
      </c>
      <c r="C447" s="30" t="inlineStr">
        <is>
          <t>SALESK6-S5</t>
        </is>
      </c>
      <c r="D447" s="31" t="inlineStr">
        <is>
          <t xml:space="preserve">    Carga: agente extintor y gas impulsor</t>
        </is>
      </c>
      <c r="E447" s="30" t="n">
        <v>1</v>
      </c>
      <c r="F447" s="30" t="inlineStr">
        <is>
          <t>u</t>
        </is>
      </c>
      <c r="G447" s="32" t="n"/>
      <c r="H447" s="32">
        <f>H448+H449</f>
        <v/>
      </c>
      <c r="I447" s="30" t="n"/>
      <c r="J447" s="31" t="n"/>
      <c r="K447" s="30" t="inlineStr">
        <is>
          <t>Compra</t>
        </is>
      </c>
      <c r="L447" s="30" t="n"/>
      <c r="M447" s="31" t="n"/>
      <c r="N447" s="31" t="n"/>
      <c r="O447" s="31" t="n"/>
      <c r="P447" s="31" t="n"/>
      <c r="Q447" s="30" t="n"/>
      <c r="R447" s="30" t="n"/>
      <c r="S447" s="31" t="n"/>
    </row>
    <row r="448">
      <c r="A448" s="33" t="inlineStr">
        <is>
          <t>FL_MAT_SALESK_6l</t>
        </is>
      </c>
      <c r="B448" s="33" t="n">
        <v>2</v>
      </c>
      <c r="C448" s="33" t="inlineStr">
        <is>
          <t>SALESK6-A1</t>
        </is>
      </c>
      <c r="D448" s="17" t="inlineStr">
        <is>
          <t xml:space="preserve">        Acetato de potasio - DEMSA Kitchen - Acetato de potasio (DEMSA Kitchen, 1,300 g/ml, pH 8,5)</t>
        </is>
      </c>
      <c r="E448" s="33" t="n">
        <v>6.09</v>
      </c>
      <c r="F448" s="33" t="inlineStr">
        <is>
          <t>L</t>
        </is>
      </c>
      <c r="G448" s="34" t="n">
        <v>1.3</v>
      </c>
      <c r="H448" s="34">
        <f>E448*G448</f>
        <v/>
      </c>
      <c r="I448" s="33" t="inlineStr">
        <is>
          <t>Acetato de potasio - DEMSA Kitchen - Acetato de potasio (DEMSA Kitchen, 1,300 g/ml, pH 8,5)</t>
        </is>
      </c>
      <c r="J448" s="17" t="inlineStr">
        <is>
          <t>nominal 6 L; tolerancia 0 / +3 % (IRAM 3517-2:2020 tabla 3)</t>
        </is>
      </c>
      <c r="K448" s="33" t="inlineStr">
        <is>
          <t>Compra</t>
        </is>
      </c>
      <c r="L448" s="33" t="inlineStr">
        <is>
          <t>No</t>
        </is>
      </c>
      <c r="M448" s="17" t="n"/>
      <c r="N448" s="17" t="n"/>
      <c r="O448" s="17" t="inlineStr">
        <is>
          <t>SP-1 almacén previo a la carga</t>
        </is>
      </c>
      <c r="P448" s="17" t="inlineStr">
        <is>
          <t>IRAM 3697</t>
        </is>
      </c>
      <c r="Q448" s="33" t="inlineStr">
        <is>
          <t>N</t>
        </is>
      </c>
      <c r="R448" s="33" t="n"/>
      <c r="S448" s="17" t="inlineStr">
        <is>
          <t>potencial 1A-K</t>
        </is>
      </c>
    </row>
    <row r="449">
      <c r="A449" s="33" t="inlineStr">
        <is>
          <t>FL_MAT_SALESK_6l</t>
        </is>
      </c>
      <c r="B449" s="33" t="n">
        <v>2</v>
      </c>
      <c r="C449" s="33" t="inlineStr">
        <is>
          <t>SALESK6-A2</t>
        </is>
      </c>
      <c r="D449" s="17" t="inlineStr">
        <is>
          <t xml:space="preserve">        Gas impulsor: N₂</t>
        </is>
      </c>
      <c r="E449" s="33" t="n">
        <v>0.0306</v>
      </c>
      <c r="F449" s="33" t="inlineStr">
        <is>
          <t>kg</t>
        </is>
      </c>
      <c r="G449" s="34" t="n">
        <v>1</v>
      </c>
      <c r="H449" s="34">
        <f>E449*G449</f>
        <v/>
      </c>
      <c r="I449" s="33" t="inlineStr">
        <is>
          <t>N₂</t>
        </is>
      </c>
      <c r="J449" s="17" t="inlineStr">
        <is>
          <t>24,5 L normales para 0,8 MPa a 20 °C en 2,96 dm³ libres</t>
        </is>
      </c>
      <c r="K449" s="33" t="inlineStr">
        <is>
          <t>Compra</t>
        </is>
      </c>
      <c r="L449" s="33" t="inlineStr">
        <is>
          <t>No</t>
        </is>
      </c>
      <c r="M449" s="17" t="n"/>
      <c r="N449" s="17" t="n"/>
      <c r="O449" s="17" t="inlineStr">
        <is>
          <t>20 Presurización (T05) / C10</t>
        </is>
      </c>
      <c r="P449" s="17" t="inlineStr">
        <is>
          <t>IRAM 3517-2 9.4.9 (tabla 2) · IRAM 3523 2.3 y 3.10</t>
        </is>
      </c>
      <c r="Q449" s="33" t="inlineStr">
        <is>
          <t>C</t>
        </is>
      </c>
      <c r="R449" s="33" t="n"/>
      <c r="S449" s="17" t="inlineStr">
        <is>
          <t>N₂ ≥ 99,8 %, H₂O ≤ 40 ppm (Q-N2, Air Liquide)</t>
        </is>
      </c>
    </row>
    <row r="450">
      <c r="A450" s="30" t="inlineStr">
        <is>
          <t>FL_MAT_SALESK_6l</t>
        </is>
      </c>
      <c r="B450" s="30" t="n">
        <v>1</v>
      </c>
      <c r="C450" s="30" t="inlineStr">
        <is>
          <t>SALESK6-S6</t>
        </is>
      </c>
      <c r="D450" s="31" t="inlineStr">
        <is>
          <t xml:space="preserve">    Identificación y precinto</t>
        </is>
      </c>
      <c r="E450" s="30" t="n">
        <v>1</v>
      </c>
      <c r="F450" s="30" t="inlineStr">
        <is>
          <t>u</t>
        </is>
      </c>
      <c r="G450" s="32" t="n"/>
      <c r="H450" s="32">
        <f>H451+H452+H453+H454+H455+H456+H457</f>
        <v/>
      </c>
      <c r="I450" s="30" t="n"/>
      <c r="J450" s="31" t="n"/>
      <c r="K450" s="30" t="inlineStr">
        <is>
          <t>Compra</t>
        </is>
      </c>
      <c r="L450" s="30" t="n"/>
      <c r="M450" s="31" t="n"/>
      <c r="N450" s="31" t="n"/>
      <c r="O450" s="31" t="inlineStr">
        <is>
          <t>22 Etiquetado (T07)</t>
        </is>
      </c>
      <c r="P450" s="31" t="n"/>
      <c r="Q450" s="30" t="n"/>
      <c r="R450" s="30" t="n"/>
      <c r="S450" s="31" t="n"/>
    </row>
    <row r="451">
      <c r="A451" s="33" t="inlineStr">
        <is>
          <t>FL_MAT_SALESK_6l</t>
        </is>
      </c>
      <c r="B451" s="33" t="n">
        <v>2</v>
      </c>
      <c r="C451" s="33" t="inlineStr">
        <is>
          <t>SALESK6-19</t>
        </is>
      </c>
      <c r="D451" s="17" t="inlineStr">
        <is>
          <t xml:space="preserve">        Etiqueta / placa de características</t>
        </is>
      </c>
      <c r="E451" s="33" t="n">
        <v>1</v>
      </c>
      <c r="F451" s="33" t="inlineStr">
        <is>
          <t>u</t>
        </is>
      </c>
      <c r="G451" s="34" t="n">
        <v>0.0211</v>
      </c>
      <c r="H451" s="34">
        <f>E451*G451</f>
        <v/>
      </c>
      <c r="I451" s="33" t="inlineStr">
        <is>
          <t>Vinilo autoadhesivo laminado</t>
        </is>
      </c>
      <c r="J451" s="17" t="inlineStr">
        <is>
          <t>359 × 140 (desarrollo × alto: panel central 108° + 2 alas laterales), e ≈ 0,3, laminado UV</t>
        </is>
      </c>
      <c r="K451" s="33" t="inlineStr">
        <is>
          <t>Compra</t>
        </is>
      </c>
      <c r="L451" s="33" t="inlineStr">
        <is>
          <t>No</t>
        </is>
      </c>
      <c r="M451" s="17" t="n"/>
      <c r="N451" s="17" t="n"/>
      <c r="O451" s="17" t="inlineStr">
        <is>
          <t>22 Etiquetado (T07)</t>
        </is>
      </c>
      <c r="P451" s="17" t="inlineStr">
        <is>
          <t>IRAM 3534 · IRAM 3694 cap. 5 · relevamiento de mercado</t>
        </is>
      </c>
      <c r="Q451" s="33" t="inlineStr">
        <is>
          <t>P</t>
        </is>
      </c>
      <c r="R451" s="33" t="inlineStr">
        <is>
          <t>FL_DES_SALESK_6l</t>
        </is>
      </c>
      <c r="S451" s="17" t="inlineStr">
        <is>
          <t>IRAM 3534</t>
        </is>
      </c>
    </row>
    <row r="452">
      <c r="A452" s="33" t="inlineStr">
        <is>
          <t>FL_MAT_SALESK_6l</t>
        </is>
      </c>
      <c r="B452" s="33" t="n">
        <v>2</v>
      </c>
      <c r="C452" s="33" t="inlineStr">
        <is>
          <t>SALESK6-20</t>
        </is>
      </c>
      <c r="D452" s="17" t="inlineStr">
        <is>
          <t xml:space="preserve">        Oblea de fabricación (PBA)</t>
        </is>
      </c>
      <c r="E452" s="33" t="n">
        <v>1</v>
      </c>
      <c r="F452" s="33" t="inlineStr">
        <is>
          <t>u</t>
        </is>
      </c>
      <c r="G452" s="34" t="n">
        <v>0.0009</v>
      </c>
      <c r="H452" s="34">
        <f>E452*G452</f>
        <v/>
      </c>
      <c r="I452" s="33" t="inlineStr">
        <is>
          <t>Papel de seguridad autodestructible</t>
        </is>
      </c>
      <c r="J452" s="17" t="inlineStr">
        <is>
          <t>Ø46 (Res. OPDS 522/07), numerada, autodestructible</t>
        </is>
      </c>
      <c r="K452" s="33" t="inlineStr">
        <is>
          <t>Compra</t>
        </is>
      </c>
      <c r="L452" s="33" t="inlineStr">
        <is>
          <t>No</t>
        </is>
      </c>
      <c r="M452" s="17" t="n"/>
      <c r="N452" s="17" t="n"/>
      <c r="O452" s="17" t="inlineStr">
        <is>
          <t>22 Etiquetado (T07)</t>
        </is>
      </c>
      <c r="P452" s="17" t="inlineStr">
        <is>
          <t>Res. OPDS 522/07 anexos 1, 2 y 6</t>
        </is>
      </c>
      <c r="Q452" s="33" t="inlineStr">
        <is>
          <t>P</t>
        </is>
      </c>
      <c r="R452" s="33" t="inlineStr">
        <is>
          <t>FL_DES_SALESK_6l</t>
        </is>
      </c>
      <c r="S452" s="17" t="inlineStr">
        <is>
          <t>Res. 522/07</t>
        </is>
      </c>
    </row>
    <row r="453">
      <c r="A453" s="33" t="inlineStr">
        <is>
          <t>FL_MAT_SALESK_6l</t>
        </is>
      </c>
      <c r="B453" s="33" t="n">
        <v>2</v>
      </c>
      <c r="C453" s="33" t="inlineStr">
        <is>
          <t>SALESK6-21</t>
        </is>
      </c>
      <c r="D453" s="17" t="inlineStr">
        <is>
          <t xml:space="preserve">        Estampilla IRAM de conformidad</t>
        </is>
      </c>
      <c r="E453" s="33" t="n">
        <v>1</v>
      </c>
      <c r="F453" s="33" t="inlineStr">
        <is>
          <t>u</t>
        </is>
      </c>
      <c r="G453" s="34" t="n">
        <v>0.001</v>
      </c>
      <c r="H453" s="34">
        <f>E453*G453</f>
        <v/>
      </c>
      <c r="I453" s="33" t="inlineStr">
        <is>
          <t>Provista por IRAM (Anexo R)</t>
        </is>
      </c>
      <c r="J453" s="17" t="inlineStr">
        <is>
          <t>60 × 40</t>
        </is>
      </c>
      <c r="K453" s="33" t="inlineStr">
        <is>
          <t>Compra</t>
        </is>
      </c>
      <c r="L453" s="33" t="inlineStr">
        <is>
          <t>No</t>
        </is>
      </c>
      <c r="M453" s="17" t="n"/>
      <c r="N453" s="17" t="n"/>
      <c r="O453" s="17" t="inlineStr">
        <is>
          <t>22 Etiquetado (T07)</t>
        </is>
      </c>
      <c r="P453" s="17" t="inlineStr">
        <is>
          <t>IRAM Anexo R (DC-PG-129)</t>
        </is>
      </c>
      <c r="Q453" s="33" t="inlineStr">
        <is>
          <t>P</t>
        </is>
      </c>
      <c r="R453" s="33" t="inlineStr">
        <is>
          <t>FL_DES_SALESK_6l</t>
        </is>
      </c>
      <c r="S453" s="17" t="inlineStr">
        <is>
          <t>numerada</t>
        </is>
      </c>
    </row>
    <row r="454">
      <c r="A454" s="33" t="inlineStr">
        <is>
          <t>FL_MAT_SALESK_6l</t>
        </is>
      </c>
      <c r="B454" s="33" t="n">
        <v>2</v>
      </c>
      <c r="C454" s="33" t="inlineStr">
        <is>
          <t>SALESK6-22</t>
        </is>
      </c>
      <c r="D454" s="17" t="inlineStr">
        <is>
          <t xml:space="preserve">        Tarjeta de identificación AGC (CABA)</t>
        </is>
      </c>
      <c r="E454" s="33" t="n">
        <v>1</v>
      </c>
      <c r="F454" s="33" t="inlineStr">
        <is>
          <t>u</t>
        </is>
      </c>
      <c r="G454" s="34" t="n">
        <v>0.0032</v>
      </c>
      <c r="H454" s="34">
        <f>E454*G454</f>
        <v/>
      </c>
      <c r="I454" s="33" t="inlineStr">
        <is>
          <t>Etiqueta autoadhesiva emitida por la AGC</t>
        </is>
      </c>
      <c r="J454" s="17" t="inlineStr">
        <is>
          <t>140 × 55</t>
        </is>
      </c>
      <c r="K454" s="33" t="inlineStr">
        <is>
          <t>Compra</t>
        </is>
      </c>
      <c r="L454" s="33" t="inlineStr">
        <is>
          <t>Sí</t>
        </is>
      </c>
      <c r="M454" s="17" t="inlineStr">
        <is>
          <t>Agencia Gubernamental de Control (CABA)</t>
        </is>
      </c>
      <c r="N454" s="17" t="inlineStr">
        <is>
          <t>-</t>
        </is>
      </c>
      <c r="O454" s="17" t="inlineStr">
        <is>
          <t>22 Etiquetado (T07)</t>
        </is>
      </c>
      <c r="P454" s="17" t="inlineStr">
        <is>
          <t>Ordenanza 40.473 art. 6 · Res. AGC 32/15</t>
        </is>
      </c>
      <c r="Q454" s="33" t="inlineStr">
        <is>
          <t>P</t>
        </is>
      </c>
      <c r="R454" s="33" t="inlineStr">
        <is>
          <t>FL_DES_SALESK_6l</t>
        </is>
      </c>
      <c r="S454" s="17" t="inlineStr">
        <is>
          <t>sólo destino CABA; sólo destino CABA</t>
        </is>
      </c>
    </row>
    <row r="455">
      <c r="A455" s="33" t="inlineStr">
        <is>
          <t>FL_MAT_SALESK_6l</t>
        </is>
      </c>
      <c r="B455" s="33" t="n">
        <v>2</v>
      </c>
      <c r="C455" s="33" t="inlineStr">
        <is>
          <t>SALESK6-23</t>
        </is>
      </c>
      <c r="D455" s="17" t="inlineStr">
        <is>
          <t xml:space="preserve">        Etiqueta de n° de serie GS1</t>
        </is>
      </c>
      <c r="E455" s="33" t="n">
        <v>1</v>
      </c>
      <c r="F455" s="33" t="inlineStr">
        <is>
          <t>u</t>
        </is>
      </c>
      <c r="G455" s="34" t="n">
        <v>0.0005</v>
      </c>
      <c r="H455" s="34">
        <f>E455*G455</f>
        <v/>
      </c>
      <c r="I455" s="33" t="inlineStr">
        <is>
          <t>Poliéster autoadhesivo impreso térmico</t>
        </is>
      </c>
      <c r="J455" s="17" t="inlineStr">
        <is>
          <t>45 × 25</t>
        </is>
      </c>
      <c r="K455" s="33" t="inlineStr">
        <is>
          <t>Compra</t>
        </is>
      </c>
      <c r="L455" s="33" t="inlineStr">
        <is>
          <t>No</t>
        </is>
      </c>
      <c r="M455" s="17" t="n"/>
      <c r="N455" s="17" t="n"/>
      <c r="O455" s="17" t="inlineStr">
        <is>
          <t>22 Etiquetado (T07)</t>
        </is>
      </c>
      <c r="P455" s="17" t="inlineStr">
        <is>
          <t>GS1 Argentina (GTIN 779) · trazabilidad IRAM 3523 5.1</t>
        </is>
      </c>
      <c r="Q455" s="33" t="inlineStr">
        <is>
          <t>P</t>
        </is>
      </c>
      <c r="R455" s="33" t="inlineStr">
        <is>
          <t>FL_DES_SALESK_6l</t>
        </is>
      </c>
      <c r="S455" s="17" t="inlineStr">
        <is>
          <t>QR GTIN + serie</t>
        </is>
      </c>
    </row>
    <row r="456">
      <c r="A456" s="33" t="inlineStr">
        <is>
          <t>FL_MAT_SALESK_6l</t>
        </is>
      </c>
      <c r="B456" s="33" t="n">
        <v>2</v>
      </c>
      <c r="C456" s="33" t="inlineStr">
        <is>
          <t>SALESK6-25</t>
        </is>
      </c>
      <c r="D456" s="17" t="inlineStr">
        <is>
          <t xml:space="preserve">        Faja de garantía válvula-cuello</t>
        </is>
      </c>
      <c r="E456" s="33" t="n">
        <v>1</v>
      </c>
      <c r="F456" s="33" t="inlineStr">
        <is>
          <t>u</t>
        </is>
      </c>
      <c r="G456" s="34" t="n">
        <v>0.0003</v>
      </c>
      <c r="H456" s="34">
        <f>E456*G456</f>
        <v/>
      </c>
      <c r="I456" s="33" t="inlineStr">
        <is>
          <t>Vinilo destructible rayado rojo/blanco</t>
        </is>
      </c>
      <c r="J456" s="17" t="inlineStr">
        <is>
          <t>30 × 40</t>
        </is>
      </c>
      <c r="K456" s="33" t="inlineStr">
        <is>
          <t>Compra</t>
        </is>
      </c>
      <c r="L456" s="33" t="inlineStr">
        <is>
          <t>No</t>
        </is>
      </c>
      <c r="M456" s="17" t="n"/>
      <c r="N456" s="17" t="n"/>
      <c r="O456" s="17" t="inlineStr">
        <is>
          <t>22 Etiquetado (T07)</t>
        </is>
      </c>
      <c r="P456" s="17" t="inlineStr">
        <is>
          <t>Sin norma: práctica de mercado (garantía de fábrica)</t>
        </is>
      </c>
      <c r="Q456" s="33" t="inlineStr">
        <is>
          <t>P</t>
        </is>
      </c>
      <c r="R456" s="33" t="inlineStr">
        <is>
          <t>FL_DES_SALESK_6l</t>
        </is>
      </c>
      <c r="S456" s="17" t="inlineStr">
        <is>
          <t>nuevo sin abrir</t>
        </is>
      </c>
    </row>
    <row r="457">
      <c r="A457" s="33" t="inlineStr">
        <is>
          <t>FL_MAT_SALESK_6l</t>
        </is>
      </c>
      <c r="B457" s="33" t="n">
        <v>2</v>
      </c>
      <c r="C457" s="33" t="inlineStr">
        <is>
          <t>SALESK6-26</t>
        </is>
      </c>
      <c r="D457" s="17" t="inlineStr">
        <is>
          <t xml:space="preserve">        Precinto de fábrica</t>
        </is>
      </c>
      <c r="E457" s="33" t="n">
        <v>1</v>
      </c>
      <c r="F457" s="33" t="inlineStr">
        <is>
          <t>u</t>
        </is>
      </c>
      <c r="G457" s="34" t="n">
        <v>0.0002</v>
      </c>
      <c r="H457" s="34">
        <f>E457*G457</f>
        <v/>
      </c>
      <c r="I457" s="33" t="inlineStr">
        <is>
          <t>Polipropileno color</t>
        </is>
      </c>
      <c r="J457" s="17" t="inlineStr">
        <is>
          <t>Ø5 × 10, numerado, rotura 30-50 N</t>
        </is>
      </c>
      <c r="K457" s="33" t="inlineStr">
        <is>
          <t>Compra</t>
        </is>
      </c>
      <c r="L457" s="33" t="inlineStr">
        <is>
          <t>No</t>
        </is>
      </c>
      <c r="M457" s="17" t="n"/>
      <c r="N457" s="17" t="n"/>
      <c r="O457" s="17" t="inlineStr">
        <is>
          <t>20 Presurización (T05)</t>
        </is>
      </c>
      <c r="P457" s="17" t="inlineStr">
        <is>
          <t>IRAM 3523 3.3.2 · IRAM 3517-2:2020 9.4.13</t>
        </is>
      </c>
      <c r="Q457" s="33" t="inlineStr">
        <is>
          <t>P</t>
        </is>
      </c>
      <c r="R457" s="33" t="inlineStr">
        <is>
          <t>FL_DES_SALESK_6l</t>
        </is>
      </c>
      <c r="S457" s="17" t="inlineStr">
        <is>
          <t>id. FLAMA y lote</t>
        </is>
      </c>
    </row>
    <row r="458">
      <c r="A458" s="30" t="inlineStr">
        <is>
          <t>FL_MAT_SALESK_6l</t>
        </is>
      </c>
      <c r="B458" s="30" t="n">
        <v>1</v>
      </c>
      <c r="C458" s="30" t="inlineStr">
        <is>
          <t>SALESK6-S8</t>
        </is>
      </c>
      <c r="D458" s="31" t="inlineStr">
        <is>
          <t xml:space="preserve">    Soporte (accesorio de montaje)</t>
        </is>
      </c>
      <c r="E458" s="30" t="n">
        <v>1</v>
      </c>
      <c r="F458" s="30" t="inlineStr">
        <is>
          <t>u</t>
        </is>
      </c>
      <c r="G458" s="32" t="n"/>
      <c r="H458" s="32">
        <f>H459</f>
        <v/>
      </c>
      <c r="I458" s="30" t="n"/>
      <c r="J458" s="31" t="n"/>
      <c r="K458" s="30" t="inlineStr">
        <is>
          <t>Compra</t>
        </is>
      </c>
      <c r="L458" s="30" t="n"/>
      <c r="M458" s="31" t="n"/>
      <c r="N458" s="31" t="n"/>
      <c r="O458" s="31" t="inlineStr">
        <is>
          <t>23 Embalaje (va dentro de la caja)</t>
        </is>
      </c>
      <c r="P458" s="31" t="inlineStr">
        <is>
          <t>IRAM 3517-2 7.4</t>
        </is>
      </c>
      <c r="Q458" s="30" t="n"/>
      <c r="R458" s="30" t="n"/>
      <c r="S458" s="31" t="n"/>
    </row>
    <row r="459">
      <c r="A459" s="33" t="inlineStr">
        <is>
          <t>FL_MAT_SALESK_6l</t>
        </is>
      </c>
      <c r="B459" s="33" t="n">
        <v>2</v>
      </c>
      <c r="C459" s="33" t="inlineStr">
        <is>
          <t>SALESK6-I5</t>
        </is>
      </c>
      <c r="D459" s="17" t="inlineStr">
        <is>
          <t xml:space="preserve">        Soporte de pared (FL_ACC_01)</t>
        </is>
      </c>
      <c r="E459" s="33" t="n">
        <v>1</v>
      </c>
      <c r="F459" s="33" t="inlineStr">
        <is>
          <t>u</t>
        </is>
      </c>
      <c r="G459" s="34" t="n">
        <v>0.327</v>
      </c>
      <c r="H459" s="34">
        <f>E459*G459</f>
        <v/>
      </c>
      <c r="I459" s="33" t="inlineStr">
        <is>
          <t>Chapa acero SAE 1010 e=2 pintada</t>
        </is>
      </c>
      <c r="J459" s="17" t="inlineStr">
        <is>
          <t>placa 60 × 180, ala con ranura Ø cuello + 3</t>
        </is>
      </c>
      <c r="K459" s="33" t="inlineStr">
        <is>
          <t>Compra</t>
        </is>
      </c>
      <c r="L459" s="33" t="inlineStr">
        <is>
          <t>No</t>
        </is>
      </c>
      <c r="M459" s="17" t="n"/>
      <c r="N459" s="17" t="n"/>
      <c r="O459" s="17" t="inlineStr">
        <is>
          <t>23 Embalaje</t>
        </is>
      </c>
      <c r="P459" s="17" t="inlineStr">
        <is>
          <t>IRAM 3517-2 7.4</t>
        </is>
      </c>
      <c r="Q459" s="33" t="inlineStr">
        <is>
          <t>P</t>
        </is>
      </c>
      <c r="R459" s="33" t="inlineStr">
        <is>
          <t>FL_ACC_01</t>
        </is>
      </c>
      <c r="S459" s="17" t="n"/>
    </row>
    <row r="460">
      <c r="A460" s="33" t="inlineStr">
        <is>
          <t>FL_MAT_SALESK_6l</t>
        </is>
      </c>
      <c r="B460" s="33" t="n">
        <v>2</v>
      </c>
      <c r="C460" s="33" t="inlineStr">
        <is>
          <t>SALESK6-I6</t>
        </is>
      </c>
      <c r="D460" s="17" t="inlineStr">
        <is>
          <t xml:space="preserve">        Tornillo y tarugo de fijación</t>
        </is>
      </c>
      <c r="E460" s="33" t="n">
        <v>2</v>
      </c>
      <c r="F460" s="33" t="inlineStr">
        <is>
          <t>u</t>
        </is>
      </c>
      <c r="G460" s="34" t="n"/>
      <c r="H460" s="34" t="n"/>
      <c r="I460" s="33" t="inlineStr">
        <is>
          <t>Acero cincado / nylon</t>
        </is>
      </c>
      <c r="J460" s="17" t="inlineStr">
        <is>
          <t>2 agujeros Ø8,5 del plano FL_ACC_01 → tornillo M8 + tarugo</t>
        </is>
      </c>
      <c r="K460" s="33" t="inlineStr">
        <is>
          <t>Compra</t>
        </is>
      </c>
      <c r="L460" s="33" t="inlineStr">
        <is>
          <t>No</t>
        </is>
      </c>
      <c r="M460" s="17" t="n"/>
      <c r="N460" s="17" t="n"/>
      <c r="O460" s="17" t="inlineStr">
        <is>
          <t>23 Embalaje</t>
        </is>
      </c>
      <c r="P460" s="17" t="n"/>
      <c r="Q460" s="33" t="inlineStr">
        <is>
          <t>P</t>
        </is>
      </c>
      <c r="R460" s="33" t="inlineStr">
        <is>
          <t>FL_ACC_01</t>
        </is>
      </c>
      <c r="S460" s="17" t="n"/>
    </row>
    <row r="461">
      <c r="A461" s="30" t="inlineStr">
        <is>
          <t>FL_MAT_SALESK_6l</t>
        </is>
      </c>
      <c r="B461" s="30" t="n">
        <v>1</v>
      </c>
      <c r="C461" s="30" t="inlineStr">
        <is>
          <t>SALESK6-S7</t>
        </is>
      </c>
      <c r="D461" s="31" t="inlineStr">
        <is>
          <t xml:space="preserve">    Embalaje</t>
        </is>
      </c>
      <c r="E461" s="30" t="n">
        <v>1</v>
      </c>
      <c r="F461" s="30" t="inlineStr">
        <is>
          <t>u</t>
        </is>
      </c>
      <c r="G461" s="32" t="n"/>
      <c r="H461" s="32">
        <f>H465</f>
        <v/>
      </c>
      <c r="I461" s="30" t="n"/>
      <c r="J461" s="31" t="n"/>
      <c r="K461" s="30" t="inlineStr">
        <is>
          <t>Compra</t>
        </is>
      </c>
      <c r="L461" s="30" t="n"/>
      <c r="M461" s="31" t="n"/>
      <c r="N461" s="31" t="n"/>
      <c r="O461" s="31" t="inlineStr">
        <is>
          <t>23 Embalaje -&gt; 24 envolvedora (T11)</t>
        </is>
      </c>
      <c r="P461" s="31" t="n"/>
      <c r="Q461" s="30" t="n"/>
      <c r="R461" s="30" t="n"/>
      <c r="S461" s="31" t="n"/>
    </row>
    <row r="462">
      <c r="A462" s="33" t="inlineStr">
        <is>
          <t>FL_MAT_SALESK_6l</t>
        </is>
      </c>
      <c r="B462" s="33" t="n">
        <v>2</v>
      </c>
      <c r="C462" s="33" t="inlineStr">
        <is>
          <t>SALESK6-E1</t>
        </is>
      </c>
      <c r="D462" s="17" t="inlineStr">
        <is>
          <t xml:space="preserve">        Caja de cartón corrugado doble</t>
        </is>
      </c>
      <c r="E462" s="33" t="n">
        <v>1</v>
      </c>
      <c r="F462" s="33" t="inlineStr">
        <is>
          <t>u</t>
        </is>
      </c>
      <c r="G462" s="34" t="n"/>
      <c r="H462" s="34" t="n"/>
      <c r="I462" s="33" t="inlineStr">
        <is>
          <t>Cartón corrugado</t>
        </is>
      </c>
      <c r="J462" s="17" t="inlineStr">
        <is>
          <t>300 × 223 × 490 interior (envolvente del plano + 15 por lado)</t>
        </is>
      </c>
      <c r="K462" s="33" t="inlineStr">
        <is>
          <t>Compra</t>
        </is>
      </c>
      <c r="L462" s="33" t="inlineStr">
        <is>
          <t>No</t>
        </is>
      </c>
      <c r="M462" s="17" t="n"/>
      <c r="N462" s="17" t="n"/>
      <c r="O462" s="17" t="inlineStr">
        <is>
          <t>23 Embalaje</t>
        </is>
      </c>
      <c r="P462" s="17" t="n"/>
      <c r="Q462" s="33" t="inlineStr">
        <is>
          <t>P</t>
        </is>
      </c>
      <c r="R462" s="33" t="n"/>
      <c r="S462" s="17" t="inlineStr">
        <is>
          <t>Medida del plano</t>
        </is>
      </c>
    </row>
    <row r="463">
      <c r="A463" s="33" t="inlineStr">
        <is>
          <t>FL_MAT_SALESK_6l</t>
        </is>
      </c>
      <c r="B463" s="33" t="n">
        <v>2</v>
      </c>
      <c r="C463" s="33" t="inlineStr">
        <is>
          <t>SALESK6-E2</t>
        </is>
      </c>
      <c r="D463" s="17" t="inlineStr">
        <is>
          <t xml:space="preserve">        Instructivo de uso y mantenimiento</t>
        </is>
      </c>
      <c r="E463" s="33" t="n">
        <v>1</v>
      </c>
      <c r="F463" s="33" t="inlineStr">
        <is>
          <t>u</t>
        </is>
      </c>
      <c r="G463" s="34" t="n"/>
      <c r="H463" s="34" t="n"/>
      <c r="I463" s="33" t="inlineStr">
        <is>
          <t>Papel</t>
        </is>
      </c>
      <c r="J463" s="17" t="inlineStr">
        <is>
          <t>A5</t>
        </is>
      </c>
      <c r="K463" s="33" t="inlineStr">
        <is>
          <t>Compra</t>
        </is>
      </c>
      <c r="L463" s="33" t="inlineStr">
        <is>
          <t>No</t>
        </is>
      </c>
      <c r="M463" s="17" t="n"/>
      <c r="N463" s="17" t="n"/>
      <c r="O463" s="17" t="inlineStr">
        <is>
          <t>23 Embalaje</t>
        </is>
      </c>
      <c r="P463" s="17" t="n"/>
      <c r="Q463" s="33" t="inlineStr">
        <is>
          <t>I</t>
        </is>
      </c>
      <c r="R463" s="33" t="n"/>
      <c r="S463" s="17" t="inlineStr">
        <is>
          <t>Decisión comercial de FLAMA (las instrucciones de uso obligatorias van en la etiqueta, IRAM 3534)</t>
        </is>
      </c>
    </row>
    <row r="464">
      <c r="A464" s="33" t="inlineStr">
        <is>
          <t>FL_MAT_SALESK_6l</t>
        </is>
      </c>
      <c r="B464" s="33" t="n">
        <v>2</v>
      </c>
      <c r="C464" s="33" t="inlineStr">
        <is>
          <t>SALESK6-E3</t>
        </is>
      </c>
      <c r="D464" s="17" t="inlineStr">
        <is>
          <t xml:space="preserve">        Pallet 1200 × 1000 (fracción)</t>
        </is>
      </c>
      <c r="E464" s="33" t="n">
        <v>0.0333</v>
      </c>
      <c r="F464" s="33" t="inlineStr">
        <is>
          <t>u</t>
        </is>
      </c>
      <c r="G464" s="34" t="n"/>
      <c r="H464" s="34" t="n"/>
      <c r="I464" s="33" t="inlineStr">
        <is>
          <t>Madera</t>
        </is>
      </c>
      <c r="J464" s="17" t="inlineStr">
        <is>
          <t>30 u por pallet</t>
        </is>
      </c>
      <c r="K464" s="33" t="inlineStr">
        <is>
          <t>Compra</t>
        </is>
      </c>
      <c r="L464" s="33" t="inlineStr">
        <is>
          <t>No</t>
        </is>
      </c>
      <c r="M464" s="17" t="n"/>
      <c r="N464" s="17" t="n"/>
      <c r="O464" s="17" t="inlineStr">
        <is>
          <t>23 Embalaje</t>
        </is>
      </c>
      <c r="P464" s="17" t="n"/>
      <c r="Q464" s="33" t="inlineStr">
        <is>
          <t>C</t>
        </is>
      </c>
      <c r="R464" s="33" t="n"/>
      <c r="S464" s="17" t="inlineStr">
        <is>
          <t>u por pallet = acomodo de la caja (plano) en 1200 × 1000 × 1450 de alto</t>
        </is>
      </c>
    </row>
    <row r="465">
      <c r="A465" s="33" t="inlineStr">
        <is>
          <t>FL_MAT_SALESK_6l</t>
        </is>
      </c>
      <c r="B465" s="33" t="n">
        <v>2</v>
      </c>
      <c r="C465" s="33" t="inlineStr">
        <is>
          <t>SALESK6-E4</t>
        </is>
      </c>
      <c r="D465" s="17" t="inlineStr">
        <is>
          <t xml:space="preserve">        Film stretch (fracción del pallet)</t>
        </is>
      </c>
      <c r="E465" s="33" t="n">
        <v>0.004</v>
      </c>
      <c r="F465" s="33" t="inlineStr">
        <is>
          <t>kg</t>
        </is>
      </c>
      <c r="G465" s="34" t="n">
        <v>1</v>
      </c>
      <c r="H465" s="34">
        <f>E465*G465</f>
        <v/>
      </c>
      <c r="I465" s="33" t="inlineStr">
        <is>
          <t>PE lineal 23 µm</t>
        </is>
      </c>
      <c r="J465" s="17" t="inlineStr">
        <is>
          <t>0,12 kg por pallet / 30 u</t>
        </is>
      </c>
      <c r="K465" s="33" t="inlineStr">
        <is>
          <t>Compra</t>
        </is>
      </c>
      <c r="L465" s="33" t="inlineStr">
        <is>
          <t>No</t>
        </is>
      </c>
      <c r="M465" s="17" t="n"/>
      <c r="N465" s="17" t="n"/>
      <c r="O465" s="17" t="inlineStr">
        <is>
          <t>24 Envolvedora (T11)</t>
        </is>
      </c>
      <c r="P465" s="17" t="n"/>
      <c r="Q465" s="33" t="inlineStr">
        <is>
          <t>C</t>
        </is>
      </c>
      <c r="R465" s="33" t="n"/>
      <c r="S46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66">
      <c r="A466" s="33" t="inlineStr">
        <is>
          <t>FL_MAT_SALESK_6l</t>
        </is>
      </c>
      <c r="B466" s="33" t="n">
        <v>2</v>
      </c>
      <c r="C466" s="33" t="inlineStr">
        <is>
          <t>SALESK6-E5</t>
        </is>
      </c>
      <c r="D466" s="17" t="inlineStr">
        <is>
          <t xml:space="preserve">        Etiqueta de pallet (lote y destino, fracción)</t>
        </is>
      </c>
      <c r="E466" s="33" t="n">
        <v>0.0333</v>
      </c>
      <c r="F466" s="33" t="inlineStr">
        <is>
          <t>u</t>
        </is>
      </c>
      <c r="G466" s="34" t="n"/>
      <c r="H466" s="34" t="n"/>
      <c r="I466" s="33" t="inlineStr">
        <is>
          <t>Papel térmico</t>
        </is>
      </c>
      <c r="J466" s="17" t="inlineStr">
        <is>
          <t>100 × 150</t>
        </is>
      </c>
      <c r="K466" s="33" t="inlineStr">
        <is>
          <t>Compra</t>
        </is>
      </c>
      <c r="L466" s="33" t="inlineStr">
        <is>
          <t>No</t>
        </is>
      </c>
      <c r="M466" s="17" t="n"/>
      <c r="N466" s="17" t="n"/>
      <c r="O466" s="17" t="inlineStr">
        <is>
          <t>24 Envolvedora</t>
        </is>
      </c>
      <c r="P466" s="17" t="n"/>
      <c r="Q466" s="33" t="inlineStr">
        <is>
          <t>C</t>
        </is>
      </c>
      <c r="R466" s="33" t="n"/>
      <c r="S466" s="17" t="n"/>
    </row>
    <row r="467">
      <c r="A467" s="33" t="inlineStr">
        <is>
          <t>FL_MAT_SALESK_6l</t>
        </is>
      </c>
      <c r="B467" s="33" t="n">
        <v>2</v>
      </c>
      <c r="C467" s="33" t="inlineStr">
        <is>
          <t>SALESK6-E6</t>
        </is>
      </c>
      <c r="D467" s="17" t="inlineStr">
        <is>
          <t xml:space="preserve">        Cinta de embalaje PP 48 mm (cierre de la caja)</t>
        </is>
      </c>
      <c r="E467" s="33" t="n">
        <v>0.88</v>
      </c>
      <c r="F467" s="33" t="inlineStr">
        <is>
          <t>m</t>
        </is>
      </c>
      <c r="G467" s="34" t="n"/>
      <c r="H467" s="34" t="n"/>
      <c r="I467" s="33" t="inlineStr">
        <is>
          <t>Polipropileno con adhesivo acrílico</t>
        </is>
      </c>
      <c r="J467" s="17" t="inlineStr">
        <is>
          <t>cierre en I arriba y abajo: 2 × (300 + 2 × 70 de solapa)</t>
        </is>
      </c>
      <c r="K467" s="33" t="inlineStr">
        <is>
          <t>Compra</t>
        </is>
      </c>
      <c r="L467" s="33" t="inlineStr">
        <is>
          <t>No</t>
        </is>
      </c>
      <c r="M467" s="17" t="n"/>
      <c r="N467" s="17" t="n"/>
      <c r="O467" s="17" t="inlineStr">
        <is>
          <t>23 Embalaje</t>
        </is>
      </c>
      <c r="P467" s="17" t="n"/>
      <c r="Q467" s="33" t="inlineStr">
        <is>
          <t>C</t>
        </is>
      </c>
      <c r="R467" s="33" t="n"/>
      <c r="S467" s="17" t="inlineStr">
        <is>
          <t>Solapa de 70 mm por lado: práctica de cierre de cajas (medir en la línea)</t>
        </is>
      </c>
    </row>
    <row r="468">
      <c r="A468" s="33" t="inlineStr">
        <is>
          <t>FL_MAT_SALESK_6l</t>
        </is>
      </c>
      <c r="B468" s="33" t="n">
        <v>2</v>
      </c>
      <c r="C468" s="33" t="inlineStr">
        <is>
          <t>SALESK6-E7</t>
        </is>
      </c>
      <c r="D468" s="17" t="inlineStr">
        <is>
          <t xml:space="preserve">        Esquineros de cartón 50 × 50 × 1200 (fracción del pallet)</t>
        </is>
      </c>
      <c r="E468" s="33" t="n">
        <v>0.1333</v>
      </c>
      <c r="F468" s="33" t="inlineStr">
        <is>
          <t>u</t>
        </is>
      </c>
      <c r="G468" s="34" t="n"/>
      <c r="H468" s="34" t="n"/>
      <c r="I468" s="33" t="inlineStr">
        <is>
          <t>Cartón</t>
        </is>
      </c>
      <c r="J468" s="17" t="inlineStr">
        <is>
          <t>4 por pallet / 30 u</t>
        </is>
      </c>
      <c r="K468" s="33" t="inlineStr">
        <is>
          <t>Compra</t>
        </is>
      </c>
      <c r="L468" s="33" t="inlineStr">
        <is>
          <t>No</t>
        </is>
      </c>
      <c r="M468" s="17" t="n"/>
      <c r="N468" s="17" t="n"/>
      <c r="O468" s="17" t="inlineStr">
        <is>
          <t>24 Envolvedora (T11)</t>
        </is>
      </c>
      <c r="P468" s="17" t="n"/>
      <c r="Q468" s="33" t="inlineStr">
        <is>
          <t>C</t>
        </is>
      </c>
      <c r="R468" s="33" t="n"/>
      <c r="S468" s="17" t="inlineStr">
        <is>
          <t>Planilla MP-64</t>
        </is>
      </c>
    </row>
    <row r="469">
      <c r="A469" s="27" t="inlineStr">
        <is>
          <t>FL_MAT_CO2_2kg</t>
        </is>
      </c>
      <c r="B469" s="27" t="n">
        <v>0</v>
      </c>
      <c r="C469" s="27" t="inlineStr">
        <is>
          <t>FL_MAT_CO2_2kg</t>
        </is>
      </c>
      <c r="D469" s="28" t="inlineStr">
        <is>
          <t>Extintor CO₂ 2 kg</t>
        </is>
      </c>
      <c r="E469" s="27" t="n">
        <v>1</v>
      </c>
      <c r="F469" s="27" t="inlineStr">
        <is>
          <t>u</t>
        </is>
      </c>
      <c r="G469" s="29" t="n"/>
      <c r="H469" s="29" t="n"/>
      <c r="I469" s="27" t="n"/>
      <c r="J469" s="28" t="n"/>
      <c r="K469" s="27" t="n"/>
      <c r="L469" s="27" t="n"/>
      <c r="M469" s="28" t="n"/>
      <c r="N469" s="28" t="n"/>
      <c r="O469" s="28" t="n"/>
      <c r="P469" s="28" t="inlineStr">
        <is>
          <t>IRAM 3509</t>
        </is>
      </c>
      <c r="Q469" s="27" t="inlineStr">
        <is>
          <t>P</t>
        </is>
      </c>
      <c r="R469" s="27" t="inlineStr">
        <is>
          <t>FL_MAT_CO2_2kg</t>
        </is>
      </c>
      <c r="S469" s="28" t="inlineStr">
        <is>
          <t>Revendido: se compra terminado al fabricante con Sello IRAM; las piezas internas quedan como referencia (no entran en MRP)</t>
        </is>
      </c>
    </row>
    <row r="470">
      <c r="A470" s="30" t="inlineStr">
        <is>
          <t>FL_MAT_CO2_2kg</t>
        </is>
      </c>
      <c r="B470" s="30" t="n">
        <v>1</v>
      </c>
      <c r="C470" s="30" t="inlineStr">
        <is>
          <t>CO22-S0</t>
        </is>
      </c>
      <c r="D470" s="31" t="inlineStr">
        <is>
          <t xml:space="preserve">    Equipo terminado comprado (fabricante con Sello IRAM)</t>
        </is>
      </c>
      <c r="E470" s="30" t="n">
        <v>1</v>
      </c>
      <c r="F470" s="30" t="inlineStr">
        <is>
          <t>u</t>
        </is>
      </c>
      <c r="G470" s="32" t="n"/>
      <c r="H470" s="32" t="n"/>
      <c r="I470" s="30" t="n"/>
      <c r="J470" s="31" t="n"/>
      <c r="K470" s="30" t="inlineStr">
        <is>
          <t>Compra</t>
        </is>
      </c>
      <c r="L470" s="30" t="inlineStr">
        <is>
          <t>Sí</t>
        </is>
      </c>
      <c r="M470" s="31" t="inlineStr">
        <is>
          <t>Mozart S.R.L.</t>
        </is>
      </c>
      <c r="N470" s="31" t="inlineStr">
        <is>
          <t>Matafuegos Georgia - venta mayorista</t>
        </is>
      </c>
      <c r="O470" s="31" t="inlineStr">
        <is>
          <t>Recepción y control de ingreso (SP-1)</t>
        </is>
      </c>
      <c r="P470" s="31" t="inlineStr">
        <is>
          <t>IRAM 3509</t>
        </is>
      </c>
      <c r="Q470" s="30" t="inlineStr">
        <is>
          <t>I</t>
        </is>
      </c>
      <c r="R470" s="30" t="inlineStr">
        <is>
          <t>FL_MAT_CO2_2kg</t>
        </is>
      </c>
      <c r="S470" s="31" t="inlineStr">
        <is>
          <t>Única fila de compra del revendido (más la tarjeta AGC si el destino es CABA)</t>
        </is>
      </c>
    </row>
    <row r="471">
      <c r="A471" s="30" t="inlineStr">
        <is>
          <t>FL_MAT_CO2_2kg</t>
        </is>
      </c>
      <c r="B471" s="30" t="n">
        <v>1</v>
      </c>
      <c r="C471" s="30" t="inlineStr">
        <is>
          <t>CO22-S1</t>
        </is>
      </c>
      <c r="D471" s="31" t="inlineStr">
        <is>
          <t xml:space="preserve">    Recipiente (cilindro)</t>
        </is>
      </c>
      <c r="E471" s="30" t="n">
        <v>1</v>
      </c>
      <c r="F471" s="30" t="inlineStr">
        <is>
          <t>u</t>
        </is>
      </c>
      <c r="G471" s="32" t="n"/>
      <c r="H471" s="32">
        <f>H472+H473</f>
        <v/>
      </c>
      <c r="I471" s="30" t="n"/>
      <c r="J471" s="31" t="n"/>
      <c r="K471" s="30" t="inlineStr">
        <is>
          <t>Compra / armado</t>
        </is>
      </c>
      <c r="L471" s="30" t="n"/>
      <c r="M471" s="31" t="n"/>
      <c r="N471" s="31" t="n"/>
      <c r="O471" s="31" t="n"/>
      <c r="P471" s="31" t="inlineStr">
        <is>
          <t>IRAM 3523 / 3550 (recipiente)</t>
        </is>
      </c>
      <c r="Q471" s="30" t="inlineStr">
        <is>
          <t>P</t>
        </is>
      </c>
      <c r="R471" s="30" t="inlineStr">
        <is>
          <t>FL_DES_CO2_2kg</t>
        </is>
      </c>
      <c r="S471" s="31" t="n"/>
    </row>
    <row r="472">
      <c r="A472" s="33" t="inlineStr">
        <is>
          <t>FL_MAT_CO2_2kg</t>
        </is>
      </c>
      <c r="B472" s="33" t="n">
        <v>2</v>
      </c>
      <c r="C472" s="33" t="inlineStr">
        <is>
          <t>CO22-01</t>
        </is>
      </c>
      <c r="D472" s="17" t="inlineStr">
        <is>
          <t xml:space="preserve">        Cilindro sin costura</t>
        </is>
      </c>
      <c r="E472" s="33" t="n">
        <v>1</v>
      </c>
      <c r="F472" s="33" t="inlineStr">
        <is>
          <t>u</t>
        </is>
      </c>
      <c r="G472" s="34" t="n">
        <v>5.7663</v>
      </c>
      <c r="H472" s="34">
        <f>E472*G472</f>
        <v/>
      </c>
      <c r="I472" s="33" t="inlineStr">
        <is>
          <t>Tubo acero 34CrMo4 sin costura e=5,4</t>
        </is>
      </c>
      <c r="J472" s="17" t="inlineStr">
        <is>
          <t>Cilindro sin costura Ø114 × e5,4 × 411,2 de alto (cuello integral)</t>
        </is>
      </c>
      <c r="K472" s="33" t="inlineStr">
        <is>
          <t>Compra (en el conjunto)</t>
        </is>
      </c>
      <c r="L472" s="33" t="inlineStr">
        <is>
          <t>No</t>
        </is>
      </c>
      <c r="M472" s="17" t="n"/>
      <c r="N472" s="17" t="n"/>
      <c r="O472" s="17" t="inlineStr">
        <is>
          <t>S4 - se compra terminado (tercerizado con sello IRAM)</t>
        </is>
      </c>
      <c r="P472" s="17" t="n"/>
      <c r="Q472" s="33" t="inlineStr">
        <is>
          <t>P</t>
        </is>
      </c>
      <c r="R472" s="33" t="inlineStr">
        <is>
          <t>FL_DES_CO2_2kg</t>
        </is>
      </c>
      <c r="S472" s="17" t="inlineStr">
        <is>
          <t>cuello integral</t>
        </is>
      </c>
    </row>
    <row r="473">
      <c r="A473" s="33" t="inlineStr">
        <is>
          <t>FL_MAT_CO2_2kg</t>
        </is>
      </c>
      <c r="B473" s="33" t="n">
        <v>2</v>
      </c>
      <c r="C473" s="33" t="inlineStr">
        <is>
          <t>CO22-12</t>
        </is>
      </c>
      <c r="D473" s="17" t="inlineStr">
        <is>
          <t xml:space="preserve">        Pie de apoyo</t>
        </is>
      </c>
      <c r="E473" s="33" t="n">
        <v>1</v>
      </c>
      <c r="F473" s="33" t="inlineStr">
        <is>
          <t>u</t>
        </is>
      </c>
      <c r="G473" s="34" t="n">
        <v>0.066</v>
      </c>
      <c r="H473" s="34">
        <f>E473*G473</f>
        <v/>
      </c>
      <c r="I473" s="33" t="inlineStr">
        <is>
          <t>Polietileno AD</t>
        </is>
      </c>
      <c r="J473" s="17" t="inlineStr">
        <is>
          <t>114 × 114 × 31,4</t>
        </is>
      </c>
      <c r="K473" s="33" t="inlineStr">
        <is>
          <t>Compra (en el conjunto)</t>
        </is>
      </c>
      <c r="L473" s="33" t="inlineStr">
        <is>
          <t>No</t>
        </is>
      </c>
      <c r="M473" s="17" t="n"/>
      <c r="N473" s="17" t="n"/>
      <c r="O473" s="17" t="inlineStr">
        <is>
          <t>S4 - se compra terminado (tercerizado con sello IRAM)</t>
        </is>
      </c>
      <c r="P473" s="17" t="n"/>
      <c r="Q473" s="33" t="inlineStr">
        <is>
          <t>P</t>
        </is>
      </c>
      <c r="R473" s="33" t="inlineStr">
        <is>
          <t>FL_DES_CO2_2kg</t>
        </is>
      </c>
      <c r="S473" s="17" t="n"/>
    </row>
    <row r="474">
      <c r="A474" s="30" t="inlineStr">
        <is>
          <t>FL_MAT_CO2_2kg</t>
        </is>
      </c>
      <c r="B474" s="30" t="n">
        <v>1</v>
      </c>
      <c r="C474" s="30" t="inlineStr">
        <is>
          <t>CO22-S2</t>
        </is>
      </c>
      <c r="D474" s="31" t="inlineStr">
        <is>
          <t xml:space="preserve">    Conjunto de válvula</t>
        </is>
      </c>
      <c r="E474" s="30" t="n">
        <v>1</v>
      </c>
      <c r="F474" s="30" t="inlineStr">
        <is>
          <t>u</t>
        </is>
      </c>
      <c r="G474" s="32" t="n"/>
      <c r="H474" s="32">
        <f>H475+H476+H477+H478+H479+H480+H481+H482+H483+H484+H485</f>
        <v/>
      </c>
      <c r="I474" s="30" t="n"/>
      <c r="J474" s="31" t="n"/>
      <c r="K474" s="30" t="inlineStr">
        <is>
          <t>Compra / armado</t>
        </is>
      </c>
      <c r="L474" s="30" t="n"/>
      <c r="M474" s="31" t="n"/>
      <c r="N474" s="31" t="n"/>
      <c r="O474" s="31" t="n"/>
      <c r="P474" s="31" t="inlineStr">
        <is>
          <t>Manómetro IRAM 3533</t>
        </is>
      </c>
      <c r="Q474" s="30" t="inlineStr">
        <is>
          <t>P</t>
        </is>
      </c>
      <c r="R474" s="30" t="inlineStr">
        <is>
          <t>FL_DES_CO2_2kg</t>
        </is>
      </c>
      <c r="S474" s="31" t="n"/>
    </row>
    <row r="475">
      <c r="A475" s="33" t="inlineStr">
        <is>
          <t>FL_MAT_CO2_2kg</t>
        </is>
      </c>
      <c r="B475" s="33" t="n">
        <v>2</v>
      </c>
      <c r="C475" s="33" t="inlineStr">
        <is>
          <t>CO22-02</t>
        </is>
      </c>
      <c r="D475" s="17" t="inlineStr">
        <is>
          <t xml:space="preserve">        Collarín de válvula</t>
        </is>
      </c>
      <c r="E475" s="33" t="n">
        <v>1</v>
      </c>
      <c r="F475" s="33" t="inlineStr">
        <is>
          <t>u</t>
        </is>
      </c>
      <c r="G475" s="34" t="n">
        <v>0.0809</v>
      </c>
      <c r="H475" s="34">
        <f>E475*G475</f>
        <v/>
      </c>
      <c r="I475" s="33" t="inlineStr">
        <is>
          <t>Latón forjado</t>
        </is>
      </c>
      <c r="J475" s="17" t="inlineStr">
        <is>
          <t>38 × 38 × 10</t>
        </is>
      </c>
      <c r="K475" s="33" t="inlineStr">
        <is>
          <t>Compra (en el conjunto)</t>
        </is>
      </c>
      <c r="L475" s="33" t="inlineStr">
        <is>
          <t>No</t>
        </is>
      </c>
      <c r="M475" s="17" t="n"/>
      <c r="N475" s="17" t="n"/>
      <c r="O475" s="17" t="inlineStr">
        <is>
          <t>S4 - se compra terminado (tercerizado con sello IRAM)</t>
        </is>
      </c>
      <c r="P475" s="17" t="n"/>
      <c r="Q475" s="33" t="inlineStr">
        <is>
          <t>P</t>
        </is>
      </c>
      <c r="R475" s="33" t="inlineStr">
        <is>
          <t>FL_DES_CO2_2kg</t>
        </is>
      </c>
      <c r="S475" s="17" t="n"/>
    </row>
    <row r="476">
      <c r="A476" s="33" t="inlineStr">
        <is>
          <t>FL_MAT_CO2_2kg</t>
        </is>
      </c>
      <c r="B476" s="33" t="n">
        <v>2</v>
      </c>
      <c r="C476" s="33" t="inlineStr">
        <is>
          <t>CO22-03</t>
        </is>
      </c>
      <c r="D476" s="17" t="inlineStr">
        <is>
          <t xml:space="preserve">        Espiga roscada</t>
        </is>
      </c>
      <c r="E476" s="33" t="n">
        <v>1</v>
      </c>
      <c r="F476" s="33" t="inlineStr">
        <is>
          <t>u</t>
        </is>
      </c>
      <c r="G476" s="34" t="n">
        <v>0.0153</v>
      </c>
      <c r="H476" s="34">
        <f>E476*G476</f>
        <v/>
      </c>
      <c r="I476" s="33" t="inlineStr">
        <is>
          <t>Latón forjado</t>
        </is>
      </c>
      <c r="J476" s="17" t="inlineStr">
        <is>
          <t>19 × 19 × 12</t>
        </is>
      </c>
      <c r="K476" s="33" t="inlineStr">
        <is>
          <t>Compra (en el conjunto)</t>
        </is>
      </c>
      <c r="L476" s="33" t="inlineStr">
        <is>
          <t>No</t>
        </is>
      </c>
      <c r="M476" s="17" t="n"/>
      <c r="N476" s="17" t="n"/>
      <c r="O476" s="17" t="inlineStr">
        <is>
          <t>S4 - se compra terminado (tercerizado con sello IRAM)</t>
        </is>
      </c>
      <c r="P476" s="17" t="n"/>
      <c r="Q476" s="33" t="inlineStr">
        <is>
          <t>P</t>
        </is>
      </c>
      <c r="R476" s="33" t="inlineStr">
        <is>
          <t>FL_DES_CO2_2kg</t>
        </is>
      </c>
      <c r="S476" s="17" t="n"/>
    </row>
    <row r="477">
      <c r="A477" s="33" t="inlineStr">
        <is>
          <t>FL_MAT_CO2_2kg</t>
        </is>
      </c>
      <c r="B477" s="33" t="n">
        <v>2</v>
      </c>
      <c r="C477" s="33" t="inlineStr">
        <is>
          <t>CO22-04</t>
        </is>
      </c>
      <c r="D477" s="17" t="inlineStr">
        <is>
          <t xml:space="preserve">        Cuerpo de válvula</t>
        </is>
      </c>
      <c r="E477" s="33" t="n">
        <v>1</v>
      </c>
      <c r="F477" s="33" t="inlineStr">
        <is>
          <t>u</t>
        </is>
      </c>
      <c r="G477" s="34" t="n">
        <v>0.4826</v>
      </c>
      <c r="H477" s="34">
        <f>E477*G477</f>
        <v/>
      </c>
      <c r="I477" s="33" t="inlineStr">
        <is>
          <t>Latón forjado</t>
        </is>
      </c>
      <c r="J477" s="17" t="inlineStr">
        <is>
          <t>66,2 × 43 × 34</t>
        </is>
      </c>
      <c r="K477" s="33" t="inlineStr">
        <is>
          <t>Compra (en el conjunto)</t>
        </is>
      </c>
      <c r="L477" s="33" t="inlineStr">
        <is>
          <t>No</t>
        </is>
      </c>
      <c r="M477" s="17" t="n"/>
      <c r="N477" s="17" t="n"/>
      <c r="O477" s="17" t="inlineStr">
        <is>
          <t>S4 - se compra terminado (tercerizado con sello IRAM)</t>
        </is>
      </c>
      <c r="P477" s="17" t="n"/>
      <c r="Q477" s="33" t="inlineStr">
        <is>
          <t>P</t>
        </is>
      </c>
      <c r="R477" s="33" t="inlineStr">
        <is>
          <t>FL_DES_CO2_2kg</t>
        </is>
      </c>
      <c r="S477" s="17" t="n"/>
    </row>
    <row r="478">
      <c r="A478" s="33" t="inlineStr">
        <is>
          <t>FL_MAT_CO2_2kg</t>
        </is>
      </c>
      <c r="B478" s="33" t="n">
        <v>2</v>
      </c>
      <c r="C478" s="33" t="inlineStr">
        <is>
          <t>CO22-05</t>
        </is>
      </c>
      <c r="D478" s="17" t="inlineStr">
        <is>
          <t xml:space="preserve">        Disco de seguridad</t>
        </is>
      </c>
      <c r="E478" s="33" t="n">
        <v>1</v>
      </c>
      <c r="F478" s="33" t="inlineStr">
        <is>
          <t>u</t>
        </is>
      </c>
      <c r="G478" s="34" t="n">
        <v>0.0097</v>
      </c>
      <c r="H478" s="34">
        <f>E478*G478</f>
        <v/>
      </c>
      <c r="I478" s="33" t="inlineStr">
        <is>
          <t>Latón / disco de cobre</t>
        </is>
      </c>
      <c r="J478" s="17" t="inlineStr">
        <is>
          <t>14 × 12,1 × 9</t>
        </is>
      </c>
      <c r="K478" s="33" t="inlineStr">
        <is>
          <t>Compra (en el conjunto)</t>
        </is>
      </c>
      <c r="L478" s="33" t="inlineStr">
        <is>
          <t>No</t>
        </is>
      </c>
      <c r="M478" s="17" t="n"/>
      <c r="N478" s="17" t="n"/>
      <c r="O478" s="17" t="inlineStr">
        <is>
          <t>S4 - se compra terminado (tercerizado con sello IRAM)</t>
        </is>
      </c>
      <c r="P478" s="17" t="n"/>
      <c r="Q478" s="33" t="inlineStr">
        <is>
          <t>P</t>
        </is>
      </c>
      <c r="R478" s="33" t="inlineStr">
        <is>
          <t>FL_DES_CO2_2kg</t>
        </is>
      </c>
      <c r="S478" s="17" t="inlineStr">
        <is>
          <t>rotura 18 a 21 MPa</t>
        </is>
      </c>
    </row>
    <row r="479">
      <c r="A479" s="33" t="inlineStr">
        <is>
          <t>FL_MAT_CO2_2kg</t>
        </is>
      </c>
      <c r="B479" s="33" t="n">
        <v>2</v>
      </c>
      <c r="C479" s="33" t="inlineStr">
        <is>
          <t>CO22-06</t>
        </is>
      </c>
      <c r="D479" s="17" t="inlineStr">
        <is>
          <t xml:space="preserve">        Manija de transporte</t>
        </is>
      </c>
      <c r="E479" s="33" t="n">
        <v>1</v>
      </c>
      <c r="F479" s="33" t="inlineStr">
        <is>
          <t>u</t>
        </is>
      </c>
      <c r="G479" s="34" t="n">
        <v>0.0635</v>
      </c>
      <c r="H479" s="34">
        <f>E479*G479</f>
        <v/>
      </c>
      <c r="I479" s="33" t="inlineStr">
        <is>
          <t>Chapa acero SAE 1010 pintada</t>
        </is>
      </c>
      <c r="J479" s="17" t="inlineStr">
        <is>
          <t>100,9 × 20 × 14,5</t>
        </is>
      </c>
      <c r="K479" s="33" t="inlineStr">
        <is>
          <t>Compra (en el conjunto)</t>
        </is>
      </c>
      <c r="L479" s="33" t="inlineStr">
        <is>
          <t>No</t>
        </is>
      </c>
      <c r="M479" s="17" t="n"/>
      <c r="N479" s="17" t="n"/>
      <c r="O479" s="17" t="inlineStr">
        <is>
          <t>S4 - se compra terminado (tercerizado con sello IRAM)</t>
        </is>
      </c>
      <c r="P479" s="17" t="n"/>
      <c r="Q479" s="33" t="inlineStr">
        <is>
          <t>P</t>
        </is>
      </c>
      <c r="R479" s="33" t="inlineStr">
        <is>
          <t>FL_DES_CO2_2kg</t>
        </is>
      </c>
      <c r="S479" s="17" t="n"/>
    </row>
    <row r="480">
      <c r="A480" s="33" t="inlineStr">
        <is>
          <t>FL_MAT_CO2_2kg</t>
        </is>
      </c>
      <c r="B480" s="33" t="n">
        <v>2</v>
      </c>
      <c r="C480" s="33" t="inlineStr">
        <is>
          <t>CO22-07</t>
        </is>
      </c>
      <c r="D480" s="17" t="inlineStr">
        <is>
          <t xml:space="preserve">        Manija de accionamiento</t>
        </is>
      </c>
      <c r="E480" s="33" t="n">
        <v>1</v>
      </c>
      <c r="F480" s="33" t="inlineStr">
        <is>
          <t>u</t>
        </is>
      </c>
      <c r="G480" s="34" t="n">
        <v>0.0905</v>
      </c>
      <c r="H480" s="34">
        <f>E480*G480</f>
        <v/>
      </c>
      <c r="I480" s="33" t="inlineStr">
        <is>
          <t>Chapa acero SAE 1010 pintada</t>
        </is>
      </c>
      <c r="J480" s="17" t="inlineStr">
        <is>
          <t>143,5 × 21,5 × 20</t>
        </is>
      </c>
      <c r="K480" s="33" t="inlineStr">
        <is>
          <t>Compra (en el conjunto)</t>
        </is>
      </c>
      <c r="L480" s="33" t="inlineStr">
        <is>
          <t>No</t>
        </is>
      </c>
      <c r="M480" s="17" t="n"/>
      <c r="N480" s="17" t="n"/>
      <c r="O480" s="17" t="inlineStr">
        <is>
          <t>S4 - se compra terminado (tercerizado con sello IRAM)</t>
        </is>
      </c>
      <c r="P480" s="17" t="n"/>
      <c r="Q480" s="33" t="inlineStr">
        <is>
          <t>P</t>
        </is>
      </c>
      <c r="R480" s="33" t="inlineStr">
        <is>
          <t>FL_DES_CO2_2kg</t>
        </is>
      </c>
      <c r="S480" s="17" t="n"/>
    </row>
    <row r="481">
      <c r="A481" s="33" t="inlineStr">
        <is>
          <t>FL_MAT_CO2_2kg</t>
        </is>
      </c>
      <c r="B481" s="33" t="n">
        <v>2</v>
      </c>
      <c r="C481" s="33" t="inlineStr">
        <is>
          <t>CO22-08</t>
        </is>
      </c>
      <c r="D481" s="17" t="inlineStr">
        <is>
          <t xml:space="preserve">        Eje de palanca</t>
        </is>
      </c>
      <c r="E481" s="33" t="n">
        <v>1</v>
      </c>
      <c r="F481" s="33" t="inlineStr">
        <is>
          <t>u</t>
        </is>
      </c>
      <c r="G481" s="34" t="n">
        <v>0.0081</v>
      </c>
      <c r="H481" s="34">
        <f>E481*G481</f>
        <v/>
      </c>
      <c r="I481" s="33" t="inlineStr">
        <is>
          <t>Acero inox. AISI 304</t>
        </is>
      </c>
      <c r="J481" s="17" t="inlineStr">
        <is>
          <t>36 × 6 × 6</t>
        </is>
      </c>
      <c r="K481" s="33" t="inlineStr">
        <is>
          <t>Compra (en el conjunto)</t>
        </is>
      </c>
      <c r="L481" s="33" t="inlineStr">
        <is>
          <t>No</t>
        </is>
      </c>
      <c r="M481" s="17" t="n"/>
      <c r="N481" s="17" t="n"/>
      <c r="O481" s="17" t="inlineStr">
        <is>
          <t>S4 - se compra terminado (tercerizado con sello IRAM)</t>
        </is>
      </c>
      <c r="P481" s="17" t="n"/>
      <c r="Q481" s="33" t="inlineStr">
        <is>
          <t>P</t>
        </is>
      </c>
      <c r="R481" s="33" t="inlineStr">
        <is>
          <t>FL_DES_CO2_2kg</t>
        </is>
      </c>
      <c r="S481" s="17" t="n"/>
    </row>
    <row r="482">
      <c r="A482" s="33" t="inlineStr">
        <is>
          <t>FL_MAT_CO2_2kg</t>
        </is>
      </c>
      <c r="B482" s="33" t="n">
        <v>2</v>
      </c>
      <c r="C482" s="33" t="inlineStr">
        <is>
          <t>CO22-09</t>
        </is>
      </c>
      <c r="D482" s="17" t="inlineStr">
        <is>
          <t xml:space="preserve">        Vástago</t>
        </is>
      </c>
      <c r="E482" s="33" t="n">
        <v>1</v>
      </c>
      <c r="F482" s="33" t="inlineStr">
        <is>
          <t>u</t>
        </is>
      </c>
      <c r="G482" s="34" t="n">
        <v>0.0017</v>
      </c>
      <c r="H482" s="34">
        <f>E482*G482</f>
        <v/>
      </c>
      <c r="I482" s="33" t="inlineStr">
        <is>
          <t>Latón</t>
        </is>
      </c>
      <c r="J482" s="17" t="inlineStr">
        <is>
          <t>8 × 8 × 4</t>
        </is>
      </c>
      <c r="K482" s="33" t="inlineStr">
        <is>
          <t>Compra (en el conjunto)</t>
        </is>
      </c>
      <c r="L482" s="33" t="inlineStr">
        <is>
          <t>No</t>
        </is>
      </c>
      <c r="M482" s="17" t="n"/>
      <c r="N482" s="17" t="n"/>
      <c r="O482" s="17" t="inlineStr">
        <is>
          <t>S4 - se compra terminado (tercerizado con sello IRAM)</t>
        </is>
      </c>
      <c r="P482" s="17" t="n"/>
      <c r="Q482" s="33" t="inlineStr">
        <is>
          <t>P</t>
        </is>
      </c>
      <c r="R482" s="33" t="inlineStr">
        <is>
          <t>FL_DES_CO2_2kg</t>
        </is>
      </c>
      <c r="S482" s="17" t="inlineStr">
        <is>
          <t>con junta tórica</t>
        </is>
      </c>
    </row>
    <row r="483">
      <c r="A483" s="33" t="inlineStr">
        <is>
          <t>FL_MAT_CO2_2kg</t>
        </is>
      </c>
      <c r="B483" s="33" t="n">
        <v>2</v>
      </c>
      <c r="C483" s="33" t="inlineStr">
        <is>
          <t>CO22-10</t>
        </is>
      </c>
      <c r="D483" s="17" t="inlineStr">
        <is>
          <t xml:space="preserve">        Pasador de seguridad</t>
        </is>
      </c>
      <c r="E483" s="33" t="n">
        <v>1</v>
      </c>
      <c r="F483" s="33" t="inlineStr">
        <is>
          <t>u</t>
        </is>
      </c>
      <c r="G483" s="34" t="n">
        <v>0.0055</v>
      </c>
      <c r="H483" s="34">
        <f>E483*G483</f>
        <v/>
      </c>
      <c r="I483" s="33" t="inlineStr">
        <is>
          <t>Alambre acero inox. AISI 304</t>
        </is>
      </c>
      <c r="J483" s="17" t="inlineStr">
        <is>
          <t>45,4 × 21 × 20,8</t>
        </is>
      </c>
      <c r="K483" s="33" t="inlineStr">
        <is>
          <t>Compra (en el conjunto)</t>
        </is>
      </c>
      <c r="L483" s="33" t="inlineStr">
        <is>
          <t>No</t>
        </is>
      </c>
      <c r="M483" s="17" t="n"/>
      <c r="N483" s="17" t="n"/>
      <c r="O483" s="17" t="inlineStr">
        <is>
          <t>S4 - se compra terminado (tercerizado con sello IRAM)</t>
        </is>
      </c>
      <c r="P483" s="17" t="n"/>
      <c r="Q483" s="33" t="inlineStr">
        <is>
          <t>P</t>
        </is>
      </c>
      <c r="R483" s="33" t="inlineStr">
        <is>
          <t>FL_DES_CO2_2kg</t>
        </is>
      </c>
      <c r="S483" s="17" t="inlineStr">
        <is>
          <t>con precinto</t>
        </is>
      </c>
    </row>
    <row r="484">
      <c r="A484" s="33" t="inlineStr">
        <is>
          <t>FL_MAT_CO2_2kg</t>
        </is>
      </c>
      <c r="B484" s="33" t="n">
        <v>2</v>
      </c>
      <c r="C484" s="33" t="inlineStr">
        <is>
          <t>CO22-11</t>
        </is>
      </c>
      <c r="D484" s="17" t="inlineStr">
        <is>
          <t xml:space="preserve">        Caño de pesca (sifón)</t>
        </is>
      </c>
      <c r="E484" s="33" t="n">
        <v>1</v>
      </c>
      <c r="F484" s="33" t="inlineStr">
        <is>
          <t>u</t>
        </is>
      </c>
      <c r="G484" s="34" t="n">
        <v>0.0406</v>
      </c>
      <c r="H484" s="34">
        <f>E484*G484</f>
        <v/>
      </c>
      <c r="I484" s="33" t="inlineStr">
        <is>
          <t>Tubo aluminio</t>
        </is>
      </c>
      <c r="J484" s="17" t="inlineStr">
        <is>
          <t>Ø10 × 375,8 de largo</t>
        </is>
      </c>
      <c r="K484" s="33" t="inlineStr">
        <is>
          <t>Compra (en el conjunto)</t>
        </is>
      </c>
      <c r="L484" s="33" t="inlineStr">
        <is>
          <t>No</t>
        </is>
      </c>
      <c r="M484" s="17" t="n"/>
      <c r="N484" s="17" t="n"/>
      <c r="O484" s="17" t="inlineStr">
        <is>
          <t>S4 - se compra terminado (tercerizado con sello IRAM)</t>
        </is>
      </c>
      <c r="P484" s="17" t="n"/>
      <c r="Q484" s="33" t="inlineStr">
        <is>
          <t>P</t>
        </is>
      </c>
      <c r="R484" s="33" t="inlineStr">
        <is>
          <t>FL_DES_CO2_2kg</t>
        </is>
      </c>
      <c r="S484" s="17" t="n"/>
    </row>
    <row r="485">
      <c r="A485" s="33" t="inlineStr">
        <is>
          <t>FL_MAT_CO2_2kg</t>
        </is>
      </c>
      <c r="B485" s="33" t="n">
        <v>2</v>
      </c>
      <c r="C485" s="33" t="inlineStr">
        <is>
          <t>CO22-21</t>
        </is>
      </c>
      <c r="D485" s="17" t="inlineStr">
        <is>
          <t xml:space="preserve">        Junta tórica de asiento</t>
        </is>
      </c>
      <c r="E485" s="33" t="n">
        <v>1</v>
      </c>
      <c r="F485" s="33" t="inlineStr">
        <is>
          <t>u</t>
        </is>
      </c>
      <c r="G485" s="34" t="n">
        <v>0.0005999999999999999</v>
      </c>
      <c r="H485" s="34">
        <f>E485*G485</f>
        <v/>
      </c>
      <c r="I485" s="33" t="inlineStr">
        <is>
          <t>NBR 70 Shore A</t>
        </is>
      </c>
      <c r="J485" s="17" t="inlineStr">
        <is>
          <t>Ø22 ext. × cordón 3</t>
        </is>
      </c>
      <c r="K485" s="33" t="inlineStr">
        <is>
          <t>Compra (en el conjunto)</t>
        </is>
      </c>
      <c r="L485" s="33" t="inlineStr">
        <is>
          <t>No</t>
        </is>
      </c>
      <c r="M485" s="17" t="n"/>
      <c r="N485" s="17" t="n"/>
      <c r="O485" s="17" t="inlineStr">
        <is>
          <t>S4 - se compra terminado (tercerizado con sello IRAM)</t>
        </is>
      </c>
      <c r="P485" s="17" t="n"/>
      <c r="Q485" s="33" t="inlineStr">
        <is>
          <t>P</t>
        </is>
      </c>
      <c r="R485" s="33" t="inlineStr">
        <is>
          <t>FL_DES_CO2_2kg</t>
        </is>
      </c>
      <c r="S485" s="17" t="inlineStr">
        <is>
          <t>cambio c/recarga</t>
        </is>
      </c>
    </row>
    <row r="486">
      <c r="A486" s="33" t="inlineStr">
        <is>
          <t>FL_MAT_CO2_2kg</t>
        </is>
      </c>
      <c r="B486" s="33" t="n">
        <v>2</v>
      </c>
      <c r="C486" s="33" t="inlineStr">
        <is>
          <t>CO22-V3</t>
        </is>
      </c>
      <c r="D486" s="17" t="inlineStr">
        <is>
          <t xml:space="preserve">        Junta tórica del vástago</t>
        </is>
      </c>
      <c r="E486" s="33" t="n">
        <v>1</v>
      </c>
      <c r="F486" s="33" t="inlineStr">
        <is>
          <t>u</t>
        </is>
      </c>
      <c r="G486" s="34" t="n"/>
      <c r="H486" s="34" t="n"/>
      <c r="I486" s="33" t="inlineStr">
        <is>
          <t>NBR 70 Shore A</t>
        </is>
      </c>
      <c r="J486" s="17" t="inlineStr">
        <is>
          <t>incluida en la válvula</t>
        </is>
      </c>
      <c r="K486" s="33" t="inlineStr">
        <is>
          <t>Compra (en el conjunto)</t>
        </is>
      </c>
      <c r="L486" s="33" t="inlineStr">
        <is>
          <t>No</t>
        </is>
      </c>
      <c r="M486" s="17" t="n"/>
      <c r="N486" s="17" t="n"/>
      <c r="O486" s="17" t="inlineStr">
        <is>
          <t>19 Ensamblaje</t>
        </is>
      </c>
      <c r="P486" s="17" t="n"/>
      <c r="Q486" s="33" t="inlineStr">
        <is>
          <t>P</t>
        </is>
      </c>
      <c r="R486" s="33" t="n"/>
      <c r="S486" s="17" t="inlineStr">
        <is>
          <t>Figura en el plano como «vástago con junta tórica»</t>
        </is>
      </c>
    </row>
    <row r="487">
      <c r="A487" s="30" t="inlineStr">
        <is>
          <t>FL_MAT_CO2_2kg</t>
        </is>
      </c>
      <c r="B487" s="30" t="n">
        <v>1</v>
      </c>
      <c r="C487" s="30" t="inlineStr">
        <is>
          <t>CO22-S3</t>
        </is>
      </c>
      <c r="D487" s="31" t="inlineStr">
        <is>
          <t xml:space="preserve">    Dispositivo de descarga</t>
        </is>
      </c>
      <c r="E487" s="30" t="n">
        <v>1</v>
      </c>
      <c r="F487" s="30" t="inlineStr">
        <is>
          <t>u</t>
        </is>
      </c>
      <c r="G487" s="32" t="n"/>
      <c r="H487" s="32">
        <f>H488+H489+H490</f>
        <v/>
      </c>
      <c r="I487" s="30" t="n"/>
      <c r="J487" s="31" t="n"/>
      <c r="K487" s="30" t="inlineStr">
        <is>
          <t>Compra / armado</t>
        </is>
      </c>
      <c r="L487" s="30" t="n"/>
      <c r="M487" s="31" t="n"/>
      <c r="N487" s="31" t="n"/>
      <c r="O487" s="31" t="n"/>
      <c r="P487" s="31" t="n"/>
      <c r="Q487" s="30" t="inlineStr">
        <is>
          <t>P</t>
        </is>
      </c>
      <c r="R487" s="30" t="inlineStr">
        <is>
          <t>FL_DES_CO2_2kg</t>
        </is>
      </c>
      <c r="S487" s="31" t="n"/>
    </row>
    <row r="488">
      <c r="A488" s="33" t="inlineStr">
        <is>
          <t>FL_MAT_CO2_2kg</t>
        </is>
      </c>
      <c r="B488" s="33" t="n">
        <v>2</v>
      </c>
      <c r="C488" s="33" t="inlineStr">
        <is>
          <t>CO22-13</t>
        </is>
      </c>
      <c r="D488" s="17" t="inlineStr">
        <is>
          <t xml:space="preserve">        Brazo giratorio</t>
        </is>
      </c>
      <c r="E488" s="33" t="n">
        <v>1</v>
      </c>
      <c r="F488" s="33" t="inlineStr">
        <is>
          <t>u</t>
        </is>
      </c>
      <c r="G488" s="34" t="n">
        <v>0.0471</v>
      </c>
      <c r="H488" s="34">
        <f>E488*G488</f>
        <v/>
      </c>
      <c r="I488" s="33" t="inlineStr">
        <is>
          <t>Tubo acero SAE 1010</t>
        </is>
      </c>
      <c r="J488" s="17" t="inlineStr">
        <is>
          <t>tubo Ø12 × 118 de largo desarrollado</t>
        </is>
      </c>
      <c r="K488" s="33" t="inlineStr">
        <is>
          <t>Compra (en el conjunto)</t>
        </is>
      </c>
      <c r="L488" s="33" t="inlineStr">
        <is>
          <t>No</t>
        </is>
      </c>
      <c r="M488" s="17" t="n"/>
      <c r="N488" s="17" t="n"/>
      <c r="O488" s="17" t="inlineStr">
        <is>
          <t>S4 - se compra terminado (tercerizado con sello IRAM)</t>
        </is>
      </c>
      <c r="P488" s="17" t="n"/>
      <c r="Q488" s="33" t="inlineStr">
        <is>
          <t>P</t>
        </is>
      </c>
      <c r="R488" s="33" t="inlineStr">
        <is>
          <t>FL_DES_CO2_2kg</t>
        </is>
      </c>
      <c r="S488" s="17" t="n"/>
    </row>
    <row r="489">
      <c r="A489" s="33" t="inlineStr">
        <is>
          <t>FL_MAT_CO2_2kg</t>
        </is>
      </c>
      <c r="B489" s="33" t="n">
        <v>2</v>
      </c>
      <c r="C489" s="33" t="inlineStr">
        <is>
          <t>CO22-14</t>
        </is>
      </c>
      <c r="D489" s="17" t="inlineStr">
        <is>
          <t xml:space="preserve">        Difusor (bocina)</t>
        </is>
      </c>
      <c r="E489" s="33" t="n">
        <v>1</v>
      </c>
      <c r="F489" s="33" t="inlineStr">
        <is>
          <t>u</t>
        </is>
      </c>
      <c r="G489" s="34" t="n">
        <v>0.0564</v>
      </c>
      <c r="H489" s="34">
        <f>E489*G489</f>
        <v/>
      </c>
      <c r="I489" s="33" t="inlineStr">
        <is>
          <t>Polietileno AD</t>
        </is>
      </c>
      <c r="J489" s="17" t="inlineStr">
        <is>
          <t>170 × 70 × 70</t>
        </is>
      </c>
      <c r="K489" s="33" t="inlineStr">
        <is>
          <t>Compra (en el conjunto)</t>
        </is>
      </c>
      <c r="L489" s="33" t="inlineStr">
        <is>
          <t>No</t>
        </is>
      </c>
      <c r="M489" s="17" t="n"/>
      <c r="N489" s="17" t="n"/>
      <c r="O489" s="17" t="inlineStr">
        <is>
          <t>S4 - se compra terminado (tercerizado con sello IRAM)</t>
        </is>
      </c>
      <c r="P489" s="17" t="n"/>
      <c r="Q489" s="33" t="inlineStr">
        <is>
          <t>P</t>
        </is>
      </c>
      <c r="R489" s="33" t="inlineStr">
        <is>
          <t>FL_DES_CO2_2kg</t>
        </is>
      </c>
      <c r="S489" s="17" t="inlineStr">
        <is>
          <t>aislante térmico y eléctrico</t>
        </is>
      </c>
    </row>
    <row r="490">
      <c r="A490" s="33" t="inlineStr">
        <is>
          <t>FL_MAT_CO2_2kg</t>
        </is>
      </c>
      <c r="B490" s="33" t="n">
        <v>2</v>
      </c>
      <c r="C490" s="33" t="inlineStr">
        <is>
          <t>CO22-15</t>
        </is>
      </c>
      <c r="D490" s="17" t="inlineStr">
        <is>
          <t xml:space="preserve">        Empuñadura</t>
        </is>
      </c>
      <c r="E490" s="33" t="n">
        <v>1</v>
      </c>
      <c r="F490" s="33" t="inlineStr">
        <is>
          <t>u</t>
        </is>
      </c>
      <c r="G490" s="34" t="n">
        <v>0.0121</v>
      </c>
      <c r="H490" s="34">
        <f>E490*G490</f>
        <v/>
      </c>
      <c r="I490" s="33" t="inlineStr">
        <is>
          <t>Polipropileno</t>
        </is>
      </c>
      <c r="J490" s="17" t="inlineStr">
        <is>
          <t>34 × 34 × 30</t>
        </is>
      </c>
      <c r="K490" s="33" t="inlineStr">
        <is>
          <t>Compra (en el conjunto)</t>
        </is>
      </c>
      <c r="L490" s="33" t="inlineStr">
        <is>
          <t>No</t>
        </is>
      </c>
      <c r="M490" s="17" t="n"/>
      <c r="N490" s="17" t="n"/>
      <c r="O490" s="17" t="inlineStr">
        <is>
          <t>S4 - se compra terminado (tercerizado con sello IRAM)</t>
        </is>
      </c>
      <c r="P490" s="17" t="n"/>
      <c r="Q490" s="33" t="inlineStr">
        <is>
          <t>P</t>
        </is>
      </c>
      <c r="R490" s="33" t="inlineStr">
        <is>
          <t>FL_DES_CO2_2kg</t>
        </is>
      </c>
      <c r="S490" s="17" t="n"/>
    </row>
    <row r="491">
      <c r="A491" s="30" t="inlineStr">
        <is>
          <t>FL_MAT_CO2_2kg</t>
        </is>
      </c>
      <c r="B491" s="30" t="n">
        <v>1</v>
      </c>
      <c r="C491" s="30" t="inlineStr">
        <is>
          <t>CO22-S5</t>
        </is>
      </c>
      <c r="D491" s="31" t="inlineStr">
        <is>
          <t xml:space="preserve">    Carga: agente extintor y gas impulsor</t>
        </is>
      </c>
      <c r="E491" s="30" t="n">
        <v>1</v>
      </c>
      <c r="F491" s="30" t="inlineStr">
        <is>
          <t>u</t>
        </is>
      </c>
      <c r="G491" s="32" t="n"/>
      <c r="H491" s="32">
        <f>H492</f>
        <v/>
      </c>
      <c r="I491" s="30" t="n"/>
      <c r="J491" s="31" t="n"/>
      <c r="K491" s="30" t="inlineStr">
        <is>
          <t>Compra</t>
        </is>
      </c>
      <c r="L491" s="30" t="n"/>
      <c r="M491" s="31" t="n"/>
      <c r="N491" s="31" t="n"/>
      <c r="O491" s="31" t="n"/>
      <c r="P491" s="31" t="n"/>
      <c r="Q491" s="30" t="n"/>
      <c r="R491" s="30" t="n"/>
      <c r="S491" s="31" t="n"/>
    </row>
    <row r="492">
      <c r="A492" s="33" t="inlineStr">
        <is>
          <t>FL_MAT_CO2_2kg</t>
        </is>
      </c>
      <c r="B492" s="33" t="n">
        <v>2</v>
      </c>
      <c r="C492" s="33" t="inlineStr">
        <is>
          <t>CO22-A1</t>
        </is>
      </c>
      <c r="D492" s="17" t="inlineStr">
        <is>
          <t xml:space="preserve">        Dióxido de carbono (IRAM 41170)</t>
        </is>
      </c>
      <c r="E492" s="33" t="n">
        <v>2</v>
      </c>
      <c r="F492" s="33" t="inlineStr">
        <is>
          <t>kg</t>
        </is>
      </c>
      <c r="G492" s="34" t="n">
        <v>1</v>
      </c>
      <c r="H492" s="34">
        <f>E492*G492</f>
        <v/>
      </c>
      <c r="I492" s="33" t="inlineStr">
        <is>
          <t>Dióxido de carbono (IRAM 41170)</t>
        </is>
      </c>
      <c r="J492" s="17" t="inlineStr">
        <is>
          <t>nominal 2 kg; tolerancia 0 / -5 % (IRAM 3517-2:2020 tabla 3)</t>
        </is>
      </c>
      <c r="K492" s="33" t="inlineStr">
        <is>
          <t>Compra</t>
        </is>
      </c>
      <c r="L492" s="33" t="inlineStr">
        <is>
          <t>No</t>
        </is>
      </c>
      <c r="M492" s="17" t="n"/>
      <c r="N492" s="17" t="n"/>
      <c r="O492" s="17" t="inlineStr">
        <is>
          <t>SP-1 almacén previo a la carga</t>
        </is>
      </c>
      <c r="P492" s="17" t="inlineStr">
        <is>
          <t>IRAM 41170</t>
        </is>
      </c>
      <c r="Q492" s="33" t="inlineStr">
        <is>
          <t>N</t>
        </is>
      </c>
      <c r="R492" s="33" t="n"/>
      <c r="S492" s="17" t="n"/>
    </row>
    <row r="493">
      <c r="A493" s="30" t="inlineStr">
        <is>
          <t>FL_MAT_CO2_2kg</t>
        </is>
      </c>
      <c r="B493" s="30" t="n">
        <v>1</v>
      </c>
      <c r="C493" s="30" t="inlineStr">
        <is>
          <t>CO22-S6</t>
        </is>
      </c>
      <c r="D493" s="31" t="inlineStr">
        <is>
          <t xml:space="preserve">    Identificación y precinto</t>
        </is>
      </c>
      <c r="E493" s="30" t="n">
        <v>1</v>
      </c>
      <c r="F493" s="30" t="inlineStr">
        <is>
          <t>u</t>
        </is>
      </c>
      <c r="G493" s="32" t="n"/>
      <c r="H493" s="32">
        <f>H494+H495+H496+H497+H498+H499+H500</f>
        <v/>
      </c>
      <c r="I493" s="30" t="n"/>
      <c r="J493" s="31" t="n"/>
      <c r="K493" s="30" t="inlineStr">
        <is>
          <t>Compra</t>
        </is>
      </c>
      <c r="L493" s="30" t="n"/>
      <c r="M493" s="31" t="n"/>
      <c r="N493" s="31" t="n"/>
      <c r="O493" s="31" t="inlineStr">
        <is>
          <t>22 Etiquetado (T07)</t>
        </is>
      </c>
      <c r="P493" s="31" t="n"/>
      <c r="Q493" s="30" t="n"/>
      <c r="R493" s="30" t="n"/>
      <c r="S493" s="31" t="n"/>
    </row>
    <row r="494">
      <c r="A494" s="33" t="inlineStr">
        <is>
          <t>FL_MAT_CO2_2kg</t>
        </is>
      </c>
      <c r="B494" s="33" t="n">
        <v>2</v>
      </c>
      <c r="C494" s="33" t="inlineStr">
        <is>
          <t>CO22-16</t>
        </is>
      </c>
      <c r="D494" s="17" t="inlineStr">
        <is>
          <t xml:space="preserve">        Etiqueta / placa de características</t>
        </is>
      </c>
      <c r="E494" s="33" t="n">
        <v>1</v>
      </c>
      <c r="F494" s="33" t="inlineStr">
        <is>
          <t>u</t>
        </is>
      </c>
      <c r="G494" s="34" t="n">
        <v>0.026</v>
      </c>
      <c r="H494" s="34">
        <f>E494*G494</f>
        <v/>
      </c>
      <c r="I494" s="33" t="inlineStr">
        <is>
          <t>Vinilo autoadhesivo laminado</t>
        </is>
      </c>
      <c r="J494" s="17" t="inlineStr">
        <is>
          <t>215 × 288 (desarrollo × alto: panel central 108° + 2 alas laterales), e ≈ 0,3, laminado UV</t>
        </is>
      </c>
      <c r="K494" s="33" t="inlineStr">
        <is>
          <t>Compra</t>
        </is>
      </c>
      <c r="L494" s="33" t="inlineStr">
        <is>
          <t>No</t>
        </is>
      </c>
      <c r="M494" s="17" t="n"/>
      <c r="N494" s="17" t="n"/>
      <c r="O494" s="17" t="inlineStr">
        <is>
          <t>22 Etiquetado (T07)</t>
        </is>
      </c>
      <c r="P494" s="17" t="inlineStr">
        <is>
          <t>IRAM 3534 · IRAM 3509 cap. 5 · relevamiento de mercado</t>
        </is>
      </c>
      <c r="Q494" s="33" t="inlineStr">
        <is>
          <t>P</t>
        </is>
      </c>
      <c r="R494" s="33" t="inlineStr">
        <is>
          <t>FL_DES_CO2_2kg</t>
        </is>
      </c>
      <c r="S494" s="17" t="inlineStr">
        <is>
          <t>IRAM 3534</t>
        </is>
      </c>
    </row>
    <row r="495">
      <c r="A495" s="33" t="inlineStr">
        <is>
          <t>FL_MAT_CO2_2kg</t>
        </is>
      </c>
      <c r="B495" s="33" t="n">
        <v>2</v>
      </c>
      <c r="C495" s="33" t="inlineStr">
        <is>
          <t>CO22-17</t>
        </is>
      </c>
      <c r="D495" s="17" t="inlineStr">
        <is>
          <t xml:space="preserve">        Oblea de fabricación (PBA)</t>
        </is>
      </c>
      <c r="E495" s="33" t="n">
        <v>1</v>
      </c>
      <c r="F495" s="33" t="inlineStr">
        <is>
          <t>u</t>
        </is>
      </c>
      <c r="G495" s="34" t="n">
        <v>0.0009</v>
      </c>
      <c r="H495" s="34">
        <f>E495*G495</f>
        <v/>
      </c>
      <c r="I495" s="33" t="inlineStr">
        <is>
          <t>Papel de seguridad autodestructible</t>
        </is>
      </c>
      <c r="J495" s="17" t="inlineStr">
        <is>
          <t>Ø46 (Res. OPDS 522/07), numerada, autodestructible</t>
        </is>
      </c>
      <c r="K495" s="33" t="inlineStr">
        <is>
          <t>Compra</t>
        </is>
      </c>
      <c r="L495" s="33" t="inlineStr">
        <is>
          <t>No</t>
        </is>
      </c>
      <c r="M495" s="17" t="n"/>
      <c r="N495" s="17" t="n"/>
      <c r="O495" s="17" t="inlineStr">
        <is>
          <t>22 Etiquetado (T07)</t>
        </is>
      </c>
      <c r="P495" s="17" t="inlineStr">
        <is>
          <t>Res. OPDS 522/07 anexos 1, 2 y 6</t>
        </is>
      </c>
      <c r="Q495" s="33" t="inlineStr">
        <is>
          <t>P</t>
        </is>
      </c>
      <c r="R495" s="33" t="inlineStr">
        <is>
          <t>FL_DES_CO2_2kg</t>
        </is>
      </c>
      <c r="S495" s="17" t="inlineStr">
        <is>
          <t>Res. 522/07</t>
        </is>
      </c>
    </row>
    <row r="496">
      <c r="A496" s="33" t="inlineStr">
        <is>
          <t>FL_MAT_CO2_2kg</t>
        </is>
      </c>
      <c r="B496" s="33" t="n">
        <v>2</v>
      </c>
      <c r="C496" s="33" t="inlineStr">
        <is>
          <t>CO22-18</t>
        </is>
      </c>
      <c r="D496" s="17" t="inlineStr">
        <is>
          <t xml:space="preserve">        Estampilla IRAM de conformidad</t>
        </is>
      </c>
      <c r="E496" s="33" t="n">
        <v>1</v>
      </c>
      <c r="F496" s="33" t="inlineStr">
        <is>
          <t>u</t>
        </is>
      </c>
      <c r="G496" s="34" t="n">
        <v>0.001</v>
      </c>
      <c r="H496" s="34">
        <f>E496*G496</f>
        <v/>
      </c>
      <c r="I496" s="33" t="inlineStr">
        <is>
          <t>Provista por IRAM (Anexo R)</t>
        </is>
      </c>
      <c r="J496" s="17" t="inlineStr">
        <is>
          <t>60 × 40</t>
        </is>
      </c>
      <c r="K496" s="33" t="inlineStr">
        <is>
          <t>Compra</t>
        </is>
      </c>
      <c r="L496" s="33" t="inlineStr">
        <is>
          <t>No</t>
        </is>
      </c>
      <c r="M496" s="17" t="n"/>
      <c r="N496" s="17" t="n"/>
      <c r="O496" s="17" t="inlineStr">
        <is>
          <t>22 Etiquetado (T07)</t>
        </is>
      </c>
      <c r="P496" s="17" t="inlineStr">
        <is>
          <t>IRAM Anexo R (DC-PG-129)</t>
        </is>
      </c>
      <c r="Q496" s="33" t="inlineStr">
        <is>
          <t>P</t>
        </is>
      </c>
      <c r="R496" s="33" t="inlineStr">
        <is>
          <t>FL_DES_CO2_2kg</t>
        </is>
      </c>
      <c r="S496" s="17" t="inlineStr">
        <is>
          <t>numerada</t>
        </is>
      </c>
    </row>
    <row r="497">
      <c r="A497" s="33" t="inlineStr">
        <is>
          <t>FL_MAT_CO2_2kg</t>
        </is>
      </c>
      <c r="B497" s="33" t="n">
        <v>2</v>
      </c>
      <c r="C497" s="33" t="inlineStr">
        <is>
          <t>CO22-19</t>
        </is>
      </c>
      <c r="D497" s="17" t="inlineStr">
        <is>
          <t xml:space="preserve">        Tarjeta de identificación AGC (CABA)</t>
        </is>
      </c>
      <c r="E497" s="33" t="n">
        <v>1</v>
      </c>
      <c r="F497" s="33" t="inlineStr">
        <is>
          <t>u</t>
        </is>
      </c>
      <c r="G497" s="34" t="n">
        <v>0.0032</v>
      </c>
      <c r="H497" s="34">
        <f>E497*G497</f>
        <v/>
      </c>
      <c r="I497" s="33" t="inlineStr">
        <is>
          <t>Etiqueta autoadhesiva emitida por la AGC</t>
        </is>
      </c>
      <c r="J497" s="17" t="inlineStr">
        <is>
          <t>140 × 55</t>
        </is>
      </c>
      <c r="K497" s="33" t="inlineStr">
        <is>
          <t>Compra</t>
        </is>
      </c>
      <c r="L497" s="33" t="inlineStr">
        <is>
          <t>Sí</t>
        </is>
      </c>
      <c r="M497" s="17" t="inlineStr">
        <is>
          <t>Agencia Gubernamental de Control (CABA)</t>
        </is>
      </c>
      <c r="N497" s="17" t="inlineStr">
        <is>
          <t>-</t>
        </is>
      </c>
      <c r="O497" s="17" t="inlineStr">
        <is>
          <t>22 Etiquetado (T07)</t>
        </is>
      </c>
      <c r="P497" s="17" t="inlineStr">
        <is>
          <t>Ordenanza 40.473 art. 6 · Res. AGC 32/15</t>
        </is>
      </c>
      <c r="Q497" s="33" t="inlineStr">
        <is>
          <t>P</t>
        </is>
      </c>
      <c r="R497" s="33" t="inlineStr">
        <is>
          <t>FL_DES_CO2_2kg</t>
        </is>
      </c>
      <c r="S497" s="17" t="inlineStr">
        <is>
          <t>sólo destino CABA; sólo destino CABA</t>
        </is>
      </c>
    </row>
    <row r="498">
      <c r="A498" s="33" t="inlineStr">
        <is>
          <t>FL_MAT_CO2_2kg</t>
        </is>
      </c>
      <c r="B498" s="33" t="n">
        <v>2</v>
      </c>
      <c r="C498" s="33" t="inlineStr">
        <is>
          <t>CO22-20</t>
        </is>
      </c>
      <c r="D498" s="17" t="inlineStr">
        <is>
          <t xml:space="preserve">        Etiqueta de n° de serie GS1</t>
        </is>
      </c>
      <c r="E498" s="33" t="n">
        <v>1</v>
      </c>
      <c r="F498" s="33" t="inlineStr">
        <is>
          <t>u</t>
        </is>
      </c>
      <c r="G498" s="34" t="n">
        <v>0.0005</v>
      </c>
      <c r="H498" s="34">
        <f>E498*G498</f>
        <v/>
      </c>
      <c r="I498" s="33" t="inlineStr">
        <is>
          <t>Poliéster autoadhesivo impreso térmico</t>
        </is>
      </c>
      <c r="J498" s="17" t="inlineStr">
        <is>
          <t>45 × 25</t>
        </is>
      </c>
      <c r="K498" s="33" t="inlineStr">
        <is>
          <t>Compra</t>
        </is>
      </c>
      <c r="L498" s="33" t="inlineStr">
        <is>
          <t>No</t>
        </is>
      </c>
      <c r="M498" s="17" t="n"/>
      <c r="N498" s="17" t="n"/>
      <c r="O498" s="17" t="inlineStr">
        <is>
          <t>22 Etiquetado (T07)</t>
        </is>
      </c>
      <c r="P498" s="17" t="inlineStr">
        <is>
          <t>GS1 Argentina (GTIN 779) · trazabilidad IRAM 3523 5.1</t>
        </is>
      </c>
      <c r="Q498" s="33" t="inlineStr">
        <is>
          <t>P</t>
        </is>
      </c>
      <c r="R498" s="33" t="inlineStr">
        <is>
          <t>FL_DES_CO2_2kg</t>
        </is>
      </c>
      <c r="S498" s="17" t="inlineStr">
        <is>
          <t>QR GTIN + serie</t>
        </is>
      </c>
    </row>
    <row r="499">
      <c r="A499" s="33" t="inlineStr">
        <is>
          <t>FL_MAT_CO2_2kg</t>
        </is>
      </c>
      <c r="B499" s="33" t="n">
        <v>2</v>
      </c>
      <c r="C499" s="33" t="inlineStr">
        <is>
          <t>CO22-22</t>
        </is>
      </c>
      <c r="D499" s="17" t="inlineStr">
        <is>
          <t xml:space="preserve">        Faja de garantía válvula-cuello</t>
        </is>
      </c>
      <c r="E499" s="33" t="n">
        <v>1</v>
      </c>
      <c r="F499" s="33" t="inlineStr">
        <is>
          <t>u</t>
        </is>
      </c>
      <c r="G499" s="34" t="n">
        <v>0.0003</v>
      </c>
      <c r="H499" s="34">
        <f>E499*G499</f>
        <v/>
      </c>
      <c r="I499" s="33" t="inlineStr">
        <is>
          <t>Vinilo destructible rayado rojo/blanco</t>
        </is>
      </c>
      <c r="J499" s="17" t="inlineStr">
        <is>
          <t>30 × 40</t>
        </is>
      </c>
      <c r="K499" s="33" t="inlineStr">
        <is>
          <t>Compra</t>
        </is>
      </c>
      <c r="L499" s="33" t="inlineStr">
        <is>
          <t>No</t>
        </is>
      </c>
      <c r="M499" s="17" t="n"/>
      <c r="N499" s="17" t="n"/>
      <c r="O499" s="17" t="inlineStr">
        <is>
          <t>22 Etiquetado (T07)</t>
        </is>
      </c>
      <c r="P499" s="17" t="inlineStr">
        <is>
          <t>Sin norma: práctica de mercado (garantía de fábrica)</t>
        </is>
      </c>
      <c r="Q499" s="33" t="inlineStr">
        <is>
          <t>P</t>
        </is>
      </c>
      <c r="R499" s="33" t="inlineStr">
        <is>
          <t>FL_DES_CO2_2kg</t>
        </is>
      </c>
      <c r="S499" s="17" t="inlineStr">
        <is>
          <t>nuevo sin abrir</t>
        </is>
      </c>
    </row>
    <row r="500">
      <c r="A500" s="33" t="inlineStr">
        <is>
          <t>FL_MAT_CO2_2kg</t>
        </is>
      </c>
      <c r="B500" s="33" t="n">
        <v>2</v>
      </c>
      <c r="C500" s="33" t="inlineStr">
        <is>
          <t>CO22-23</t>
        </is>
      </c>
      <c r="D500" s="17" t="inlineStr">
        <is>
          <t xml:space="preserve">        Precinto de fábrica</t>
        </is>
      </c>
      <c r="E500" s="33" t="n">
        <v>1</v>
      </c>
      <c r="F500" s="33" t="inlineStr">
        <is>
          <t>u</t>
        </is>
      </c>
      <c r="G500" s="34" t="n">
        <v>0.0002</v>
      </c>
      <c r="H500" s="34">
        <f>E500*G500</f>
        <v/>
      </c>
      <c r="I500" s="33" t="inlineStr">
        <is>
          <t>Polipropileno color</t>
        </is>
      </c>
      <c r="J500" s="17" t="inlineStr">
        <is>
          <t>Ø5 × 10, numerado, rotura 30-50 N</t>
        </is>
      </c>
      <c r="K500" s="33" t="inlineStr">
        <is>
          <t>Compra</t>
        </is>
      </c>
      <c r="L500" s="33" t="inlineStr">
        <is>
          <t>No</t>
        </is>
      </c>
      <c r="M500" s="17" t="n"/>
      <c r="N500" s="17" t="n"/>
      <c r="O500" s="17" t="inlineStr">
        <is>
          <t>20 Presurización (T05)</t>
        </is>
      </c>
      <c r="P500" s="17" t="inlineStr">
        <is>
          <t>IRAM 3523 3.3.2 · IRAM 3517-2:2020 9.4.13</t>
        </is>
      </c>
      <c r="Q500" s="33" t="inlineStr">
        <is>
          <t>P</t>
        </is>
      </c>
      <c r="R500" s="33" t="inlineStr">
        <is>
          <t>FL_DES_CO2_2kg</t>
        </is>
      </c>
      <c r="S500" s="17" t="inlineStr">
        <is>
          <t>id. FLAMA y lote</t>
        </is>
      </c>
    </row>
    <row r="501">
      <c r="A501" s="30" t="inlineStr">
        <is>
          <t>FL_MAT_CO2_2kg</t>
        </is>
      </c>
      <c r="B501" s="30" t="n">
        <v>1</v>
      </c>
      <c r="C501" s="30" t="inlineStr">
        <is>
          <t>CO22-S8</t>
        </is>
      </c>
      <c r="D501" s="31" t="inlineStr">
        <is>
          <t xml:space="preserve">    Soporte (accesorio de montaje)</t>
        </is>
      </c>
      <c r="E501" s="30" t="n">
        <v>1</v>
      </c>
      <c r="F501" s="30" t="inlineStr">
        <is>
          <t>u</t>
        </is>
      </c>
      <c r="G501" s="32" t="n"/>
      <c r="H501" s="32">
        <f>H502</f>
        <v/>
      </c>
      <c r="I501" s="30" t="n"/>
      <c r="J501" s="31" t="n"/>
      <c r="K501" s="30" t="inlineStr">
        <is>
          <t>Compra</t>
        </is>
      </c>
      <c r="L501" s="30" t="n"/>
      <c r="M501" s="31" t="n"/>
      <c r="N501" s="31" t="n"/>
      <c r="O501" s="31" t="inlineStr">
        <is>
          <t>23 Embalaje (va dentro de la caja)</t>
        </is>
      </c>
      <c r="P501" s="31" t="inlineStr">
        <is>
          <t>IRAM 3517-2 7.4</t>
        </is>
      </c>
      <c r="Q501" s="30" t="n"/>
      <c r="R501" s="30" t="n"/>
      <c r="S501" s="31" t="n"/>
    </row>
    <row r="502">
      <c r="A502" s="33" t="inlineStr">
        <is>
          <t>FL_MAT_CO2_2kg</t>
        </is>
      </c>
      <c r="B502" s="33" t="n">
        <v>2</v>
      </c>
      <c r="C502" s="33" t="inlineStr">
        <is>
          <t>CO22-I5</t>
        </is>
      </c>
      <c r="D502" s="17" t="inlineStr">
        <is>
          <t xml:space="preserve">        Soporte de pared (FL_ACC_01)</t>
        </is>
      </c>
      <c r="E502" s="33" t="n">
        <v>1</v>
      </c>
      <c r="F502" s="33" t="inlineStr">
        <is>
          <t>u</t>
        </is>
      </c>
      <c r="G502" s="34" t="n">
        <v>0.26</v>
      </c>
      <c r="H502" s="34">
        <f>E502*G502</f>
        <v/>
      </c>
      <c r="I502" s="33" t="inlineStr">
        <is>
          <t>Chapa acero SAE 1010 e=2 pintada</t>
        </is>
      </c>
      <c r="J502" s="17" t="inlineStr">
        <is>
          <t>placa 60 × 180, ala con ranura Ø cuello + 3</t>
        </is>
      </c>
      <c r="K502" s="33" t="inlineStr">
        <is>
          <t>Compra</t>
        </is>
      </c>
      <c r="L502" s="33" t="inlineStr">
        <is>
          <t>No</t>
        </is>
      </c>
      <c r="M502" s="17" t="n"/>
      <c r="N502" s="17" t="n"/>
      <c r="O502" s="17" t="inlineStr">
        <is>
          <t>23 Embalaje</t>
        </is>
      </c>
      <c r="P502" s="17" t="inlineStr">
        <is>
          <t>IRAM 3517-2 7.4</t>
        </is>
      </c>
      <c r="Q502" s="33" t="inlineStr">
        <is>
          <t>P</t>
        </is>
      </c>
      <c r="R502" s="33" t="inlineStr">
        <is>
          <t>FL_ACC_01</t>
        </is>
      </c>
      <c r="S502" s="17" t="n"/>
    </row>
    <row r="503">
      <c r="A503" s="33" t="inlineStr">
        <is>
          <t>FL_MAT_CO2_2kg</t>
        </is>
      </c>
      <c r="B503" s="33" t="n">
        <v>2</v>
      </c>
      <c r="C503" s="33" t="inlineStr">
        <is>
          <t>CO22-I6</t>
        </is>
      </c>
      <c r="D503" s="17" t="inlineStr">
        <is>
          <t xml:space="preserve">        Tornillo y tarugo de fijación</t>
        </is>
      </c>
      <c r="E503" s="33" t="n">
        <v>2</v>
      </c>
      <c r="F503" s="33" t="inlineStr">
        <is>
          <t>u</t>
        </is>
      </c>
      <c r="G503" s="34" t="n"/>
      <c r="H503" s="34" t="n"/>
      <c r="I503" s="33" t="inlineStr">
        <is>
          <t>Acero cincado / nylon</t>
        </is>
      </c>
      <c r="J503" s="17" t="inlineStr">
        <is>
          <t>2 agujeros Ø8,5 del plano FL_ACC_01 → tornillo M8 + tarugo</t>
        </is>
      </c>
      <c r="K503" s="33" t="inlineStr">
        <is>
          <t>Compra</t>
        </is>
      </c>
      <c r="L503" s="33" t="inlineStr">
        <is>
          <t>No</t>
        </is>
      </c>
      <c r="M503" s="17" t="n"/>
      <c r="N503" s="17" t="n"/>
      <c r="O503" s="17" t="inlineStr">
        <is>
          <t>23 Embalaje</t>
        </is>
      </c>
      <c r="P503" s="17" t="n"/>
      <c r="Q503" s="33" t="inlineStr">
        <is>
          <t>P</t>
        </is>
      </c>
      <c r="R503" s="33" t="inlineStr">
        <is>
          <t>FL_ACC_01</t>
        </is>
      </c>
      <c r="S503" s="17" t="n"/>
    </row>
    <row r="504">
      <c r="A504" s="30" t="inlineStr">
        <is>
          <t>FL_MAT_CO2_2kg</t>
        </is>
      </c>
      <c r="B504" s="30" t="n">
        <v>1</v>
      </c>
      <c r="C504" s="30" t="inlineStr">
        <is>
          <t>CO22-S7</t>
        </is>
      </c>
      <c r="D504" s="31" t="inlineStr">
        <is>
          <t xml:space="preserve">    Embalaje</t>
        </is>
      </c>
      <c r="E504" s="30" t="n">
        <v>1</v>
      </c>
      <c r="F504" s="30" t="inlineStr">
        <is>
          <t>u</t>
        </is>
      </c>
      <c r="G504" s="32" t="n"/>
      <c r="H504" s="32">
        <f>H508</f>
        <v/>
      </c>
      <c r="I504" s="30" t="n"/>
      <c r="J504" s="31" t="n"/>
      <c r="K504" s="30" t="inlineStr">
        <is>
          <t>Compra</t>
        </is>
      </c>
      <c r="L504" s="30" t="n"/>
      <c r="M504" s="31" t="n"/>
      <c r="N504" s="31" t="n"/>
      <c r="O504" s="31" t="inlineStr">
        <is>
          <t>23 Embalaje -&gt; 24 envolvedora (T11)</t>
        </is>
      </c>
      <c r="P504" s="31" t="n"/>
      <c r="Q504" s="30" t="n"/>
      <c r="R504" s="30" t="n"/>
      <c r="S504" s="31" t="n"/>
    </row>
    <row r="505">
      <c r="A505" s="33" t="inlineStr">
        <is>
          <t>FL_MAT_CO2_2kg</t>
        </is>
      </c>
      <c r="B505" s="33" t="n">
        <v>2</v>
      </c>
      <c r="C505" s="33" t="inlineStr">
        <is>
          <t>CO22-E1</t>
        </is>
      </c>
      <c r="D505" s="17" t="inlineStr">
        <is>
          <t xml:space="preserve">        Caja de cartón corrugado doble</t>
        </is>
      </c>
      <c r="E505" s="33" t="n">
        <v>1</v>
      </c>
      <c r="F505" s="33" t="inlineStr">
        <is>
          <t>u</t>
        </is>
      </c>
      <c r="G505" s="34" t="n"/>
      <c r="H505" s="34" t="n"/>
      <c r="I505" s="33" t="inlineStr">
        <is>
          <t>Cartón corrugado</t>
        </is>
      </c>
      <c r="J505" s="17" t="inlineStr">
        <is>
          <t>284 × 145 × 540 interior (envolvente del plano + 15 por lado)</t>
        </is>
      </c>
      <c r="K505" s="33" t="inlineStr">
        <is>
          <t>Compra</t>
        </is>
      </c>
      <c r="L505" s="33" t="inlineStr">
        <is>
          <t>No</t>
        </is>
      </c>
      <c r="M505" s="17" t="n"/>
      <c r="N505" s="17" t="n"/>
      <c r="O505" s="17" t="inlineStr">
        <is>
          <t>23 Embalaje</t>
        </is>
      </c>
      <c r="P505" s="17" t="n"/>
      <c r="Q505" s="33" t="inlineStr">
        <is>
          <t>P</t>
        </is>
      </c>
      <c r="R505" s="33" t="n"/>
      <c r="S505" s="17" t="inlineStr">
        <is>
          <t>Medida del plano</t>
        </is>
      </c>
    </row>
    <row r="506">
      <c r="A506" s="33" t="inlineStr">
        <is>
          <t>FL_MAT_CO2_2kg</t>
        </is>
      </c>
      <c r="B506" s="33" t="n">
        <v>2</v>
      </c>
      <c r="C506" s="33" t="inlineStr">
        <is>
          <t>CO22-E2</t>
        </is>
      </c>
      <c r="D506" s="17" t="inlineStr">
        <is>
          <t xml:space="preserve">        Instructivo de uso y mantenimiento</t>
        </is>
      </c>
      <c r="E506" s="33" t="n">
        <v>1</v>
      </c>
      <c r="F506" s="33" t="inlineStr">
        <is>
          <t>u</t>
        </is>
      </c>
      <c r="G506" s="34" t="n"/>
      <c r="H506" s="34" t="n"/>
      <c r="I506" s="33" t="inlineStr">
        <is>
          <t>Papel</t>
        </is>
      </c>
      <c r="J506" s="17" t="inlineStr">
        <is>
          <t>A5</t>
        </is>
      </c>
      <c r="K506" s="33" t="inlineStr">
        <is>
          <t>Compra</t>
        </is>
      </c>
      <c r="L506" s="33" t="inlineStr">
        <is>
          <t>No</t>
        </is>
      </c>
      <c r="M506" s="17" t="n"/>
      <c r="N506" s="17" t="n"/>
      <c r="O506" s="17" t="inlineStr">
        <is>
          <t>23 Embalaje</t>
        </is>
      </c>
      <c r="P506" s="17" t="n"/>
      <c r="Q506" s="33" t="inlineStr">
        <is>
          <t>I</t>
        </is>
      </c>
      <c r="R506" s="33" t="n"/>
      <c r="S506" s="17" t="inlineStr">
        <is>
          <t>Decisión comercial de FLAMA (las instrucciones de uso obligatorias van en la etiqueta, IRAM 3534)</t>
        </is>
      </c>
    </row>
    <row r="507">
      <c r="A507" s="33" t="inlineStr">
        <is>
          <t>FL_MAT_CO2_2kg</t>
        </is>
      </c>
      <c r="B507" s="33" t="n">
        <v>2</v>
      </c>
      <c r="C507" s="33" t="inlineStr">
        <is>
          <t>CO22-E3</t>
        </is>
      </c>
      <c r="D507" s="17" t="inlineStr">
        <is>
          <t xml:space="preserve">        Pallet 1200 × 1000 (fracción)</t>
        </is>
      </c>
      <c r="E507" s="33" t="n">
        <v>0.0208</v>
      </c>
      <c r="F507" s="33" t="inlineStr">
        <is>
          <t>u</t>
        </is>
      </c>
      <c r="G507" s="34" t="n"/>
      <c r="H507" s="34" t="n"/>
      <c r="I507" s="33" t="inlineStr">
        <is>
          <t>Madera</t>
        </is>
      </c>
      <c r="J507" s="17" t="inlineStr">
        <is>
          <t>48 u por pallet</t>
        </is>
      </c>
      <c r="K507" s="33" t="inlineStr">
        <is>
          <t>Compra</t>
        </is>
      </c>
      <c r="L507" s="33" t="inlineStr">
        <is>
          <t>No</t>
        </is>
      </c>
      <c r="M507" s="17" t="n"/>
      <c r="N507" s="17" t="n"/>
      <c r="O507" s="17" t="inlineStr">
        <is>
          <t>23 Embalaje</t>
        </is>
      </c>
      <c r="P507" s="17" t="n"/>
      <c r="Q507" s="33" t="inlineStr">
        <is>
          <t>C</t>
        </is>
      </c>
      <c r="R507" s="33" t="n"/>
      <c r="S507" s="17" t="inlineStr">
        <is>
          <t>u por pallet = acomodo de la caja (plano) en 1200 × 1000 × 1450 de alto</t>
        </is>
      </c>
    </row>
    <row r="508">
      <c r="A508" s="33" t="inlineStr">
        <is>
          <t>FL_MAT_CO2_2kg</t>
        </is>
      </c>
      <c r="B508" s="33" t="n">
        <v>2</v>
      </c>
      <c r="C508" s="33" t="inlineStr">
        <is>
          <t>CO22-E4</t>
        </is>
      </c>
      <c r="D508" s="17" t="inlineStr">
        <is>
          <t xml:space="preserve">        Film stretch (fracción del pallet)</t>
        </is>
      </c>
      <c r="E508" s="33" t="n">
        <v>0.0025</v>
      </c>
      <c r="F508" s="33" t="inlineStr">
        <is>
          <t>kg</t>
        </is>
      </c>
      <c r="G508" s="34" t="n">
        <v>1</v>
      </c>
      <c r="H508" s="34">
        <f>E508*G508</f>
        <v/>
      </c>
      <c r="I508" s="33" t="inlineStr">
        <is>
          <t>PE lineal 23 µm</t>
        </is>
      </c>
      <c r="J508" s="17" t="inlineStr">
        <is>
          <t>0,12 kg por pallet / 48 u</t>
        </is>
      </c>
      <c r="K508" s="33" t="inlineStr">
        <is>
          <t>Compra</t>
        </is>
      </c>
      <c r="L508" s="33" t="inlineStr">
        <is>
          <t>No</t>
        </is>
      </c>
      <c r="M508" s="17" t="n"/>
      <c r="N508" s="17" t="n"/>
      <c r="O508" s="17" t="inlineStr">
        <is>
          <t>24 Envolvedora (T11)</t>
        </is>
      </c>
      <c r="P508" s="17" t="n"/>
      <c r="Q508" s="33" t="inlineStr">
        <is>
          <t>C</t>
        </is>
      </c>
      <c r="R508" s="33" t="n"/>
      <c r="S50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09">
      <c r="A509" s="33" t="inlineStr">
        <is>
          <t>FL_MAT_CO2_2kg</t>
        </is>
      </c>
      <c r="B509" s="33" t="n">
        <v>2</v>
      </c>
      <c r="C509" s="33" t="inlineStr">
        <is>
          <t>CO22-E5</t>
        </is>
      </c>
      <c r="D509" s="17" t="inlineStr">
        <is>
          <t xml:space="preserve">        Etiqueta de pallet (lote y destino, fracción)</t>
        </is>
      </c>
      <c r="E509" s="33" t="n">
        <v>0.0208</v>
      </c>
      <c r="F509" s="33" t="inlineStr">
        <is>
          <t>u</t>
        </is>
      </c>
      <c r="G509" s="34" t="n"/>
      <c r="H509" s="34" t="n"/>
      <c r="I509" s="33" t="inlineStr">
        <is>
          <t>Papel térmico</t>
        </is>
      </c>
      <c r="J509" s="17" t="inlineStr">
        <is>
          <t>100 × 150</t>
        </is>
      </c>
      <c r="K509" s="33" t="inlineStr">
        <is>
          <t>Compra</t>
        </is>
      </c>
      <c r="L509" s="33" t="inlineStr">
        <is>
          <t>No</t>
        </is>
      </c>
      <c r="M509" s="17" t="n"/>
      <c r="N509" s="17" t="n"/>
      <c r="O509" s="17" t="inlineStr">
        <is>
          <t>24 Envolvedora</t>
        </is>
      </c>
      <c r="P509" s="17" t="n"/>
      <c r="Q509" s="33" t="inlineStr">
        <is>
          <t>C</t>
        </is>
      </c>
      <c r="R509" s="33" t="n"/>
      <c r="S509" s="17" t="n"/>
    </row>
    <row r="510">
      <c r="A510" s="33" t="inlineStr">
        <is>
          <t>FL_MAT_CO2_2kg</t>
        </is>
      </c>
      <c r="B510" s="33" t="n">
        <v>2</v>
      </c>
      <c r="C510" s="33" t="inlineStr">
        <is>
          <t>CO22-E6</t>
        </is>
      </c>
      <c r="D510" s="17" t="inlineStr">
        <is>
          <t xml:space="preserve">        Cinta de embalaje PP 48 mm (cierre de la caja)</t>
        </is>
      </c>
      <c r="E510" s="33" t="n">
        <v>0.848</v>
      </c>
      <c r="F510" s="33" t="inlineStr">
        <is>
          <t>m</t>
        </is>
      </c>
      <c r="G510" s="34" t="n"/>
      <c r="H510" s="34" t="n"/>
      <c r="I510" s="33" t="inlineStr">
        <is>
          <t>Polipropileno con adhesivo acrílico</t>
        </is>
      </c>
      <c r="J510" s="17" t="inlineStr">
        <is>
          <t>cierre en I arriba y abajo: 2 × (284 + 2 × 70 de solapa)</t>
        </is>
      </c>
      <c r="K510" s="33" t="inlineStr">
        <is>
          <t>Compra</t>
        </is>
      </c>
      <c r="L510" s="33" t="inlineStr">
        <is>
          <t>No</t>
        </is>
      </c>
      <c r="M510" s="17" t="n"/>
      <c r="N510" s="17" t="n"/>
      <c r="O510" s="17" t="inlineStr">
        <is>
          <t>23 Embalaje</t>
        </is>
      </c>
      <c r="P510" s="17" t="n"/>
      <c r="Q510" s="33" t="inlineStr">
        <is>
          <t>C</t>
        </is>
      </c>
      <c r="R510" s="33" t="n"/>
      <c r="S510" s="17" t="inlineStr">
        <is>
          <t>Solapa de 70 mm por lado: práctica de cierre de cajas (medir en la línea)</t>
        </is>
      </c>
    </row>
    <row r="511">
      <c r="A511" s="33" t="inlineStr">
        <is>
          <t>FL_MAT_CO2_2kg</t>
        </is>
      </c>
      <c r="B511" s="33" t="n">
        <v>2</v>
      </c>
      <c r="C511" s="33" t="inlineStr">
        <is>
          <t>CO22-E7</t>
        </is>
      </c>
      <c r="D511" s="17" t="inlineStr">
        <is>
          <t xml:space="preserve">        Esquineros de cartón 50 × 50 × 1200 (fracción del pallet)</t>
        </is>
      </c>
      <c r="E511" s="33" t="n">
        <v>0.0833</v>
      </c>
      <c r="F511" s="33" t="inlineStr">
        <is>
          <t>u</t>
        </is>
      </c>
      <c r="G511" s="34" t="n"/>
      <c r="H511" s="34" t="n"/>
      <c r="I511" s="33" t="inlineStr">
        <is>
          <t>Cartón</t>
        </is>
      </c>
      <c r="J511" s="17" t="inlineStr">
        <is>
          <t>4 por pallet / 48 u</t>
        </is>
      </c>
      <c r="K511" s="33" t="inlineStr">
        <is>
          <t>Compra</t>
        </is>
      </c>
      <c r="L511" s="33" t="inlineStr">
        <is>
          <t>No</t>
        </is>
      </c>
      <c r="M511" s="17" t="n"/>
      <c r="N511" s="17" t="n"/>
      <c r="O511" s="17" t="inlineStr">
        <is>
          <t>24 Envolvedora (T11)</t>
        </is>
      </c>
      <c r="P511" s="17" t="n"/>
      <c r="Q511" s="33" t="inlineStr">
        <is>
          <t>C</t>
        </is>
      </c>
      <c r="R511" s="33" t="n"/>
      <c r="S511" s="17" t="inlineStr">
        <is>
          <t>Planilla MP-64</t>
        </is>
      </c>
    </row>
    <row r="512">
      <c r="A512" s="27" t="inlineStr">
        <is>
          <t>FL_MAT_CO2_5kg</t>
        </is>
      </c>
      <c r="B512" s="27" t="n">
        <v>0</v>
      </c>
      <c r="C512" s="27" t="inlineStr">
        <is>
          <t>FL_MAT_CO2_5kg</t>
        </is>
      </c>
      <c r="D512" s="28" t="inlineStr">
        <is>
          <t>Extintor CO₂ 5 kg</t>
        </is>
      </c>
      <c r="E512" s="27" t="n">
        <v>1</v>
      </c>
      <c r="F512" s="27" t="inlineStr">
        <is>
          <t>u</t>
        </is>
      </c>
      <c r="G512" s="29" t="n"/>
      <c r="H512" s="29" t="n"/>
      <c r="I512" s="27" t="n"/>
      <c r="J512" s="28" t="n"/>
      <c r="K512" s="27" t="n"/>
      <c r="L512" s="27" t="n"/>
      <c r="M512" s="28" t="n"/>
      <c r="N512" s="28" t="n"/>
      <c r="O512" s="28" t="n"/>
      <c r="P512" s="28" t="inlineStr">
        <is>
          <t>IRAM 3509</t>
        </is>
      </c>
      <c r="Q512" s="27" t="inlineStr">
        <is>
          <t>P</t>
        </is>
      </c>
      <c r="R512" s="27" t="inlineStr">
        <is>
          <t>FL_MAT_CO2_5kg</t>
        </is>
      </c>
      <c r="S512" s="28" t="inlineStr">
        <is>
          <t>Revendido: se compra terminado al fabricante con Sello IRAM; las piezas internas quedan como referencia (no entran en MRP)</t>
        </is>
      </c>
    </row>
    <row r="513">
      <c r="A513" s="30" t="inlineStr">
        <is>
          <t>FL_MAT_CO2_5kg</t>
        </is>
      </c>
      <c r="B513" s="30" t="n">
        <v>1</v>
      </c>
      <c r="C513" s="30" t="inlineStr">
        <is>
          <t>CO25-S0</t>
        </is>
      </c>
      <c r="D513" s="31" t="inlineStr">
        <is>
          <t xml:space="preserve">    Equipo terminado comprado (fabricante con Sello IRAM)</t>
        </is>
      </c>
      <c r="E513" s="30" t="n">
        <v>1</v>
      </c>
      <c r="F513" s="30" t="inlineStr">
        <is>
          <t>u</t>
        </is>
      </c>
      <c r="G513" s="32" t="n"/>
      <c r="H513" s="32" t="n"/>
      <c r="I513" s="30" t="n"/>
      <c r="J513" s="31" t="n"/>
      <c r="K513" s="30" t="inlineStr">
        <is>
          <t>Compra</t>
        </is>
      </c>
      <c r="L513" s="30" t="inlineStr">
        <is>
          <t>Sí</t>
        </is>
      </c>
      <c r="M513" s="31" t="inlineStr">
        <is>
          <t>Mozart S.R.L.</t>
        </is>
      </c>
      <c r="N513" s="31" t="inlineStr">
        <is>
          <t>Matafuegos Georgia - venta mayorista</t>
        </is>
      </c>
      <c r="O513" s="31" t="inlineStr">
        <is>
          <t>Recepción y control de ingreso (SP-1)</t>
        </is>
      </c>
      <c r="P513" s="31" t="inlineStr">
        <is>
          <t>IRAM 3509</t>
        </is>
      </c>
      <c r="Q513" s="30" t="inlineStr">
        <is>
          <t>I</t>
        </is>
      </c>
      <c r="R513" s="30" t="inlineStr">
        <is>
          <t>FL_MAT_CO2_5kg</t>
        </is>
      </c>
      <c r="S513" s="31" t="inlineStr">
        <is>
          <t>Única fila de compra del revendido (más la tarjeta AGC si el destino es CABA)</t>
        </is>
      </c>
    </row>
    <row r="514">
      <c r="A514" s="30" t="inlineStr">
        <is>
          <t>FL_MAT_CO2_5kg</t>
        </is>
      </c>
      <c r="B514" s="30" t="n">
        <v>1</v>
      </c>
      <c r="C514" s="30" t="inlineStr">
        <is>
          <t>CO25-S1</t>
        </is>
      </c>
      <c r="D514" s="31" t="inlineStr">
        <is>
          <t xml:space="preserve">    Recipiente (cilindro)</t>
        </is>
      </c>
      <c r="E514" s="30" t="n">
        <v>1</v>
      </c>
      <c r="F514" s="30" t="inlineStr">
        <is>
          <t>u</t>
        </is>
      </c>
      <c r="G514" s="32" t="n"/>
      <c r="H514" s="32">
        <f>H515+H516</f>
        <v/>
      </c>
      <c r="I514" s="30" t="n"/>
      <c r="J514" s="31" t="n"/>
      <c r="K514" s="30" t="inlineStr">
        <is>
          <t>Compra / armado</t>
        </is>
      </c>
      <c r="L514" s="30" t="n"/>
      <c r="M514" s="31" t="n"/>
      <c r="N514" s="31" t="n"/>
      <c r="O514" s="31" t="n"/>
      <c r="P514" s="31" t="inlineStr">
        <is>
          <t>IRAM 3523 / 3550 (recipiente)</t>
        </is>
      </c>
      <c r="Q514" s="30" t="inlineStr">
        <is>
          <t>P</t>
        </is>
      </c>
      <c r="R514" s="30" t="inlineStr">
        <is>
          <t>FL_DES_CO2_5kg</t>
        </is>
      </c>
      <c r="S514" s="31" t="n"/>
    </row>
    <row r="515">
      <c r="A515" s="33" t="inlineStr">
        <is>
          <t>FL_MAT_CO2_5kg</t>
        </is>
      </c>
      <c r="B515" s="33" t="n">
        <v>2</v>
      </c>
      <c r="C515" s="33" t="inlineStr">
        <is>
          <t>CO25-01</t>
        </is>
      </c>
      <c r="D515" s="17" t="inlineStr">
        <is>
          <t xml:space="preserve">        Cilindro sin costura</t>
        </is>
      </c>
      <c r="E515" s="33" t="n">
        <v>1</v>
      </c>
      <c r="F515" s="33" t="inlineStr">
        <is>
          <t>u</t>
        </is>
      </c>
      <c r="G515" s="34" t="n">
        <v>13.2591</v>
      </c>
      <c r="H515" s="34">
        <f>E515*G515</f>
        <v/>
      </c>
      <c r="I515" s="33" t="inlineStr">
        <is>
          <t>Tubo acero 34CrMo4 sin costura e=6</t>
        </is>
      </c>
      <c r="J515" s="17" t="inlineStr">
        <is>
          <t>Cilindro sin costura Ø140 × e6 × 681,4 de alto (cuello integral)</t>
        </is>
      </c>
      <c r="K515" s="33" t="inlineStr">
        <is>
          <t>Compra (en el conjunto)</t>
        </is>
      </c>
      <c r="L515" s="33" t="inlineStr">
        <is>
          <t>No</t>
        </is>
      </c>
      <c r="M515" s="17" t="n"/>
      <c r="N515" s="17" t="n"/>
      <c r="O515" s="17" t="inlineStr">
        <is>
          <t>S4 - se compra terminado (tercerizado con sello IRAM)</t>
        </is>
      </c>
      <c r="P515" s="17" t="n"/>
      <c r="Q515" s="33" t="inlineStr">
        <is>
          <t>P</t>
        </is>
      </c>
      <c r="R515" s="33" t="inlineStr">
        <is>
          <t>FL_DES_CO2_5kg</t>
        </is>
      </c>
      <c r="S515" s="17" t="inlineStr">
        <is>
          <t>cuello integral</t>
        </is>
      </c>
    </row>
    <row r="516">
      <c r="A516" s="33" t="inlineStr">
        <is>
          <t>FL_MAT_CO2_5kg</t>
        </is>
      </c>
      <c r="B516" s="33" t="n">
        <v>2</v>
      </c>
      <c r="C516" s="33" t="inlineStr">
        <is>
          <t>CO25-12</t>
        </is>
      </c>
      <c r="D516" s="17" t="inlineStr">
        <is>
          <t xml:space="preserve">        Pie de apoyo</t>
        </is>
      </c>
      <c r="E516" s="33" t="n">
        <v>1</v>
      </c>
      <c r="F516" s="33" t="inlineStr">
        <is>
          <t>u</t>
        </is>
      </c>
      <c r="G516" s="34" t="n">
        <v>0.1008</v>
      </c>
      <c r="H516" s="34">
        <f>E516*G516</f>
        <v/>
      </c>
      <c r="I516" s="33" t="inlineStr">
        <is>
          <t>Polietileno AD</t>
        </is>
      </c>
      <c r="J516" s="17" t="inlineStr">
        <is>
          <t>140 × 140 × 38,5</t>
        </is>
      </c>
      <c r="K516" s="33" t="inlineStr">
        <is>
          <t>Compra (en el conjunto)</t>
        </is>
      </c>
      <c r="L516" s="33" t="inlineStr">
        <is>
          <t>No</t>
        </is>
      </c>
      <c r="M516" s="17" t="n"/>
      <c r="N516" s="17" t="n"/>
      <c r="O516" s="17" t="inlineStr">
        <is>
          <t>S4 - se compra terminado (tercerizado con sello IRAM)</t>
        </is>
      </c>
      <c r="P516" s="17" t="n"/>
      <c r="Q516" s="33" t="inlineStr">
        <is>
          <t>P</t>
        </is>
      </c>
      <c r="R516" s="33" t="inlineStr">
        <is>
          <t>FL_DES_CO2_5kg</t>
        </is>
      </c>
      <c r="S516" s="17" t="n"/>
    </row>
    <row r="517">
      <c r="A517" s="30" t="inlineStr">
        <is>
          <t>FL_MAT_CO2_5kg</t>
        </is>
      </c>
      <c r="B517" s="30" t="n">
        <v>1</v>
      </c>
      <c r="C517" s="30" t="inlineStr">
        <is>
          <t>CO25-S2</t>
        </is>
      </c>
      <c r="D517" s="31" t="inlineStr">
        <is>
          <t xml:space="preserve">    Conjunto de válvula</t>
        </is>
      </c>
      <c r="E517" s="30" t="n">
        <v>1</v>
      </c>
      <c r="F517" s="30" t="inlineStr">
        <is>
          <t>u</t>
        </is>
      </c>
      <c r="G517" s="32" t="n"/>
      <c r="H517" s="32">
        <f>H518+H519+H520+H521+H522+H523+H524+H525+H526+H527+H528</f>
        <v/>
      </c>
      <c r="I517" s="30" t="n"/>
      <c r="J517" s="31" t="n"/>
      <c r="K517" s="30" t="inlineStr">
        <is>
          <t>Compra / armado</t>
        </is>
      </c>
      <c r="L517" s="30" t="n"/>
      <c r="M517" s="31" t="n"/>
      <c r="N517" s="31" t="n"/>
      <c r="O517" s="31" t="n"/>
      <c r="P517" s="31" t="inlineStr">
        <is>
          <t>Manómetro IRAM 3533</t>
        </is>
      </c>
      <c r="Q517" s="30" t="inlineStr">
        <is>
          <t>P</t>
        </is>
      </c>
      <c r="R517" s="30" t="inlineStr">
        <is>
          <t>FL_DES_CO2_5kg</t>
        </is>
      </c>
      <c r="S517" s="31" t="n"/>
    </row>
    <row r="518">
      <c r="A518" s="33" t="inlineStr">
        <is>
          <t>FL_MAT_CO2_5kg</t>
        </is>
      </c>
      <c r="B518" s="33" t="n">
        <v>2</v>
      </c>
      <c r="C518" s="33" t="inlineStr">
        <is>
          <t>CO25-02</t>
        </is>
      </c>
      <c r="D518" s="17" t="inlineStr">
        <is>
          <t xml:space="preserve">        Collarín de válvula</t>
        </is>
      </c>
      <c r="E518" s="33" t="n">
        <v>1</v>
      </c>
      <c r="F518" s="33" t="inlineStr">
        <is>
          <t>u</t>
        </is>
      </c>
      <c r="G518" s="34" t="n">
        <v>0.0809</v>
      </c>
      <c r="H518" s="34">
        <f>E518*G518</f>
        <v/>
      </c>
      <c r="I518" s="33" t="inlineStr">
        <is>
          <t>Latón forjado</t>
        </is>
      </c>
      <c r="J518" s="17" t="inlineStr">
        <is>
          <t>38 × 38 × 10</t>
        </is>
      </c>
      <c r="K518" s="33" t="inlineStr">
        <is>
          <t>Compra (en el conjunto)</t>
        </is>
      </c>
      <c r="L518" s="33" t="inlineStr">
        <is>
          <t>No</t>
        </is>
      </c>
      <c r="M518" s="17" t="n"/>
      <c r="N518" s="17" t="n"/>
      <c r="O518" s="17" t="inlineStr">
        <is>
          <t>S4 - se compra terminado (tercerizado con sello IRAM)</t>
        </is>
      </c>
      <c r="P518" s="17" t="n"/>
      <c r="Q518" s="33" t="inlineStr">
        <is>
          <t>P</t>
        </is>
      </c>
      <c r="R518" s="33" t="inlineStr">
        <is>
          <t>FL_DES_CO2_5kg</t>
        </is>
      </c>
      <c r="S518" s="17" t="n"/>
    </row>
    <row r="519">
      <c r="A519" s="33" t="inlineStr">
        <is>
          <t>FL_MAT_CO2_5kg</t>
        </is>
      </c>
      <c r="B519" s="33" t="n">
        <v>2</v>
      </c>
      <c r="C519" s="33" t="inlineStr">
        <is>
          <t>CO25-03</t>
        </is>
      </c>
      <c r="D519" s="17" t="inlineStr">
        <is>
          <t xml:space="preserve">        Espiga roscada</t>
        </is>
      </c>
      <c r="E519" s="33" t="n">
        <v>1</v>
      </c>
      <c r="F519" s="33" t="inlineStr">
        <is>
          <t>u</t>
        </is>
      </c>
      <c r="G519" s="34" t="n">
        <v>0.0153</v>
      </c>
      <c r="H519" s="34">
        <f>E519*G519</f>
        <v/>
      </c>
      <c r="I519" s="33" t="inlineStr">
        <is>
          <t>Latón forjado</t>
        </is>
      </c>
      <c r="J519" s="17" t="inlineStr">
        <is>
          <t>19 × 19 × 12</t>
        </is>
      </c>
      <c r="K519" s="33" t="inlineStr">
        <is>
          <t>Compra (en el conjunto)</t>
        </is>
      </c>
      <c r="L519" s="33" t="inlineStr">
        <is>
          <t>No</t>
        </is>
      </c>
      <c r="M519" s="17" t="n"/>
      <c r="N519" s="17" t="n"/>
      <c r="O519" s="17" t="inlineStr">
        <is>
          <t>S4 - se compra terminado (tercerizado con sello IRAM)</t>
        </is>
      </c>
      <c r="P519" s="17" t="n"/>
      <c r="Q519" s="33" t="inlineStr">
        <is>
          <t>P</t>
        </is>
      </c>
      <c r="R519" s="33" t="inlineStr">
        <is>
          <t>FL_DES_CO2_5kg</t>
        </is>
      </c>
      <c r="S519" s="17" t="n"/>
    </row>
    <row r="520">
      <c r="A520" s="33" t="inlineStr">
        <is>
          <t>FL_MAT_CO2_5kg</t>
        </is>
      </c>
      <c r="B520" s="33" t="n">
        <v>2</v>
      </c>
      <c r="C520" s="33" t="inlineStr">
        <is>
          <t>CO25-04</t>
        </is>
      </c>
      <c r="D520" s="17" t="inlineStr">
        <is>
          <t xml:space="preserve">        Cuerpo de válvula</t>
        </is>
      </c>
      <c r="E520" s="33" t="n">
        <v>1</v>
      </c>
      <c r="F520" s="33" t="inlineStr">
        <is>
          <t>u</t>
        </is>
      </c>
      <c r="G520" s="34" t="n">
        <v>0.4619</v>
      </c>
      <c r="H520" s="34">
        <f>E520*G520</f>
        <v/>
      </c>
      <c r="I520" s="33" t="inlineStr">
        <is>
          <t>Latón forjado</t>
        </is>
      </c>
      <c r="J520" s="17" t="inlineStr">
        <is>
          <t>63,3 × 43 × 34</t>
        </is>
      </c>
      <c r="K520" s="33" t="inlineStr">
        <is>
          <t>Compra (en el conjunto)</t>
        </is>
      </c>
      <c r="L520" s="33" t="inlineStr">
        <is>
          <t>No</t>
        </is>
      </c>
      <c r="M520" s="17" t="n"/>
      <c r="N520" s="17" t="n"/>
      <c r="O520" s="17" t="inlineStr">
        <is>
          <t>S4 - se compra terminado (tercerizado con sello IRAM)</t>
        </is>
      </c>
      <c r="P520" s="17" t="n"/>
      <c r="Q520" s="33" t="inlineStr">
        <is>
          <t>P</t>
        </is>
      </c>
      <c r="R520" s="33" t="inlineStr">
        <is>
          <t>FL_DES_CO2_5kg</t>
        </is>
      </c>
      <c r="S520" s="17" t="n"/>
    </row>
    <row r="521">
      <c r="A521" s="33" t="inlineStr">
        <is>
          <t>FL_MAT_CO2_5kg</t>
        </is>
      </c>
      <c r="B521" s="33" t="n">
        <v>2</v>
      </c>
      <c r="C521" s="33" t="inlineStr">
        <is>
          <t>CO25-05</t>
        </is>
      </c>
      <c r="D521" s="17" t="inlineStr">
        <is>
          <t xml:space="preserve">        Disco de seguridad</t>
        </is>
      </c>
      <c r="E521" s="33" t="n">
        <v>1</v>
      </c>
      <c r="F521" s="33" t="inlineStr">
        <is>
          <t>u</t>
        </is>
      </c>
      <c r="G521" s="34" t="n">
        <v>0.0097</v>
      </c>
      <c r="H521" s="34">
        <f>E521*G521</f>
        <v/>
      </c>
      <c r="I521" s="33" t="inlineStr">
        <is>
          <t>Latón / disco de cobre</t>
        </is>
      </c>
      <c r="J521" s="17" t="inlineStr">
        <is>
          <t>14 × 12,1 × 9</t>
        </is>
      </c>
      <c r="K521" s="33" t="inlineStr">
        <is>
          <t>Compra (en el conjunto)</t>
        </is>
      </c>
      <c r="L521" s="33" t="inlineStr">
        <is>
          <t>No</t>
        </is>
      </c>
      <c r="M521" s="17" t="n"/>
      <c r="N521" s="17" t="n"/>
      <c r="O521" s="17" t="inlineStr">
        <is>
          <t>S4 - se compra terminado (tercerizado con sello IRAM)</t>
        </is>
      </c>
      <c r="P521" s="17" t="n"/>
      <c r="Q521" s="33" t="inlineStr">
        <is>
          <t>P</t>
        </is>
      </c>
      <c r="R521" s="33" t="inlineStr">
        <is>
          <t>FL_DES_CO2_5kg</t>
        </is>
      </c>
      <c r="S521" s="17" t="inlineStr">
        <is>
          <t>rotura 18 a 21 MPa</t>
        </is>
      </c>
    </row>
    <row r="522">
      <c r="A522" s="33" t="inlineStr">
        <is>
          <t>FL_MAT_CO2_5kg</t>
        </is>
      </c>
      <c r="B522" s="33" t="n">
        <v>2</v>
      </c>
      <c r="C522" s="33" t="inlineStr">
        <is>
          <t>CO25-06</t>
        </is>
      </c>
      <c r="D522" s="17" t="inlineStr">
        <is>
          <t xml:space="preserve">        Manija de transporte</t>
        </is>
      </c>
      <c r="E522" s="33" t="n">
        <v>1</v>
      </c>
      <c r="F522" s="33" t="inlineStr">
        <is>
          <t>u</t>
        </is>
      </c>
      <c r="G522" s="34" t="n">
        <v>0.078</v>
      </c>
      <c r="H522" s="34">
        <f>E522*G522</f>
        <v/>
      </c>
      <c r="I522" s="33" t="inlineStr">
        <is>
          <t>Chapa acero SAE 1010 pintada</t>
        </is>
      </c>
      <c r="J522" s="17" t="inlineStr">
        <is>
          <t>124 × 20 × 17</t>
        </is>
      </c>
      <c r="K522" s="33" t="inlineStr">
        <is>
          <t>Compra (en el conjunto)</t>
        </is>
      </c>
      <c r="L522" s="33" t="inlineStr">
        <is>
          <t>No</t>
        </is>
      </c>
      <c r="M522" s="17" t="n"/>
      <c r="N522" s="17" t="n"/>
      <c r="O522" s="17" t="inlineStr">
        <is>
          <t>S4 - se compra terminado (tercerizado con sello IRAM)</t>
        </is>
      </c>
      <c r="P522" s="17" t="n"/>
      <c r="Q522" s="33" t="inlineStr">
        <is>
          <t>P</t>
        </is>
      </c>
      <c r="R522" s="33" t="inlineStr">
        <is>
          <t>FL_DES_CO2_5kg</t>
        </is>
      </c>
      <c r="S522" s="17" t="n"/>
    </row>
    <row r="523">
      <c r="A523" s="33" t="inlineStr">
        <is>
          <t>FL_MAT_CO2_5kg</t>
        </is>
      </c>
      <c r="B523" s="33" t="n">
        <v>2</v>
      </c>
      <c r="C523" s="33" t="inlineStr">
        <is>
          <t>CO25-07</t>
        </is>
      </c>
      <c r="D523" s="17" t="inlineStr">
        <is>
          <t xml:space="preserve">        Manija de accionamiento</t>
        </is>
      </c>
      <c r="E523" s="33" t="n">
        <v>1</v>
      </c>
      <c r="F523" s="33" t="inlineStr">
        <is>
          <t>u</t>
        </is>
      </c>
      <c r="G523" s="34" t="n">
        <v>0.105</v>
      </c>
      <c r="H523" s="34">
        <f>E523*G523</f>
        <v/>
      </c>
      <c r="I523" s="33" t="inlineStr">
        <is>
          <t>Chapa acero SAE 1010 pintada</t>
        </is>
      </c>
      <c r="J523" s="17" t="inlineStr">
        <is>
          <t>166,5 × 24,4 × 20</t>
        </is>
      </c>
      <c r="K523" s="33" t="inlineStr">
        <is>
          <t>Compra (en el conjunto)</t>
        </is>
      </c>
      <c r="L523" s="33" t="inlineStr">
        <is>
          <t>No</t>
        </is>
      </c>
      <c r="M523" s="17" t="n"/>
      <c r="N523" s="17" t="n"/>
      <c r="O523" s="17" t="inlineStr">
        <is>
          <t>S4 - se compra terminado (tercerizado con sello IRAM)</t>
        </is>
      </c>
      <c r="P523" s="17" t="n"/>
      <c r="Q523" s="33" t="inlineStr">
        <is>
          <t>P</t>
        </is>
      </c>
      <c r="R523" s="33" t="inlineStr">
        <is>
          <t>FL_DES_CO2_5kg</t>
        </is>
      </c>
      <c r="S523" s="17" t="n"/>
    </row>
    <row r="524">
      <c r="A524" s="33" t="inlineStr">
        <is>
          <t>FL_MAT_CO2_5kg</t>
        </is>
      </c>
      <c r="B524" s="33" t="n">
        <v>2</v>
      </c>
      <c r="C524" s="33" t="inlineStr">
        <is>
          <t>CO25-08</t>
        </is>
      </c>
      <c r="D524" s="17" t="inlineStr">
        <is>
          <t xml:space="preserve">        Eje de palanca</t>
        </is>
      </c>
      <c r="E524" s="33" t="n">
        <v>1</v>
      </c>
      <c r="F524" s="33" t="inlineStr">
        <is>
          <t>u</t>
        </is>
      </c>
      <c r="G524" s="34" t="n">
        <v>0.0081</v>
      </c>
      <c r="H524" s="34">
        <f>E524*G524</f>
        <v/>
      </c>
      <c r="I524" s="33" t="inlineStr">
        <is>
          <t>Acero inox. AISI 304</t>
        </is>
      </c>
      <c r="J524" s="17" t="inlineStr">
        <is>
          <t>36 × 6 × 6</t>
        </is>
      </c>
      <c r="K524" s="33" t="inlineStr">
        <is>
          <t>Compra (en el conjunto)</t>
        </is>
      </c>
      <c r="L524" s="33" t="inlineStr">
        <is>
          <t>No</t>
        </is>
      </c>
      <c r="M524" s="17" t="n"/>
      <c r="N524" s="17" t="n"/>
      <c r="O524" s="17" t="inlineStr">
        <is>
          <t>S4 - se compra terminado (tercerizado con sello IRAM)</t>
        </is>
      </c>
      <c r="P524" s="17" t="n"/>
      <c r="Q524" s="33" t="inlineStr">
        <is>
          <t>P</t>
        </is>
      </c>
      <c r="R524" s="33" t="inlineStr">
        <is>
          <t>FL_DES_CO2_5kg</t>
        </is>
      </c>
      <c r="S524" s="17" t="n"/>
    </row>
    <row r="525">
      <c r="A525" s="33" t="inlineStr">
        <is>
          <t>FL_MAT_CO2_5kg</t>
        </is>
      </c>
      <c r="B525" s="33" t="n">
        <v>2</v>
      </c>
      <c r="C525" s="33" t="inlineStr">
        <is>
          <t>CO25-09</t>
        </is>
      </c>
      <c r="D525" s="17" t="inlineStr">
        <is>
          <t xml:space="preserve">        Vástago</t>
        </is>
      </c>
      <c r="E525" s="33" t="n">
        <v>1</v>
      </c>
      <c r="F525" s="33" t="inlineStr">
        <is>
          <t>u</t>
        </is>
      </c>
      <c r="G525" s="34" t="n">
        <v>0.0017</v>
      </c>
      <c r="H525" s="34">
        <f>E525*G525</f>
        <v/>
      </c>
      <c r="I525" s="33" t="inlineStr">
        <is>
          <t>Latón</t>
        </is>
      </c>
      <c r="J525" s="17" t="inlineStr">
        <is>
          <t>8 × 8 × 4</t>
        </is>
      </c>
      <c r="K525" s="33" t="inlineStr">
        <is>
          <t>Compra (en el conjunto)</t>
        </is>
      </c>
      <c r="L525" s="33" t="inlineStr">
        <is>
          <t>No</t>
        </is>
      </c>
      <c r="M525" s="17" t="n"/>
      <c r="N525" s="17" t="n"/>
      <c r="O525" s="17" t="inlineStr">
        <is>
          <t>S4 - se compra terminado (tercerizado con sello IRAM)</t>
        </is>
      </c>
      <c r="P525" s="17" t="n"/>
      <c r="Q525" s="33" t="inlineStr">
        <is>
          <t>P</t>
        </is>
      </c>
      <c r="R525" s="33" t="inlineStr">
        <is>
          <t>FL_DES_CO2_5kg</t>
        </is>
      </c>
      <c r="S525" s="17" t="inlineStr">
        <is>
          <t>con junta tórica</t>
        </is>
      </c>
    </row>
    <row r="526">
      <c r="A526" s="33" t="inlineStr">
        <is>
          <t>FL_MAT_CO2_5kg</t>
        </is>
      </c>
      <c r="B526" s="33" t="n">
        <v>2</v>
      </c>
      <c r="C526" s="33" t="inlineStr">
        <is>
          <t>CO25-10</t>
        </is>
      </c>
      <c r="D526" s="17" t="inlineStr">
        <is>
          <t xml:space="preserve">        Pasador de seguridad</t>
        </is>
      </c>
      <c r="E526" s="33" t="n">
        <v>1</v>
      </c>
      <c r="F526" s="33" t="inlineStr">
        <is>
          <t>u</t>
        </is>
      </c>
      <c r="G526" s="34" t="n">
        <v>0.0055</v>
      </c>
      <c r="H526" s="34">
        <f>E526*G526</f>
        <v/>
      </c>
      <c r="I526" s="33" t="inlineStr">
        <is>
          <t>Alambre acero inox. AISI 304</t>
        </is>
      </c>
      <c r="J526" s="17" t="inlineStr">
        <is>
          <t>45,4 × 21 × 20,8</t>
        </is>
      </c>
      <c r="K526" s="33" t="inlineStr">
        <is>
          <t>Compra (en el conjunto)</t>
        </is>
      </c>
      <c r="L526" s="33" t="inlineStr">
        <is>
          <t>No</t>
        </is>
      </c>
      <c r="M526" s="17" t="n"/>
      <c r="N526" s="17" t="n"/>
      <c r="O526" s="17" t="inlineStr">
        <is>
          <t>S4 - se compra terminado (tercerizado con sello IRAM)</t>
        </is>
      </c>
      <c r="P526" s="17" t="n"/>
      <c r="Q526" s="33" t="inlineStr">
        <is>
          <t>P</t>
        </is>
      </c>
      <c r="R526" s="33" t="inlineStr">
        <is>
          <t>FL_DES_CO2_5kg</t>
        </is>
      </c>
      <c r="S526" s="17" t="inlineStr">
        <is>
          <t>con precinto</t>
        </is>
      </c>
    </row>
    <row r="527">
      <c r="A527" s="33" t="inlineStr">
        <is>
          <t>FL_MAT_CO2_5kg</t>
        </is>
      </c>
      <c r="B527" s="33" t="n">
        <v>2</v>
      </c>
      <c r="C527" s="33" t="inlineStr">
        <is>
          <t>CO25-11</t>
        </is>
      </c>
      <c r="D527" s="17" t="inlineStr">
        <is>
          <t xml:space="preserve">        Caño de pesca (sifón)</t>
        </is>
      </c>
      <c r="E527" s="33" t="n">
        <v>1</v>
      </c>
      <c r="F527" s="33" t="inlineStr">
        <is>
          <t>u</t>
        </is>
      </c>
      <c r="G527" s="34" t="n">
        <v>0.0698</v>
      </c>
      <c r="H527" s="34">
        <f>E527*G527</f>
        <v/>
      </c>
      <c r="I527" s="33" t="inlineStr">
        <is>
          <t>Tubo aluminio</t>
        </is>
      </c>
      <c r="J527" s="17" t="inlineStr">
        <is>
          <t>Ø10 × 645,4 de largo</t>
        </is>
      </c>
      <c r="K527" s="33" t="inlineStr">
        <is>
          <t>Compra (en el conjunto)</t>
        </is>
      </c>
      <c r="L527" s="33" t="inlineStr">
        <is>
          <t>No</t>
        </is>
      </c>
      <c r="M527" s="17" t="n"/>
      <c r="N527" s="17" t="n"/>
      <c r="O527" s="17" t="inlineStr">
        <is>
          <t>S4 - se compra terminado (tercerizado con sello IRAM)</t>
        </is>
      </c>
      <c r="P527" s="17" t="n"/>
      <c r="Q527" s="33" t="inlineStr">
        <is>
          <t>P</t>
        </is>
      </c>
      <c r="R527" s="33" t="inlineStr">
        <is>
          <t>FL_DES_CO2_5kg</t>
        </is>
      </c>
      <c r="S527" s="17" t="n"/>
    </row>
    <row r="528">
      <c r="A528" s="33" t="inlineStr">
        <is>
          <t>FL_MAT_CO2_5kg</t>
        </is>
      </c>
      <c r="B528" s="33" t="n">
        <v>2</v>
      </c>
      <c r="C528" s="33" t="inlineStr">
        <is>
          <t>CO25-23</t>
        </is>
      </c>
      <c r="D528" s="17" t="inlineStr">
        <is>
          <t xml:space="preserve">        Junta tórica de asiento</t>
        </is>
      </c>
      <c r="E528" s="33" t="n">
        <v>1</v>
      </c>
      <c r="F528" s="33" t="inlineStr">
        <is>
          <t>u</t>
        </is>
      </c>
      <c r="G528" s="34" t="n">
        <v>0.0005999999999999999</v>
      </c>
      <c r="H528" s="34">
        <f>E528*G528</f>
        <v/>
      </c>
      <c r="I528" s="33" t="inlineStr">
        <is>
          <t>NBR 70 Shore A</t>
        </is>
      </c>
      <c r="J528" s="17" t="inlineStr">
        <is>
          <t>Ø22 ext. × cordón 3</t>
        </is>
      </c>
      <c r="K528" s="33" t="inlineStr">
        <is>
          <t>Compra (en el conjunto)</t>
        </is>
      </c>
      <c r="L528" s="33" t="inlineStr">
        <is>
          <t>No</t>
        </is>
      </c>
      <c r="M528" s="17" t="n"/>
      <c r="N528" s="17" t="n"/>
      <c r="O528" s="17" t="inlineStr">
        <is>
          <t>S4 - se compra terminado (tercerizado con sello IRAM)</t>
        </is>
      </c>
      <c r="P528" s="17" t="n"/>
      <c r="Q528" s="33" t="inlineStr">
        <is>
          <t>P</t>
        </is>
      </c>
      <c r="R528" s="33" t="inlineStr">
        <is>
          <t>FL_DES_CO2_5kg</t>
        </is>
      </c>
      <c r="S528" s="17" t="inlineStr">
        <is>
          <t>cambio c/recarga</t>
        </is>
      </c>
    </row>
    <row r="529">
      <c r="A529" s="33" t="inlineStr">
        <is>
          <t>FL_MAT_CO2_5kg</t>
        </is>
      </c>
      <c r="B529" s="33" t="n">
        <v>2</v>
      </c>
      <c r="C529" s="33" t="inlineStr">
        <is>
          <t>CO25-V3</t>
        </is>
      </c>
      <c r="D529" s="17" t="inlineStr">
        <is>
          <t xml:space="preserve">        Junta tórica del vástago</t>
        </is>
      </c>
      <c r="E529" s="33" t="n">
        <v>1</v>
      </c>
      <c r="F529" s="33" t="inlineStr">
        <is>
          <t>u</t>
        </is>
      </c>
      <c r="G529" s="34" t="n"/>
      <c r="H529" s="34" t="n"/>
      <c r="I529" s="33" t="inlineStr">
        <is>
          <t>NBR 70 Shore A</t>
        </is>
      </c>
      <c r="J529" s="17" t="inlineStr">
        <is>
          <t>incluida en la válvula</t>
        </is>
      </c>
      <c r="K529" s="33" t="inlineStr">
        <is>
          <t>Compra (en el conjunto)</t>
        </is>
      </c>
      <c r="L529" s="33" t="inlineStr">
        <is>
          <t>No</t>
        </is>
      </c>
      <c r="M529" s="17" t="n"/>
      <c r="N529" s="17" t="n"/>
      <c r="O529" s="17" t="inlineStr">
        <is>
          <t>19 Ensamblaje</t>
        </is>
      </c>
      <c r="P529" s="17" t="n"/>
      <c r="Q529" s="33" t="inlineStr">
        <is>
          <t>P</t>
        </is>
      </c>
      <c r="R529" s="33" t="n"/>
      <c r="S529" s="17" t="inlineStr">
        <is>
          <t>Figura en el plano como «vástago con junta tórica»</t>
        </is>
      </c>
    </row>
    <row r="530">
      <c r="A530" s="30" t="inlineStr">
        <is>
          <t>FL_MAT_CO2_5kg</t>
        </is>
      </c>
      <c r="B530" s="30" t="n">
        <v>1</v>
      </c>
      <c r="C530" s="30" t="inlineStr">
        <is>
          <t>CO25-S3</t>
        </is>
      </c>
      <c r="D530" s="31" t="inlineStr">
        <is>
          <t xml:space="preserve">    Dispositivo de descarga</t>
        </is>
      </c>
      <c r="E530" s="30" t="n">
        <v>1</v>
      </c>
      <c r="F530" s="30" t="inlineStr">
        <is>
          <t>u</t>
        </is>
      </c>
      <c r="G530" s="32" t="n"/>
      <c r="H530" s="32">
        <f>H531+H532+H533+H534+H535</f>
        <v/>
      </c>
      <c r="I530" s="30" t="n"/>
      <c r="J530" s="31" t="n"/>
      <c r="K530" s="30" t="inlineStr">
        <is>
          <t>Compra / armado</t>
        </is>
      </c>
      <c r="L530" s="30" t="n"/>
      <c r="M530" s="31" t="n"/>
      <c r="N530" s="31" t="n"/>
      <c r="O530" s="31" t="n"/>
      <c r="P530" s="31" t="n"/>
      <c r="Q530" s="30" t="inlineStr">
        <is>
          <t>P</t>
        </is>
      </c>
      <c r="R530" s="30" t="inlineStr">
        <is>
          <t>FL_DES_CO2_5kg</t>
        </is>
      </c>
      <c r="S530" s="31" t="n"/>
    </row>
    <row r="531">
      <c r="A531" s="33" t="inlineStr">
        <is>
          <t>FL_MAT_CO2_5kg</t>
        </is>
      </c>
      <c r="B531" s="33" t="n">
        <v>2</v>
      </c>
      <c r="C531" s="33" t="inlineStr">
        <is>
          <t>CO25-13</t>
        </is>
      </c>
      <c r="D531" s="17" t="inlineStr">
        <is>
          <t xml:space="preserve">        Racor de manguera</t>
        </is>
      </c>
      <c r="E531" s="33" t="n">
        <v>1</v>
      </c>
      <c r="F531" s="33" t="inlineStr">
        <is>
          <t>u</t>
        </is>
      </c>
      <c r="G531" s="34" t="n">
        <v>0.0258</v>
      </c>
      <c r="H531" s="34">
        <f>E531*G531</f>
        <v/>
      </c>
      <c r="I531" s="33" t="inlineStr">
        <is>
          <t>Latón</t>
        </is>
      </c>
      <c r="J531" s="17" t="inlineStr">
        <is>
          <t>18 × 18 × 12</t>
        </is>
      </c>
      <c r="K531" s="33" t="inlineStr">
        <is>
          <t>Compra (en el conjunto)</t>
        </is>
      </c>
      <c r="L531" s="33" t="inlineStr">
        <is>
          <t>No</t>
        </is>
      </c>
      <c r="M531" s="17" t="n"/>
      <c r="N531" s="17" t="n"/>
      <c r="O531" s="17" t="inlineStr">
        <is>
          <t>S4 - se compra terminado (tercerizado con sello IRAM)</t>
        </is>
      </c>
      <c r="P531" s="17" t="n"/>
      <c r="Q531" s="33" t="inlineStr">
        <is>
          <t>P</t>
        </is>
      </c>
      <c r="R531" s="33" t="inlineStr">
        <is>
          <t>FL_DES_CO2_5kg</t>
        </is>
      </c>
      <c r="S531" s="17" t="n"/>
    </row>
    <row r="532">
      <c r="A532" s="33" t="inlineStr">
        <is>
          <t>FL_MAT_CO2_5kg</t>
        </is>
      </c>
      <c r="B532" s="33" t="n">
        <v>2</v>
      </c>
      <c r="C532" s="33" t="inlineStr">
        <is>
          <t>CO25-14</t>
        </is>
      </c>
      <c r="D532" s="17" t="inlineStr">
        <is>
          <t xml:space="preserve">        Manguera</t>
        </is>
      </c>
      <c r="E532" s="33" t="n">
        <v>1</v>
      </c>
      <c r="F532" s="33" t="inlineStr">
        <is>
          <t>u</t>
        </is>
      </c>
      <c r="G532" s="34" t="n">
        <v>0.0463</v>
      </c>
      <c r="H532" s="34">
        <f>E532*G532</f>
        <v/>
      </c>
      <c r="I532" s="33" t="inlineStr">
        <is>
          <t>Manga alta presión c/malla acero</t>
        </is>
      </c>
      <c r="J532" s="17" t="inlineStr">
        <is>
          <t>Ø16 × 300 de largo desarrollado</t>
        </is>
      </c>
      <c r="K532" s="33" t="inlineStr">
        <is>
          <t>Compra (en el conjunto)</t>
        </is>
      </c>
      <c r="L532" s="33" t="inlineStr">
        <is>
          <t>No</t>
        </is>
      </c>
      <c r="M532" s="17" t="n"/>
      <c r="N532" s="17" t="n"/>
      <c r="O532" s="17" t="inlineStr">
        <is>
          <t>S4 - se compra terminado (tercerizado con sello IRAM)</t>
        </is>
      </c>
      <c r="P532" s="17" t="n"/>
      <c r="Q532" s="33" t="inlineStr">
        <is>
          <t>P</t>
        </is>
      </c>
      <c r="R532" s="33" t="inlineStr">
        <is>
          <t>FL_DES_CO2_5kg</t>
        </is>
      </c>
      <c r="S532" s="17" t="n"/>
    </row>
    <row r="533">
      <c r="A533" s="33" t="inlineStr">
        <is>
          <t>FL_MAT_CO2_5kg</t>
        </is>
      </c>
      <c r="B533" s="33" t="n">
        <v>2</v>
      </c>
      <c r="C533" s="33" t="inlineStr">
        <is>
          <t>CO25-15</t>
        </is>
      </c>
      <c r="D533" s="17" t="inlineStr">
        <is>
          <t xml:space="preserve">        Difusor (bocina)</t>
        </is>
      </c>
      <c r="E533" s="33" t="n">
        <v>1</v>
      </c>
      <c r="F533" s="33" t="inlineStr">
        <is>
          <t>u</t>
        </is>
      </c>
      <c r="G533" s="34" t="n">
        <v>0.09429999999999999</v>
      </c>
      <c r="H533" s="34">
        <f>E533*G533</f>
        <v/>
      </c>
      <c r="I533" s="33" t="inlineStr">
        <is>
          <t>Polietileno AD</t>
        </is>
      </c>
      <c r="J533" s="17" t="inlineStr">
        <is>
          <t>260 × 90 × 90</t>
        </is>
      </c>
      <c r="K533" s="33" t="inlineStr">
        <is>
          <t>Compra (en el conjunto)</t>
        </is>
      </c>
      <c r="L533" s="33" t="inlineStr">
        <is>
          <t>No</t>
        </is>
      </c>
      <c r="M533" s="17" t="n"/>
      <c r="N533" s="17" t="n"/>
      <c r="O533" s="17" t="inlineStr">
        <is>
          <t>S4 - se compra terminado (tercerizado con sello IRAM)</t>
        </is>
      </c>
      <c r="P533" s="17" t="n"/>
      <c r="Q533" s="33" t="inlineStr">
        <is>
          <t>P</t>
        </is>
      </c>
      <c r="R533" s="33" t="inlineStr">
        <is>
          <t>FL_DES_CO2_5kg</t>
        </is>
      </c>
      <c r="S533" s="17" t="inlineStr">
        <is>
          <t>aislante térmico y eléctrico</t>
        </is>
      </c>
    </row>
    <row r="534">
      <c r="A534" s="33" t="inlineStr">
        <is>
          <t>FL_MAT_CO2_5kg</t>
        </is>
      </c>
      <c r="B534" s="33" t="n">
        <v>2</v>
      </c>
      <c r="C534" s="33" t="inlineStr">
        <is>
          <t>CO25-16</t>
        </is>
      </c>
      <c r="D534" s="17" t="inlineStr">
        <is>
          <t xml:space="preserve">        Empuñadura</t>
        </is>
      </c>
      <c r="E534" s="33" t="n">
        <v>1</v>
      </c>
      <c r="F534" s="33" t="inlineStr">
        <is>
          <t>u</t>
        </is>
      </c>
      <c r="G534" s="34" t="n">
        <v>0.0201</v>
      </c>
      <c r="H534" s="34">
        <f>E534*G534</f>
        <v/>
      </c>
      <c r="I534" s="33" t="inlineStr">
        <is>
          <t>Polipropileno</t>
        </is>
      </c>
      <c r="J534" s="17" t="inlineStr">
        <is>
          <t>40 × 36 × 36</t>
        </is>
      </c>
      <c r="K534" s="33" t="inlineStr">
        <is>
          <t>Compra (en el conjunto)</t>
        </is>
      </c>
      <c r="L534" s="33" t="inlineStr">
        <is>
          <t>No</t>
        </is>
      </c>
      <c r="M534" s="17" t="n"/>
      <c r="N534" s="17" t="n"/>
      <c r="O534" s="17" t="inlineStr">
        <is>
          <t>S4 - se compra terminado (tercerizado con sello IRAM)</t>
        </is>
      </c>
      <c r="P534" s="17" t="n"/>
      <c r="Q534" s="33" t="inlineStr">
        <is>
          <t>P</t>
        </is>
      </c>
      <c r="R534" s="33" t="inlineStr">
        <is>
          <t>FL_DES_CO2_5kg</t>
        </is>
      </c>
      <c r="S534" s="17" t="n"/>
    </row>
    <row r="535">
      <c r="A535" s="33" t="inlineStr">
        <is>
          <t>FL_MAT_CO2_5kg</t>
        </is>
      </c>
      <c r="B535" s="33" t="n">
        <v>2</v>
      </c>
      <c r="C535" s="33" t="inlineStr">
        <is>
          <t>CO25-17</t>
        </is>
      </c>
      <c r="D535" s="17" t="inlineStr">
        <is>
          <t xml:space="preserve">        Suncho soporte de difusor</t>
        </is>
      </c>
      <c r="E535" s="33" t="n">
        <v>1</v>
      </c>
      <c r="F535" s="33" t="inlineStr">
        <is>
          <t>u</t>
        </is>
      </c>
      <c r="G535" s="34" t="n">
        <v>0.1762</v>
      </c>
      <c r="H535" s="34">
        <f>E535*G535</f>
        <v/>
      </c>
      <c r="I535" s="33" t="inlineStr">
        <is>
          <t>Fleje acero SAE 1010 pintado</t>
        </is>
      </c>
      <c r="J535" s="17" t="inlineStr">
        <is>
          <t>161,7 × 143 × 18</t>
        </is>
      </c>
      <c r="K535" s="33" t="inlineStr">
        <is>
          <t>Compra (en el conjunto)</t>
        </is>
      </c>
      <c r="L535" s="33" t="inlineStr">
        <is>
          <t>No</t>
        </is>
      </c>
      <c r="M535" s="17" t="n"/>
      <c r="N535" s="17" t="n"/>
      <c r="O535" s="17" t="inlineStr">
        <is>
          <t>S4 - se compra terminado (tercerizado con sello IRAM)</t>
        </is>
      </c>
      <c r="P535" s="17" t="n"/>
      <c r="Q535" s="33" t="inlineStr">
        <is>
          <t>P</t>
        </is>
      </c>
      <c r="R535" s="33" t="inlineStr">
        <is>
          <t>FL_DES_CO2_5kg</t>
        </is>
      </c>
      <c r="S535" s="17" t="n"/>
    </row>
    <row r="536">
      <c r="A536" s="30" t="inlineStr">
        <is>
          <t>FL_MAT_CO2_5kg</t>
        </is>
      </c>
      <c r="B536" s="30" t="n">
        <v>1</v>
      </c>
      <c r="C536" s="30" t="inlineStr">
        <is>
          <t>CO25-S5</t>
        </is>
      </c>
      <c r="D536" s="31" t="inlineStr">
        <is>
          <t xml:space="preserve">    Carga: agente extintor y gas impulsor</t>
        </is>
      </c>
      <c r="E536" s="30" t="n">
        <v>1</v>
      </c>
      <c r="F536" s="30" t="inlineStr">
        <is>
          <t>u</t>
        </is>
      </c>
      <c r="G536" s="32" t="n"/>
      <c r="H536" s="32">
        <f>H537</f>
        <v/>
      </c>
      <c r="I536" s="30" t="n"/>
      <c r="J536" s="31" t="n"/>
      <c r="K536" s="30" t="inlineStr">
        <is>
          <t>Compra</t>
        </is>
      </c>
      <c r="L536" s="30" t="n"/>
      <c r="M536" s="31" t="n"/>
      <c r="N536" s="31" t="n"/>
      <c r="O536" s="31" t="n"/>
      <c r="P536" s="31" t="n"/>
      <c r="Q536" s="30" t="n"/>
      <c r="R536" s="30" t="n"/>
      <c r="S536" s="31" t="n"/>
    </row>
    <row r="537">
      <c r="A537" s="33" t="inlineStr">
        <is>
          <t>FL_MAT_CO2_5kg</t>
        </is>
      </c>
      <c r="B537" s="33" t="n">
        <v>2</v>
      </c>
      <c r="C537" s="33" t="inlineStr">
        <is>
          <t>CO25-A1</t>
        </is>
      </c>
      <c r="D537" s="17" t="inlineStr">
        <is>
          <t xml:space="preserve">        Dióxido de carbono (IRAM 41170)</t>
        </is>
      </c>
      <c r="E537" s="33" t="n">
        <v>5</v>
      </c>
      <c r="F537" s="33" t="inlineStr">
        <is>
          <t>kg</t>
        </is>
      </c>
      <c r="G537" s="34" t="n">
        <v>1</v>
      </c>
      <c r="H537" s="34">
        <f>E537*G537</f>
        <v/>
      </c>
      <c r="I537" s="33" t="inlineStr">
        <is>
          <t>Dióxido de carbono (IRAM 41170)</t>
        </is>
      </c>
      <c r="J537" s="17" t="inlineStr">
        <is>
          <t>nominal 5 kg; tolerancia 0 / -5 % (IRAM 3517-2:2020 tabla 3)</t>
        </is>
      </c>
      <c r="K537" s="33" t="inlineStr">
        <is>
          <t>Compra</t>
        </is>
      </c>
      <c r="L537" s="33" t="inlineStr">
        <is>
          <t>No</t>
        </is>
      </c>
      <c r="M537" s="17" t="n"/>
      <c r="N537" s="17" t="n"/>
      <c r="O537" s="17" t="inlineStr">
        <is>
          <t>SP-1 almacén previo a la carga</t>
        </is>
      </c>
      <c r="P537" s="17" t="inlineStr">
        <is>
          <t>IRAM 41170</t>
        </is>
      </c>
      <c r="Q537" s="33" t="inlineStr">
        <is>
          <t>N</t>
        </is>
      </c>
      <c r="R537" s="33" t="n"/>
      <c r="S537" s="17" t="n"/>
    </row>
    <row r="538">
      <c r="A538" s="30" t="inlineStr">
        <is>
          <t>FL_MAT_CO2_5kg</t>
        </is>
      </c>
      <c r="B538" s="30" t="n">
        <v>1</v>
      </c>
      <c r="C538" s="30" t="inlineStr">
        <is>
          <t>CO25-S6</t>
        </is>
      </c>
      <c r="D538" s="31" t="inlineStr">
        <is>
          <t xml:space="preserve">    Identificación y precinto</t>
        </is>
      </c>
      <c r="E538" s="30" t="n">
        <v>1</v>
      </c>
      <c r="F538" s="30" t="inlineStr">
        <is>
          <t>u</t>
        </is>
      </c>
      <c r="G538" s="32" t="n"/>
      <c r="H538" s="32">
        <f>H539+H540+H541+H542+H543+H544+H545</f>
        <v/>
      </c>
      <c r="I538" s="30" t="n"/>
      <c r="J538" s="31" t="n"/>
      <c r="K538" s="30" t="inlineStr">
        <is>
          <t>Compra</t>
        </is>
      </c>
      <c r="L538" s="30" t="n"/>
      <c r="M538" s="31" t="n"/>
      <c r="N538" s="31" t="n"/>
      <c r="O538" s="31" t="inlineStr">
        <is>
          <t>22 Etiquetado (T07)</t>
        </is>
      </c>
      <c r="P538" s="31" t="n"/>
      <c r="Q538" s="30" t="n"/>
      <c r="R538" s="30" t="n"/>
      <c r="S538" s="31" t="n"/>
    </row>
    <row r="539">
      <c r="A539" s="33" t="inlineStr">
        <is>
          <t>FL_MAT_CO2_5kg</t>
        </is>
      </c>
      <c r="B539" s="33" t="n">
        <v>2</v>
      </c>
      <c r="C539" s="33" t="inlineStr">
        <is>
          <t>CO25-18</t>
        </is>
      </c>
      <c r="D539" s="17" t="inlineStr">
        <is>
          <t xml:space="preserve">        Etiqueta / placa de características</t>
        </is>
      </c>
      <c r="E539" s="33" t="n">
        <v>1</v>
      </c>
      <c r="F539" s="33" t="inlineStr">
        <is>
          <t>u</t>
        </is>
      </c>
      <c r="G539" s="34" t="n">
        <v>0.0257</v>
      </c>
      <c r="H539" s="34">
        <f>E539*G539</f>
        <v/>
      </c>
      <c r="I539" s="33" t="inlineStr">
        <is>
          <t>Vinilo autoadhesivo laminado</t>
        </is>
      </c>
      <c r="J539" s="17" t="inlineStr">
        <is>
          <t>264 × 232 (desarrollo × alto: panel central 108° + 2 alas laterales), e ≈ 0,3, laminado UV</t>
        </is>
      </c>
      <c r="K539" s="33" t="inlineStr">
        <is>
          <t>Compra</t>
        </is>
      </c>
      <c r="L539" s="33" t="inlineStr">
        <is>
          <t>No</t>
        </is>
      </c>
      <c r="M539" s="17" t="n"/>
      <c r="N539" s="17" t="n"/>
      <c r="O539" s="17" t="inlineStr">
        <is>
          <t>22 Etiquetado (T07)</t>
        </is>
      </c>
      <c r="P539" s="17" t="inlineStr">
        <is>
          <t>IRAM 3534 · IRAM 3509 cap. 5 · relevamiento de mercado</t>
        </is>
      </c>
      <c r="Q539" s="33" t="inlineStr">
        <is>
          <t>P</t>
        </is>
      </c>
      <c r="R539" s="33" t="inlineStr">
        <is>
          <t>FL_DES_CO2_5kg</t>
        </is>
      </c>
      <c r="S539" s="17" t="inlineStr">
        <is>
          <t>IRAM 3534</t>
        </is>
      </c>
    </row>
    <row r="540">
      <c r="A540" s="33" t="inlineStr">
        <is>
          <t>FL_MAT_CO2_5kg</t>
        </is>
      </c>
      <c r="B540" s="33" t="n">
        <v>2</v>
      </c>
      <c r="C540" s="33" t="inlineStr">
        <is>
          <t>CO25-19</t>
        </is>
      </c>
      <c r="D540" s="17" t="inlineStr">
        <is>
          <t xml:space="preserve">        Oblea de fabricación (PBA)</t>
        </is>
      </c>
      <c r="E540" s="33" t="n">
        <v>1</v>
      </c>
      <c r="F540" s="33" t="inlineStr">
        <is>
          <t>u</t>
        </is>
      </c>
      <c r="G540" s="34" t="n">
        <v>0.0009</v>
      </c>
      <c r="H540" s="34">
        <f>E540*G540</f>
        <v/>
      </c>
      <c r="I540" s="33" t="inlineStr">
        <is>
          <t>Papel de seguridad autodestructible</t>
        </is>
      </c>
      <c r="J540" s="17" t="inlineStr">
        <is>
          <t>Ø46 (Res. OPDS 522/07), numerada, autodestructible</t>
        </is>
      </c>
      <c r="K540" s="33" t="inlineStr">
        <is>
          <t>Compra</t>
        </is>
      </c>
      <c r="L540" s="33" t="inlineStr">
        <is>
          <t>No</t>
        </is>
      </c>
      <c r="M540" s="17" t="n"/>
      <c r="N540" s="17" t="n"/>
      <c r="O540" s="17" t="inlineStr">
        <is>
          <t>22 Etiquetado (T07)</t>
        </is>
      </c>
      <c r="P540" s="17" t="inlineStr">
        <is>
          <t>Res. OPDS 522/07 anexos 1, 2 y 6</t>
        </is>
      </c>
      <c r="Q540" s="33" t="inlineStr">
        <is>
          <t>P</t>
        </is>
      </c>
      <c r="R540" s="33" t="inlineStr">
        <is>
          <t>FL_DES_CO2_5kg</t>
        </is>
      </c>
      <c r="S540" s="17" t="inlineStr">
        <is>
          <t>Res. 522/07</t>
        </is>
      </c>
    </row>
    <row r="541">
      <c r="A541" s="33" t="inlineStr">
        <is>
          <t>FL_MAT_CO2_5kg</t>
        </is>
      </c>
      <c r="B541" s="33" t="n">
        <v>2</v>
      </c>
      <c r="C541" s="33" t="inlineStr">
        <is>
          <t>CO25-20</t>
        </is>
      </c>
      <c r="D541" s="17" t="inlineStr">
        <is>
          <t xml:space="preserve">        Estampilla IRAM de conformidad</t>
        </is>
      </c>
      <c r="E541" s="33" t="n">
        <v>1</v>
      </c>
      <c r="F541" s="33" t="inlineStr">
        <is>
          <t>u</t>
        </is>
      </c>
      <c r="G541" s="34" t="n">
        <v>0.001</v>
      </c>
      <c r="H541" s="34">
        <f>E541*G541</f>
        <v/>
      </c>
      <c r="I541" s="33" t="inlineStr">
        <is>
          <t>Provista por IRAM (Anexo R)</t>
        </is>
      </c>
      <c r="J541" s="17" t="inlineStr">
        <is>
          <t>60 × 40</t>
        </is>
      </c>
      <c r="K541" s="33" t="inlineStr">
        <is>
          <t>Compra</t>
        </is>
      </c>
      <c r="L541" s="33" t="inlineStr">
        <is>
          <t>No</t>
        </is>
      </c>
      <c r="M541" s="17" t="n"/>
      <c r="N541" s="17" t="n"/>
      <c r="O541" s="17" t="inlineStr">
        <is>
          <t>22 Etiquetado (T07)</t>
        </is>
      </c>
      <c r="P541" s="17" t="inlineStr">
        <is>
          <t>IRAM Anexo R (DC-PG-129)</t>
        </is>
      </c>
      <c r="Q541" s="33" t="inlineStr">
        <is>
          <t>P</t>
        </is>
      </c>
      <c r="R541" s="33" t="inlineStr">
        <is>
          <t>FL_DES_CO2_5kg</t>
        </is>
      </c>
      <c r="S541" s="17" t="inlineStr">
        <is>
          <t>numerada</t>
        </is>
      </c>
    </row>
    <row r="542">
      <c r="A542" s="33" t="inlineStr">
        <is>
          <t>FL_MAT_CO2_5kg</t>
        </is>
      </c>
      <c r="B542" s="33" t="n">
        <v>2</v>
      </c>
      <c r="C542" s="33" t="inlineStr">
        <is>
          <t>CO25-21</t>
        </is>
      </c>
      <c r="D542" s="17" t="inlineStr">
        <is>
          <t xml:space="preserve">        Tarjeta de identificación AGC (CABA)</t>
        </is>
      </c>
      <c r="E542" s="33" t="n">
        <v>1</v>
      </c>
      <c r="F542" s="33" t="inlineStr">
        <is>
          <t>u</t>
        </is>
      </c>
      <c r="G542" s="34" t="n">
        <v>0.0032</v>
      </c>
      <c r="H542" s="34">
        <f>E542*G542</f>
        <v/>
      </c>
      <c r="I542" s="33" t="inlineStr">
        <is>
          <t>Etiqueta autoadhesiva emitida por la AGC</t>
        </is>
      </c>
      <c r="J542" s="17" t="inlineStr">
        <is>
          <t>140 × 55</t>
        </is>
      </c>
      <c r="K542" s="33" t="inlineStr">
        <is>
          <t>Compra</t>
        </is>
      </c>
      <c r="L542" s="33" t="inlineStr">
        <is>
          <t>Sí</t>
        </is>
      </c>
      <c r="M542" s="17" t="inlineStr">
        <is>
          <t>Agencia Gubernamental de Control (CABA)</t>
        </is>
      </c>
      <c r="N542" s="17" t="inlineStr">
        <is>
          <t>-</t>
        </is>
      </c>
      <c r="O542" s="17" t="inlineStr">
        <is>
          <t>22 Etiquetado (T07)</t>
        </is>
      </c>
      <c r="P542" s="17" t="inlineStr">
        <is>
          <t>Ordenanza 40.473 art. 6 · Res. AGC 32/15</t>
        </is>
      </c>
      <c r="Q542" s="33" t="inlineStr">
        <is>
          <t>P</t>
        </is>
      </c>
      <c r="R542" s="33" t="inlineStr">
        <is>
          <t>FL_DES_CO2_5kg</t>
        </is>
      </c>
      <c r="S542" s="17" t="inlineStr">
        <is>
          <t>sólo destino CABA; sólo destino CABA</t>
        </is>
      </c>
    </row>
    <row r="543">
      <c r="A543" s="33" t="inlineStr">
        <is>
          <t>FL_MAT_CO2_5kg</t>
        </is>
      </c>
      <c r="B543" s="33" t="n">
        <v>2</v>
      </c>
      <c r="C543" s="33" t="inlineStr">
        <is>
          <t>CO25-22</t>
        </is>
      </c>
      <c r="D543" s="17" t="inlineStr">
        <is>
          <t xml:space="preserve">        Etiqueta de n° de serie GS1</t>
        </is>
      </c>
      <c r="E543" s="33" t="n">
        <v>1</v>
      </c>
      <c r="F543" s="33" t="inlineStr">
        <is>
          <t>u</t>
        </is>
      </c>
      <c r="G543" s="34" t="n">
        <v>0.0005</v>
      </c>
      <c r="H543" s="34">
        <f>E543*G543</f>
        <v/>
      </c>
      <c r="I543" s="33" t="inlineStr">
        <is>
          <t>Poliéster autoadhesivo impreso térmico</t>
        </is>
      </c>
      <c r="J543" s="17" t="inlineStr">
        <is>
          <t>45 × 25</t>
        </is>
      </c>
      <c r="K543" s="33" t="inlineStr">
        <is>
          <t>Compra</t>
        </is>
      </c>
      <c r="L543" s="33" t="inlineStr">
        <is>
          <t>No</t>
        </is>
      </c>
      <c r="M543" s="17" t="n"/>
      <c r="N543" s="17" t="n"/>
      <c r="O543" s="17" t="inlineStr">
        <is>
          <t>22 Etiquetado (T07)</t>
        </is>
      </c>
      <c r="P543" s="17" t="inlineStr">
        <is>
          <t>GS1 Argentina (GTIN 779) · trazabilidad IRAM 3523 5.1</t>
        </is>
      </c>
      <c r="Q543" s="33" t="inlineStr">
        <is>
          <t>P</t>
        </is>
      </c>
      <c r="R543" s="33" t="inlineStr">
        <is>
          <t>FL_DES_CO2_5kg</t>
        </is>
      </c>
      <c r="S543" s="17" t="inlineStr">
        <is>
          <t>QR GTIN + serie</t>
        </is>
      </c>
    </row>
    <row r="544">
      <c r="A544" s="33" t="inlineStr">
        <is>
          <t>FL_MAT_CO2_5kg</t>
        </is>
      </c>
      <c r="B544" s="33" t="n">
        <v>2</v>
      </c>
      <c r="C544" s="33" t="inlineStr">
        <is>
          <t>CO25-24</t>
        </is>
      </c>
      <c r="D544" s="17" t="inlineStr">
        <is>
          <t xml:space="preserve">        Faja de garantía válvula-cuello</t>
        </is>
      </c>
      <c r="E544" s="33" t="n">
        <v>1</v>
      </c>
      <c r="F544" s="33" t="inlineStr">
        <is>
          <t>u</t>
        </is>
      </c>
      <c r="G544" s="34" t="n">
        <v>0.0003</v>
      </c>
      <c r="H544" s="34">
        <f>E544*G544</f>
        <v/>
      </c>
      <c r="I544" s="33" t="inlineStr">
        <is>
          <t>Vinilo destructible rayado rojo/blanco</t>
        </is>
      </c>
      <c r="J544" s="17" t="inlineStr">
        <is>
          <t>30 × 40</t>
        </is>
      </c>
      <c r="K544" s="33" t="inlineStr">
        <is>
          <t>Compra</t>
        </is>
      </c>
      <c r="L544" s="33" t="inlineStr">
        <is>
          <t>No</t>
        </is>
      </c>
      <c r="M544" s="17" t="n"/>
      <c r="N544" s="17" t="n"/>
      <c r="O544" s="17" t="inlineStr">
        <is>
          <t>22 Etiquetado (T07)</t>
        </is>
      </c>
      <c r="P544" s="17" t="inlineStr">
        <is>
          <t>Sin norma: práctica de mercado (garantía de fábrica)</t>
        </is>
      </c>
      <c r="Q544" s="33" t="inlineStr">
        <is>
          <t>P</t>
        </is>
      </c>
      <c r="R544" s="33" t="inlineStr">
        <is>
          <t>FL_DES_CO2_5kg</t>
        </is>
      </c>
      <c r="S544" s="17" t="inlineStr">
        <is>
          <t>nuevo sin abrir</t>
        </is>
      </c>
    </row>
    <row r="545">
      <c r="A545" s="33" t="inlineStr">
        <is>
          <t>FL_MAT_CO2_5kg</t>
        </is>
      </c>
      <c r="B545" s="33" t="n">
        <v>2</v>
      </c>
      <c r="C545" s="33" t="inlineStr">
        <is>
          <t>CO25-25</t>
        </is>
      </c>
      <c r="D545" s="17" t="inlineStr">
        <is>
          <t xml:space="preserve">        Precinto de fábrica</t>
        </is>
      </c>
      <c r="E545" s="33" t="n">
        <v>1</v>
      </c>
      <c r="F545" s="33" t="inlineStr">
        <is>
          <t>u</t>
        </is>
      </c>
      <c r="G545" s="34" t="n">
        <v>0.0002</v>
      </c>
      <c r="H545" s="34">
        <f>E545*G545</f>
        <v/>
      </c>
      <c r="I545" s="33" t="inlineStr">
        <is>
          <t>Polipropileno color</t>
        </is>
      </c>
      <c r="J545" s="17" t="inlineStr">
        <is>
          <t>Ø5 × 10, numerado, rotura 30-50 N</t>
        </is>
      </c>
      <c r="K545" s="33" t="inlineStr">
        <is>
          <t>Compra</t>
        </is>
      </c>
      <c r="L545" s="33" t="inlineStr">
        <is>
          <t>No</t>
        </is>
      </c>
      <c r="M545" s="17" t="n"/>
      <c r="N545" s="17" t="n"/>
      <c r="O545" s="17" t="inlineStr">
        <is>
          <t>20 Presurización (T05)</t>
        </is>
      </c>
      <c r="P545" s="17" t="inlineStr">
        <is>
          <t>IRAM 3523 3.3.2 · IRAM 3517-2:2020 9.4.13</t>
        </is>
      </c>
      <c r="Q545" s="33" t="inlineStr">
        <is>
          <t>P</t>
        </is>
      </c>
      <c r="R545" s="33" t="inlineStr">
        <is>
          <t>FL_DES_CO2_5kg</t>
        </is>
      </c>
      <c r="S545" s="17" t="inlineStr">
        <is>
          <t>id. FLAMA y lote</t>
        </is>
      </c>
    </row>
    <row r="546">
      <c r="A546" s="30" t="inlineStr">
        <is>
          <t>FL_MAT_CO2_5kg</t>
        </is>
      </c>
      <c r="B546" s="30" t="n">
        <v>1</v>
      </c>
      <c r="C546" s="30" t="inlineStr">
        <is>
          <t>CO25-S8</t>
        </is>
      </c>
      <c r="D546" s="31" t="inlineStr">
        <is>
          <t xml:space="preserve">    Soporte (accesorio de montaje)</t>
        </is>
      </c>
      <c r="E546" s="30" t="n">
        <v>1</v>
      </c>
      <c r="F546" s="30" t="inlineStr">
        <is>
          <t>u</t>
        </is>
      </c>
      <c r="G546" s="32" t="n"/>
      <c r="H546" s="32">
        <f>H547</f>
        <v/>
      </c>
      <c r="I546" s="30" t="n"/>
      <c r="J546" s="31" t="n"/>
      <c r="K546" s="30" t="inlineStr">
        <is>
          <t>Compra</t>
        </is>
      </c>
      <c r="L546" s="30" t="n"/>
      <c r="M546" s="31" t="n"/>
      <c r="N546" s="31" t="n"/>
      <c r="O546" s="31" t="inlineStr">
        <is>
          <t>23 Embalaje (va dentro de la caja)</t>
        </is>
      </c>
      <c r="P546" s="31" t="inlineStr">
        <is>
          <t>IRAM 3517-2 7.4</t>
        </is>
      </c>
      <c r="Q546" s="30" t="n"/>
      <c r="R546" s="30" t="n"/>
      <c r="S546" s="31" t="n"/>
    </row>
    <row r="547">
      <c r="A547" s="33" t="inlineStr">
        <is>
          <t>FL_MAT_CO2_5kg</t>
        </is>
      </c>
      <c r="B547" s="33" t="n">
        <v>2</v>
      </c>
      <c r="C547" s="33" t="inlineStr">
        <is>
          <t>CO25-I5</t>
        </is>
      </c>
      <c r="D547" s="17" t="inlineStr">
        <is>
          <t xml:space="preserve">        Soporte de pared (FL_ACC_01)</t>
        </is>
      </c>
      <c r="E547" s="33" t="n">
        <v>1</v>
      </c>
      <c r="F547" s="33" t="inlineStr">
        <is>
          <t>u</t>
        </is>
      </c>
      <c r="G547" s="34" t="n">
        <v>0.283</v>
      </c>
      <c r="H547" s="34">
        <f>E547*G547</f>
        <v/>
      </c>
      <c r="I547" s="33" t="inlineStr">
        <is>
          <t>Chapa acero SAE 1010 e=2 pintada</t>
        </is>
      </c>
      <c r="J547" s="17" t="inlineStr">
        <is>
          <t>placa 60 × 180, ala con ranura Ø cuello + 3</t>
        </is>
      </c>
      <c r="K547" s="33" t="inlineStr">
        <is>
          <t>Compra</t>
        </is>
      </c>
      <c r="L547" s="33" t="inlineStr">
        <is>
          <t>No</t>
        </is>
      </c>
      <c r="M547" s="17" t="n"/>
      <c r="N547" s="17" t="n"/>
      <c r="O547" s="17" t="inlineStr">
        <is>
          <t>23 Embalaje</t>
        </is>
      </c>
      <c r="P547" s="17" t="inlineStr">
        <is>
          <t>IRAM 3517-2 7.4</t>
        </is>
      </c>
      <c r="Q547" s="33" t="inlineStr">
        <is>
          <t>P</t>
        </is>
      </c>
      <c r="R547" s="33" t="inlineStr">
        <is>
          <t>FL_ACC_01</t>
        </is>
      </c>
      <c r="S547" s="17" t="n"/>
    </row>
    <row r="548">
      <c r="A548" s="33" t="inlineStr">
        <is>
          <t>FL_MAT_CO2_5kg</t>
        </is>
      </c>
      <c r="B548" s="33" t="n">
        <v>2</v>
      </c>
      <c r="C548" s="33" t="inlineStr">
        <is>
          <t>CO25-I6</t>
        </is>
      </c>
      <c r="D548" s="17" t="inlineStr">
        <is>
          <t xml:space="preserve">        Tornillo y tarugo de fijación</t>
        </is>
      </c>
      <c r="E548" s="33" t="n">
        <v>2</v>
      </c>
      <c r="F548" s="33" t="inlineStr">
        <is>
          <t>u</t>
        </is>
      </c>
      <c r="G548" s="34" t="n"/>
      <c r="H548" s="34" t="n"/>
      <c r="I548" s="33" t="inlineStr">
        <is>
          <t>Acero cincado / nylon</t>
        </is>
      </c>
      <c r="J548" s="17" t="inlineStr">
        <is>
          <t>2 agujeros Ø8,5 del plano FL_ACC_01 → tornillo M8 + tarugo</t>
        </is>
      </c>
      <c r="K548" s="33" t="inlineStr">
        <is>
          <t>Compra</t>
        </is>
      </c>
      <c r="L548" s="33" t="inlineStr">
        <is>
          <t>No</t>
        </is>
      </c>
      <c r="M548" s="17" t="n"/>
      <c r="N548" s="17" t="n"/>
      <c r="O548" s="17" t="inlineStr">
        <is>
          <t>23 Embalaje</t>
        </is>
      </c>
      <c r="P548" s="17" t="n"/>
      <c r="Q548" s="33" t="inlineStr">
        <is>
          <t>P</t>
        </is>
      </c>
      <c r="R548" s="33" t="inlineStr">
        <is>
          <t>FL_ACC_01</t>
        </is>
      </c>
      <c r="S548" s="17" t="n"/>
    </row>
    <row r="549">
      <c r="A549" s="30" t="inlineStr">
        <is>
          <t>FL_MAT_CO2_5kg</t>
        </is>
      </c>
      <c r="B549" s="30" t="n">
        <v>1</v>
      </c>
      <c r="C549" s="30" t="inlineStr">
        <is>
          <t>CO25-S7</t>
        </is>
      </c>
      <c r="D549" s="31" t="inlineStr">
        <is>
          <t xml:space="preserve">    Embalaje</t>
        </is>
      </c>
      <c r="E549" s="30" t="n">
        <v>1</v>
      </c>
      <c r="F549" s="30" t="inlineStr">
        <is>
          <t>u</t>
        </is>
      </c>
      <c r="G549" s="32" t="n"/>
      <c r="H549" s="32">
        <f>H553</f>
        <v/>
      </c>
      <c r="I549" s="30" t="n"/>
      <c r="J549" s="31" t="n"/>
      <c r="K549" s="30" t="inlineStr">
        <is>
          <t>Compra</t>
        </is>
      </c>
      <c r="L549" s="30" t="n"/>
      <c r="M549" s="31" t="n"/>
      <c r="N549" s="31" t="n"/>
      <c r="O549" s="31" t="inlineStr">
        <is>
          <t>23 Embalaje -&gt; 24 envolvedora (T11)</t>
        </is>
      </c>
      <c r="P549" s="31" t="n"/>
      <c r="Q549" s="30" t="n"/>
      <c r="R549" s="30" t="n"/>
      <c r="S549" s="31" t="n"/>
    </row>
    <row r="550">
      <c r="A550" s="33" t="inlineStr">
        <is>
          <t>FL_MAT_CO2_5kg</t>
        </is>
      </c>
      <c r="B550" s="33" t="n">
        <v>2</v>
      </c>
      <c r="C550" s="33" t="inlineStr">
        <is>
          <t>CO25-E1</t>
        </is>
      </c>
      <c r="D550" s="17" t="inlineStr">
        <is>
          <t xml:space="preserve">        Caja de cartón corrugado doble</t>
        </is>
      </c>
      <c r="E550" s="33" t="n">
        <v>1</v>
      </c>
      <c r="F550" s="33" t="inlineStr">
        <is>
          <t>u</t>
        </is>
      </c>
      <c r="G550" s="34" t="n"/>
      <c r="H550" s="34" t="n"/>
      <c r="I550" s="33" t="inlineStr">
        <is>
          <t>Cartón corrugado</t>
        </is>
      </c>
      <c r="J550" s="17" t="inlineStr">
        <is>
          <t>340 × 173 × 810 interior (envolvente del plano + 15 por lado)</t>
        </is>
      </c>
      <c r="K550" s="33" t="inlineStr">
        <is>
          <t>Compra</t>
        </is>
      </c>
      <c r="L550" s="33" t="inlineStr">
        <is>
          <t>No</t>
        </is>
      </c>
      <c r="M550" s="17" t="n"/>
      <c r="N550" s="17" t="n"/>
      <c r="O550" s="17" t="inlineStr">
        <is>
          <t>23 Embalaje</t>
        </is>
      </c>
      <c r="P550" s="17" t="n"/>
      <c r="Q550" s="33" t="inlineStr">
        <is>
          <t>P</t>
        </is>
      </c>
      <c r="R550" s="33" t="n"/>
      <c r="S550" s="17" t="inlineStr">
        <is>
          <t>Medida del plano</t>
        </is>
      </c>
    </row>
    <row r="551">
      <c r="A551" s="33" t="inlineStr">
        <is>
          <t>FL_MAT_CO2_5kg</t>
        </is>
      </c>
      <c r="B551" s="33" t="n">
        <v>2</v>
      </c>
      <c r="C551" s="33" t="inlineStr">
        <is>
          <t>CO25-E2</t>
        </is>
      </c>
      <c r="D551" s="17" t="inlineStr">
        <is>
          <t xml:space="preserve">        Instructivo de uso y mantenimiento</t>
        </is>
      </c>
      <c r="E551" s="33" t="n">
        <v>1</v>
      </c>
      <c r="F551" s="33" t="inlineStr">
        <is>
          <t>u</t>
        </is>
      </c>
      <c r="G551" s="34" t="n"/>
      <c r="H551" s="34" t="n"/>
      <c r="I551" s="33" t="inlineStr">
        <is>
          <t>Papel</t>
        </is>
      </c>
      <c r="J551" s="17" t="inlineStr">
        <is>
          <t>A5</t>
        </is>
      </c>
      <c r="K551" s="33" t="inlineStr">
        <is>
          <t>Compra</t>
        </is>
      </c>
      <c r="L551" s="33" t="inlineStr">
        <is>
          <t>No</t>
        </is>
      </c>
      <c r="M551" s="17" t="n"/>
      <c r="N551" s="17" t="n"/>
      <c r="O551" s="17" t="inlineStr">
        <is>
          <t>23 Embalaje</t>
        </is>
      </c>
      <c r="P551" s="17" t="n"/>
      <c r="Q551" s="33" t="inlineStr">
        <is>
          <t>I</t>
        </is>
      </c>
      <c r="R551" s="33" t="n"/>
      <c r="S551" s="17" t="inlineStr">
        <is>
          <t>Decisión comercial de FLAMA (las instrucciones de uso obligatorias van en la etiqueta, IRAM 3534)</t>
        </is>
      </c>
    </row>
    <row r="552">
      <c r="A552" s="33" t="inlineStr">
        <is>
          <t>FL_MAT_CO2_5kg</t>
        </is>
      </c>
      <c r="B552" s="33" t="n">
        <v>2</v>
      </c>
      <c r="C552" s="33" t="inlineStr">
        <is>
          <t>CO25-E3</t>
        </is>
      </c>
      <c r="D552" s="17" t="inlineStr">
        <is>
          <t xml:space="preserve">        Pallet 1200 × 1000 (fracción)</t>
        </is>
      </c>
      <c r="E552" s="33" t="n">
        <v>0.0667</v>
      </c>
      <c r="F552" s="33" t="inlineStr">
        <is>
          <t>u</t>
        </is>
      </c>
      <c r="G552" s="34" t="n"/>
      <c r="H552" s="34" t="n"/>
      <c r="I552" s="33" t="inlineStr">
        <is>
          <t>Madera</t>
        </is>
      </c>
      <c r="J552" s="17" t="inlineStr">
        <is>
          <t>15 u por pallet</t>
        </is>
      </c>
      <c r="K552" s="33" t="inlineStr">
        <is>
          <t>Compra</t>
        </is>
      </c>
      <c r="L552" s="33" t="inlineStr">
        <is>
          <t>No</t>
        </is>
      </c>
      <c r="M552" s="17" t="n"/>
      <c r="N552" s="17" t="n"/>
      <c r="O552" s="17" t="inlineStr">
        <is>
          <t>23 Embalaje</t>
        </is>
      </c>
      <c r="P552" s="17" t="n"/>
      <c r="Q552" s="33" t="inlineStr">
        <is>
          <t>C</t>
        </is>
      </c>
      <c r="R552" s="33" t="n"/>
      <c r="S552" s="17" t="inlineStr">
        <is>
          <t>u por pallet = acomodo de la caja (plano) en 1200 × 1000 × 1450 de alto</t>
        </is>
      </c>
    </row>
    <row r="553">
      <c r="A553" s="33" t="inlineStr">
        <is>
          <t>FL_MAT_CO2_5kg</t>
        </is>
      </c>
      <c r="B553" s="33" t="n">
        <v>2</v>
      </c>
      <c r="C553" s="33" t="inlineStr">
        <is>
          <t>CO25-E4</t>
        </is>
      </c>
      <c r="D553" s="17" t="inlineStr">
        <is>
          <t xml:space="preserve">        Film stretch (fracción del pallet)</t>
        </is>
      </c>
      <c r="E553" s="33" t="n">
        <v>0.008</v>
      </c>
      <c r="F553" s="33" t="inlineStr">
        <is>
          <t>kg</t>
        </is>
      </c>
      <c r="G553" s="34" t="n">
        <v>1</v>
      </c>
      <c r="H553" s="34">
        <f>E553*G553</f>
        <v/>
      </c>
      <c r="I553" s="33" t="inlineStr">
        <is>
          <t>PE lineal 23 µm</t>
        </is>
      </c>
      <c r="J553" s="17" t="inlineStr">
        <is>
          <t>0,12 kg por pallet / 15 u</t>
        </is>
      </c>
      <c r="K553" s="33" t="inlineStr">
        <is>
          <t>Compra</t>
        </is>
      </c>
      <c r="L553" s="33" t="inlineStr">
        <is>
          <t>No</t>
        </is>
      </c>
      <c r="M553" s="17" t="n"/>
      <c r="N553" s="17" t="n"/>
      <c r="O553" s="17" t="inlineStr">
        <is>
          <t>24 Envolvedora (T11)</t>
        </is>
      </c>
      <c r="P553" s="17" t="n"/>
      <c r="Q553" s="33" t="inlineStr">
        <is>
          <t>C</t>
        </is>
      </c>
      <c r="R553" s="33" t="n"/>
      <c r="S5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54">
      <c r="A554" s="33" t="inlineStr">
        <is>
          <t>FL_MAT_CO2_5kg</t>
        </is>
      </c>
      <c r="B554" s="33" t="n">
        <v>2</v>
      </c>
      <c r="C554" s="33" t="inlineStr">
        <is>
          <t>CO25-E5</t>
        </is>
      </c>
      <c r="D554" s="17" t="inlineStr">
        <is>
          <t xml:space="preserve">        Etiqueta de pallet (lote y destino, fracción)</t>
        </is>
      </c>
      <c r="E554" s="33" t="n">
        <v>0.0667</v>
      </c>
      <c r="F554" s="33" t="inlineStr">
        <is>
          <t>u</t>
        </is>
      </c>
      <c r="G554" s="34" t="n"/>
      <c r="H554" s="34" t="n"/>
      <c r="I554" s="33" t="inlineStr">
        <is>
          <t>Papel térmico</t>
        </is>
      </c>
      <c r="J554" s="17" t="inlineStr">
        <is>
          <t>100 × 150</t>
        </is>
      </c>
      <c r="K554" s="33" t="inlineStr">
        <is>
          <t>Compra</t>
        </is>
      </c>
      <c r="L554" s="33" t="inlineStr">
        <is>
          <t>No</t>
        </is>
      </c>
      <c r="M554" s="17" t="n"/>
      <c r="N554" s="17" t="n"/>
      <c r="O554" s="17" t="inlineStr">
        <is>
          <t>24 Envolvedora</t>
        </is>
      </c>
      <c r="P554" s="17" t="n"/>
      <c r="Q554" s="33" t="inlineStr">
        <is>
          <t>C</t>
        </is>
      </c>
      <c r="R554" s="33" t="n"/>
      <c r="S554" s="17" t="n"/>
    </row>
    <row r="555">
      <c r="A555" s="33" t="inlineStr">
        <is>
          <t>FL_MAT_CO2_5kg</t>
        </is>
      </c>
      <c r="B555" s="33" t="n">
        <v>2</v>
      </c>
      <c r="C555" s="33" t="inlineStr">
        <is>
          <t>CO25-E6</t>
        </is>
      </c>
      <c r="D555" s="17" t="inlineStr">
        <is>
          <t xml:space="preserve">        Cinta de embalaje PP 48 mm (cierre de la caja)</t>
        </is>
      </c>
      <c r="E555" s="33" t="n">
        <v>0.96</v>
      </c>
      <c r="F555" s="33" t="inlineStr">
        <is>
          <t>m</t>
        </is>
      </c>
      <c r="G555" s="34" t="n"/>
      <c r="H555" s="34" t="n"/>
      <c r="I555" s="33" t="inlineStr">
        <is>
          <t>Polipropileno con adhesivo acrílico</t>
        </is>
      </c>
      <c r="J555" s="17" t="inlineStr">
        <is>
          <t>cierre en I arriba y abajo: 2 × (340 + 2 × 70 de solapa)</t>
        </is>
      </c>
      <c r="K555" s="33" t="inlineStr">
        <is>
          <t>Compra</t>
        </is>
      </c>
      <c r="L555" s="33" t="inlineStr">
        <is>
          <t>No</t>
        </is>
      </c>
      <c r="M555" s="17" t="n"/>
      <c r="N555" s="17" t="n"/>
      <c r="O555" s="17" t="inlineStr">
        <is>
          <t>23 Embalaje</t>
        </is>
      </c>
      <c r="P555" s="17" t="n"/>
      <c r="Q555" s="33" t="inlineStr">
        <is>
          <t>C</t>
        </is>
      </c>
      <c r="R555" s="33" t="n"/>
      <c r="S555" s="17" t="inlineStr">
        <is>
          <t>Solapa de 70 mm por lado: práctica de cierre de cajas (medir en la línea)</t>
        </is>
      </c>
    </row>
    <row r="556">
      <c r="A556" s="33" t="inlineStr">
        <is>
          <t>FL_MAT_CO2_5kg</t>
        </is>
      </c>
      <c r="B556" s="33" t="n">
        <v>2</v>
      </c>
      <c r="C556" s="33" t="inlineStr">
        <is>
          <t>CO25-E7</t>
        </is>
      </c>
      <c r="D556" s="17" t="inlineStr">
        <is>
          <t xml:space="preserve">        Esquineros de cartón 50 × 50 × 1200 (fracción del pallet)</t>
        </is>
      </c>
      <c r="E556" s="33" t="n">
        <v>0.2667</v>
      </c>
      <c r="F556" s="33" t="inlineStr">
        <is>
          <t>u</t>
        </is>
      </c>
      <c r="G556" s="34" t="n"/>
      <c r="H556" s="34" t="n"/>
      <c r="I556" s="33" t="inlineStr">
        <is>
          <t>Cartón</t>
        </is>
      </c>
      <c r="J556" s="17" t="inlineStr">
        <is>
          <t>4 por pallet / 15 u</t>
        </is>
      </c>
      <c r="K556" s="33" t="inlineStr">
        <is>
          <t>Compra</t>
        </is>
      </c>
      <c r="L556" s="33" t="inlineStr">
        <is>
          <t>No</t>
        </is>
      </c>
      <c r="M556" s="17" t="n"/>
      <c r="N556" s="17" t="n"/>
      <c r="O556" s="17" t="inlineStr">
        <is>
          <t>24 Envolvedora (T11)</t>
        </is>
      </c>
      <c r="P556" s="17" t="n"/>
      <c r="Q556" s="33" t="inlineStr">
        <is>
          <t>C</t>
        </is>
      </c>
      <c r="R556" s="33" t="n"/>
      <c r="S556" s="17" t="inlineStr">
        <is>
          <t>Planilla MP-64</t>
        </is>
      </c>
    </row>
    <row r="557">
      <c r="A557" s="27" t="inlineStr">
        <is>
          <t>FL_MAT_HCFC-HFC_5kg</t>
        </is>
      </c>
      <c r="B557" s="27" t="n">
        <v>0</v>
      </c>
      <c r="C557" s="27" t="inlineStr">
        <is>
          <t>FL_MAT_HCFC-HFC_5kg</t>
        </is>
      </c>
      <c r="D557" s="28" t="inlineStr">
        <is>
          <t>Extintor HCFC/HFC 5 kg</t>
        </is>
      </c>
      <c r="E557" s="27" t="n">
        <v>1</v>
      </c>
      <c r="F557" s="27" t="inlineStr">
        <is>
          <t>u</t>
        </is>
      </c>
      <c r="G557" s="29" t="n"/>
      <c r="H557" s="29" t="n"/>
      <c r="I557" s="27" t="n"/>
      <c r="J557" s="28" t="n"/>
      <c r="K557" s="27" t="n"/>
      <c r="L557" s="27" t="n"/>
      <c r="M557" s="28" t="n"/>
      <c r="N557" s="28" t="n"/>
      <c r="O557" s="28" t="n"/>
      <c r="P557" s="28" t="inlineStr">
        <is>
          <t>IRAM 3504</t>
        </is>
      </c>
      <c r="Q557" s="27" t="inlineStr">
        <is>
          <t>P</t>
        </is>
      </c>
      <c r="R557" s="27" t="inlineStr">
        <is>
          <t>FL_MAT_HCFC-HFC_5kg</t>
        </is>
      </c>
      <c r="S557" s="28" t="inlineStr">
        <is>
          <t>Revendido: se compra terminado al fabricante con Sello IRAM; las piezas internas quedan como referencia (no entran en MRP)</t>
        </is>
      </c>
    </row>
    <row r="558">
      <c r="A558" s="30" t="inlineStr">
        <is>
          <t>FL_MAT_HCFC-HFC_5kg</t>
        </is>
      </c>
      <c r="B558" s="30" t="n">
        <v>1</v>
      </c>
      <c r="C558" s="30" t="inlineStr">
        <is>
          <t>HCFCHFC5-S0</t>
        </is>
      </c>
      <c r="D558" s="31" t="inlineStr">
        <is>
          <t xml:space="preserve">    Equipo terminado comprado (fabricante con Sello IRAM)</t>
        </is>
      </c>
      <c r="E558" s="30" t="n">
        <v>1</v>
      </c>
      <c r="F558" s="30" t="inlineStr">
        <is>
          <t>u</t>
        </is>
      </c>
      <c r="G558" s="32" t="n"/>
      <c r="H558" s="32" t="n"/>
      <c r="I558" s="30" t="n"/>
      <c r="J558" s="31" t="n"/>
      <c r="K558" s="30" t="inlineStr">
        <is>
          <t>Compra</t>
        </is>
      </c>
      <c r="L558" s="30" t="inlineStr">
        <is>
          <t>Sí</t>
        </is>
      </c>
      <c r="M558" s="31" t="inlineStr">
        <is>
          <t>Matafuegos Georgia - venta mayorista</t>
        </is>
      </c>
      <c r="N558" s="31" t="inlineStr">
        <is>
          <t>Melisam</t>
        </is>
      </c>
      <c r="O558" s="31" t="inlineStr">
        <is>
          <t>Recepción y control de ingreso (SP-1)</t>
        </is>
      </c>
      <c r="P558" s="31" t="inlineStr">
        <is>
          <t>IRAM 3504</t>
        </is>
      </c>
      <c r="Q558" s="30" t="inlineStr">
        <is>
          <t>I</t>
        </is>
      </c>
      <c r="R558" s="30" t="inlineStr">
        <is>
          <t>FL_MAT_HCFC-HFC_5kg</t>
        </is>
      </c>
      <c r="S558" s="31" t="inlineStr">
        <is>
          <t>Única fila de compra del revendido (más la tarjeta AGC si el destino es CABA)</t>
        </is>
      </c>
    </row>
    <row r="559">
      <c r="A559" s="30" t="inlineStr">
        <is>
          <t>FL_MAT_HCFC-HFC_5kg</t>
        </is>
      </c>
      <c r="B559" s="30" t="n">
        <v>1</v>
      </c>
      <c r="C559" s="30" t="inlineStr">
        <is>
          <t>HCFCHFC5-S1</t>
        </is>
      </c>
      <c r="D559" s="31" t="inlineStr">
        <is>
          <t xml:space="preserve">    Recipiente (cilindro)</t>
        </is>
      </c>
      <c r="E559" s="30" t="n">
        <v>1</v>
      </c>
      <c r="F559" s="30" t="inlineStr">
        <is>
          <t>u</t>
        </is>
      </c>
      <c r="G559" s="32" t="n"/>
      <c r="H559" s="32">
        <f>H560+H561+H562+H563</f>
        <v/>
      </c>
      <c r="I559" s="30" t="n"/>
      <c r="J559" s="31" t="n"/>
      <c r="K559" s="30" t="inlineStr">
        <is>
          <t>Compra / armado</t>
        </is>
      </c>
      <c r="L559" s="30" t="n"/>
      <c r="M559" s="31" t="n"/>
      <c r="N559" s="31" t="n"/>
      <c r="O559" s="31" t="n"/>
      <c r="P559" s="31" t="inlineStr">
        <is>
          <t>IRAM 3523 / 3550 (recipiente)</t>
        </is>
      </c>
      <c r="Q559" s="30" t="inlineStr">
        <is>
          <t>P</t>
        </is>
      </c>
      <c r="R559" s="30" t="inlineStr">
        <is>
          <t>FL_DES_HCFC-HFC_5kg</t>
        </is>
      </c>
      <c r="S559" s="31" t="n"/>
    </row>
    <row r="560">
      <c r="A560" s="33" t="inlineStr">
        <is>
          <t>FL_MAT_HCFC-HFC_5kg</t>
        </is>
      </c>
      <c r="B560" s="33" t="n">
        <v>2</v>
      </c>
      <c r="C560" s="33" t="inlineStr">
        <is>
          <t>HCFCHFC5-01</t>
        </is>
      </c>
      <c r="D560" s="17" t="inlineStr">
        <is>
          <t xml:space="preserve">        Cuerpo (virola)</t>
        </is>
      </c>
      <c r="E560" s="33" t="n">
        <v>1</v>
      </c>
      <c r="F560" s="33" t="inlineStr">
        <is>
          <t>u</t>
        </is>
      </c>
      <c r="G560" s="34" t="n">
        <v>1.9203</v>
      </c>
      <c r="H560" s="34">
        <f>E560*G560</f>
        <v/>
      </c>
      <c r="I560" s="33" t="inlineStr">
        <is>
          <t>Chapa LAF IRAM-IAS U 500-05 e=1,6</t>
        </is>
      </c>
      <c r="J560" s="17" t="inlineStr">
        <is>
          <t>Ø153 × e1,6 × 321,4 de alto; desarrollo 475,6 × 321,4</t>
        </is>
      </c>
      <c r="K560" s="33" t="inlineStr">
        <is>
          <t>Compra (en el conjunto)</t>
        </is>
      </c>
      <c r="L560" s="33" t="inlineStr">
        <is>
          <t>No</t>
        </is>
      </c>
      <c r="M560" s="17" t="n"/>
      <c r="N560" s="17" t="n"/>
      <c r="O560" s="17" t="inlineStr">
        <is>
          <t>S4 - se compra terminado (tercerizado con sello IRAM)</t>
        </is>
      </c>
      <c r="P560" s="17" t="n"/>
      <c r="Q560" s="33" t="inlineStr">
        <is>
          <t>P</t>
        </is>
      </c>
      <c r="R560" s="33" t="inlineStr">
        <is>
          <t>FL_DES_HCFC-HFC_5kg</t>
        </is>
      </c>
      <c r="S560" s="17" t="inlineStr">
        <is>
          <t>costura long. MAG</t>
        </is>
      </c>
    </row>
    <row r="561">
      <c r="A561" s="33" t="inlineStr">
        <is>
          <t>FL_MAT_HCFC-HFC_5kg</t>
        </is>
      </c>
      <c r="B561" s="33" t="n">
        <v>2</v>
      </c>
      <c r="C561" s="33" t="inlineStr">
        <is>
          <t>HCFCHFC5-02</t>
        </is>
      </c>
      <c r="D561" s="17" t="inlineStr">
        <is>
          <t xml:space="preserve">        Cúpula</t>
        </is>
      </c>
      <c r="E561" s="33" t="n">
        <v>1</v>
      </c>
      <c r="F561" s="33" t="inlineStr">
        <is>
          <t>u</t>
        </is>
      </c>
      <c r="G561" s="34" t="n">
        <v>0.3505</v>
      </c>
      <c r="H561" s="34">
        <f>E561*G561</f>
        <v/>
      </c>
      <c r="I561" s="33" t="inlineStr">
        <is>
          <t>Chapa LAF IRAM-IAS U 500-05 e=1,6</t>
        </is>
      </c>
      <c r="J561" s="17" t="inlineStr">
        <is>
          <t>Ø153 × e1,6 × 53,1 de alto; disco Ø221</t>
        </is>
      </c>
      <c r="K561" s="33" t="inlineStr">
        <is>
          <t>Compra (en el conjunto)</t>
        </is>
      </c>
      <c r="L561" s="33" t="inlineStr">
        <is>
          <t>No</t>
        </is>
      </c>
      <c r="M561" s="17" t="n"/>
      <c r="N561" s="17" t="n"/>
      <c r="O561" s="17" t="inlineStr">
        <is>
          <t>S4 - se compra terminado (tercerizado con sello IRAM)</t>
        </is>
      </c>
      <c r="P561" s="17" t="n"/>
      <c r="Q561" s="33" t="inlineStr">
        <is>
          <t>P</t>
        </is>
      </c>
      <c r="R561" s="33" t="inlineStr">
        <is>
          <t>FL_DES_HCFC-HFC_5kg</t>
        </is>
      </c>
      <c r="S561" s="17" t="inlineStr">
        <is>
          <t>embutida</t>
        </is>
      </c>
    </row>
    <row r="562">
      <c r="A562" s="33" t="inlineStr">
        <is>
          <t>FL_MAT_HCFC-HFC_5kg</t>
        </is>
      </c>
      <c r="B562" s="33" t="n">
        <v>2</v>
      </c>
      <c r="C562" s="33" t="inlineStr">
        <is>
          <t>HCFCHFC5-03</t>
        </is>
      </c>
      <c r="D562" s="17" t="inlineStr">
        <is>
          <t xml:space="preserve">        Fondo</t>
        </is>
      </c>
      <c r="E562" s="33" t="n">
        <v>1</v>
      </c>
      <c r="F562" s="33" t="inlineStr">
        <is>
          <t>u</t>
        </is>
      </c>
      <c r="G562" s="34" t="n">
        <v>0.2214</v>
      </c>
      <c r="H562" s="34">
        <f>E562*G562</f>
        <v/>
      </c>
      <c r="I562" s="33" t="inlineStr">
        <is>
          <t>Chapa LAF IRAM-IAS U 500-05 e=1,6</t>
        </is>
      </c>
      <c r="J562" s="17" t="inlineStr">
        <is>
          <t>Ø153 × e1,6 × 17,6 de alto; disco Ø177</t>
        </is>
      </c>
      <c r="K562" s="33" t="inlineStr">
        <is>
          <t>Compra (en el conjunto)</t>
        </is>
      </c>
      <c r="L562" s="33" t="inlineStr">
        <is>
          <t>No</t>
        </is>
      </c>
      <c r="M562" s="17" t="n"/>
      <c r="N562" s="17" t="n"/>
      <c r="O562" s="17" t="inlineStr">
        <is>
          <t>S4 - se compra terminado (tercerizado con sello IRAM)</t>
        </is>
      </c>
      <c r="P562" s="17" t="n"/>
      <c r="Q562" s="33" t="inlineStr">
        <is>
          <t>P</t>
        </is>
      </c>
      <c r="R562" s="33" t="inlineStr">
        <is>
          <t>FL_DES_HCFC-HFC_5kg</t>
        </is>
      </c>
      <c r="S562" s="17" t="inlineStr">
        <is>
          <t>embutido</t>
        </is>
      </c>
    </row>
    <row r="563">
      <c r="A563" s="33" t="inlineStr">
        <is>
          <t>FL_MAT_HCFC-HFC_5kg</t>
        </is>
      </c>
      <c r="B563" s="33" t="n">
        <v>2</v>
      </c>
      <c r="C563" s="33" t="inlineStr">
        <is>
          <t>HCFCHFC5-04</t>
        </is>
      </c>
      <c r="D563" s="17" t="inlineStr">
        <is>
          <t xml:space="preserve">        Cuello roscado</t>
        </is>
      </c>
      <c r="E563" s="33" t="n">
        <v>1</v>
      </c>
      <c r="F563" s="33" t="inlineStr">
        <is>
          <t>u</t>
        </is>
      </c>
      <c r="G563" s="34" t="n">
        <v>0.0589</v>
      </c>
      <c r="H563" s="34">
        <f>E563*G563</f>
        <v/>
      </c>
      <c r="I563" s="33" t="inlineStr">
        <is>
          <t>Acero SAE 1010</t>
        </is>
      </c>
      <c r="J563" s="17" t="inlineStr">
        <is>
          <t>Ø37 × 15 de alto, rosca M30x1,5, asiento Ø35</t>
        </is>
      </c>
      <c r="K563" s="33" t="inlineStr">
        <is>
          <t>Compra (en el conjunto)</t>
        </is>
      </c>
      <c r="L563" s="33" t="inlineStr">
        <is>
          <t>No</t>
        </is>
      </c>
      <c r="M563" s="17" t="n"/>
      <c r="N563" s="17" t="n"/>
      <c r="O563" s="17" t="inlineStr">
        <is>
          <t>S4 - se compra terminado (tercerizado con sello IRAM)</t>
        </is>
      </c>
      <c r="P563" s="17" t="n"/>
      <c r="Q563" s="33" t="inlineStr">
        <is>
          <t>P</t>
        </is>
      </c>
      <c r="R563" s="33" t="inlineStr">
        <is>
          <t>FL_DES_HCFC-HFC_5kg</t>
        </is>
      </c>
      <c r="S563" s="17" t="inlineStr">
        <is>
          <t>M30x1,5</t>
        </is>
      </c>
    </row>
    <row r="564">
      <c r="A564" s="30" t="inlineStr">
        <is>
          <t>FL_MAT_HCFC-HFC_5kg</t>
        </is>
      </c>
      <c r="B564" s="30" t="n">
        <v>1</v>
      </c>
      <c r="C564" s="30" t="inlineStr">
        <is>
          <t>HCFCHFC5-S2</t>
        </is>
      </c>
      <c r="D564" s="31" t="inlineStr">
        <is>
          <t xml:space="preserve">    Conjunto de válvula</t>
        </is>
      </c>
      <c r="E564" s="30" t="n">
        <v>1</v>
      </c>
      <c r="F564" s="30" t="inlineStr">
        <is>
          <t>u</t>
        </is>
      </c>
      <c r="G564" s="32" t="n"/>
      <c r="H564" s="32">
        <f>H565+H566+H567+H569+H570+H571+H572+H573+H574+H575</f>
        <v/>
      </c>
      <c r="I564" s="30" t="n"/>
      <c r="J564" s="31" t="n"/>
      <c r="K564" s="30" t="inlineStr">
        <is>
          <t>Compra / armado</t>
        </is>
      </c>
      <c r="L564" s="30" t="n"/>
      <c r="M564" s="31" t="n"/>
      <c r="N564" s="31" t="n"/>
      <c r="O564" s="31" t="n"/>
      <c r="P564" s="31" t="inlineStr">
        <is>
          <t>Manómetro IRAM 3533</t>
        </is>
      </c>
      <c r="Q564" s="30" t="inlineStr">
        <is>
          <t>P</t>
        </is>
      </c>
      <c r="R564" s="30" t="inlineStr">
        <is>
          <t>FL_DES_HCFC-HFC_5kg</t>
        </is>
      </c>
      <c r="S564" s="31" t="n"/>
    </row>
    <row r="565">
      <c r="A565" s="33" t="inlineStr">
        <is>
          <t>FL_MAT_HCFC-HFC_5kg</t>
        </is>
      </c>
      <c r="B565" s="33" t="n">
        <v>2</v>
      </c>
      <c r="C565" s="33" t="inlineStr">
        <is>
          <t>HCFCHFC5-05</t>
        </is>
      </c>
      <c r="D565" s="17" t="inlineStr">
        <is>
          <t xml:space="preserve">        Collarín de válvula</t>
        </is>
      </c>
      <c r="E565" s="33" t="n">
        <v>1</v>
      </c>
      <c r="F565" s="33" t="inlineStr">
        <is>
          <t>u</t>
        </is>
      </c>
      <c r="G565" s="34" t="n">
        <v>0.0833</v>
      </c>
      <c r="H565" s="34">
        <f>E565*G565</f>
        <v/>
      </c>
      <c r="I565" s="33" t="inlineStr">
        <is>
          <t>Latón forjado</t>
        </is>
      </c>
      <c r="J565" s="17" t="inlineStr">
        <is>
          <t>43 × 43 × 10</t>
        </is>
      </c>
      <c r="K565" s="33" t="inlineStr">
        <is>
          <t>Compra (en el conjunto)</t>
        </is>
      </c>
      <c r="L565" s="33" t="inlineStr">
        <is>
          <t>No</t>
        </is>
      </c>
      <c r="M565" s="17" t="n"/>
      <c r="N565" s="17" t="n"/>
      <c r="O565" s="17" t="inlineStr">
        <is>
          <t>S4 - se compra terminado (tercerizado con sello IRAM)</t>
        </is>
      </c>
      <c r="P565" s="17" t="n"/>
      <c r="Q565" s="33" t="inlineStr">
        <is>
          <t>P</t>
        </is>
      </c>
      <c r="R565" s="33" t="inlineStr">
        <is>
          <t>FL_DES_HCFC-HFC_5kg</t>
        </is>
      </c>
      <c r="S565" s="17" t="n"/>
    </row>
    <row r="566">
      <c r="A566" s="33" t="inlineStr">
        <is>
          <t>FL_MAT_HCFC-HFC_5kg</t>
        </is>
      </c>
      <c r="B566" s="33" t="n">
        <v>2</v>
      </c>
      <c r="C566" s="33" t="inlineStr">
        <is>
          <t>HCFCHFC5-06</t>
        </is>
      </c>
      <c r="D566" s="17" t="inlineStr">
        <is>
          <t xml:space="preserve">        Espiga roscada</t>
        </is>
      </c>
      <c r="E566" s="33" t="n">
        <v>1</v>
      </c>
      <c r="F566" s="33" t="inlineStr">
        <is>
          <t>u</t>
        </is>
      </c>
      <c r="G566" s="34" t="n">
        <v>0.0243</v>
      </c>
      <c r="H566" s="34">
        <f>E566*G566</f>
        <v/>
      </c>
      <c r="I566" s="33" t="inlineStr">
        <is>
          <t>Latón forjado</t>
        </is>
      </c>
      <c r="J566" s="17" t="inlineStr">
        <is>
          <t>28,4 × 28,4 × 12</t>
        </is>
      </c>
      <c r="K566" s="33" t="inlineStr">
        <is>
          <t>Compra (en el conjunto)</t>
        </is>
      </c>
      <c r="L566" s="33" t="inlineStr">
        <is>
          <t>No</t>
        </is>
      </c>
      <c r="M566" s="17" t="n"/>
      <c r="N566" s="17" t="n"/>
      <c r="O566" s="17" t="inlineStr">
        <is>
          <t>S4 - se compra terminado (tercerizado con sello IRAM)</t>
        </is>
      </c>
      <c r="P566" s="17" t="n"/>
      <c r="Q566" s="33" t="inlineStr">
        <is>
          <t>P</t>
        </is>
      </c>
      <c r="R566" s="33" t="inlineStr">
        <is>
          <t>FL_DES_HCFC-HFC_5kg</t>
        </is>
      </c>
      <c r="S566" s="17" t="n"/>
    </row>
    <row r="567">
      <c r="A567" s="33" t="inlineStr">
        <is>
          <t>FL_MAT_HCFC-HFC_5kg</t>
        </is>
      </c>
      <c r="B567" s="33" t="n">
        <v>2</v>
      </c>
      <c r="C567" s="33" t="inlineStr">
        <is>
          <t>HCFCHFC5-07</t>
        </is>
      </c>
      <c r="D567" s="17" t="inlineStr">
        <is>
          <t xml:space="preserve">        Cuerpo de válvula</t>
        </is>
      </c>
      <c r="E567" s="33" t="n">
        <v>1</v>
      </c>
      <c r="F567" s="33" t="inlineStr">
        <is>
          <t>u</t>
        </is>
      </c>
      <c r="G567" s="34" t="n">
        <v>0.4131</v>
      </c>
      <c r="H567" s="34">
        <f>E567*G567</f>
        <v/>
      </c>
      <c r="I567" s="33" t="inlineStr">
        <is>
          <t>Latón forjado</t>
        </is>
      </c>
      <c r="J567" s="17" t="inlineStr">
        <is>
          <t>56,3 × 43 × 34</t>
        </is>
      </c>
      <c r="K567" s="33" t="inlineStr">
        <is>
          <t>Compra (en el conjunto)</t>
        </is>
      </c>
      <c r="L567" s="33" t="inlineStr">
        <is>
          <t>No</t>
        </is>
      </c>
      <c r="M567" s="17" t="n"/>
      <c r="N567" s="17" t="n"/>
      <c r="O567" s="17" t="inlineStr">
        <is>
          <t>S4 - se compra terminado (tercerizado con sello IRAM)</t>
        </is>
      </c>
      <c r="P567" s="17" t="n"/>
      <c r="Q567" s="33" t="inlineStr">
        <is>
          <t>P</t>
        </is>
      </c>
      <c r="R567" s="33" t="inlineStr">
        <is>
          <t>FL_DES_HCFC-HFC_5kg</t>
        </is>
      </c>
      <c r="S567" s="17" t="n"/>
    </row>
    <row r="568">
      <c r="A568" s="33" t="inlineStr">
        <is>
          <t>FL_MAT_HCFC-HFC_5kg</t>
        </is>
      </c>
      <c r="B568" s="33" t="n">
        <v>2</v>
      </c>
      <c r="C568" s="33" t="inlineStr">
        <is>
          <t>HCFCHFC5-08</t>
        </is>
      </c>
      <c r="D568" s="17" t="inlineStr">
        <is>
          <t xml:space="preserve">        Manómetro</t>
        </is>
      </c>
      <c r="E568" s="33" t="n">
        <v>1</v>
      </c>
      <c r="F568" s="33" t="inlineStr">
        <is>
          <t>u</t>
        </is>
      </c>
      <c r="G568" s="34" t="n"/>
      <c r="H568" s="34" t="n"/>
      <c r="I568" s="33" t="inlineStr">
        <is>
          <t>Comercial</t>
        </is>
      </c>
      <c r="J568" s="17" t="inlineStr">
        <is>
          <t>Ø38 esfera, rango 0-2 MPa, sector verde en 0,8</t>
        </is>
      </c>
      <c r="K568" s="33" t="inlineStr">
        <is>
          <t>Compra (en el conjunto)</t>
        </is>
      </c>
      <c r="L568" s="33" t="inlineStr">
        <is>
          <t>No</t>
        </is>
      </c>
      <c r="M568" s="17" t="n"/>
      <c r="N568" s="17" t="n"/>
      <c r="O568" s="17" t="inlineStr">
        <is>
          <t>S4 - se compra terminado (tercerizado con sello IRAM)</t>
        </is>
      </c>
      <c r="P568" s="17" t="inlineStr">
        <is>
          <t>IRAM 3533</t>
        </is>
      </c>
      <c r="Q568" s="33" t="inlineStr">
        <is>
          <t>P</t>
        </is>
      </c>
      <c r="R568" s="33" t="inlineStr">
        <is>
          <t>FL_DES_HCFC-HFC_5kg</t>
        </is>
      </c>
      <c r="S568" s="17" t="inlineStr">
        <is>
          <t>Pieza comercial; sello IRAM 3533; peso: completar con la ficha del proveedor (no afecta el MRP)</t>
        </is>
      </c>
    </row>
    <row r="569">
      <c r="A569" s="33" t="inlineStr">
        <is>
          <t>FL_MAT_HCFC-HFC_5kg</t>
        </is>
      </c>
      <c r="B569" s="33" t="n">
        <v>2</v>
      </c>
      <c r="C569" s="33" t="inlineStr">
        <is>
          <t>HCFCHFC5-09</t>
        </is>
      </c>
      <c r="D569" s="17" t="inlineStr">
        <is>
          <t xml:space="preserve">        Manija de transporte</t>
        </is>
      </c>
      <c r="E569" s="33" t="n">
        <v>1</v>
      </c>
      <c r="F569" s="33" t="inlineStr">
        <is>
          <t>u</t>
        </is>
      </c>
      <c r="G569" s="34" t="n">
        <v>0.0619</v>
      </c>
      <c r="H569" s="34">
        <f>E569*G569</f>
        <v/>
      </c>
      <c r="I569" s="33" t="inlineStr">
        <is>
          <t>Chapa acero SAE 1010 pintada</t>
        </is>
      </c>
      <c r="J569" s="17" t="inlineStr">
        <is>
          <t>98,4 × 20 × 14,3</t>
        </is>
      </c>
      <c r="K569" s="33" t="inlineStr">
        <is>
          <t>Compra (en el conjunto)</t>
        </is>
      </c>
      <c r="L569" s="33" t="inlineStr">
        <is>
          <t>No</t>
        </is>
      </c>
      <c r="M569" s="17" t="n"/>
      <c r="N569" s="17" t="n"/>
      <c r="O569" s="17" t="inlineStr">
        <is>
          <t>S4 - se compra terminado (tercerizado con sello IRAM)</t>
        </is>
      </c>
      <c r="P569" s="17" t="n"/>
      <c r="Q569" s="33" t="inlineStr">
        <is>
          <t>P</t>
        </is>
      </c>
      <c r="R569" s="33" t="inlineStr">
        <is>
          <t>FL_DES_HCFC-HFC_5kg</t>
        </is>
      </c>
      <c r="S569" s="17" t="n"/>
    </row>
    <row r="570">
      <c r="A570" s="33" t="inlineStr">
        <is>
          <t>FL_MAT_HCFC-HFC_5kg</t>
        </is>
      </c>
      <c r="B570" s="33" t="n">
        <v>2</v>
      </c>
      <c r="C570" s="33" t="inlineStr">
        <is>
          <t>HCFCHFC5-10</t>
        </is>
      </c>
      <c r="D570" s="17" t="inlineStr">
        <is>
          <t xml:space="preserve">        Manija de accionamiento</t>
        </is>
      </c>
      <c r="E570" s="33" t="n">
        <v>1</v>
      </c>
      <c r="F570" s="33" t="inlineStr">
        <is>
          <t>u</t>
        </is>
      </c>
      <c r="G570" s="34" t="n">
        <v>0.08890000000000001</v>
      </c>
      <c r="H570" s="34">
        <f>E570*G570</f>
        <v/>
      </c>
      <c r="I570" s="33" t="inlineStr">
        <is>
          <t>Chapa acero SAE 1010 pintada</t>
        </is>
      </c>
      <c r="J570" s="17" t="inlineStr">
        <is>
          <t>141 × 21,2 × 20</t>
        </is>
      </c>
      <c r="K570" s="33" t="inlineStr">
        <is>
          <t>Compra (en el conjunto)</t>
        </is>
      </c>
      <c r="L570" s="33" t="inlineStr">
        <is>
          <t>No</t>
        </is>
      </c>
      <c r="M570" s="17" t="n"/>
      <c r="N570" s="17" t="n"/>
      <c r="O570" s="17" t="inlineStr">
        <is>
          <t>S4 - se compra terminado (tercerizado con sello IRAM)</t>
        </is>
      </c>
      <c r="P570" s="17" t="n"/>
      <c r="Q570" s="33" t="inlineStr">
        <is>
          <t>P</t>
        </is>
      </c>
      <c r="R570" s="33" t="inlineStr">
        <is>
          <t>FL_DES_HCFC-HFC_5kg</t>
        </is>
      </c>
      <c r="S570" s="17" t="n"/>
    </row>
    <row r="571">
      <c r="A571" s="33" t="inlineStr">
        <is>
          <t>FL_MAT_HCFC-HFC_5kg</t>
        </is>
      </c>
      <c r="B571" s="33" t="n">
        <v>2</v>
      </c>
      <c r="C571" s="33" t="inlineStr">
        <is>
          <t>HCFCHFC5-11</t>
        </is>
      </c>
      <c r="D571" s="17" t="inlineStr">
        <is>
          <t xml:space="preserve">        Eje de palanca</t>
        </is>
      </c>
      <c r="E571" s="33" t="n">
        <v>1</v>
      </c>
      <c r="F571" s="33" t="inlineStr">
        <is>
          <t>u</t>
        </is>
      </c>
      <c r="G571" s="34" t="n">
        <v>0.0081</v>
      </c>
      <c r="H571" s="34">
        <f>E571*G571</f>
        <v/>
      </c>
      <c r="I571" s="33" t="inlineStr">
        <is>
          <t>Acero inox. AISI 304</t>
        </is>
      </c>
      <c r="J571" s="17" t="inlineStr">
        <is>
          <t>36 × 6 × 6</t>
        </is>
      </c>
      <c r="K571" s="33" t="inlineStr">
        <is>
          <t>Compra (en el conjunto)</t>
        </is>
      </c>
      <c r="L571" s="33" t="inlineStr">
        <is>
          <t>No</t>
        </is>
      </c>
      <c r="M571" s="17" t="n"/>
      <c r="N571" s="17" t="n"/>
      <c r="O571" s="17" t="inlineStr">
        <is>
          <t>S4 - se compra terminado (tercerizado con sello IRAM)</t>
        </is>
      </c>
      <c r="P571" s="17" t="n"/>
      <c r="Q571" s="33" t="inlineStr">
        <is>
          <t>P</t>
        </is>
      </c>
      <c r="R571" s="33" t="inlineStr">
        <is>
          <t>FL_DES_HCFC-HFC_5kg</t>
        </is>
      </c>
      <c r="S571" s="17" t="n"/>
    </row>
    <row r="572">
      <c r="A572" s="33" t="inlineStr">
        <is>
          <t>FL_MAT_HCFC-HFC_5kg</t>
        </is>
      </c>
      <c r="B572" s="33" t="n">
        <v>2</v>
      </c>
      <c r="C572" s="33" t="inlineStr">
        <is>
          <t>HCFCHFC5-12</t>
        </is>
      </c>
      <c r="D572" s="17" t="inlineStr">
        <is>
          <t xml:space="preserve">        Vástago</t>
        </is>
      </c>
      <c r="E572" s="33" t="n">
        <v>1</v>
      </c>
      <c r="F572" s="33" t="inlineStr">
        <is>
          <t>u</t>
        </is>
      </c>
      <c r="G572" s="34" t="n">
        <v>0.0017</v>
      </c>
      <c r="H572" s="34">
        <f>E572*G572</f>
        <v/>
      </c>
      <c r="I572" s="33" t="inlineStr">
        <is>
          <t>Latón</t>
        </is>
      </c>
      <c r="J572" s="17" t="inlineStr">
        <is>
          <t>8 × 8 × 4</t>
        </is>
      </c>
      <c r="K572" s="33" t="inlineStr">
        <is>
          <t>Compra (en el conjunto)</t>
        </is>
      </c>
      <c r="L572" s="33" t="inlineStr">
        <is>
          <t>No</t>
        </is>
      </c>
      <c r="M572" s="17" t="n"/>
      <c r="N572" s="17" t="n"/>
      <c r="O572" s="17" t="inlineStr">
        <is>
          <t>S4 - se compra terminado (tercerizado con sello IRAM)</t>
        </is>
      </c>
      <c r="P572" s="17" t="n"/>
      <c r="Q572" s="33" t="inlineStr">
        <is>
          <t>P</t>
        </is>
      </c>
      <c r="R572" s="33" t="inlineStr">
        <is>
          <t>FL_DES_HCFC-HFC_5kg</t>
        </is>
      </c>
      <c r="S572" s="17" t="inlineStr">
        <is>
          <t>con junta tórica</t>
        </is>
      </c>
    </row>
    <row r="573">
      <c r="A573" s="33" t="inlineStr">
        <is>
          <t>FL_MAT_HCFC-HFC_5kg</t>
        </is>
      </c>
      <c r="B573" s="33" t="n">
        <v>2</v>
      </c>
      <c r="C573" s="33" t="inlineStr">
        <is>
          <t>HCFCHFC5-13</t>
        </is>
      </c>
      <c r="D573" s="17" t="inlineStr">
        <is>
          <t xml:space="preserve">        Pasador de seguridad</t>
        </is>
      </c>
      <c r="E573" s="33" t="n">
        <v>1</v>
      </c>
      <c r="F573" s="33" t="inlineStr">
        <is>
          <t>u</t>
        </is>
      </c>
      <c r="G573" s="34" t="n">
        <v>0.0055</v>
      </c>
      <c r="H573" s="34">
        <f>E573*G573</f>
        <v/>
      </c>
      <c r="I573" s="33" t="inlineStr">
        <is>
          <t>Alambre acero inox. AISI 304</t>
        </is>
      </c>
      <c r="J573" s="17" t="inlineStr">
        <is>
          <t>45,4 × 21 × 20,8</t>
        </is>
      </c>
      <c r="K573" s="33" t="inlineStr">
        <is>
          <t>Compra (en el conjunto)</t>
        </is>
      </c>
      <c r="L573" s="33" t="inlineStr">
        <is>
          <t>No</t>
        </is>
      </c>
      <c r="M573" s="17" t="n"/>
      <c r="N573" s="17" t="n"/>
      <c r="O573" s="17" t="inlineStr">
        <is>
          <t>S4 - se compra terminado (tercerizado con sello IRAM)</t>
        </is>
      </c>
      <c r="P573" s="17" t="n"/>
      <c r="Q573" s="33" t="inlineStr">
        <is>
          <t>P</t>
        </is>
      </c>
      <c r="R573" s="33" t="inlineStr">
        <is>
          <t>FL_DES_HCFC-HFC_5kg</t>
        </is>
      </c>
      <c r="S573" s="17" t="inlineStr">
        <is>
          <t>con precinto</t>
        </is>
      </c>
    </row>
    <row r="574">
      <c r="A574" s="33" t="inlineStr">
        <is>
          <t>FL_MAT_HCFC-HFC_5kg</t>
        </is>
      </c>
      <c r="B574" s="33" t="n">
        <v>2</v>
      </c>
      <c r="C574" s="33" t="inlineStr">
        <is>
          <t>HCFCHFC5-14</t>
        </is>
      </c>
      <c r="D574" s="17" t="inlineStr">
        <is>
          <t xml:space="preserve">        Caño de pesca (sifón)</t>
        </is>
      </c>
      <c r="E574" s="33" t="n">
        <v>1</v>
      </c>
      <c r="F574" s="33" t="inlineStr">
        <is>
          <t>u</t>
        </is>
      </c>
      <c r="G574" s="34" t="n">
        <v>0.0244</v>
      </c>
      <c r="H574" s="34">
        <f>E574*G574</f>
        <v/>
      </c>
      <c r="I574" s="33" t="inlineStr">
        <is>
          <t>Tubo PVC rígido</t>
        </is>
      </c>
      <c r="J574" s="17" t="inlineStr">
        <is>
          <t>Ø12 × 352,4 de largo</t>
        </is>
      </c>
      <c r="K574" s="33" t="inlineStr">
        <is>
          <t>Compra (en el conjunto)</t>
        </is>
      </c>
      <c r="L574" s="33" t="inlineStr">
        <is>
          <t>No</t>
        </is>
      </c>
      <c r="M574" s="17" t="n"/>
      <c r="N574" s="17" t="n"/>
      <c r="O574" s="17" t="inlineStr">
        <is>
          <t>S4 - se compra terminado (tercerizado con sello IRAM)</t>
        </is>
      </c>
      <c r="P574" s="17" t="n"/>
      <c r="Q574" s="33" t="inlineStr">
        <is>
          <t>P</t>
        </is>
      </c>
      <c r="R574" s="33" t="inlineStr">
        <is>
          <t>FL_DES_HCFC-HFC_5kg</t>
        </is>
      </c>
      <c r="S574" s="17" t="n"/>
    </row>
    <row r="575">
      <c r="A575" s="33" t="inlineStr">
        <is>
          <t>FL_MAT_HCFC-HFC_5kg</t>
        </is>
      </c>
      <c r="B575" s="33" t="n">
        <v>2</v>
      </c>
      <c r="C575" s="33" t="inlineStr">
        <is>
          <t>HCFCHFC5-24</t>
        </is>
      </c>
      <c r="D575" s="17" t="inlineStr">
        <is>
          <t xml:space="preserve">        Junta tórica de asiento</t>
        </is>
      </c>
      <c r="E575" s="33" t="n">
        <v>1</v>
      </c>
      <c r="F575" s="33" t="inlineStr">
        <is>
          <t>u</t>
        </is>
      </c>
      <c r="G575" s="34" t="n">
        <v>0.001</v>
      </c>
      <c r="H575" s="34">
        <f>E575*G575</f>
        <v/>
      </c>
      <c r="I575" s="33" t="inlineStr">
        <is>
          <t>EPDM (compatible con HCFC/HFC)</t>
        </is>
      </c>
      <c r="J575" s="17" t="inlineStr">
        <is>
          <t>Ø31,4 ext. × cordón 3</t>
        </is>
      </c>
      <c r="K575" s="33" t="inlineStr">
        <is>
          <t>Compra (en el conjunto)</t>
        </is>
      </c>
      <c r="L575" s="33" t="inlineStr">
        <is>
          <t>No</t>
        </is>
      </c>
      <c r="M575" s="17" t="n"/>
      <c r="N575" s="17" t="n"/>
      <c r="O575" s="17" t="inlineStr">
        <is>
          <t>S4 - se compra terminado (tercerizado con sello IRAM)</t>
        </is>
      </c>
      <c r="P575" s="17" t="n"/>
      <c r="Q575" s="33" t="inlineStr">
        <is>
          <t>P</t>
        </is>
      </c>
      <c r="R575" s="33" t="inlineStr">
        <is>
          <t>FL_DES_HCFC-HFC_5kg</t>
        </is>
      </c>
      <c r="S575" s="17" t="inlineStr">
        <is>
          <t>cambio c/recarga</t>
        </is>
      </c>
    </row>
    <row r="576">
      <c r="A576" s="33" t="inlineStr">
        <is>
          <t>FL_MAT_HCFC-HFC_5kg</t>
        </is>
      </c>
      <c r="B576" s="33" t="n">
        <v>2</v>
      </c>
      <c r="C576" s="33" t="inlineStr">
        <is>
          <t>HCFCHFC5-V2</t>
        </is>
      </c>
      <c r="D576" s="17" t="inlineStr">
        <is>
          <t xml:space="preserve">        Resorte de retorno del vástago</t>
        </is>
      </c>
      <c r="E576" s="33" t="n">
        <v>1</v>
      </c>
      <c r="F576" s="33" t="inlineStr">
        <is>
          <t>u</t>
        </is>
      </c>
      <c r="G576" s="34" t="n"/>
      <c r="H576" s="34" t="n"/>
      <c r="I576" s="33" t="inlineStr">
        <is>
          <t>Acero para resortes</t>
        </is>
      </c>
      <c r="J576" s="17" t="inlineStr">
        <is>
          <t>incluido en la válvula</t>
        </is>
      </c>
      <c r="K576" s="33" t="inlineStr">
        <is>
          <t>Compra (en el conjunto)</t>
        </is>
      </c>
      <c r="L576" s="33" t="inlineStr">
        <is>
          <t>No</t>
        </is>
      </c>
      <c r="M576" s="17" t="n"/>
      <c r="N576" s="17" t="n"/>
      <c r="O576" s="17" t="inlineStr">
        <is>
          <t>19 Ensamblaje</t>
        </is>
      </c>
      <c r="P576" s="17" t="n"/>
      <c r="Q576" s="33" t="inlineStr">
        <is>
          <t>Q</t>
        </is>
      </c>
      <c r="R576" s="33" t="n"/>
      <c r="S576" s="17" t="inlineStr">
        <is>
          <t>Lista de precios HZ: válvula «c/resorte» (Q-AGENTES)</t>
        </is>
      </c>
    </row>
    <row r="577">
      <c r="A577" s="33" t="inlineStr">
        <is>
          <t>FL_MAT_HCFC-HFC_5kg</t>
        </is>
      </c>
      <c r="B577" s="33" t="n">
        <v>2</v>
      </c>
      <c r="C577" s="33" t="inlineStr">
        <is>
          <t>HCFCHFC5-V3</t>
        </is>
      </c>
      <c r="D577" s="17" t="inlineStr">
        <is>
          <t xml:space="preserve">        Junta tórica del vástago</t>
        </is>
      </c>
      <c r="E577" s="33" t="n">
        <v>1</v>
      </c>
      <c r="F577" s="33" t="inlineStr">
        <is>
          <t>u</t>
        </is>
      </c>
      <c r="G577" s="34" t="n"/>
      <c r="H577" s="34" t="n"/>
      <c r="I577" s="33" t="inlineStr">
        <is>
          <t>NBR 70 Shore A</t>
        </is>
      </c>
      <c r="J577" s="17" t="inlineStr">
        <is>
          <t>incluida en la válvula</t>
        </is>
      </c>
      <c r="K577" s="33" t="inlineStr">
        <is>
          <t>Compra (en el conjunto)</t>
        </is>
      </c>
      <c r="L577" s="33" t="inlineStr">
        <is>
          <t>No</t>
        </is>
      </c>
      <c r="M577" s="17" t="n"/>
      <c r="N577" s="17" t="n"/>
      <c r="O577" s="17" t="inlineStr">
        <is>
          <t>19 Ensamblaje</t>
        </is>
      </c>
      <c r="P577" s="17" t="n"/>
      <c r="Q577" s="33" t="inlineStr">
        <is>
          <t>P</t>
        </is>
      </c>
      <c r="R577" s="33" t="n"/>
      <c r="S577" s="17" t="inlineStr">
        <is>
          <t>Figura en el plano como «vástago con junta tórica»</t>
        </is>
      </c>
    </row>
    <row r="578">
      <c r="A578" s="30" t="inlineStr">
        <is>
          <t>FL_MAT_HCFC-HFC_5kg</t>
        </is>
      </c>
      <c r="B578" s="30" t="n">
        <v>1</v>
      </c>
      <c r="C578" s="30" t="inlineStr">
        <is>
          <t>HCFCHFC5-S3</t>
        </is>
      </c>
      <c r="D578" s="31" t="inlineStr">
        <is>
          <t xml:space="preserve">    Dispositivo de descarga</t>
        </is>
      </c>
      <c r="E578" s="30" t="n">
        <v>1</v>
      </c>
      <c r="F578" s="30" t="inlineStr">
        <is>
          <t>u</t>
        </is>
      </c>
      <c r="G578" s="32" t="n"/>
      <c r="H578" s="32">
        <f>H579+H580+H581+H582</f>
        <v/>
      </c>
      <c r="I578" s="30" t="n"/>
      <c r="J578" s="31" t="n"/>
      <c r="K578" s="30" t="inlineStr">
        <is>
          <t>Compra / armado</t>
        </is>
      </c>
      <c r="L578" s="30" t="n"/>
      <c r="M578" s="31" t="n"/>
      <c r="N578" s="31" t="n"/>
      <c r="O578" s="31" t="n"/>
      <c r="P578" s="31" t="n"/>
      <c r="Q578" s="30" t="inlineStr">
        <is>
          <t>P</t>
        </is>
      </c>
      <c r="R578" s="30" t="inlineStr">
        <is>
          <t>FL_DES_HCFC-HFC_5kg</t>
        </is>
      </c>
      <c r="S578" s="31" t="n"/>
    </row>
    <row r="579">
      <c r="A579" s="33" t="inlineStr">
        <is>
          <t>FL_MAT_HCFC-HFC_5kg</t>
        </is>
      </c>
      <c r="B579" s="33" t="n">
        <v>2</v>
      </c>
      <c r="C579" s="33" t="inlineStr">
        <is>
          <t>HCFCHFC5-15</t>
        </is>
      </c>
      <c r="D579" s="17" t="inlineStr">
        <is>
          <t xml:space="preserve">        Racor de manguera</t>
        </is>
      </c>
      <c r="E579" s="33" t="n">
        <v>1</v>
      </c>
      <c r="F579" s="33" t="inlineStr">
        <is>
          <t>u</t>
        </is>
      </c>
      <c r="G579" s="34" t="n">
        <v>0.0258</v>
      </c>
      <c r="H579" s="34">
        <f>E579*G579</f>
        <v/>
      </c>
      <c r="I579" s="33" t="inlineStr">
        <is>
          <t>Latón</t>
        </is>
      </c>
      <c r="J579" s="17" t="inlineStr">
        <is>
          <t>18 × 18 × 12</t>
        </is>
      </c>
      <c r="K579" s="33" t="inlineStr">
        <is>
          <t>Compra (en el conjunto)</t>
        </is>
      </c>
      <c r="L579" s="33" t="inlineStr">
        <is>
          <t>No</t>
        </is>
      </c>
      <c r="M579" s="17" t="n"/>
      <c r="N579" s="17" t="n"/>
      <c r="O579" s="17" t="inlineStr">
        <is>
          <t>S4 - se compra terminado (tercerizado con sello IRAM)</t>
        </is>
      </c>
      <c r="P579" s="17" t="n"/>
      <c r="Q579" s="33" t="inlineStr">
        <is>
          <t>P</t>
        </is>
      </c>
      <c r="R579" s="33" t="inlineStr">
        <is>
          <t>FL_DES_HCFC-HFC_5kg</t>
        </is>
      </c>
      <c r="S579" s="17" t="n"/>
    </row>
    <row r="580">
      <c r="A580" s="33" t="inlineStr">
        <is>
          <t>FL_MAT_HCFC-HFC_5kg</t>
        </is>
      </c>
      <c r="B580" s="33" t="n">
        <v>2</v>
      </c>
      <c r="C580" s="33" t="inlineStr">
        <is>
          <t>HCFCHFC5-16</t>
        </is>
      </c>
      <c r="D580" s="17" t="inlineStr">
        <is>
          <t xml:space="preserve">        Manguera</t>
        </is>
      </c>
      <c r="E580" s="33" t="n">
        <v>1</v>
      </c>
      <c r="F580" s="33" t="inlineStr">
        <is>
          <t>u</t>
        </is>
      </c>
      <c r="G580" s="34" t="n">
        <v>0.046</v>
      </c>
      <c r="H580" s="34">
        <f>E580*G580</f>
        <v/>
      </c>
      <c r="I580" s="33" t="inlineStr">
        <is>
          <t>Caucho sintético</t>
        </is>
      </c>
      <c r="J580" s="17" t="inlineStr">
        <is>
          <t>Ø16 × 298 de largo desarrollado</t>
        </is>
      </c>
      <c r="K580" s="33" t="inlineStr">
        <is>
          <t>Compra (en el conjunto)</t>
        </is>
      </c>
      <c r="L580" s="33" t="inlineStr">
        <is>
          <t>No</t>
        </is>
      </c>
      <c r="M580" s="17" t="n"/>
      <c r="N580" s="17" t="n"/>
      <c r="O580" s="17" t="inlineStr">
        <is>
          <t>S4 - se compra terminado (tercerizado con sello IRAM)</t>
        </is>
      </c>
      <c r="P580" s="17" t="n"/>
      <c r="Q580" s="33" t="inlineStr">
        <is>
          <t>P</t>
        </is>
      </c>
      <c r="R580" s="33" t="inlineStr">
        <is>
          <t>FL_DES_HCFC-HFC_5kg</t>
        </is>
      </c>
      <c r="S580" s="17" t="n"/>
    </row>
    <row r="581">
      <c r="A581" s="33" t="inlineStr">
        <is>
          <t>FL_MAT_HCFC-HFC_5kg</t>
        </is>
      </c>
      <c r="B581" s="33" t="n">
        <v>2</v>
      </c>
      <c r="C581" s="33" t="inlineStr">
        <is>
          <t>HCFCHFC5-17</t>
        </is>
      </c>
      <c r="D581" s="17" t="inlineStr">
        <is>
          <t xml:space="preserve">        Tobera con portatobera</t>
        </is>
      </c>
      <c r="E581" s="33" t="n">
        <v>1</v>
      </c>
      <c r="F581" s="33" t="inlineStr">
        <is>
          <t>u</t>
        </is>
      </c>
      <c r="G581" s="34" t="n">
        <v>0.0166</v>
      </c>
      <c r="H581" s="34">
        <f>E581*G581</f>
        <v/>
      </c>
      <c r="I581" s="33" t="inlineStr">
        <is>
          <t>Polipropileno</t>
        </is>
      </c>
      <c r="J581" s="17" t="inlineStr">
        <is>
          <t>75 × 24 × 24</t>
        </is>
      </c>
      <c r="K581" s="33" t="inlineStr">
        <is>
          <t>Compra (en el conjunto)</t>
        </is>
      </c>
      <c r="L581" s="33" t="inlineStr">
        <is>
          <t>No</t>
        </is>
      </c>
      <c r="M581" s="17" t="n"/>
      <c r="N581" s="17" t="n"/>
      <c r="O581" s="17" t="inlineStr">
        <is>
          <t>S4 - se compra terminado (tercerizado con sello IRAM)</t>
        </is>
      </c>
      <c r="P581" s="17" t="n"/>
      <c r="Q581" s="33" t="inlineStr">
        <is>
          <t>P</t>
        </is>
      </c>
      <c r="R581" s="33" t="inlineStr">
        <is>
          <t>FL_DES_HCFC-HFC_5kg</t>
        </is>
      </c>
      <c r="S581" s="17" t="n"/>
    </row>
    <row r="582">
      <c r="A582" s="33" t="inlineStr">
        <is>
          <t>FL_MAT_HCFC-HFC_5kg</t>
        </is>
      </c>
      <c r="B582" s="33" t="n">
        <v>2</v>
      </c>
      <c r="C582" s="33" t="inlineStr">
        <is>
          <t>HCFCHFC5-18</t>
        </is>
      </c>
      <c r="D582" s="17" t="inlineStr">
        <is>
          <t xml:space="preserve">        Suncho portatobera</t>
        </is>
      </c>
      <c r="E582" s="33" t="n">
        <v>1</v>
      </c>
      <c r="F582" s="33" t="inlineStr">
        <is>
          <t>u</t>
        </is>
      </c>
      <c r="G582" s="34" t="n">
        <v>0.1319</v>
      </c>
      <c r="H582" s="34">
        <f>E582*G582</f>
        <v/>
      </c>
      <c r="I582" s="33" t="inlineStr">
        <is>
          <t>Fleje acero SAE 1010 pintado</t>
        </is>
      </c>
      <c r="J582" s="17" t="inlineStr">
        <is>
          <t>159,9 × 156 × 18</t>
        </is>
      </c>
      <c r="K582" s="33" t="inlineStr">
        <is>
          <t>Compra (en el conjunto)</t>
        </is>
      </c>
      <c r="L582" s="33" t="inlineStr">
        <is>
          <t>No</t>
        </is>
      </c>
      <c r="M582" s="17" t="n"/>
      <c r="N582" s="17" t="n"/>
      <c r="O582" s="17" t="inlineStr">
        <is>
          <t>S4 - se compra terminado (tercerizado con sello IRAM)</t>
        </is>
      </c>
      <c r="P582" s="17" t="n"/>
      <c r="Q582" s="33" t="inlineStr">
        <is>
          <t>P</t>
        </is>
      </c>
      <c r="R582" s="33" t="inlineStr">
        <is>
          <t>FL_DES_HCFC-HFC_5kg</t>
        </is>
      </c>
      <c r="S582" s="17" t="n"/>
    </row>
    <row r="583">
      <c r="A583" s="30" t="inlineStr">
        <is>
          <t>FL_MAT_HCFC-HFC_5kg</t>
        </is>
      </c>
      <c r="B583" s="30" t="n">
        <v>1</v>
      </c>
      <c r="C583" s="30" t="inlineStr">
        <is>
          <t>HCFCHFC5-S5</t>
        </is>
      </c>
      <c r="D583" s="31" t="inlineStr">
        <is>
          <t xml:space="preserve">    Carga: agente extintor y gas impulsor</t>
        </is>
      </c>
      <c r="E583" s="30" t="n">
        <v>1</v>
      </c>
      <c r="F583" s="30" t="inlineStr">
        <is>
          <t>u</t>
        </is>
      </c>
      <c r="G583" s="32" t="n"/>
      <c r="H583" s="32">
        <f>H584+H585</f>
        <v/>
      </c>
      <c r="I583" s="30" t="n"/>
      <c r="J583" s="31" t="n"/>
      <c r="K583" s="30" t="inlineStr">
        <is>
          <t>Compra</t>
        </is>
      </c>
      <c r="L583" s="30" t="n"/>
      <c r="M583" s="31" t="n"/>
      <c r="N583" s="31" t="n"/>
      <c r="O583" s="31" t="n"/>
      <c r="P583" s="31" t="n"/>
      <c r="Q583" s="30" t="n"/>
      <c r="R583" s="30" t="n"/>
      <c r="S583" s="31" t="n"/>
    </row>
    <row r="584">
      <c r="A584" s="33" t="inlineStr">
        <is>
          <t>FL_MAT_HCFC-HFC_5kg</t>
        </is>
      </c>
      <c r="B584" s="33" t="n">
        <v>2</v>
      </c>
      <c r="C584" s="33" t="inlineStr">
        <is>
          <t>HCFCHFC5-A1</t>
        </is>
      </c>
      <c r="D584" s="17" t="inlineStr">
        <is>
          <t xml:space="preserve">        HCFC 123 / HFC 236fa - HCFC-123 (Mezcla B) &gt; 93 %</t>
        </is>
      </c>
      <c r="E584" s="33" t="n">
        <v>5</v>
      </c>
      <c r="F584" s="33" t="inlineStr">
        <is>
          <t>kg</t>
        </is>
      </c>
      <c r="G584" s="34" t="n">
        <v>1</v>
      </c>
      <c r="H584" s="34">
        <f>E584*G584</f>
        <v/>
      </c>
      <c r="I584" s="33" t="inlineStr">
        <is>
          <t>HCFC 123 / HFC 236fa - HCFC-123 (Mezcla B) &gt; 93 %</t>
        </is>
      </c>
      <c r="J584" s="17" t="inlineStr">
        <is>
          <t>nominal 5 kg; tolerancia 0 / -3 % (IRAM 3517-2:2020 tabla 3)</t>
        </is>
      </c>
      <c r="K584" s="33" t="inlineStr">
        <is>
          <t>Compra</t>
        </is>
      </c>
      <c r="L584" s="33" t="inlineStr">
        <is>
          <t>No</t>
        </is>
      </c>
      <c r="M584" s="17" t="n"/>
      <c r="N584" s="17" t="n"/>
      <c r="O584" s="17" t="inlineStr">
        <is>
          <t>SP-1 almacén previo a la carga</t>
        </is>
      </c>
      <c r="P584" s="17" t="inlineStr">
        <is>
          <t>IRAM 3526-1</t>
        </is>
      </c>
      <c r="Q584" s="33" t="inlineStr">
        <is>
          <t>N</t>
        </is>
      </c>
      <c r="R584" s="33" t="n"/>
      <c r="S584" s="17" t="inlineStr">
        <is>
          <t>potencial -</t>
        </is>
      </c>
    </row>
    <row r="585">
      <c r="A585" s="33" t="inlineStr">
        <is>
          <t>FL_MAT_HCFC-HFC_5kg</t>
        </is>
      </c>
      <c r="B585" s="33" t="n">
        <v>2</v>
      </c>
      <c r="C585" s="33" t="inlineStr">
        <is>
          <t>HCFCHFC5-A2</t>
        </is>
      </c>
      <c r="D585" s="17" t="inlineStr">
        <is>
          <t xml:space="preserve">        Gas impulsor: Argón</t>
        </is>
      </c>
      <c r="E585" s="33" t="n">
        <v>0.0388</v>
      </c>
      <c r="F585" s="33" t="inlineStr">
        <is>
          <t>kg</t>
        </is>
      </c>
      <c r="G585" s="34" t="n">
        <v>1</v>
      </c>
      <c r="H585" s="34">
        <f>E585*G585</f>
        <v/>
      </c>
      <c r="I585" s="33" t="inlineStr">
        <is>
          <t>Argón</t>
        </is>
      </c>
      <c r="J585" s="17" t="inlineStr">
        <is>
          <t>21,7 L normales para 0,8 MPa a 20 °C en 2,62 dm³ libres</t>
        </is>
      </c>
      <c r="K585" s="33" t="inlineStr">
        <is>
          <t>Compra</t>
        </is>
      </c>
      <c r="L585" s="33" t="inlineStr">
        <is>
          <t>No</t>
        </is>
      </c>
      <c r="M585" s="17" t="n"/>
      <c r="N585" s="17" t="n"/>
      <c r="O585" s="17" t="inlineStr">
        <is>
          <t>20 Presurización (T05) / C10</t>
        </is>
      </c>
      <c r="P585" s="17" t="inlineStr">
        <is>
          <t>IRAM 3517-2 9.4.9 (tabla 2) · IRAM 3523 2.3 y 3.10</t>
        </is>
      </c>
      <c r="Q585" s="33" t="inlineStr">
        <is>
          <t>C</t>
        </is>
      </c>
      <c r="R585" s="33" t="n"/>
      <c r="S585" s="17" t="inlineStr">
        <is>
          <t>Batería en SP-1; punto de rocío ≤ -56,7 °C para gases limpios</t>
        </is>
      </c>
    </row>
    <row r="586">
      <c r="A586" s="30" t="inlineStr">
        <is>
          <t>FL_MAT_HCFC-HFC_5kg</t>
        </is>
      </c>
      <c r="B586" s="30" t="n">
        <v>1</v>
      </c>
      <c r="C586" s="30" t="inlineStr">
        <is>
          <t>HCFCHFC5-S6</t>
        </is>
      </c>
      <c r="D586" s="31" t="inlineStr">
        <is>
          <t xml:space="preserve">    Identificación y precinto</t>
        </is>
      </c>
      <c r="E586" s="30" t="n">
        <v>1</v>
      </c>
      <c r="F586" s="30" t="inlineStr">
        <is>
          <t>u</t>
        </is>
      </c>
      <c r="G586" s="32" t="n"/>
      <c r="H586" s="32">
        <f>H587+H588+H589+H590+H591+H592+H593</f>
        <v/>
      </c>
      <c r="I586" s="30" t="n"/>
      <c r="J586" s="31" t="n"/>
      <c r="K586" s="30" t="inlineStr">
        <is>
          <t>Compra</t>
        </is>
      </c>
      <c r="L586" s="30" t="n"/>
      <c r="M586" s="31" t="n"/>
      <c r="N586" s="31" t="n"/>
      <c r="O586" s="31" t="inlineStr">
        <is>
          <t>22 Etiquetado (T07)</t>
        </is>
      </c>
      <c r="P586" s="31" t="n"/>
      <c r="Q586" s="30" t="n"/>
      <c r="R586" s="30" t="n"/>
      <c r="S586" s="31" t="n"/>
    </row>
    <row r="587">
      <c r="A587" s="33" t="inlineStr">
        <is>
          <t>FL_MAT_HCFC-HFC_5kg</t>
        </is>
      </c>
      <c r="B587" s="33" t="n">
        <v>2</v>
      </c>
      <c r="C587" s="33" t="inlineStr">
        <is>
          <t>HCFCHFC5-19</t>
        </is>
      </c>
      <c r="D587" s="17" t="inlineStr">
        <is>
          <t xml:space="preserve">        Etiqueta / placa de características</t>
        </is>
      </c>
      <c r="E587" s="33" t="n">
        <v>1</v>
      </c>
      <c r="F587" s="33" t="inlineStr">
        <is>
          <t>u</t>
        </is>
      </c>
      <c r="G587" s="34" t="n">
        <v>0.0182</v>
      </c>
      <c r="H587" s="34">
        <f>E587*G587</f>
        <v/>
      </c>
      <c r="I587" s="33" t="inlineStr">
        <is>
          <t>Vinilo autoadhesivo laminado</t>
        </is>
      </c>
      <c r="J587" s="17" t="inlineStr">
        <is>
          <t>289 × 150 (desarrollo × alto: panel central 108° + 2 alas laterales), e ≈ 0,3, laminado UV</t>
        </is>
      </c>
      <c r="K587" s="33" t="inlineStr">
        <is>
          <t>Compra</t>
        </is>
      </c>
      <c r="L587" s="33" t="inlineStr">
        <is>
          <t>No</t>
        </is>
      </c>
      <c r="M587" s="17" t="n"/>
      <c r="N587" s="17" t="n"/>
      <c r="O587" s="17" t="inlineStr">
        <is>
          <t>22 Etiquetado (T07)</t>
        </is>
      </c>
      <c r="P587" s="17" t="inlineStr">
        <is>
          <t>IRAM 3534 · IRAM 3504 cap. 5 · relevamiento de mercado</t>
        </is>
      </c>
      <c r="Q587" s="33" t="inlineStr">
        <is>
          <t>P</t>
        </is>
      </c>
      <c r="R587" s="33" t="inlineStr">
        <is>
          <t>FL_DES_HCFC-HFC_5kg</t>
        </is>
      </c>
      <c r="S587" s="17" t="inlineStr">
        <is>
          <t>IRAM 3534</t>
        </is>
      </c>
    </row>
    <row r="588">
      <c r="A588" s="33" t="inlineStr">
        <is>
          <t>FL_MAT_HCFC-HFC_5kg</t>
        </is>
      </c>
      <c r="B588" s="33" t="n">
        <v>2</v>
      </c>
      <c r="C588" s="33" t="inlineStr">
        <is>
          <t>HCFCHFC5-20</t>
        </is>
      </c>
      <c r="D588" s="17" t="inlineStr">
        <is>
          <t xml:space="preserve">        Oblea de fabricación (PBA)</t>
        </is>
      </c>
      <c r="E588" s="33" t="n">
        <v>1</v>
      </c>
      <c r="F588" s="33" t="inlineStr">
        <is>
          <t>u</t>
        </is>
      </c>
      <c r="G588" s="34" t="n">
        <v>0.0009</v>
      </c>
      <c r="H588" s="34">
        <f>E588*G588</f>
        <v/>
      </c>
      <c r="I588" s="33" t="inlineStr">
        <is>
          <t>Papel de seguridad autodestructible</t>
        </is>
      </c>
      <c r="J588" s="17" t="inlineStr">
        <is>
          <t>Ø46 (Res. OPDS 522/07), numerada, autodestructible</t>
        </is>
      </c>
      <c r="K588" s="33" t="inlineStr">
        <is>
          <t>Compra</t>
        </is>
      </c>
      <c r="L588" s="33" t="inlineStr">
        <is>
          <t>No</t>
        </is>
      </c>
      <c r="M588" s="17" t="n"/>
      <c r="N588" s="17" t="n"/>
      <c r="O588" s="17" t="inlineStr">
        <is>
          <t>22 Etiquetado (T07)</t>
        </is>
      </c>
      <c r="P588" s="17" t="inlineStr">
        <is>
          <t>Res. OPDS 522/07 anexos 1, 2 y 6</t>
        </is>
      </c>
      <c r="Q588" s="33" t="inlineStr">
        <is>
          <t>P</t>
        </is>
      </c>
      <c r="R588" s="33" t="inlineStr">
        <is>
          <t>FL_DES_HCFC-HFC_5kg</t>
        </is>
      </c>
      <c r="S588" s="17" t="inlineStr">
        <is>
          <t>Res. 522/07</t>
        </is>
      </c>
    </row>
    <row r="589">
      <c r="A589" s="33" t="inlineStr">
        <is>
          <t>FL_MAT_HCFC-HFC_5kg</t>
        </is>
      </c>
      <c r="B589" s="33" t="n">
        <v>2</v>
      </c>
      <c r="C589" s="33" t="inlineStr">
        <is>
          <t>HCFCHFC5-21</t>
        </is>
      </c>
      <c r="D589" s="17" t="inlineStr">
        <is>
          <t xml:space="preserve">        Estampilla IRAM de conformidad</t>
        </is>
      </c>
      <c r="E589" s="33" t="n">
        <v>1</v>
      </c>
      <c r="F589" s="33" t="inlineStr">
        <is>
          <t>u</t>
        </is>
      </c>
      <c r="G589" s="34" t="n">
        <v>0.001</v>
      </c>
      <c r="H589" s="34">
        <f>E589*G589</f>
        <v/>
      </c>
      <c r="I589" s="33" t="inlineStr">
        <is>
          <t>Provista por IRAM (Anexo R)</t>
        </is>
      </c>
      <c r="J589" s="17" t="inlineStr">
        <is>
          <t>60 × 40</t>
        </is>
      </c>
      <c r="K589" s="33" t="inlineStr">
        <is>
          <t>Compra</t>
        </is>
      </c>
      <c r="L589" s="33" t="inlineStr">
        <is>
          <t>No</t>
        </is>
      </c>
      <c r="M589" s="17" t="n"/>
      <c r="N589" s="17" t="n"/>
      <c r="O589" s="17" t="inlineStr">
        <is>
          <t>22 Etiquetado (T07)</t>
        </is>
      </c>
      <c r="P589" s="17" t="inlineStr">
        <is>
          <t>IRAM Anexo R (DC-PG-129)</t>
        </is>
      </c>
      <c r="Q589" s="33" t="inlineStr">
        <is>
          <t>P</t>
        </is>
      </c>
      <c r="R589" s="33" t="inlineStr">
        <is>
          <t>FL_DES_HCFC-HFC_5kg</t>
        </is>
      </c>
      <c r="S589" s="17" t="inlineStr">
        <is>
          <t>numerada</t>
        </is>
      </c>
    </row>
    <row r="590">
      <c r="A590" s="33" t="inlineStr">
        <is>
          <t>FL_MAT_HCFC-HFC_5kg</t>
        </is>
      </c>
      <c r="B590" s="33" t="n">
        <v>2</v>
      </c>
      <c r="C590" s="33" t="inlineStr">
        <is>
          <t>HCFCHFC5-22</t>
        </is>
      </c>
      <c r="D590" s="17" t="inlineStr">
        <is>
          <t xml:space="preserve">        Tarjeta de identificación AGC (CABA)</t>
        </is>
      </c>
      <c r="E590" s="33" t="n">
        <v>1</v>
      </c>
      <c r="F590" s="33" t="inlineStr">
        <is>
          <t>u</t>
        </is>
      </c>
      <c r="G590" s="34" t="n">
        <v>0.0032</v>
      </c>
      <c r="H590" s="34">
        <f>E590*G590</f>
        <v/>
      </c>
      <c r="I590" s="33" t="inlineStr">
        <is>
          <t>Etiqueta autoadhesiva emitida por la AGC</t>
        </is>
      </c>
      <c r="J590" s="17" t="inlineStr">
        <is>
          <t>140 × 55</t>
        </is>
      </c>
      <c r="K590" s="33" t="inlineStr">
        <is>
          <t>Compra</t>
        </is>
      </c>
      <c r="L590" s="33" t="inlineStr">
        <is>
          <t>Sí</t>
        </is>
      </c>
      <c r="M590" s="17" t="inlineStr">
        <is>
          <t>Agencia Gubernamental de Control (CABA)</t>
        </is>
      </c>
      <c r="N590" s="17" t="inlineStr">
        <is>
          <t>-</t>
        </is>
      </c>
      <c r="O590" s="17" t="inlineStr">
        <is>
          <t>22 Etiquetado (T07)</t>
        </is>
      </c>
      <c r="P590" s="17" t="inlineStr">
        <is>
          <t>Ordenanza 40.473 art. 6 · Res. AGC 32/15</t>
        </is>
      </c>
      <c r="Q590" s="33" t="inlineStr">
        <is>
          <t>P</t>
        </is>
      </c>
      <c r="R590" s="33" t="inlineStr">
        <is>
          <t>FL_DES_HCFC-HFC_5kg</t>
        </is>
      </c>
      <c r="S590" s="17" t="inlineStr">
        <is>
          <t>sólo destino CABA; sólo destino CABA</t>
        </is>
      </c>
    </row>
    <row r="591">
      <c r="A591" s="33" t="inlineStr">
        <is>
          <t>FL_MAT_HCFC-HFC_5kg</t>
        </is>
      </c>
      <c r="B591" s="33" t="n">
        <v>2</v>
      </c>
      <c r="C591" s="33" t="inlineStr">
        <is>
          <t>HCFCHFC5-23</t>
        </is>
      </c>
      <c r="D591" s="17" t="inlineStr">
        <is>
          <t xml:space="preserve">        Etiqueta de n° de serie GS1</t>
        </is>
      </c>
      <c r="E591" s="33" t="n">
        <v>1</v>
      </c>
      <c r="F591" s="33" t="inlineStr">
        <is>
          <t>u</t>
        </is>
      </c>
      <c r="G591" s="34" t="n">
        <v>0.0005</v>
      </c>
      <c r="H591" s="34">
        <f>E591*G591</f>
        <v/>
      </c>
      <c r="I591" s="33" t="inlineStr">
        <is>
          <t>Poliéster autoadhesivo impreso térmico</t>
        </is>
      </c>
      <c r="J591" s="17" t="inlineStr">
        <is>
          <t>45 × 25</t>
        </is>
      </c>
      <c r="K591" s="33" t="inlineStr">
        <is>
          <t>Compra</t>
        </is>
      </c>
      <c r="L591" s="33" t="inlineStr">
        <is>
          <t>No</t>
        </is>
      </c>
      <c r="M591" s="17" t="n"/>
      <c r="N591" s="17" t="n"/>
      <c r="O591" s="17" t="inlineStr">
        <is>
          <t>22 Etiquetado (T07)</t>
        </is>
      </c>
      <c r="P591" s="17" t="inlineStr">
        <is>
          <t>GS1 Argentina (GTIN 779) · trazabilidad IRAM 3523 5.1</t>
        </is>
      </c>
      <c r="Q591" s="33" t="inlineStr">
        <is>
          <t>P</t>
        </is>
      </c>
      <c r="R591" s="33" t="inlineStr">
        <is>
          <t>FL_DES_HCFC-HFC_5kg</t>
        </is>
      </c>
      <c r="S591" s="17" t="inlineStr">
        <is>
          <t>QR GTIN + serie</t>
        </is>
      </c>
    </row>
    <row r="592">
      <c r="A592" s="33" t="inlineStr">
        <is>
          <t>FL_MAT_HCFC-HFC_5kg</t>
        </is>
      </c>
      <c r="B592" s="33" t="n">
        <v>2</v>
      </c>
      <c r="C592" s="33" t="inlineStr">
        <is>
          <t>HCFCHFC5-25</t>
        </is>
      </c>
      <c r="D592" s="17" t="inlineStr">
        <is>
          <t xml:space="preserve">        Faja de garantía válvula-cuello</t>
        </is>
      </c>
      <c r="E592" s="33" t="n">
        <v>1</v>
      </c>
      <c r="F592" s="33" t="inlineStr">
        <is>
          <t>u</t>
        </is>
      </c>
      <c r="G592" s="34" t="n">
        <v>0.0003</v>
      </c>
      <c r="H592" s="34">
        <f>E592*G592</f>
        <v/>
      </c>
      <c r="I592" s="33" t="inlineStr">
        <is>
          <t>Vinilo destructible rayado rojo/blanco</t>
        </is>
      </c>
      <c r="J592" s="17" t="inlineStr">
        <is>
          <t>30 × 40</t>
        </is>
      </c>
      <c r="K592" s="33" t="inlineStr">
        <is>
          <t>Compra</t>
        </is>
      </c>
      <c r="L592" s="33" t="inlineStr">
        <is>
          <t>No</t>
        </is>
      </c>
      <c r="M592" s="17" t="n"/>
      <c r="N592" s="17" t="n"/>
      <c r="O592" s="17" t="inlineStr">
        <is>
          <t>22 Etiquetado (T07)</t>
        </is>
      </c>
      <c r="P592" s="17" t="inlineStr">
        <is>
          <t>Sin norma: práctica de mercado (garantía de fábrica)</t>
        </is>
      </c>
      <c r="Q592" s="33" t="inlineStr">
        <is>
          <t>P</t>
        </is>
      </c>
      <c r="R592" s="33" t="inlineStr">
        <is>
          <t>FL_DES_HCFC-HFC_5kg</t>
        </is>
      </c>
      <c r="S592" s="17" t="inlineStr">
        <is>
          <t>nuevo sin abrir</t>
        </is>
      </c>
    </row>
    <row r="593">
      <c r="A593" s="33" t="inlineStr">
        <is>
          <t>FL_MAT_HCFC-HFC_5kg</t>
        </is>
      </c>
      <c r="B593" s="33" t="n">
        <v>2</v>
      </c>
      <c r="C593" s="33" t="inlineStr">
        <is>
          <t>HCFCHFC5-26</t>
        </is>
      </c>
      <c r="D593" s="17" t="inlineStr">
        <is>
          <t xml:space="preserve">        Precinto de fábrica</t>
        </is>
      </c>
      <c r="E593" s="33" t="n">
        <v>1</v>
      </c>
      <c r="F593" s="33" t="inlineStr">
        <is>
          <t>u</t>
        </is>
      </c>
      <c r="G593" s="34" t="n">
        <v>0.0002</v>
      </c>
      <c r="H593" s="34">
        <f>E593*G593</f>
        <v/>
      </c>
      <c r="I593" s="33" t="inlineStr">
        <is>
          <t>Polipropileno color</t>
        </is>
      </c>
      <c r="J593" s="17" t="inlineStr">
        <is>
          <t>Ø5 × 10, numerado, rotura 30-50 N</t>
        </is>
      </c>
      <c r="K593" s="33" t="inlineStr">
        <is>
          <t>Compra</t>
        </is>
      </c>
      <c r="L593" s="33" t="inlineStr">
        <is>
          <t>No</t>
        </is>
      </c>
      <c r="M593" s="17" t="n"/>
      <c r="N593" s="17" t="n"/>
      <c r="O593" s="17" t="inlineStr">
        <is>
          <t>20 Presurización (T05)</t>
        </is>
      </c>
      <c r="P593" s="17" t="inlineStr">
        <is>
          <t>IRAM 3523 3.3.2 · IRAM 3517-2:2020 9.4.13</t>
        </is>
      </c>
      <c r="Q593" s="33" t="inlineStr">
        <is>
          <t>P</t>
        </is>
      </c>
      <c r="R593" s="33" t="inlineStr">
        <is>
          <t>FL_DES_HCFC-HFC_5kg</t>
        </is>
      </c>
      <c r="S593" s="17" t="inlineStr">
        <is>
          <t>id. FLAMA y lote</t>
        </is>
      </c>
    </row>
    <row r="594">
      <c r="A594" s="30" t="inlineStr">
        <is>
          <t>FL_MAT_HCFC-HFC_5kg</t>
        </is>
      </c>
      <c r="B594" s="30" t="n">
        <v>1</v>
      </c>
      <c r="C594" s="30" t="inlineStr">
        <is>
          <t>HCFCHFC5-S8</t>
        </is>
      </c>
      <c r="D594" s="31" t="inlineStr">
        <is>
          <t xml:space="preserve">    Soporte (accesorio de montaje)</t>
        </is>
      </c>
      <c r="E594" s="30" t="n">
        <v>1</v>
      </c>
      <c r="F594" s="30" t="inlineStr">
        <is>
          <t>u</t>
        </is>
      </c>
      <c r="G594" s="32" t="n"/>
      <c r="H594" s="32">
        <f>H595</f>
        <v/>
      </c>
      <c r="I594" s="30" t="n"/>
      <c r="J594" s="31" t="n"/>
      <c r="K594" s="30" t="inlineStr">
        <is>
          <t>Compra</t>
        </is>
      </c>
      <c r="L594" s="30" t="n"/>
      <c r="M594" s="31" t="n"/>
      <c r="N594" s="31" t="n"/>
      <c r="O594" s="31" t="inlineStr">
        <is>
          <t>23 Embalaje (va dentro de la caja)</t>
        </is>
      </c>
      <c r="P594" s="31" t="inlineStr">
        <is>
          <t>IRAM 3517-2 7.4</t>
        </is>
      </c>
      <c r="Q594" s="30" t="n"/>
      <c r="R594" s="30" t="n"/>
      <c r="S594" s="31" t="n"/>
    </row>
    <row r="595">
      <c r="A595" s="33" t="inlineStr">
        <is>
          <t>FL_MAT_HCFC-HFC_5kg</t>
        </is>
      </c>
      <c r="B595" s="33" t="n">
        <v>2</v>
      </c>
      <c r="C595" s="33" t="inlineStr">
        <is>
          <t>HCFCHFC5-I5</t>
        </is>
      </c>
      <c r="D595" s="17" t="inlineStr">
        <is>
          <t xml:space="preserve">        Soporte de pared (FL_ACC_01)</t>
        </is>
      </c>
      <c r="E595" s="33" t="n">
        <v>1</v>
      </c>
      <c r="F595" s="33" t="inlineStr">
        <is>
          <t>u</t>
        </is>
      </c>
      <c r="G595" s="34" t="n">
        <v>0.29</v>
      </c>
      <c r="H595" s="34">
        <f>E595*G595</f>
        <v/>
      </c>
      <c r="I595" s="33" t="inlineStr">
        <is>
          <t>Chapa acero SAE 1010 e=2 pintada</t>
        </is>
      </c>
      <c r="J595" s="17" t="inlineStr">
        <is>
          <t>placa 60 × 180, ala con ranura Ø cuello + 3</t>
        </is>
      </c>
      <c r="K595" s="33" t="inlineStr">
        <is>
          <t>Compra</t>
        </is>
      </c>
      <c r="L595" s="33" t="inlineStr">
        <is>
          <t>No</t>
        </is>
      </c>
      <c r="M595" s="17" t="n"/>
      <c r="N595" s="17" t="n"/>
      <c r="O595" s="17" t="inlineStr">
        <is>
          <t>23 Embalaje</t>
        </is>
      </c>
      <c r="P595" s="17" t="inlineStr">
        <is>
          <t>IRAM 3517-2 7.4</t>
        </is>
      </c>
      <c r="Q595" s="33" t="inlineStr">
        <is>
          <t>P</t>
        </is>
      </c>
      <c r="R595" s="33" t="inlineStr">
        <is>
          <t>FL_ACC_01</t>
        </is>
      </c>
      <c r="S595" s="17" t="n"/>
    </row>
    <row r="596">
      <c r="A596" s="33" t="inlineStr">
        <is>
          <t>FL_MAT_HCFC-HFC_5kg</t>
        </is>
      </c>
      <c r="B596" s="33" t="n">
        <v>2</v>
      </c>
      <c r="C596" s="33" t="inlineStr">
        <is>
          <t>HCFCHFC5-I6</t>
        </is>
      </c>
      <c r="D596" s="17" t="inlineStr">
        <is>
          <t xml:space="preserve">        Tornillo y tarugo de fijación</t>
        </is>
      </c>
      <c r="E596" s="33" t="n">
        <v>2</v>
      </c>
      <c r="F596" s="33" t="inlineStr">
        <is>
          <t>u</t>
        </is>
      </c>
      <c r="G596" s="34" t="n"/>
      <c r="H596" s="34" t="n"/>
      <c r="I596" s="33" t="inlineStr">
        <is>
          <t>Acero cincado / nylon</t>
        </is>
      </c>
      <c r="J596" s="17" t="inlineStr">
        <is>
          <t>2 agujeros Ø8,5 del plano FL_ACC_01 → tornillo M8 + tarugo</t>
        </is>
      </c>
      <c r="K596" s="33" t="inlineStr">
        <is>
          <t>Compra</t>
        </is>
      </c>
      <c r="L596" s="33" t="inlineStr">
        <is>
          <t>No</t>
        </is>
      </c>
      <c r="M596" s="17" t="n"/>
      <c r="N596" s="17" t="n"/>
      <c r="O596" s="17" t="inlineStr">
        <is>
          <t>23 Embalaje</t>
        </is>
      </c>
      <c r="P596" s="17" t="n"/>
      <c r="Q596" s="33" t="inlineStr">
        <is>
          <t>P</t>
        </is>
      </c>
      <c r="R596" s="33" t="inlineStr">
        <is>
          <t>FL_ACC_01</t>
        </is>
      </c>
      <c r="S596" s="17" t="n"/>
    </row>
    <row r="597">
      <c r="A597" s="33" t="inlineStr">
        <is>
          <t>FL_MAT_HCFC-HFC_5kg</t>
        </is>
      </c>
      <c r="B597" s="33" t="n">
        <v>2</v>
      </c>
      <c r="C597" s="33" t="inlineStr">
        <is>
          <t>HCFCHFC5-I8</t>
        </is>
      </c>
      <c r="D597" s="17" t="inlineStr">
        <is>
          <t xml:space="preserve">        Soporte opcional (pared o vehicular, según pedido)</t>
        </is>
      </c>
      <c r="E597" s="33" t="n">
        <v>0</v>
      </c>
      <c r="F597" s="33" t="inlineStr">
        <is>
          <t>u</t>
        </is>
      </c>
      <c r="G597" s="34" t="n"/>
      <c r="H597" s="34" t="n"/>
      <c r="I597" s="33" t="inlineStr">
        <is>
          <t>-</t>
        </is>
      </c>
      <c r="J597" s="17" t="inlineStr">
        <is>
          <t>-</t>
        </is>
      </c>
      <c r="K597" s="33" t="inlineStr">
        <is>
          <t>Compra</t>
        </is>
      </c>
      <c r="L597" s="33" t="inlineStr">
        <is>
          <t>No</t>
        </is>
      </c>
      <c r="M597" s="17" t="n"/>
      <c r="N597" s="17" t="n"/>
      <c r="O597" s="17" t="n"/>
      <c r="P597" s="17" t="inlineStr">
        <is>
          <t>IRAM 3517-2 7.4</t>
        </is>
      </c>
      <c r="Q597" s="33" t="inlineStr">
        <is>
          <t>N</t>
        </is>
      </c>
      <c r="R597" s="33" t="n"/>
      <c r="S597" s="17" t="inlineStr">
        <is>
          <t>Sólo si el pedido lo incluye</t>
        </is>
      </c>
    </row>
    <row r="598">
      <c r="A598" s="30" t="inlineStr">
        <is>
          <t>FL_MAT_HCFC-HFC_5kg</t>
        </is>
      </c>
      <c r="B598" s="30" t="n">
        <v>1</v>
      </c>
      <c r="C598" s="30" t="inlineStr">
        <is>
          <t>HCFCHFC5-S7</t>
        </is>
      </c>
      <c r="D598" s="31" t="inlineStr">
        <is>
          <t xml:space="preserve">    Embalaje</t>
        </is>
      </c>
      <c r="E598" s="30" t="n">
        <v>1</v>
      </c>
      <c r="F598" s="30" t="inlineStr">
        <is>
          <t>u</t>
        </is>
      </c>
      <c r="G598" s="32" t="n"/>
      <c r="H598" s="32">
        <f>H602</f>
        <v/>
      </c>
      <c r="I598" s="30" t="n"/>
      <c r="J598" s="31" t="n"/>
      <c r="K598" s="30" t="inlineStr">
        <is>
          <t>Compra</t>
        </is>
      </c>
      <c r="L598" s="30" t="n"/>
      <c r="M598" s="31" t="n"/>
      <c r="N598" s="31" t="n"/>
      <c r="O598" s="31" t="inlineStr">
        <is>
          <t>23 Embalaje -&gt; 24 envolvedora (T11)</t>
        </is>
      </c>
      <c r="P598" s="31" t="n"/>
      <c r="Q598" s="30" t="n"/>
      <c r="R598" s="30" t="n"/>
      <c r="S598" s="31" t="n"/>
    </row>
    <row r="599">
      <c r="A599" s="33" t="inlineStr">
        <is>
          <t>FL_MAT_HCFC-HFC_5kg</t>
        </is>
      </c>
      <c r="B599" s="33" t="n">
        <v>2</v>
      </c>
      <c r="C599" s="33" t="inlineStr">
        <is>
          <t>HCFCHFC5-E1</t>
        </is>
      </c>
      <c r="D599" s="17" t="inlineStr">
        <is>
          <t xml:space="preserve">        Caja de cartón corrugado simple</t>
        </is>
      </c>
      <c r="E599" s="33" t="n">
        <v>1</v>
      </c>
      <c r="F599" s="33" t="inlineStr">
        <is>
          <t>u</t>
        </is>
      </c>
      <c r="G599" s="34" t="n"/>
      <c r="H599" s="34" t="n"/>
      <c r="I599" s="33" t="inlineStr">
        <is>
          <t>Cartón corrugado</t>
        </is>
      </c>
      <c r="J599" s="17" t="inlineStr">
        <is>
          <t>255 × 186 × 500 interior (envolvente del plano + 15 por lado)</t>
        </is>
      </c>
      <c r="K599" s="33" t="inlineStr">
        <is>
          <t>Compra</t>
        </is>
      </c>
      <c r="L599" s="33" t="inlineStr">
        <is>
          <t>No</t>
        </is>
      </c>
      <c r="M599" s="17" t="n"/>
      <c r="N599" s="17" t="n"/>
      <c r="O599" s="17" t="inlineStr">
        <is>
          <t>23 Embalaje</t>
        </is>
      </c>
      <c r="P599" s="17" t="n"/>
      <c r="Q599" s="33" t="inlineStr">
        <is>
          <t>P</t>
        </is>
      </c>
      <c r="R599" s="33" t="n"/>
      <c r="S599" s="17" t="inlineStr">
        <is>
          <t>Medida del plano</t>
        </is>
      </c>
    </row>
    <row r="600">
      <c r="A600" s="33" t="inlineStr">
        <is>
          <t>FL_MAT_HCFC-HFC_5kg</t>
        </is>
      </c>
      <c r="B600" s="33" t="n">
        <v>2</v>
      </c>
      <c r="C600" s="33" t="inlineStr">
        <is>
          <t>HCFCHFC5-E2</t>
        </is>
      </c>
      <c r="D600" s="17" t="inlineStr">
        <is>
          <t xml:space="preserve">        Instructivo de uso y mantenimiento</t>
        </is>
      </c>
      <c r="E600" s="33" t="n">
        <v>1</v>
      </c>
      <c r="F600" s="33" t="inlineStr">
        <is>
          <t>u</t>
        </is>
      </c>
      <c r="G600" s="34" t="n"/>
      <c r="H600" s="34" t="n"/>
      <c r="I600" s="33" t="inlineStr">
        <is>
          <t>Papel</t>
        </is>
      </c>
      <c r="J600" s="17" t="inlineStr">
        <is>
          <t>A5</t>
        </is>
      </c>
      <c r="K600" s="33" t="inlineStr">
        <is>
          <t>Compra</t>
        </is>
      </c>
      <c r="L600" s="33" t="inlineStr">
        <is>
          <t>No</t>
        </is>
      </c>
      <c r="M600" s="17" t="n"/>
      <c r="N600" s="17" t="n"/>
      <c r="O600" s="17" t="inlineStr">
        <is>
          <t>23 Embalaje</t>
        </is>
      </c>
      <c r="P600" s="17" t="n"/>
      <c r="Q600" s="33" t="inlineStr">
        <is>
          <t>I</t>
        </is>
      </c>
      <c r="R600" s="33" t="n"/>
      <c r="S600" s="17" t="inlineStr">
        <is>
          <t>Decisión comercial de FLAMA (las instrucciones de uso obligatorias van en la etiqueta, IRAM 3534)</t>
        </is>
      </c>
    </row>
    <row r="601">
      <c r="A601" s="33" t="inlineStr">
        <is>
          <t>FL_MAT_HCFC-HFC_5kg</t>
        </is>
      </c>
      <c r="B601" s="33" t="n">
        <v>2</v>
      </c>
      <c r="C601" s="33" t="inlineStr">
        <is>
          <t>HCFCHFC5-E3</t>
        </is>
      </c>
      <c r="D601" s="17" t="inlineStr">
        <is>
          <t xml:space="preserve">        Pallet 1200 × 1000 (fracción)</t>
        </is>
      </c>
      <c r="E601" s="33" t="n">
        <v>0.025</v>
      </c>
      <c r="F601" s="33" t="inlineStr">
        <is>
          <t>u</t>
        </is>
      </c>
      <c r="G601" s="34" t="n"/>
      <c r="H601" s="34" t="n"/>
      <c r="I601" s="33" t="inlineStr">
        <is>
          <t>Madera</t>
        </is>
      </c>
      <c r="J601" s="17" t="inlineStr">
        <is>
          <t>40 u por pallet</t>
        </is>
      </c>
      <c r="K601" s="33" t="inlineStr">
        <is>
          <t>Compra</t>
        </is>
      </c>
      <c r="L601" s="33" t="inlineStr">
        <is>
          <t>No</t>
        </is>
      </c>
      <c r="M601" s="17" t="n"/>
      <c r="N601" s="17" t="n"/>
      <c r="O601" s="17" t="inlineStr">
        <is>
          <t>23 Embalaje</t>
        </is>
      </c>
      <c r="P601" s="17" t="n"/>
      <c r="Q601" s="33" t="inlineStr">
        <is>
          <t>C</t>
        </is>
      </c>
      <c r="R601" s="33" t="n"/>
      <c r="S601" s="17" t="inlineStr">
        <is>
          <t>u por pallet = acomodo de la caja (plano) en 1200 × 1000 × 1450 de alto</t>
        </is>
      </c>
    </row>
    <row r="602">
      <c r="A602" s="33" t="inlineStr">
        <is>
          <t>FL_MAT_HCFC-HFC_5kg</t>
        </is>
      </c>
      <c r="B602" s="33" t="n">
        <v>2</v>
      </c>
      <c r="C602" s="33" t="inlineStr">
        <is>
          <t>HCFCHFC5-E4</t>
        </is>
      </c>
      <c r="D602" s="17" t="inlineStr">
        <is>
          <t xml:space="preserve">        Film stretch (fracción del pallet)</t>
        </is>
      </c>
      <c r="E602" s="33" t="n">
        <v>0.003</v>
      </c>
      <c r="F602" s="33" t="inlineStr">
        <is>
          <t>kg</t>
        </is>
      </c>
      <c r="G602" s="34" t="n">
        <v>1</v>
      </c>
      <c r="H602" s="34">
        <f>E602*G602</f>
        <v/>
      </c>
      <c r="I602" s="33" t="inlineStr">
        <is>
          <t>PE lineal 23 µm</t>
        </is>
      </c>
      <c r="J602" s="17" t="inlineStr">
        <is>
          <t>0,12 kg por pallet / 40 u</t>
        </is>
      </c>
      <c r="K602" s="33" t="inlineStr">
        <is>
          <t>Compra</t>
        </is>
      </c>
      <c r="L602" s="33" t="inlineStr">
        <is>
          <t>No</t>
        </is>
      </c>
      <c r="M602" s="17" t="n"/>
      <c r="N602" s="17" t="n"/>
      <c r="O602" s="17" t="inlineStr">
        <is>
          <t>24 Envolvedora (T11)</t>
        </is>
      </c>
      <c r="P602" s="17" t="n"/>
      <c r="Q602" s="33" t="inlineStr">
        <is>
          <t>C</t>
        </is>
      </c>
      <c r="R602" s="33" t="n"/>
      <c r="S60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03">
      <c r="A603" s="33" t="inlineStr">
        <is>
          <t>FL_MAT_HCFC-HFC_5kg</t>
        </is>
      </c>
      <c r="B603" s="33" t="n">
        <v>2</v>
      </c>
      <c r="C603" s="33" t="inlineStr">
        <is>
          <t>HCFCHFC5-E5</t>
        </is>
      </c>
      <c r="D603" s="17" t="inlineStr">
        <is>
          <t xml:space="preserve">        Etiqueta de pallet (lote y destino, fracción)</t>
        </is>
      </c>
      <c r="E603" s="33" t="n">
        <v>0.025</v>
      </c>
      <c r="F603" s="33" t="inlineStr">
        <is>
          <t>u</t>
        </is>
      </c>
      <c r="G603" s="34" t="n"/>
      <c r="H603" s="34" t="n"/>
      <c r="I603" s="33" t="inlineStr">
        <is>
          <t>Papel térmico</t>
        </is>
      </c>
      <c r="J603" s="17" t="inlineStr">
        <is>
          <t>100 × 150</t>
        </is>
      </c>
      <c r="K603" s="33" t="inlineStr">
        <is>
          <t>Compra</t>
        </is>
      </c>
      <c r="L603" s="33" t="inlineStr">
        <is>
          <t>No</t>
        </is>
      </c>
      <c r="M603" s="17" t="n"/>
      <c r="N603" s="17" t="n"/>
      <c r="O603" s="17" t="inlineStr">
        <is>
          <t>24 Envolvedora</t>
        </is>
      </c>
      <c r="P603" s="17" t="n"/>
      <c r="Q603" s="33" t="inlineStr">
        <is>
          <t>C</t>
        </is>
      </c>
      <c r="R603" s="33" t="n"/>
      <c r="S603" s="17" t="n"/>
    </row>
    <row r="604">
      <c r="A604" s="33" t="inlineStr">
        <is>
          <t>FL_MAT_HCFC-HFC_5kg</t>
        </is>
      </c>
      <c r="B604" s="33" t="n">
        <v>2</v>
      </c>
      <c r="C604" s="33" t="inlineStr">
        <is>
          <t>HCFCHFC5-E6</t>
        </is>
      </c>
      <c r="D604" s="17" t="inlineStr">
        <is>
          <t xml:space="preserve">        Cinta de embalaje PP 48 mm (cierre de la caja)</t>
        </is>
      </c>
      <c r="E604" s="33" t="n">
        <v>0.79</v>
      </c>
      <c r="F604" s="33" t="inlineStr">
        <is>
          <t>m</t>
        </is>
      </c>
      <c r="G604" s="34" t="n"/>
      <c r="H604" s="34" t="n"/>
      <c r="I604" s="33" t="inlineStr">
        <is>
          <t>Polipropileno con adhesivo acrílico</t>
        </is>
      </c>
      <c r="J604" s="17" t="inlineStr">
        <is>
          <t>cierre en I arriba y abajo: 2 × (255 + 2 × 70 de solapa)</t>
        </is>
      </c>
      <c r="K604" s="33" t="inlineStr">
        <is>
          <t>Compra</t>
        </is>
      </c>
      <c r="L604" s="33" t="inlineStr">
        <is>
          <t>No</t>
        </is>
      </c>
      <c r="M604" s="17" t="n"/>
      <c r="N604" s="17" t="n"/>
      <c r="O604" s="17" t="inlineStr">
        <is>
          <t>23 Embalaje</t>
        </is>
      </c>
      <c r="P604" s="17" t="n"/>
      <c r="Q604" s="33" t="inlineStr">
        <is>
          <t>C</t>
        </is>
      </c>
      <c r="R604" s="33" t="n"/>
      <c r="S604" s="17" t="inlineStr">
        <is>
          <t>Solapa de 70 mm por lado: práctica de cierre de cajas (medir en la línea)</t>
        </is>
      </c>
    </row>
    <row r="605">
      <c r="A605" s="33" t="inlineStr">
        <is>
          <t>FL_MAT_HCFC-HFC_5kg</t>
        </is>
      </c>
      <c r="B605" s="33" t="n">
        <v>2</v>
      </c>
      <c r="C605" s="33" t="inlineStr">
        <is>
          <t>HCFCHFC5-E7</t>
        </is>
      </c>
      <c r="D605" s="17" t="inlineStr">
        <is>
          <t xml:space="preserve">        Esquineros de cartón 50 × 50 × 1200 (fracción del pallet)</t>
        </is>
      </c>
      <c r="E605" s="33" t="n">
        <v>0.1</v>
      </c>
      <c r="F605" s="33" t="inlineStr">
        <is>
          <t>u</t>
        </is>
      </c>
      <c r="G605" s="34" t="n"/>
      <c r="H605" s="34" t="n"/>
      <c r="I605" s="33" t="inlineStr">
        <is>
          <t>Cartón</t>
        </is>
      </c>
      <c r="J605" s="17" t="inlineStr">
        <is>
          <t>4 por pallet / 40 u</t>
        </is>
      </c>
      <c r="K605" s="33" t="inlineStr">
        <is>
          <t>Compra</t>
        </is>
      </c>
      <c r="L605" s="33" t="inlineStr">
        <is>
          <t>No</t>
        </is>
      </c>
      <c r="M605" s="17" t="n"/>
      <c r="N605" s="17" t="n"/>
      <c r="O605" s="17" t="inlineStr">
        <is>
          <t>24 Envolvedora (T11)</t>
        </is>
      </c>
      <c r="P605" s="17" t="n"/>
      <c r="Q605" s="33" t="inlineStr">
        <is>
          <t>C</t>
        </is>
      </c>
      <c r="R605" s="33" t="n"/>
      <c r="S605" s="17" t="inlineStr">
        <is>
          <t>Planilla MP-64</t>
        </is>
      </c>
    </row>
    <row r="606">
      <c r="A606" s="27" t="inlineStr">
        <is>
          <t>FL_MAT_CLASED_9l</t>
        </is>
      </c>
      <c r="B606" s="27" t="n">
        <v>0</v>
      </c>
      <c r="C606" s="27" t="inlineStr">
        <is>
          <t>FL_MAT_CLASED_9l</t>
        </is>
      </c>
      <c r="D606" s="28" t="inlineStr">
        <is>
          <t>Extintor Clase D 9 l</t>
        </is>
      </c>
      <c r="E606" s="27" t="n">
        <v>1</v>
      </c>
      <c r="F606" s="27" t="inlineStr">
        <is>
          <t>u</t>
        </is>
      </c>
      <c r="G606" s="29" t="n"/>
      <c r="H606" s="29" t="n"/>
      <c r="I606" s="27" t="n"/>
      <c r="J606" s="28" t="n"/>
      <c r="K606" s="27" t="n"/>
      <c r="L606" s="27" t="n"/>
      <c r="M606" s="28" t="n"/>
      <c r="N606" s="28" t="n"/>
      <c r="O606" s="28" t="n"/>
      <c r="P606" s="28" t="inlineStr">
        <is>
          <t>IRAM 3523</t>
        </is>
      </c>
      <c r="Q606" s="27" t="inlineStr">
        <is>
          <t>P</t>
        </is>
      </c>
      <c r="R606" s="27" t="inlineStr">
        <is>
          <t>FL_MAT_CLASED_9l</t>
        </is>
      </c>
      <c r="S606" s="28" t="inlineStr">
        <is>
          <t>Revendido: se compra terminado al fabricante con Sello IRAM; las piezas internas quedan como referencia (no entran en MRP)</t>
        </is>
      </c>
    </row>
    <row r="607">
      <c r="A607" s="30" t="inlineStr">
        <is>
          <t>FL_MAT_CLASED_9l</t>
        </is>
      </c>
      <c r="B607" s="30" t="n">
        <v>1</v>
      </c>
      <c r="C607" s="30" t="inlineStr">
        <is>
          <t>CLASED9-S0</t>
        </is>
      </c>
      <c r="D607" s="31" t="inlineStr">
        <is>
          <t xml:space="preserve">    Equipo terminado comprado (fabricante con Sello IRAM)</t>
        </is>
      </c>
      <c r="E607" s="30" t="n">
        <v>1</v>
      </c>
      <c r="F607" s="30" t="inlineStr">
        <is>
          <t>u</t>
        </is>
      </c>
      <c r="G607" s="32" t="n"/>
      <c r="H607" s="32" t="n"/>
      <c r="I607" s="30" t="n"/>
      <c r="J607" s="31" t="n"/>
      <c r="K607" s="30" t="inlineStr">
        <is>
          <t>Compra</t>
        </is>
      </c>
      <c r="L607" s="30" t="inlineStr">
        <is>
          <t>Sí</t>
        </is>
      </c>
      <c r="M607" s="31" t="inlineStr">
        <is>
          <t>Matafuegos Georgia - venta mayorista</t>
        </is>
      </c>
      <c r="N607" s="31" t="inlineStr">
        <is>
          <t>Melisam</t>
        </is>
      </c>
      <c r="O607" s="31" t="inlineStr">
        <is>
          <t>Recepción y control de ingreso (SP-1)</t>
        </is>
      </c>
      <c r="P607" s="31" t="inlineStr">
        <is>
          <t>IRAM 3523</t>
        </is>
      </c>
      <c r="Q607" s="30" t="inlineStr">
        <is>
          <t>I</t>
        </is>
      </c>
      <c r="R607" s="30" t="inlineStr">
        <is>
          <t>FL_MAT_CLASED_9l</t>
        </is>
      </c>
      <c r="S607" s="31" t="inlineStr">
        <is>
          <t>Única fila de compra del revendido (más la tarjeta AGC si el destino es CABA)</t>
        </is>
      </c>
    </row>
    <row r="608">
      <c r="A608" s="30" t="inlineStr">
        <is>
          <t>FL_MAT_CLASED_9l</t>
        </is>
      </c>
      <c r="B608" s="30" t="n">
        <v>1</v>
      </c>
      <c r="C608" s="30" t="inlineStr">
        <is>
          <t>CLASED9-S1</t>
        </is>
      </c>
      <c r="D608" s="31" t="inlineStr">
        <is>
          <t xml:space="preserve">    Recipiente (cilindro)</t>
        </is>
      </c>
      <c r="E608" s="30" t="n">
        <v>1</v>
      </c>
      <c r="F608" s="30" t="inlineStr">
        <is>
          <t>u</t>
        </is>
      </c>
      <c r="G608" s="32" t="n"/>
      <c r="H608" s="32">
        <f>H609+H610+H611+H612</f>
        <v/>
      </c>
      <c r="I608" s="30" t="n"/>
      <c r="J608" s="31" t="n"/>
      <c r="K608" s="30" t="inlineStr">
        <is>
          <t>Compra / armado</t>
        </is>
      </c>
      <c r="L608" s="30" t="n"/>
      <c r="M608" s="31" t="n"/>
      <c r="N608" s="31" t="n"/>
      <c r="O608" s="31" t="n"/>
      <c r="P608" s="31" t="inlineStr">
        <is>
          <t>IRAM 3523 / 3550 (recipiente)</t>
        </is>
      </c>
      <c r="Q608" s="30" t="inlineStr">
        <is>
          <t>P</t>
        </is>
      </c>
      <c r="R608" s="30" t="inlineStr">
        <is>
          <t>FL_DES_CLASED_9l</t>
        </is>
      </c>
      <c r="S608" s="31" t="n"/>
    </row>
    <row r="609">
      <c r="A609" s="33" t="inlineStr">
        <is>
          <t>FL_MAT_CLASED_9l</t>
        </is>
      </c>
      <c r="B609" s="33" t="n">
        <v>2</v>
      </c>
      <c r="C609" s="33" t="inlineStr">
        <is>
          <t>CLASED9-01</t>
        </is>
      </c>
      <c r="D609" s="17" t="inlineStr">
        <is>
          <t xml:space="preserve">        Cuerpo (virola)</t>
        </is>
      </c>
      <c r="E609" s="33" t="n">
        <v>1</v>
      </c>
      <c r="F609" s="33" t="inlineStr">
        <is>
          <t>u</t>
        </is>
      </c>
      <c r="G609" s="34" t="n">
        <v>4.3132</v>
      </c>
      <c r="H609" s="34">
        <f>E609*G609</f>
        <v/>
      </c>
      <c r="I609" s="33" t="inlineStr">
        <is>
          <t>Chapa LAF IRAM-IAS U 500-05 e=2</t>
        </is>
      </c>
      <c r="J609" s="17" t="inlineStr">
        <is>
          <t>Ø181,5 × e2 × 487,2 de alto; desarrollo 563,9 × 487,2</t>
        </is>
      </c>
      <c r="K609" s="33" t="inlineStr">
        <is>
          <t>Compra (en el conjunto)</t>
        </is>
      </c>
      <c r="L609" s="33" t="inlineStr">
        <is>
          <t>No</t>
        </is>
      </c>
      <c r="M609" s="17" t="n"/>
      <c r="N609" s="17" t="n"/>
      <c r="O609" s="17" t="inlineStr">
        <is>
          <t>S4 - se compra terminado (tercerizado con sello IRAM)</t>
        </is>
      </c>
      <c r="P609" s="17" t="n"/>
      <c r="Q609" s="33" t="inlineStr">
        <is>
          <t>P</t>
        </is>
      </c>
      <c r="R609" s="33" t="inlineStr">
        <is>
          <t>FL_DES_CLASED_9l</t>
        </is>
      </c>
      <c r="S609" s="17" t="inlineStr">
        <is>
          <t>costura long. MAG</t>
        </is>
      </c>
    </row>
    <row r="610">
      <c r="A610" s="33" t="inlineStr">
        <is>
          <t>FL_MAT_CLASED_9l</t>
        </is>
      </c>
      <c r="B610" s="33" t="n">
        <v>2</v>
      </c>
      <c r="C610" s="33" t="inlineStr">
        <is>
          <t>CLASED9-02</t>
        </is>
      </c>
      <c r="D610" s="17" t="inlineStr">
        <is>
          <t xml:space="preserve">        Cúpula</t>
        </is>
      </c>
      <c r="E610" s="33" t="n">
        <v>1</v>
      </c>
      <c r="F610" s="33" t="inlineStr">
        <is>
          <t>u</t>
        </is>
      </c>
      <c r="G610" s="34" t="n">
        <v>0.4871</v>
      </c>
      <c r="H610" s="34">
        <f>E610*G610</f>
        <v/>
      </c>
      <c r="I610" s="33" t="inlineStr">
        <is>
          <t>Chapa LAF IRAM-IAS U 500-05 e=1,6</t>
        </is>
      </c>
      <c r="J610" s="17" t="inlineStr">
        <is>
          <t>Ø181,5 × e1,6 × 61,3 de alto; disco Ø228,9</t>
        </is>
      </c>
      <c r="K610" s="33" t="inlineStr">
        <is>
          <t>Compra (en el conjunto)</t>
        </is>
      </c>
      <c r="L610" s="33" t="inlineStr">
        <is>
          <t>No</t>
        </is>
      </c>
      <c r="M610" s="17" t="n"/>
      <c r="N610" s="17" t="n"/>
      <c r="O610" s="17" t="inlineStr">
        <is>
          <t>S4 - se compra terminado (tercerizado con sello IRAM)</t>
        </is>
      </c>
      <c r="P610" s="17" t="n"/>
      <c r="Q610" s="33" t="inlineStr">
        <is>
          <t>P</t>
        </is>
      </c>
      <c r="R610" s="33" t="inlineStr">
        <is>
          <t>FL_DES_CLASED_9l</t>
        </is>
      </c>
      <c r="S610" s="17" t="inlineStr">
        <is>
          <t>embutida</t>
        </is>
      </c>
    </row>
    <row r="611">
      <c r="A611" s="33" t="inlineStr">
        <is>
          <t>FL_MAT_CLASED_9l</t>
        </is>
      </c>
      <c r="B611" s="33" t="n">
        <v>2</v>
      </c>
      <c r="C611" s="33" t="inlineStr">
        <is>
          <t>CLASED9-03</t>
        </is>
      </c>
      <c r="D611" s="17" t="inlineStr">
        <is>
          <t xml:space="preserve">        Fondo</t>
        </is>
      </c>
      <c r="E611" s="33" t="n">
        <v>1</v>
      </c>
      <c r="F611" s="33" t="inlineStr">
        <is>
          <t>u</t>
        </is>
      </c>
      <c r="G611" s="34" t="n">
        <v>0.3885</v>
      </c>
      <c r="H611" s="34">
        <f>E611*G611</f>
        <v/>
      </c>
      <c r="I611" s="33" t="inlineStr">
        <is>
          <t>Chapa LAF IRAM-IAS U 500-05 e=2</t>
        </is>
      </c>
      <c r="J611" s="17" t="inlineStr">
        <is>
          <t>Ø181,5 × e2 × 13,7 de alto; disco Ø182,8</t>
        </is>
      </c>
      <c r="K611" s="33" t="inlineStr">
        <is>
          <t>Compra (en el conjunto)</t>
        </is>
      </c>
      <c r="L611" s="33" t="inlineStr">
        <is>
          <t>No</t>
        </is>
      </c>
      <c r="M611" s="17" t="n"/>
      <c r="N611" s="17" t="n"/>
      <c r="O611" s="17" t="inlineStr">
        <is>
          <t>S4 - se compra terminado (tercerizado con sello IRAM)</t>
        </is>
      </c>
      <c r="P611" s="17" t="n"/>
      <c r="Q611" s="33" t="inlineStr">
        <is>
          <t>P</t>
        </is>
      </c>
      <c r="R611" s="33" t="inlineStr">
        <is>
          <t>FL_DES_CLASED_9l</t>
        </is>
      </c>
      <c r="S611" s="17" t="inlineStr">
        <is>
          <t>embutido</t>
        </is>
      </c>
    </row>
    <row r="612">
      <c r="A612" s="33" t="inlineStr">
        <is>
          <t>FL_MAT_CLASED_9l</t>
        </is>
      </c>
      <c r="B612" s="33" t="n">
        <v>2</v>
      </c>
      <c r="C612" s="33" t="inlineStr">
        <is>
          <t>CLASED9-04</t>
        </is>
      </c>
      <c r="D612" s="17" t="inlineStr">
        <is>
          <t xml:space="preserve">        Cuello roscado</t>
        </is>
      </c>
      <c r="E612" s="33" t="n">
        <v>1</v>
      </c>
      <c r="F612" s="33" t="inlineStr">
        <is>
          <t>u</t>
        </is>
      </c>
      <c r="G612" s="34" t="n">
        <v>0.0542</v>
      </c>
      <c r="H612" s="34">
        <f>E612*G612</f>
        <v/>
      </c>
      <c r="I612" s="33" t="inlineStr">
        <is>
          <t>Acero SAE 1010</t>
        </is>
      </c>
      <c r="J612" s="17" t="inlineStr">
        <is>
          <t>Ø36,8 × 14 de alto, rosca M30x1,5, asiento Ø35</t>
        </is>
      </c>
      <c r="K612" s="33" t="inlineStr">
        <is>
          <t>Compra (en el conjunto)</t>
        </is>
      </c>
      <c r="L612" s="33" t="inlineStr">
        <is>
          <t>No</t>
        </is>
      </c>
      <c r="M612" s="17" t="n"/>
      <c r="N612" s="17" t="n"/>
      <c r="O612" s="17" t="inlineStr">
        <is>
          <t>S4 - se compra terminado (tercerizado con sello IRAM)</t>
        </is>
      </c>
      <c r="P612" s="17" t="n"/>
      <c r="Q612" s="33" t="inlineStr">
        <is>
          <t>P</t>
        </is>
      </c>
      <c r="R612" s="33" t="inlineStr">
        <is>
          <t>FL_DES_CLASED_9l</t>
        </is>
      </c>
      <c r="S612" s="17" t="inlineStr">
        <is>
          <t>M30x1,5</t>
        </is>
      </c>
    </row>
    <row r="613">
      <c r="A613" s="30" t="inlineStr">
        <is>
          <t>FL_MAT_CLASED_9l</t>
        </is>
      </c>
      <c r="B613" s="30" t="n">
        <v>1</v>
      </c>
      <c r="C613" s="30" t="inlineStr">
        <is>
          <t>CLASED9-S2</t>
        </is>
      </c>
      <c r="D613" s="31" t="inlineStr">
        <is>
          <t xml:space="preserve">    Conjunto de válvula</t>
        </is>
      </c>
      <c r="E613" s="30" t="n">
        <v>1</v>
      </c>
      <c r="F613" s="30" t="inlineStr">
        <is>
          <t>u</t>
        </is>
      </c>
      <c r="G613" s="32" t="n"/>
      <c r="H613" s="32">
        <f>H614+H615+H616+H618+H619+H620+H621+H622+H623+H624</f>
        <v/>
      </c>
      <c r="I613" s="30" t="n"/>
      <c r="J613" s="31" t="n"/>
      <c r="K613" s="30" t="inlineStr">
        <is>
          <t>Compra / armado</t>
        </is>
      </c>
      <c r="L613" s="30" t="n"/>
      <c r="M613" s="31" t="n"/>
      <c r="N613" s="31" t="n"/>
      <c r="O613" s="31" t="n"/>
      <c r="P613" s="31" t="inlineStr">
        <is>
          <t>Manómetro IRAM 3533</t>
        </is>
      </c>
      <c r="Q613" s="30" t="inlineStr">
        <is>
          <t>P</t>
        </is>
      </c>
      <c r="R613" s="30" t="inlineStr">
        <is>
          <t>FL_DES_CLASED_9l</t>
        </is>
      </c>
      <c r="S613" s="31" t="n"/>
    </row>
    <row r="614">
      <c r="A614" s="33" t="inlineStr">
        <is>
          <t>FL_MAT_CLASED_9l</t>
        </is>
      </c>
      <c r="B614" s="33" t="n">
        <v>2</v>
      </c>
      <c r="C614" s="33" t="inlineStr">
        <is>
          <t>CLASED9-05</t>
        </is>
      </c>
      <c r="D614" s="17" t="inlineStr">
        <is>
          <t xml:space="preserve">        Collarín de válvula</t>
        </is>
      </c>
      <c r="E614" s="33" t="n">
        <v>1</v>
      </c>
      <c r="F614" s="33" t="inlineStr">
        <is>
          <t>u</t>
        </is>
      </c>
      <c r="G614" s="34" t="n">
        <v>0.08210000000000001</v>
      </c>
      <c r="H614" s="34">
        <f>E614*G614</f>
        <v/>
      </c>
      <c r="I614" s="33" t="inlineStr">
        <is>
          <t>Latón forjado</t>
        </is>
      </c>
      <c r="J614" s="17" t="inlineStr">
        <is>
          <t>42,8 × 42,8 × 10</t>
        </is>
      </c>
      <c r="K614" s="33" t="inlineStr">
        <is>
          <t>Compra (en el conjunto)</t>
        </is>
      </c>
      <c r="L614" s="33" t="inlineStr">
        <is>
          <t>No</t>
        </is>
      </c>
      <c r="M614" s="17" t="n"/>
      <c r="N614" s="17" t="n"/>
      <c r="O614" s="17" t="inlineStr">
        <is>
          <t>S4 - se compra terminado (tercerizado con sello IRAM)</t>
        </is>
      </c>
      <c r="P614" s="17" t="n"/>
      <c r="Q614" s="33" t="inlineStr">
        <is>
          <t>P</t>
        </is>
      </c>
      <c r="R614" s="33" t="inlineStr">
        <is>
          <t>FL_DES_CLASED_9l</t>
        </is>
      </c>
      <c r="S614" s="17" t="n"/>
    </row>
    <row r="615">
      <c r="A615" s="33" t="inlineStr">
        <is>
          <t>FL_MAT_CLASED_9l</t>
        </is>
      </c>
      <c r="B615" s="33" t="n">
        <v>2</v>
      </c>
      <c r="C615" s="33" t="inlineStr">
        <is>
          <t>CLASED9-06</t>
        </is>
      </c>
      <c r="D615" s="17" t="inlineStr">
        <is>
          <t xml:space="preserve">        Espiga roscada</t>
        </is>
      </c>
      <c r="E615" s="33" t="n">
        <v>1</v>
      </c>
      <c r="F615" s="33" t="inlineStr">
        <is>
          <t>u</t>
        </is>
      </c>
      <c r="G615" s="34" t="n">
        <v>0.0243</v>
      </c>
      <c r="H615" s="34">
        <f>E615*G615</f>
        <v/>
      </c>
      <c r="I615" s="33" t="inlineStr">
        <is>
          <t>Latón forjado</t>
        </is>
      </c>
      <c r="J615" s="17" t="inlineStr">
        <is>
          <t>28,4 × 28,4 × 12</t>
        </is>
      </c>
      <c r="K615" s="33" t="inlineStr">
        <is>
          <t>Compra (en el conjunto)</t>
        </is>
      </c>
      <c r="L615" s="33" t="inlineStr">
        <is>
          <t>No</t>
        </is>
      </c>
      <c r="M615" s="17" t="n"/>
      <c r="N615" s="17" t="n"/>
      <c r="O615" s="17" t="inlineStr">
        <is>
          <t>S4 - se compra terminado (tercerizado con sello IRAM)</t>
        </is>
      </c>
      <c r="P615" s="17" t="n"/>
      <c r="Q615" s="33" t="inlineStr">
        <is>
          <t>P</t>
        </is>
      </c>
      <c r="R615" s="33" t="inlineStr">
        <is>
          <t>FL_DES_CLASED_9l</t>
        </is>
      </c>
      <c r="S615" s="17" t="n"/>
    </row>
    <row r="616">
      <c r="A616" s="33" t="inlineStr">
        <is>
          <t>FL_MAT_CLASED_9l</t>
        </is>
      </c>
      <c r="B616" s="33" t="n">
        <v>2</v>
      </c>
      <c r="C616" s="33" t="inlineStr">
        <is>
          <t>CLASED9-07</t>
        </is>
      </c>
      <c r="D616" s="17" t="inlineStr">
        <is>
          <t xml:space="preserve">        Cuerpo de válvula</t>
        </is>
      </c>
      <c r="E616" s="33" t="n">
        <v>1</v>
      </c>
      <c r="F616" s="33" t="inlineStr">
        <is>
          <t>u</t>
        </is>
      </c>
      <c r="G616" s="34" t="n">
        <v>0.4487</v>
      </c>
      <c r="H616" s="34">
        <f>E616*G616</f>
        <v/>
      </c>
      <c r="I616" s="33" t="inlineStr">
        <is>
          <t>Latón forjado</t>
        </is>
      </c>
      <c r="J616" s="17" t="inlineStr">
        <is>
          <t>61,4 × 43 × 34</t>
        </is>
      </c>
      <c r="K616" s="33" t="inlineStr">
        <is>
          <t>Compra (en el conjunto)</t>
        </is>
      </c>
      <c r="L616" s="33" t="inlineStr">
        <is>
          <t>No</t>
        </is>
      </c>
      <c r="M616" s="17" t="n"/>
      <c r="N616" s="17" t="n"/>
      <c r="O616" s="17" t="inlineStr">
        <is>
          <t>S4 - se compra terminado (tercerizado con sello IRAM)</t>
        </is>
      </c>
      <c r="P616" s="17" t="n"/>
      <c r="Q616" s="33" t="inlineStr">
        <is>
          <t>P</t>
        </is>
      </c>
      <c r="R616" s="33" t="inlineStr">
        <is>
          <t>FL_DES_CLASED_9l</t>
        </is>
      </c>
      <c r="S616" s="17" t="n"/>
    </row>
    <row r="617">
      <c r="A617" s="33" t="inlineStr">
        <is>
          <t>FL_MAT_CLASED_9l</t>
        </is>
      </c>
      <c r="B617" s="33" t="n">
        <v>2</v>
      </c>
      <c r="C617" s="33" t="inlineStr">
        <is>
          <t>CLASED9-08</t>
        </is>
      </c>
      <c r="D617" s="17" t="inlineStr">
        <is>
          <t xml:space="preserve">        Manómetro</t>
        </is>
      </c>
      <c r="E617" s="33" t="n">
        <v>1</v>
      </c>
      <c r="F617" s="33" t="inlineStr">
        <is>
          <t>u</t>
        </is>
      </c>
      <c r="G617" s="34" t="n"/>
      <c r="H617" s="34" t="n"/>
      <c r="I617" s="33" t="inlineStr">
        <is>
          <t>Comercial</t>
        </is>
      </c>
      <c r="J617" s="17" t="inlineStr">
        <is>
          <t>Ø38 esfera, rango 0-3,5 MPa, sector verde en 1,4</t>
        </is>
      </c>
      <c r="K617" s="33" t="inlineStr">
        <is>
          <t>Compra (en el conjunto)</t>
        </is>
      </c>
      <c r="L617" s="33" t="inlineStr">
        <is>
          <t>No</t>
        </is>
      </c>
      <c r="M617" s="17" t="n"/>
      <c r="N617" s="17" t="n"/>
      <c r="O617" s="17" t="inlineStr">
        <is>
          <t>S4 - se compra terminado (tercerizado con sello IRAM)</t>
        </is>
      </c>
      <c r="P617" s="17" t="inlineStr">
        <is>
          <t>IRAM 3533</t>
        </is>
      </c>
      <c r="Q617" s="33" t="inlineStr">
        <is>
          <t>P</t>
        </is>
      </c>
      <c r="R617" s="33" t="inlineStr">
        <is>
          <t>FL_DES_CLASED_9l</t>
        </is>
      </c>
      <c r="S617" s="17" t="inlineStr">
        <is>
          <t>Pieza comercial; sello IRAM 3533; peso: completar con la ficha del proveedor (no afecta el MRP)</t>
        </is>
      </c>
    </row>
    <row r="618">
      <c r="A618" s="33" t="inlineStr">
        <is>
          <t>FL_MAT_CLASED_9l</t>
        </is>
      </c>
      <c r="B618" s="33" t="n">
        <v>2</v>
      </c>
      <c r="C618" s="33" t="inlineStr">
        <is>
          <t>CLASED9-09</t>
        </is>
      </c>
      <c r="D618" s="17" t="inlineStr">
        <is>
          <t xml:space="preserve">        Manija de transporte</t>
        </is>
      </c>
      <c r="E618" s="33" t="n">
        <v>1</v>
      </c>
      <c r="F618" s="33" t="inlineStr">
        <is>
          <t>u</t>
        </is>
      </c>
      <c r="G618" s="34" t="n">
        <v>0.0459</v>
      </c>
      <c r="H618" s="34">
        <f>E618*G618</f>
        <v/>
      </c>
      <c r="I618" s="33" t="inlineStr">
        <is>
          <t>Chapa acero SAE 1010 pintada</t>
        </is>
      </c>
      <c r="J618" s="17" t="inlineStr">
        <is>
          <t>73,1 × 20 × 11,6</t>
        </is>
      </c>
      <c r="K618" s="33" t="inlineStr">
        <is>
          <t>Compra (en el conjunto)</t>
        </is>
      </c>
      <c r="L618" s="33" t="inlineStr">
        <is>
          <t>No</t>
        </is>
      </c>
      <c r="M618" s="17" t="n"/>
      <c r="N618" s="17" t="n"/>
      <c r="O618" s="17" t="inlineStr">
        <is>
          <t>S4 - se compra terminado (tercerizado con sello IRAM)</t>
        </is>
      </c>
      <c r="P618" s="17" t="n"/>
      <c r="Q618" s="33" t="inlineStr">
        <is>
          <t>P</t>
        </is>
      </c>
      <c r="R618" s="33" t="inlineStr">
        <is>
          <t>FL_DES_CLASED_9l</t>
        </is>
      </c>
      <c r="S618" s="17" t="n"/>
    </row>
    <row r="619">
      <c r="A619" s="33" t="inlineStr">
        <is>
          <t>FL_MAT_CLASED_9l</t>
        </is>
      </c>
      <c r="B619" s="33" t="n">
        <v>2</v>
      </c>
      <c r="C619" s="33" t="inlineStr">
        <is>
          <t>CLASED9-10</t>
        </is>
      </c>
      <c r="D619" s="17" t="inlineStr">
        <is>
          <t xml:space="preserve">        Manija de accionamiento</t>
        </is>
      </c>
      <c r="E619" s="33" t="n">
        <v>1</v>
      </c>
      <c r="F619" s="33" t="inlineStr">
        <is>
          <t>u</t>
        </is>
      </c>
      <c r="G619" s="34" t="n">
        <v>0.07290000000000001</v>
      </c>
      <c r="H619" s="34">
        <f>E619*G619</f>
        <v/>
      </c>
      <c r="I619" s="33" t="inlineStr">
        <is>
          <t>Chapa acero SAE 1010 pintada</t>
        </is>
      </c>
      <c r="J619" s="17" t="inlineStr">
        <is>
          <t>115,7 × 20 × 18,1</t>
        </is>
      </c>
      <c r="K619" s="33" t="inlineStr">
        <is>
          <t>Compra (en el conjunto)</t>
        </is>
      </c>
      <c r="L619" s="33" t="inlineStr">
        <is>
          <t>No</t>
        </is>
      </c>
      <c r="M619" s="17" t="n"/>
      <c r="N619" s="17" t="n"/>
      <c r="O619" s="17" t="inlineStr">
        <is>
          <t>S4 - se compra terminado (tercerizado con sello IRAM)</t>
        </is>
      </c>
      <c r="P619" s="17" t="n"/>
      <c r="Q619" s="33" t="inlineStr">
        <is>
          <t>P</t>
        </is>
      </c>
      <c r="R619" s="33" t="inlineStr">
        <is>
          <t>FL_DES_CLASED_9l</t>
        </is>
      </c>
      <c r="S619" s="17" t="n"/>
    </row>
    <row r="620">
      <c r="A620" s="33" t="inlineStr">
        <is>
          <t>FL_MAT_CLASED_9l</t>
        </is>
      </c>
      <c r="B620" s="33" t="n">
        <v>2</v>
      </c>
      <c r="C620" s="33" t="inlineStr">
        <is>
          <t>CLASED9-11</t>
        </is>
      </c>
      <c r="D620" s="17" t="inlineStr">
        <is>
          <t xml:space="preserve">        Eje de palanca</t>
        </is>
      </c>
      <c r="E620" s="33" t="n">
        <v>1</v>
      </c>
      <c r="F620" s="33" t="inlineStr">
        <is>
          <t>u</t>
        </is>
      </c>
      <c r="G620" s="34" t="n">
        <v>0.0081</v>
      </c>
      <c r="H620" s="34">
        <f>E620*G620</f>
        <v/>
      </c>
      <c r="I620" s="33" t="inlineStr">
        <is>
          <t>Acero inox. AISI 304</t>
        </is>
      </c>
      <c r="J620" s="17" t="inlineStr">
        <is>
          <t>36 × 6 × 6</t>
        </is>
      </c>
      <c r="K620" s="33" t="inlineStr">
        <is>
          <t>Compra (en el conjunto)</t>
        </is>
      </c>
      <c r="L620" s="33" t="inlineStr">
        <is>
          <t>No</t>
        </is>
      </c>
      <c r="M620" s="17" t="n"/>
      <c r="N620" s="17" t="n"/>
      <c r="O620" s="17" t="inlineStr">
        <is>
          <t>S4 - se compra terminado (tercerizado con sello IRAM)</t>
        </is>
      </c>
      <c r="P620" s="17" t="n"/>
      <c r="Q620" s="33" t="inlineStr">
        <is>
          <t>P</t>
        </is>
      </c>
      <c r="R620" s="33" t="inlineStr">
        <is>
          <t>FL_DES_CLASED_9l</t>
        </is>
      </c>
      <c r="S620" s="17" t="n"/>
    </row>
    <row r="621">
      <c r="A621" s="33" t="inlineStr">
        <is>
          <t>FL_MAT_CLASED_9l</t>
        </is>
      </c>
      <c r="B621" s="33" t="n">
        <v>2</v>
      </c>
      <c r="C621" s="33" t="inlineStr">
        <is>
          <t>CLASED9-12</t>
        </is>
      </c>
      <c r="D621" s="17" t="inlineStr">
        <is>
          <t xml:space="preserve">        Vástago</t>
        </is>
      </c>
      <c r="E621" s="33" t="n">
        <v>1</v>
      </c>
      <c r="F621" s="33" t="inlineStr">
        <is>
          <t>u</t>
        </is>
      </c>
      <c r="G621" s="34" t="n">
        <v>0.0017</v>
      </c>
      <c r="H621" s="34">
        <f>E621*G621</f>
        <v/>
      </c>
      <c r="I621" s="33" t="inlineStr">
        <is>
          <t>Latón</t>
        </is>
      </c>
      <c r="J621" s="17" t="inlineStr">
        <is>
          <t>8 × 8 × 4</t>
        </is>
      </c>
      <c r="K621" s="33" t="inlineStr">
        <is>
          <t>Compra (en el conjunto)</t>
        </is>
      </c>
      <c r="L621" s="33" t="inlineStr">
        <is>
          <t>No</t>
        </is>
      </c>
      <c r="M621" s="17" t="n"/>
      <c r="N621" s="17" t="n"/>
      <c r="O621" s="17" t="inlineStr">
        <is>
          <t>S4 - se compra terminado (tercerizado con sello IRAM)</t>
        </is>
      </c>
      <c r="P621" s="17" t="n"/>
      <c r="Q621" s="33" t="inlineStr">
        <is>
          <t>P</t>
        </is>
      </c>
      <c r="R621" s="33" t="inlineStr">
        <is>
          <t>FL_DES_CLASED_9l</t>
        </is>
      </c>
      <c r="S621" s="17" t="inlineStr">
        <is>
          <t>con junta tórica</t>
        </is>
      </c>
    </row>
    <row r="622">
      <c r="A622" s="33" t="inlineStr">
        <is>
          <t>FL_MAT_CLASED_9l</t>
        </is>
      </c>
      <c r="B622" s="33" t="n">
        <v>2</v>
      </c>
      <c r="C622" s="33" t="inlineStr">
        <is>
          <t>CLASED9-13</t>
        </is>
      </c>
      <c r="D622" s="17" t="inlineStr">
        <is>
          <t xml:space="preserve">        Pasador de seguridad</t>
        </is>
      </c>
      <c r="E622" s="33" t="n">
        <v>1</v>
      </c>
      <c r="F622" s="33" t="inlineStr">
        <is>
          <t>u</t>
        </is>
      </c>
      <c r="G622" s="34" t="n">
        <v>0.0055</v>
      </c>
      <c r="H622" s="34">
        <f>E622*G622</f>
        <v/>
      </c>
      <c r="I622" s="33" t="inlineStr">
        <is>
          <t>Alambre acero inox. AISI 304</t>
        </is>
      </c>
      <c r="J622" s="17" t="inlineStr">
        <is>
          <t>45,4 × 21 × 20,8</t>
        </is>
      </c>
      <c r="K622" s="33" t="inlineStr">
        <is>
          <t>Compra (en el conjunto)</t>
        </is>
      </c>
      <c r="L622" s="33" t="inlineStr">
        <is>
          <t>No</t>
        </is>
      </c>
      <c r="M622" s="17" t="n"/>
      <c r="N622" s="17" t="n"/>
      <c r="O622" s="17" t="inlineStr">
        <is>
          <t>S4 - se compra terminado (tercerizado con sello IRAM)</t>
        </is>
      </c>
      <c r="P622" s="17" t="n"/>
      <c r="Q622" s="33" t="inlineStr">
        <is>
          <t>P</t>
        </is>
      </c>
      <c r="R622" s="33" t="inlineStr">
        <is>
          <t>FL_DES_CLASED_9l</t>
        </is>
      </c>
      <c r="S622" s="17" t="inlineStr">
        <is>
          <t>con precinto</t>
        </is>
      </c>
    </row>
    <row r="623">
      <c r="A623" s="33" t="inlineStr">
        <is>
          <t>FL_MAT_CLASED_9l</t>
        </is>
      </c>
      <c r="B623" s="33" t="n">
        <v>2</v>
      </c>
      <c r="C623" s="33" t="inlineStr">
        <is>
          <t>CLASED9-14</t>
        </is>
      </c>
      <c r="D623" s="17" t="inlineStr">
        <is>
          <t xml:space="preserve">        Caño de pesca (sifón)</t>
        </is>
      </c>
      <c r="E623" s="33" t="n">
        <v>1</v>
      </c>
      <c r="F623" s="33" t="inlineStr">
        <is>
          <t>u</t>
        </is>
      </c>
      <c r="G623" s="34" t="n">
        <v>0.0364</v>
      </c>
      <c r="H623" s="34">
        <f>E623*G623</f>
        <v/>
      </c>
      <c r="I623" s="33" t="inlineStr">
        <is>
          <t>Tubo PVC rígido</t>
        </is>
      </c>
      <c r="J623" s="17" t="inlineStr">
        <is>
          <t>Ø12 × 525,7 de largo</t>
        </is>
      </c>
      <c r="K623" s="33" t="inlineStr">
        <is>
          <t>Compra (en el conjunto)</t>
        </is>
      </c>
      <c r="L623" s="33" t="inlineStr">
        <is>
          <t>No</t>
        </is>
      </c>
      <c r="M623" s="17" t="n"/>
      <c r="N623" s="17" t="n"/>
      <c r="O623" s="17" t="inlineStr">
        <is>
          <t>S4 - se compra terminado (tercerizado con sello IRAM)</t>
        </is>
      </c>
      <c r="P623" s="17" t="n"/>
      <c r="Q623" s="33" t="inlineStr">
        <is>
          <t>P</t>
        </is>
      </c>
      <c r="R623" s="33" t="inlineStr">
        <is>
          <t>FL_DES_CLASED_9l</t>
        </is>
      </c>
      <c r="S623" s="17" t="n"/>
    </row>
    <row r="624">
      <c r="A624" s="33" t="inlineStr">
        <is>
          <t>FL_MAT_CLASED_9l</t>
        </is>
      </c>
      <c r="B624" s="33" t="n">
        <v>2</v>
      </c>
      <c r="C624" s="33" t="inlineStr">
        <is>
          <t>CLASED9-25</t>
        </is>
      </c>
      <c r="D624" s="17" t="inlineStr">
        <is>
          <t xml:space="preserve">        Junta tórica de asiento</t>
        </is>
      </c>
      <c r="E624" s="33" t="n">
        <v>1</v>
      </c>
      <c r="F624" s="33" t="inlineStr">
        <is>
          <t>u</t>
        </is>
      </c>
      <c r="G624" s="34" t="n">
        <v>0.001</v>
      </c>
      <c r="H624" s="34">
        <f>E624*G624</f>
        <v/>
      </c>
      <c r="I624" s="33" t="inlineStr">
        <is>
          <t>NBR 70 Shore A</t>
        </is>
      </c>
      <c r="J624" s="17" t="inlineStr">
        <is>
          <t>Ø31,4 ext. × cordón 3</t>
        </is>
      </c>
      <c r="K624" s="33" t="inlineStr">
        <is>
          <t>Compra (en el conjunto)</t>
        </is>
      </c>
      <c r="L624" s="33" t="inlineStr">
        <is>
          <t>No</t>
        </is>
      </c>
      <c r="M624" s="17" t="n"/>
      <c r="N624" s="17" t="n"/>
      <c r="O624" s="17" t="inlineStr">
        <is>
          <t>S4 - se compra terminado (tercerizado con sello IRAM)</t>
        </is>
      </c>
      <c r="P624" s="17" t="n"/>
      <c r="Q624" s="33" t="inlineStr">
        <is>
          <t>P</t>
        </is>
      </c>
      <c r="R624" s="33" t="inlineStr">
        <is>
          <t>FL_DES_CLASED_9l</t>
        </is>
      </c>
      <c r="S624" s="17" t="inlineStr">
        <is>
          <t>cambio c/recarga</t>
        </is>
      </c>
    </row>
    <row r="625">
      <c r="A625" s="33" t="inlineStr">
        <is>
          <t>FL_MAT_CLASED_9l</t>
        </is>
      </c>
      <c r="B625" s="33" t="n">
        <v>2</v>
      </c>
      <c r="C625" s="33" t="inlineStr">
        <is>
          <t>CLASED9-V2</t>
        </is>
      </c>
      <c r="D625" s="17" t="inlineStr">
        <is>
          <t xml:space="preserve">        Resorte de retorno del vástago</t>
        </is>
      </c>
      <c r="E625" s="33" t="n">
        <v>1</v>
      </c>
      <c r="F625" s="33" t="inlineStr">
        <is>
          <t>u</t>
        </is>
      </c>
      <c r="G625" s="34" t="n"/>
      <c r="H625" s="34" t="n"/>
      <c r="I625" s="33" t="inlineStr">
        <is>
          <t>Acero para resortes</t>
        </is>
      </c>
      <c r="J625" s="17" t="inlineStr">
        <is>
          <t>incluido en la válvula</t>
        </is>
      </c>
      <c r="K625" s="33" t="inlineStr">
        <is>
          <t>Compra (en el conjunto)</t>
        </is>
      </c>
      <c r="L625" s="33" t="inlineStr">
        <is>
          <t>No</t>
        </is>
      </c>
      <c r="M625" s="17" t="n"/>
      <c r="N625" s="17" t="n"/>
      <c r="O625" s="17" t="inlineStr">
        <is>
          <t>19 Ensamblaje</t>
        </is>
      </c>
      <c r="P625" s="17" t="n"/>
      <c r="Q625" s="33" t="inlineStr">
        <is>
          <t>Q</t>
        </is>
      </c>
      <c r="R625" s="33" t="n"/>
      <c r="S625" s="17" t="inlineStr">
        <is>
          <t>Lista de precios HZ: válvula «c/resorte» (Q-AGENTES)</t>
        </is>
      </c>
    </row>
    <row r="626">
      <c r="A626" s="33" t="inlineStr">
        <is>
          <t>FL_MAT_CLASED_9l</t>
        </is>
      </c>
      <c r="B626" s="33" t="n">
        <v>2</v>
      </c>
      <c r="C626" s="33" t="inlineStr">
        <is>
          <t>CLASED9-V3</t>
        </is>
      </c>
      <c r="D626" s="17" t="inlineStr">
        <is>
          <t xml:space="preserve">        Junta tórica del vástago</t>
        </is>
      </c>
      <c r="E626" s="33" t="n">
        <v>1</v>
      </c>
      <c r="F626" s="33" t="inlineStr">
        <is>
          <t>u</t>
        </is>
      </c>
      <c r="G626" s="34" t="n"/>
      <c r="H626" s="34" t="n"/>
      <c r="I626" s="33" t="inlineStr">
        <is>
          <t>NBR 70 Shore A</t>
        </is>
      </c>
      <c r="J626" s="17" t="inlineStr">
        <is>
          <t>incluida en la válvula</t>
        </is>
      </c>
      <c r="K626" s="33" t="inlineStr">
        <is>
          <t>Compra (en el conjunto)</t>
        </is>
      </c>
      <c r="L626" s="33" t="inlineStr">
        <is>
          <t>No</t>
        </is>
      </c>
      <c r="M626" s="17" t="n"/>
      <c r="N626" s="17" t="n"/>
      <c r="O626" s="17" t="inlineStr">
        <is>
          <t>19 Ensamblaje</t>
        </is>
      </c>
      <c r="P626" s="17" t="n"/>
      <c r="Q626" s="33" t="inlineStr">
        <is>
          <t>P</t>
        </is>
      </c>
      <c r="R626" s="33" t="n"/>
      <c r="S626" s="17" t="inlineStr">
        <is>
          <t>Figura en el plano como «vástago con junta tórica»</t>
        </is>
      </c>
    </row>
    <row r="627">
      <c r="A627" s="30" t="inlineStr">
        <is>
          <t>FL_MAT_CLASED_9l</t>
        </is>
      </c>
      <c r="B627" s="30" t="n">
        <v>1</v>
      </c>
      <c r="C627" s="30" t="inlineStr">
        <is>
          <t>CLASED9-S3</t>
        </is>
      </c>
      <c r="D627" s="31" t="inlineStr">
        <is>
          <t xml:space="preserve">    Dispositivo de descarga</t>
        </is>
      </c>
      <c r="E627" s="30" t="n">
        <v>1</v>
      </c>
      <c r="F627" s="30" t="inlineStr">
        <is>
          <t>u</t>
        </is>
      </c>
      <c r="G627" s="32" t="n"/>
      <c r="H627" s="32">
        <f>H628+H629+H630+H631+H632</f>
        <v/>
      </c>
      <c r="I627" s="30" t="n"/>
      <c r="J627" s="31" t="n"/>
      <c r="K627" s="30" t="inlineStr">
        <is>
          <t>Compra / armado</t>
        </is>
      </c>
      <c r="L627" s="30" t="n"/>
      <c r="M627" s="31" t="n"/>
      <c r="N627" s="31" t="n"/>
      <c r="O627" s="31" t="n"/>
      <c r="P627" s="31" t="n"/>
      <c r="Q627" s="30" t="inlineStr">
        <is>
          <t>P</t>
        </is>
      </c>
      <c r="R627" s="30" t="inlineStr">
        <is>
          <t>FL_DES_CLASED_9l</t>
        </is>
      </c>
      <c r="S627" s="31" t="n"/>
    </row>
    <row r="628">
      <c r="A628" s="33" t="inlineStr">
        <is>
          <t>FL_MAT_CLASED_9l</t>
        </is>
      </c>
      <c r="B628" s="33" t="n">
        <v>2</v>
      </c>
      <c r="C628" s="33" t="inlineStr">
        <is>
          <t>CLASED9-15</t>
        </is>
      </c>
      <c r="D628" s="17" t="inlineStr">
        <is>
          <t xml:space="preserve">        Racor de manguera</t>
        </is>
      </c>
      <c r="E628" s="33" t="n">
        <v>1</v>
      </c>
      <c r="F628" s="33" t="inlineStr">
        <is>
          <t>u</t>
        </is>
      </c>
      <c r="G628" s="34" t="n">
        <v>0.0258</v>
      </c>
      <c r="H628" s="34">
        <f>E628*G628</f>
        <v/>
      </c>
      <c r="I628" s="33" t="inlineStr">
        <is>
          <t>Latón</t>
        </is>
      </c>
      <c r="J628" s="17" t="inlineStr">
        <is>
          <t>18 × 18 × 12</t>
        </is>
      </c>
      <c r="K628" s="33" t="inlineStr">
        <is>
          <t>Compra (en el conjunto)</t>
        </is>
      </c>
      <c r="L628" s="33" t="inlineStr">
        <is>
          <t>No</t>
        </is>
      </c>
      <c r="M628" s="17" t="n"/>
      <c r="N628" s="17" t="n"/>
      <c r="O628" s="17" t="inlineStr">
        <is>
          <t>S4 - se compra terminado (tercerizado con sello IRAM)</t>
        </is>
      </c>
      <c r="P628" s="17" t="n"/>
      <c r="Q628" s="33" t="inlineStr">
        <is>
          <t>P</t>
        </is>
      </c>
      <c r="R628" s="33" t="inlineStr">
        <is>
          <t>FL_DES_CLASED_9l</t>
        </is>
      </c>
      <c r="S628" s="17" t="n"/>
    </row>
    <row r="629">
      <c r="A629" s="33" t="inlineStr">
        <is>
          <t>FL_MAT_CLASED_9l</t>
        </is>
      </c>
      <c r="B629" s="33" t="n">
        <v>2</v>
      </c>
      <c r="C629" s="33" t="inlineStr">
        <is>
          <t>CLASED9-16</t>
        </is>
      </c>
      <c r="D629" s="17" t="inlineStr">
        <is>
          <t xml:space="preserve">        Manguera</t>
        </is>
      </c>
      <c r="E629" s="33" t="n">
        <v>1</v>
      </c>
      <c r="F629" s="33" t="inlineStr">
        <is>
          <t>u</t>
        </is>
      </c>
      <c r="G629" s="34" t="n">
        <v>0.0281</v>
      </c>
      <c r="H629" s="34">
        <f>E629*G629</f>
        <v/>
      </c>
      <c r="I629" s="33" t="inlineStr">
        <is>
          <t>Caucho sintético</t>
        </is>
      </c>
      <c r="J629" s="17" t="inlineStr">
        <is>
          <t>Ø16 × 182 de largo desarrollado</t>
        </is>
      </c>
      <c r="K629" s="33" t="inlineStr">
        <is>
          <t>Compra (en el conjunto)</t>
        </is>
      </c>
      <c r="L629" s="33" t="inlineStr">
        <is>
          <t>No</t>
        </is>
      </c>
      <c r="M629" s="17" t="n"/>
      <c r="N629" s="17" t="n"/>
      <c r="O629" s="17" t="inlineStr">
        <is>
          <t>S4 - se compra terminado (tercerizado con sello IRAM)</t>
        </is>
      </c>
      <c r="P629" s="17" t="n"/>
      <c r="Q629" s="33" t="inlineStr">
        <is>
          <t>P</t>
        </is>
      </c>
      <c r="R629" s="33" t="inlineStr">
        <is>
          <t>FL_DES_CLASED_9l</t>
        </is>
      </c>
      <c r="S629" s="17" t="n"/>
    </row>
    <row r="630">
      <c r="A630" s="33" t="inlineStr">
        <is>
          <t>FL_MAT_CLASED_9l</t>
        </is>
      </c>
      <c r="B630" s="33" t="n">
        <v>2</v>
      </c>
      <c r="C630" s="33" t="inlineStr">
        <is>
          <t>CLASED9-17</t>
        </is>
      </c>
      <c r="D630" s="17" t="inlineStr">
        <is>
          <t xml:space="preserve">        Lanza aplicadora flujo suave</t>
        </is>
      </c>
      <c r="E630" s="33" t="n">
        <v>1</v>
      </c>
      <c r="F630" s="33" t="inlineStr">
        <is>
          <t>u</t>
        </is>
      </c>
      <c r="G630" s="34" t="n">
        <v>0.1201</v>
      </c>
      <c r="H630" s="34">
        <f>E630*G630</f>
        <v/>
      </c>
      <c r="I630" s="33" t="inlineStr">
        <is>
          <t>Tubo aluminio</t>
        </is>
      </c>
      <c r="J630" s="17" t="inlineStr">
        <is>
          <t>360 × 40 × 40</t>
        </is>
      </c>
      <c r="K630" s="33" t="inlineStr">
        <is>
          <t>Compra (en el conjunto)</t>
        </is>
      </c>
      <c r="L630" s="33" t="inlineStr">
        <is>
          <t>No</t>
        </is>
      </c>
      <c r="M630" s="17" t="n"/>
      <c r="N630" s="17" t="n"/>
      <c r="O630" s="17" t="inlineStr">
        <is>
          <t>S4 - se compra terminado (tercerizado con sello IRAM)</t>
        </is>
      </c>
      <c r="P630" s="17" t="n"/>
      <c r="Q630" s="33" t="inlineStr">
        <is>
          <t>P</t>
        </is>
      </c>
      <c r="R630" s="33" t="inlineStr">
        <is>
          <t>FL_DES_CLASED_9l</t>
        </is>
      </c>
      <c r="S630" s="17" t="n"/>
    </row>
    <row r="631">
      <c r="A631" s="33" t="inlineStr">
        <is>
          <t>FL_MAT_CLASED_9l</t>
        </is>
      </c>
      <c r="B631" s="33" t="n">
        <v>2</v>
      </c>
      <c r="C631" s="33" t="inlineStr">
        <is>
          <t>CLASED9-18</t>
        </is>
      </c>
      <c r="D631" s="17" t="inlineStr">
        <is>
          <t xml:space="preserve">        Empuñadura</t>
        </is>
      </c>
      <c r="E631" s="33" t="n">
        <v>1</v>
      </c>
      <c r="F631" s="33" t="inlineStr">
        <is>
          <t>u</t>
        </is>
      </c>
      <c r="G631" s="34" t="n">
        <v>0.0239</v>
      </c>
      <c r="H631" s="34">
        <f>E631*G631</f>
        <v/>
      </c>
      <c r="I631" s="33" t="inlineStr">
        <is>
          <t>Polipropileno</t>
        </is>
      </c>
      <c r="J631" s="17" t="inlineStr">
        <is>
          <t>90 × 28 × 28</t>
        </is>
      </c>
      <c r="K631" s="33" t="inlineStr">
        <is>
          <t>Compra (en el conjunto)</t>
        </is>
      </c>
      <c r="L631" s="33" t="inlineStr">
        <is>
          <t>No</t>
        </is>
      </c>
      <c r="M631" s="17" t="n"/>
      <c r="N631" s="17" t="n"/>
      <c r="O631" s="17" t="inlineStr">
        <is>
          <t>S4 - se compra terminado (tercerizado con sello IRAM)</t>
        </is>
      </c>
      <c r="P631" s="17" t="n"/>
      <c r="Q631" s="33" t="inlineStr">
        <is>
          <t>P</t>
        </is>
      </c>
      <c r="R631" s="33" t="inlineStr">
        <is>
          <t>FL_DES_CLASED_9l</t>
        </is>
      </c>
      <c r="S631" s="17" t="n"/>
    </row>
    <row r="632">
      <c r="A632" s="33" t="inlineStr">
        <is>
          <t>FL_MAT_CLASED_9l</t>
        </is>
      </c>
      <c r="B632" s="33" t="n">
        <v>2</v>
      </c>
      <c r="C632" s="33" t="inlineStr">
        <is>
          <t>CLASED9-19</t>
        </is>
      </c>
      <c r="D632" s="17" t="inlineStr">
        <is>
          <t xml:space="preserve">        Suncho portatobera</t>
        </is>
      </c>
      <c r="E632" s="33" t="n">
        <v>1</v>
      </c>
      <c r="F632" s="33" t="inlineStr">
        <is>
          <t>u</t>
        </is>
      </c>
      <c r="G632" s="34" t="n">
        <v>0.1773</v>
      </c>
      <c r="H632" s="34">
        <f>E632*G632</f>
        <v/>
      </c>
      <c r="I632" s="33" t="inlineStr">
        <is>
          <t>Fleje acero SAE 1010 pintado</t>
        </is>
      </c>
      <c r="J632" s="17" t="inlineStr">
        <is>
          <t>198,8 × 184,5 × 18</t>
        </is>
      </c>
      <c r="K632" s="33" t="inlineStr">
        <is>
          <t>Compra (en el conjunto)</t>
        </is>
      </c>
      <c r="L632" s="33" t="inlineStr">
        <is>
          <t>No</t>
        </is>
      </c>
      <c r="M632" s="17" t="n"/>
      <c r="N632" s="17" t="n"/>
      <c r="O632" s="17" t="inlineStr">
        <is>
          <t>S4 - se compra terminado (tercerizado con sello IRAM)</t>
        </is>
      </c>
      <c r="P632" s="17" t="n"/>
      <c r="Q632" s="33" t="inlineStr">
        <is>
          <t>P</t>
        </is>
      </c>
      <c r="R632" s="33" t="inlineStr">
        <is>
          <t>FL_DES_CLASED_9l</t>
        </is>
      </c>
      <c r="S632" s="17" t="n"/>
    </row>
    <row r="633">
      <c r="A633" s="30" t="inlineStr">
        <is>
          <t>FL_MAT_CLASED_9l</t>
        </is>
      </c>
      <c r="B633" s="30" t="n">
        <v>1</v>
      </c>
      <c r="C633" s="30" t="inlineStr">
        <is>
          <t>CLASED9-S5</t>
        </is>
      </c>
      <c r="D633" s="31" t="inlineStr">
        <is>
          <t xml:space="preserve">    Carga: agente extintor y gas impulsor</t>
        </is>
      </c>
      <c r="E633" s="30" t="n">
        <v>1</v>
      </c>
      <c r="F633" s="30" t="inlineStr">
        <is>
          <t>u</t>
        </is>
      </c>
      <c r="G633" s="32" t="n"/>
      <c r="H633" s="32">
        <f>H634+H635</f>
        <v/>
      </c>
      <c r="I633" s="30" t="n"/>
      <c r="J633" s="31" t="n"/>
      <c r="K633" s="30" t="inlineStr">
        <is>
          <t>Compra</t>
        </is>
      </c>
      <c r="L633" s="30" t="n"/>
      <c r="M633" s="31" t="n"/>
      <c r="N633" s="31" t="n"/>
      <c r="O633" s="31" t="n"/>
      <c r="P633" s="31" t="n"/>
      <c r="Q633" s="30" t="n"/>
      <c r="R633" s="30" t="n"/>
      <c r="S633" s="31" t="n"/>
    </row>
    <row r="634">
      <c r="A634" s="33" t="inlineStr">
        <is>
          <t>FL_MAT_CLASED_9l</t>
        </is>
      </c>
      <c r="B634" s="33" t="n">
        <v>2</v>
      </c>
      <c r="C634" s="33" t="inlineStr">
        <is>
          <t>CLASED9-A1</t>
        </is>
      </c>
      <c r="D634" s="17" t="inlineStr">
        <is>
          <t xml:space="preserve">        Polvo para metales combustibles clase D - Clase D (NaCl &gt; 90 %)</t>
        </is>
      </c>
      <c r="E634" s="33" t="n">
        <v>9.15</v>
      </c>
      <c r="F634" s="33" t="inlineStr">
        <is>
          <t>kg</t>
        </is>
      </c>
      <c r="G634" s="34" t="n">
        <v>1</v>
      </c>
      <c r="H634" s="34">
        <f>E634*G634</f>
        <v/>
      </c>
      <c r="I634" s="33" t="inlineStr">
        <is>
          <t>Polvo para metales combustibles clase D - Clase D (NaCl &gt; 90 %)</t>
        </is>
      </c>
      <c r="J634" s="17" t="inlineStr">
        <is>
          <t>nominal 9 kg; tolerancia 0 / +300 g (IRAM 3517-2:2020 tabla 3 · IRAM 3523 tabla II)</t>
        </is>
      </c>
      <c r="K634" s="33" t="inlineStr">
        <is>
          <t>Compra</t>
        </is>
      </c>
      <c r="L634" s="33" t="inlineStr">
        <is>
          <t>No</t>
        </is>
      </c>
      <c r="M634" s="17" t="n"/>
      <c r="N634" s="17" t="n"/>
      <c r="O634" s="17" t="inlineStr">
        <is>
          <t>SP-1 almacén previo a la carga</t>
        </is>
      </c>
      <c r="P634" s="17" t="inlineStr">
        <is>
          <t>sin norma IRAM de agente (DEMSA ISO 9001)</t>
        </is>
      </c>
      <c r="Q634" s="33" t="inlineStr">
        <is>
          <t>N</t>
        </is>
      </c>
      <c r="R634" s="33" t="n"/>
      <c r="S634" s="17" t="inlineStr">
        <is>
          <t>potencial -</t>
        </is>
      </c>
    </row>
    <row r="635">
      <c r="A635" s="33" t="inlineStr">
        <is>
          <t>FL_MAT_CLASED_9l</t>
        </is>
      </c>
      <c r="B635" s="33" t="n">
        <v>2</v>
      </c>
      <c r="C635" s="33" t="inlineStr">
        <is>
          <t>CLASED9-A2</t>
        </is>
      </c>
      <c r="D635" s="17" t="inlineStr">
        <is>
          <t xml:space="preserve">        Gas impulsor: N₂</t>
        </is>
      </c>
      <c r="E635" s="33" t="n">
        <v>0.0604</v>
      </c>
      <c r="F635" s="33" t="inlineStr">
        <is>
          <t>kg</t>
        </is>
      </c>
      <c r="G635" s="34" t="n">
        <v>1</v>
      </c>
      <c r="H635" s="34">
        <f>E635*G635</f>
        <v/>
      </c>
      <c r="I635" s="33" t="inlineStr">
        <is>
          <t>N₂</t>
        </is>
      </c>
      <c r="J635" s="17" t="inlineStr">
        <is>
          <t>48,3 L normales para 1,4 MPa a 20 °C en 3,5 dm³ libres</t>
        </is>
      </c>
      <c r="K635" s="33" t="inlineStr">
        <is>
          <t>Compra</t>
        </is>
      </c>
      <c r="L635" s="33" t="inlineStr">
        <is>
          <t>No</t>
        </is>
      </c>
      <c r="M635" s="17" t="n"/>
      <c r="N635" s="17" t="n"/>
      <c r="O635" s="17" t="inlineStr">
        <is>
          <t>20 Presurización (T05) / C10</t>
        </is>
      </c>
      <c r="P635" s="17" t="inlineStr">
        <is>
          <t>IRAM 3517-2 9.4.9 (tabla 2) · IRAM 3523 2.3 y 3.10</t>
        </is>
      </c>
      <c r="Q635" s="33" t="inlineStr">
        <is>
          <t>C</t>
        </is>
      </c>
      <c r="R635" s="33" t="n"/>
      <c r="S635" s="17" t="inlineStr">
        <is>
          <t>N₂ ≥ 99,8 %, H₂O ≤ 40 ppm (Q-N2, Air Liquide)</t>
        </is>
      </c>
    </row>
    <row r="636">
      <c r="A636" s="30" t="inlineStr">
        <is>
          <t>FL_MAT_CLASED_9l</t>
        </is>
      </c>
      <c r="B636" s="30" t="n">
        <v>1</v>
      </c>
      <c r="C636" s="30" t="inlineStr">
        <is>
          <t>CLASED9-S6</t>
        </is>
      </c>
      <c r="D636" s="31" t="inlineStr">
        <is>
          <t xml:space="preserve">    Identificación y precinto</t>
        </is>
      </c>
      <c r="E636" s="30" t="n">
        <v>1</v>
      </c>
      <c r="F636" s="30" t="inlineStr">
        <is>
          <t>u</t>
        </is>
      </c>
      <c r="G636" s="32" t="n"/>
      <c r="H636" s="32">
        <f>H637+H638+H639+H640+H641+H642+H643</f>
        <v/>
      </c>
      <c r="I636" s="30" t="n"/>
      <c r="J636" s="31" t="n"/>
      <c r="K636" s="30" t="inlineStr">
        <is>
          <t>Compra</t>
        </is>
      </c>
      <c r="L636" s="30" t="n"/>
      <c r="M636" s="31" t="n"/>
      <c r="N636" s="31" t="n"/>
      <c r="O636" s="31" t="inlineStr">
        <is>
          <t>22 Etiquetado (T07)</t>
        </is>
      </c>
      <c r="P636" s="31" t="n"/>
      <c r="Q636" s="30" t="n"/>
      <c r="R636" s="30" t="n"/>
      <c r="S636" s="31" t="n"/>
    </row>
    <row r="637">
      <c r="A637" s="33" t="inlineStr">
        <is>
          <t>FL_MAT_CLASED_9l</t>
        </is>
      </c>
      <c r="B637" s="33" t="n">
        <v>2</v>
      </c>
      <c r="C637" s="33" t="inlineStr">
        <is>
          <t>CLASED9-20</t>
        </is>
      </c>
      <c r="D637" s="17" t="inlineStr">
        <is>
          <t xml:space="preserve">        Etiqueta / placa de características</t>
        </is>
      </c>
      <c r="E637" s="33" t="n">
        <v>1</v>
      </c>
      <c r="F637" s="33" t="inlineStr">
        <is>
          <t>u</t>
        </is>
      </c>
      <c r="G637" s="34" t="n">
        <v>0.0334</v>
      </c>
      <c r="H637" s="34">
        <f>E637*G637</f>
        <v/>
      </c>
      <c r="I637" s="33" t="inlineStr">
        <is>
          <t>Vinilo autoadhesivo laminado</t>
        </is>
      </c>
      <c r="J637" s="17" t="inlineStr">
        <is>
          <t>343 × 232 (desarrollo × alto: panel central 108° + 2 alas laterales), e ≈ 0,3, laminado UV</t>
        </is>
      </c>
      <c r="K637" s="33" t="inlineStr">
        <is>
          <t>Compra</t>
        </is>
      </c>
      <c r="L637" s="33" t="inlineStr">
        <is>
          <t>No</t>
        </is>
      </c>
      <c r="M637" s="17" t="n"/>
      <c r="N637" s="17" t="n"/>
      <c r="O637" s="17" t="inlineStr">
        <is>
          <t>22 Etiquetado (T07)</t>
        </is>
      </c>
      <c r="P637" s="17" t="inlineStr">
        <is>
          <t>IRAM 3534 · IRAM 3523 cap. 5 · relevamiento de mercado</t>
        </is>
      </c>
      <c r="Q637" s="33" t="inlineStr">
        <is>
          <t>P</t>
        </is>
      </c>
      <c r="R637" s="33" t="inlineStr">
        <is>
          <t>FL_DES_CLASED_9l</t>
        </is>
      </c>
      <c r="S637" s="17" t="inlineStr">
        <is>
          <t>IRAM 3534</t>
        </is>
      </c>
    </row>
    <row r="638">
      <c r="A638" s="33" t="inlineStr">
        <is>
          <t>FL_MAT_CLASED_9l</t>
        </is>
      </c>
      <c r="B638" s="33" t="n">
        <v>2</v>
      </c>
      <c r="C638" s="33" t="inlineStr">
        <is>
          <t>CLASED9-21</t>
        </is>
      </c>
      <c r="D638" s="17" t="inlineStr">
        <is>
          <t xml:space="preserve">        Oblea de fabricación (PBA)</t>
        </is>
      </c>
      <c r="E638" s="33" t="n">
        <v>1</v>
      </c>
      <c r="F638" s="33" t="inlineStr">
        <is>
          <t>u</t>
        </is>
      </c>
      <c r="G638" s="34" t="n">
        <v>0.0009</v>
      </c>
      <c r="H638" s="34">
        <f>E638*G638</f>
        <v/>
      </c>
      <c r="I638" s="33" t="inlineStr">
        <is>
          <t>Papel de seguridad autodestructible</t>
        </is>
      </c>
      <c r="J638" s="17" t="inlineStr">
        <is>
          <t>Ø46 (Res. OPDS 522/07), numerada, autodestructible</t>
        </is>
      </c>
      <c r="K638" s="33" t="inlineStr">
        <is>
          <t>Compra</t>
        </is>
      </c>
      <c r="L638" s="33" t="inlineStr">
        <is>
          <t>No</t>
        </is>
      </c>
      <c r="M638" s="17" t="n"/>
      <c r="N638" s="17" t="n"/>
      <c r="O638" s="17" t="inlineStr">
        <is>
          <t>22 Etiquetado (T07)</t>
        </is>
      </c>
      <c r="P638" s="17" t="inlineStr">
        <is>
          <t>Res. OPDS 522/07 anexos 1, 2 y 6</t>
        </is>
      </c>
      <c r="Q638" s="33" t="inlineStr">
        <is>
          <t>P</t>
        </is>
      </c>
      <c r="R638" s="33" t="inlineStr">
        <is>
          <t>FL_DES_CLASED_9l</t>
        </is>
      </c>
      <c r="S638" s="17" t="inlineStr">
        <is>
          <t>Res. 522/07</t>
        </is>
      </c>
    </row>
    <row r="639">
      <c r="A639" s="33" t="inlineStr">
        <is>
          <t>FL_MAT_CLASED_9l</t>
        </is>
      </c>
      <c r="B639" s="33" t="n">
        <v>2</v>
      </c>
      <c r="C639" s="33" t="inlineStr">
        <is>
          <t>CLASED9-22</t>
        </is>
      </c>
      <c r="D639" s="17" t="inlineStr">
        <is>
          <t xml:space="preserve">        Estampilla IRAM de conformidad</t>
        </is>
      </c>
      <c r="E639" s="33" t="n">
        <v>1</v>
      </c>
      <c r="F639" s="33" t="inlineStr">
        <is>
          <t>u</t>
        </is>
      </c>
      <c r="G639" s="34" t="n">
        <v>0.001</v>
      </c>
      <c r="H639" s="34">
        <f>E639*G639</f>
        <v/>
      </c>
      <c r="I639" s="33" t="inlineStr">
        <is>
          <t>Provista por IRAM (Anexo R)</t>
        </is>
      </c>
      <c r="J639" s="17" t="inlineStr">
        <is>
          <t>60 × 40</t>
        </is>
      </c>
      <c r="K639" s="33" t="inlineStr">
        <is>
          <t>Compra</t>
        </is>
      </c>
      <c r="L639" s="33" t="inlineStr">
        <is>
          <t>No</t>
        </is>
      </c>
      <c r="M639" s="17" t="n"/>
      <c r="N639" s="17" t="n"/>
      <c r="O639" s="17" t="inlineStr">
        <is>
          <t>22 Etiquetado (T07)</t>
        </is>
      </c>
      <c r="P639" s="17" t="inlineStr">
        <is>
          <t>IRAM Anexo R (DC-PG-129)</t>
        </is>
      </c>
      <c r="Q639" s="33" t="inlineStr">
        <is>
          <t>P</t>
        </is>
      </c>
      <c r="R639" s="33" t="inlineStr">
        <is>
          <t>FL_DES_CLASED_9l</t>
        </is>
      </c>
      <c r="S639" s="17" t="inlineStr">
        <is>
          <t>numerada</t>
        </is>
      </c>
    </row>
    <row r="640">
      <c r="A640" s="33" t="inlineStr">
        <is>
          <t>FL_MAT_CLASED_9l</t>
        </is>
      </c>
      <c r="B640" s="33" t="n">
        <v>2</v>
      </c>
      <c r="C640" s="33" t="inlineStr">
        <is>
          <t>CLASED9-23</t>
        </is>
      </c>
      <c r="D640" s="17" t="inlineStr">
        <is>
          <t xml:space="preserve">        Tarjeta de identificación AGC (CABA)</t>
        </is>
      </c>
      <c r="E640" s="33" t="n">
        <v>1</v>
      </c>
      <c r="F640" s="33" t="inlineStr">
        <is>
          <t>u</t>
        </is>
      </c>
      <c r="G640" s="34" t="n">
        <v>0.0032</v>
      </c>
      <c r="H640" s="34">
        <f>E640*G640</f>
        <v/>
      </c>
      <c r="I640" s="33" t="inlineStr">
        <is>
          <t>Etiqueta autoadhesiva emitida por la AGC</t>
        </is>
      </c>
      <c r="J640" s="17" t="inlineStr">
        <is>
          <t>140 × 55</t>
        </is>
      </c>
      <c r="K640" s="33" t="inlineStr">
        <is>
          <t>Compra</t>
        </is>
      </c>
      <c r="L640" s="33" t="inlineStr">
        <is>
          <t>Sí</t>
        </is>
      </c>
      <c r="M640" s="17" t="inlineStr">
        <is>
          <t>Agencia Gubernamental de Control (CABA)</t>
        </is>
      </c>
      <c r="N640" s="17" t="inlineStr">
        <is>
          <t>-</t>
        </is>
      </c>
      <c r="O640" s="17" t="inlineStr">
        <is>
          <t>22 Etiquetado (T07)</t>
        </is>
      </c>
      <c r="P640" s="17" t="inlineStr">
        <is>
          <t>Ordenanza 40.473 art. 6 · Res. AGC 32/15</t>
        </is>
      </c>
      <c r="Q640" s="33" t="inlineStr">
        <is>
          <t>P</t>
        </is>
      </c>
      <c r="R640" s="33" t="inlineStr">
        <is>
          <t>FL_DES_CLASED_9l</t>
        </is>
      </c>
      <c r="S640" s="17" t="inlineStr">
        <is>
          <t>sólo destino CABA; sólo destino CABA</t>
        </is>
      </c>
    </row>
    <row r="641">
      <c r="A641" s="33" t="inlineStr">
        <is>
          <t>FL_MAT_CLASED_9l</t>
        </is>
      </c>
      <c r="B641" s="33" t="n">
        <v>2</v>
      </c>
      <c r="C641" s="33" t="inlineStr">
        <is>
          <t>CLASED9-24</t>
        </is>
      </c>
      <c r="D641" s="17" t="inlineStr">
        <is>
          <t xml:space="preserve">        Etiqueta de n° de serie GS1</t>
        </is>
      </c>
      <c r="E641" s="33" t="n">
        <v>1</v>
      </c>
      <c r="F641" s="33" t="inlineStr">
        <is>
          <t>u</t>
        </is>
      </c>
      <c r="G641" s="34" t="n">
        <v>0.0005</v>
      </c>
      <c r="H641" s="34">
        <f>E641*G641</f>
        <v/>
      </c>
      <c r="I641" s="33" t="inlineStr">
        <is>
          <t>Poliéster autoadhesivo impreso térmico</t>
        </is>
      </c>
      <c r="J641" s="17" t="inlineStr">
        <is>
          <t>45 × 25</t>
        </is>
      </c>
      <c r="K641" s="33" t="inlineStr">
        <is>
          <t>Compra</t>
        </is>
      </c>
      <c r="L641" s="33" t="inlineStr">
        <is>
          <t>No</t>
        </is>
      </c>
      <c r="M641" s="17" t="n"/>
      <c r="N641" s="17" t="n"/>
      <c r="O641" s="17" t="inlineStr">
        <is>
          <t>22 Etiquetado (T07)</t>
        </is>
      </c>
      <c r="P641" s="17" t="inlineStr">
        <is>
          <t>GS1 Argentina (GTIN 779) · trazabilidad IRAM 3523 5.1</t>
        </is>
      </c>
      <c r="Q641" s="33" t="inlineStr">
        <is>
          <t>P</t>
        </is>
      </c>
      <c r="R641" s="33" t="inlineStr">
        <is>
          <t>FL_DES_CLASED_9l</t>
        </is>
      </c>
      <c r="S641" s="17" t="inlineStr">
        <is>
          <t>QR GTIN + serie</t>
        </is>
      </c>
    </row>
    <row r="642">
      <c r="A642" s="33" t="inlineStr">
        <is>
          <t>FL_MAT_CLASED_9l</t>
        </is>
      </c>
      <c r="B642" s="33" t="n">
        <v>2</v>
      </c>
      <c r="C642" s="33" t="inlineStr">
        <is>
          <t>CLASED9-26</t>
        </is>
      </c>
      <c r="D642" s="17" t="inlineStr">
        <is>
          <t xml:space="preserve">        Faja de garantía válvula-cuello</t>
        </is>
      </c>
      <c r="E642" s="33" t="n">
        <v>1</v>
      </c>
      <c r="F642" s="33" t="inlineStr">
        <is>
          <t>u</t>
        </is>
      </c>
      <c r="G642" s="34" t="n">
        <v>0.0003</v>
      </c>
      <c r="H642" s="34">
        <f>E642*G642</f>
        <v/>
      </c>
      <c r="I642" s="33" t="inlineStr">
        <is>
          <t>Vinilo destructible rayado rojo/blanco</t>
        </is>
      </c>
      <c r="J642" s="17" t="inlineStr">
        <is>
          <t>30 × 40</t>
        </is>
      </c>
      <c r="K642" s="33" t="inlineStr">
        <is>
          <t>Compra</t>
        </is>
      </c>
      <c r="L642" s="33" t="inlineStr">
        <is>
          <t>No</t>
        </is>
      </c>
      <c r="M642" s="17" t="n"/>
      <c r="N642" s="17" t="n"/>
      <c r="O642" s="17" t="inlineStr">
        <is>
          <t>22 Etiquetado (T07)</t>
        </is>
      </c>
      <c r="P642" s="17" t="inlineStr">
        <is>
          <t>Sin norma: práctica de mercado (garantía de fábrica)</t>
        </is>
      </c>
      <c r="Q642" s="33" t="inlineStr">
        <is>
          <t>P</t>
        </is>
      </c>
      <c r="R642" s="33" t="inlineStr">
        <is>
          <t>FL_DES_CLASED_9l</t>
        </is>
      </c>
      <c r="S642" s="17" t="inlineStr">
        <is>
          <t>nuevo sin abrir</t>
        </is>
      </c>
    </row>
    <row r="643">
      <c r="A643" s="33" t="inlineStr">
        <is>
          <t>FL_MAT_CLASED_9l</t>
        </is>
      </c>
      <c r="B643" s="33" t="n">
        <v>2</v>
      </c>
      <c r="C643" s="33" t="inlineStr">
        <is>
          <t>CLASED9-27</t>
        </is>
      </c>
      <c r="D643" s="17" t="inlineStr">
        <is>
          <t xml:space="preserve">        Precinto de fábrica</t>
        </is>
      </c>
      <c r="E643" s="33" t="n">
        <v>1</v>
      </c>
      <c r="F643" s="33" t="inlineStr">
        <is>
          <t>u</t>
        </is>
      </c>
      <c r="G643" s="34" t="n">
        <v>0.0002</v>
      </c>
      <c r="H643" s="34">
        <f>E643*G643</f>
        <v/>
      </c>
      <c r="I643" s="33" t="inlineStr">
        <is>
          <t>Polipropileno color</t>
        </is>
      </c>
      <c r="J643" s="17" t="inlineStr">
        <is>
          <t>Ø5 × 10, numerado, rotura 30-50 N</t>
        </is>
      </c>
      <c r="K643" s="33" t="inlineStr">
        <is>
          <t>Compra</t>
        </is>
      </c>
      <c r="L643" s="33" t="inlineStr">
        <is>
          <t>No</t>
        </is>
      </c>
      <c r="M643" s="17" t="n"/>
      <c r="N643" s="17" t="n"/>
      <c r="O643" s="17" t="inlineStr">
        <is>
          <t>20 Presurización (T05)</t>
        </is>
      </c>
      <c r="P643" s="17" t="inlineStr">
        <is>
          <t>IRAM 3523 3.3.2 · IRAM 3517-2:2020 9.4.13</t>
        </is>
      </c>
      <c r="Q643" s="33" t="inlineStr">
        <is>
          <t>P</t>
        </is>
      </c>
      <c r="R643" s="33" t="inlineStr">
        <is>
          <t>FL_DES_CLASED_9l</t>
        </is>
      </c>
      <c r="S643" s="17" t="inlineStr">
        <is>
          <t>id. FLAMA y lote</t>
        </is>
      </c>
    </row>
    <row r="644">
      <c r="A644" s="30" t="inlineStr">
        <is>
          <t>FL_MAT_CLASED_9l</t>
        </is>
      </c>
      <c r="B644" s="30" t="n">
        <v>1</v>
      </c>
      <c r="C644" s="30" t="inlineStr">
        <is>
          <t>CLASED9-S8</t>
        </is>
      </c>
      <c r="D644" s="31" t="inlineStr">
        <is>
          <t xml:space="preserve">    Soporte (accesorio de montaje)</t>
        </is>
      </c>
      <c r="E644" s="30" t="n">
        <v>1</v>
      </c>
      <c r="F644" s="30" t="inlineStr">
        <is>
          <t>u</t>
        </is>
      </c>
      <c r="G644" s="32" t="n"/>
      <c r="H644" s="32">
        <f>H645</f>
        <v/>
      </c>
      <c r="I644" s="30" t="n"/>
      <c r="J644" s="31" t="n"/>
      <c r="K644" s="30" t="inlineStr">
        <is>
          <t>Compra</t>
        </is>
      </c>
      <c r="L644" s="30" t="n"/>
      <c r="M644" s="31" t="n"/>
      <c r="N644" s="31" t="n"/>
      <c r="O644" s="31" t="inlineStr">
        <is>
          <t>23 Embalaje (va dentro de la caja)</t>
        </is>
      </c>
      <c r="P644" s="31" t="inlineStr">
        <is>
          <t>IRAM 3517-2 7.4</t>
        </is>
      </c>
      <c r="Q644" s="30" t="n"/>
      <c r="R644" s="30" t="n"/>
      <c r="S644" s="31" t="n"/>
    </row>
    <row r="645">
      <c r="A645" s="33" t="inlineStr">
        <is>
          <t>FL_MAT_CLASED_9l</t>
        </is>
      </c>
      <c r="B645" s="33" t="n">
        <v>2</v>
      </c>
      <c r="C645" s="33" t="inlineStr">
        <is>
          <t>CLASED9-I5</t>
        </is>
      </c>
      <c r="D645" s="17" t="inlineStr">
        <is>
          <t xml:space="preserve">        Soporte de pared (FL_ACC_01)</t>
        </is>
      </c>
      <c r="E645" s="33" t="n">
        <v>1</v>
      </c>
      <c r="F645" s="33" t="inlineStr">
        <is>
          <t>u</t>
        </is>
      </c>
      <c r="G645" s="34" t="n">
        <v>0.319</v>
      </c>
      <c r="H645" s="34">
        <f>E645*G645</f>
        <v/>
      </c>
      <c r="I645" s="33" t="inlineStr">
        <is>
          <t>Chapa acero SAE 1010 e=2 pintada</t>
        </is>
      </c>
      <c r="J645" s="17" t="inlineStr">
        <is>
          <t>placa 60 × 180, ala con ranura Ø cuello + 3</t>
        </is>
      </c>
      <c r="K645" s="33" t="inlineStr">
        <is>
          <t>Compra</t>
        </is>
      </c>
      <c r="L645" s="33" t="inlineStr">
        <is>
          <t>No</t>
        </is>
      </c>
      <c r="M645" s="17" t="n"/>
      <c r="N645" s="17" t="n"/>
      <c r="O645" s="17" t="inlineStr">
        <is>
          <t>23 Embalaje</t>
        </is>
      </c>
      <c r="P645" s="17" t="inlineStr">
        <is>
          <t>IRAM 3517-2 7.4</t>
        </is>
      </c>
      <c r="Q645" s="33" t="inlineStr">
        <is>
          <t>P</t>
        </is>
      </c>
      <c r="R645" s="33" t="inlineStr">
        <is>
          <t>FL_ACC_01</t>
        </is>
      </c>
      <c r="S645" s="17" t="n"/>
    </row>
    <row r="646">
      <c r="A646" s="33" t="inlineStr">
        <is>
          <t>FL_MAT_CLASED_9l</t>
        </is>
      </c>
      <c r="B646" s="33" t="n">
        <v>2</v>
      </c>
      <c r="C646" s="33" t="inlineStr">
        <is>
          <t>CLASED9-I6</t>
        </is>
      </c>
      <c r="D646" s="17" t="inlineStr">
        <is>
          <t xml:space="preserve">        Tornillo y tarugo de fijación</t>
        </is>
      </c>
      <c r="E646" s="33" t="n">
        <v>2</v>
      </c>
      <c r="F646" s="33" t="inlineStr">
        <is>
          <t>u</t>
        </is>
      </c>
      <c r="G646" s="34" t="n"/>
      <c r="H646" s="34" t="n"/>
      <c r="I646" s="33" t="inlineStr">
        <is>
          <t>Acero cincado / nylon</t>
        </is>
      </c>
      <c r="J646" s="17" t="inlineStr">
        <is>
          <t>2 agujeros Ø8,5 del plano FL_ACC_01 → tornillo M8 + tarugo</t>
        </is>
      </c>
      <c r="K646" s="33" t="inlineStr">
        <is>
          <t>Compra</t>
        </is>
      </c>
      <c r="L646" s="33" t="inlineStr">
        <is>
          <t>No</t>
        </is>
      </c>
      <c r="M646" s="17" t="n"/>
      <c r="N646" s="17" t="n"/>
      <c r="O646" s="17" t="inlineStr">
        <is>
          <t>23 Embalaje</t>
        </is>
      </c>
      <c r="P646" s="17" t="n"/>
      <c r="Q646" s="33" t="inlineStr">
        <is>
          <t>P</t>
        </is>
      </c>
      <c r="R646" s="33" t="inlineStr">
        <is>
          <t>FL_ACC_01</t>
        </is>
      </c>
      <c r="S646" s="17" t="n"/>
    </row>
    <row r="647">
      <c r="A647" s="30" t="inlineStr">
        <is>
          <t>FL_MAT_CLASED_9l</t>
        </is>
      </c>
      <c r="B647" s="30" t="n">
        <v>1</v>
      </c>
      <c r="C647" s="30" t="inlineStr">
        <is>
          <t>CLASED9-S7</t>
        </is>
      </c>
      <c r="D647" s="31" t="inlineStr">
        <is>
          <t xml:space="preserve">    Embalaje</t>
        </is>
      </c>
      <c r="E647" s="30" t="n">
        <v>1</v>
      </c>
      <c r="F647" s="30" t="inlineStr">
        <is>
          <t>u</t>
        </is>
      </c>
      <c r="G647" s="32" t="n"/>
      <c r="H647" s="32">
        <f>H651</f>
        <v/>
      </c>
      <c r="I647" s="30" t="n"/>
      <c r="J647" s="31" t="n"/>
      <c r="K647" s="30" t="inlineStr">
        <is>
          <t>Compra</t>
        </is>
      </c>
      <c r="L647" s="30" t="n"/>
      <c r="M647" s="31" t="n"/>
      <c r="N647" s="31" t="n"/>
      <c r="O647" s="31" t="inlineStr">
        <is>
          <t>23 Embalaje -&gt; 24 envolvedora (T11)</t>
        </is>
      </c>
      <c r="P647" s="31" t="n"/>
      <c r="Q647" s="30" t="n"/>
      <c r="R647" s="30" t="n"/>
      <c r="S647" s="31" t="n"/>
    </row>
    <row r="648">
      <c r="A648" s="33" t="inlineStr">
        <is>
          <t>FL_MAT_CLASED_9l</t>
        </is>
      </c>
      <c r="B648" s="33" t="n">
        <v>2</v>
      </c>
      <c r="C648" s="33" t="inlineStr">
        <is>
          <t>CLASED9-E1</t>
        </is>
      </c>
      <c r="D648" s="17" t="inlineStr">
        <is>
          <t xml:space="preserve">        Caja de cartón corrugado doble</t>
        </is>
      </c>
      <c r="E648" s="33" t="n">
        <v>1</v>
      </c>
      <c r="F648" s="33" t="inlineStr">
        <is>
          <t>u</t>
        </is>
      </c>
      <c r="G648" s="34" t="n"/>
      <c r="H648" s="34" t="n"/>
      <c r="I648" s="33" t="inlineStr">
        <is>
          <t>Cartón corrugado</t>
        </is>
      </c>
      <c r="J648" s="17" t="inlineStr">
        <is>
          <t>260 × 214 × 675 interior (envolvente del plano + 15 por lado)</t>
        </is>
      </c>
      <c r="K648" s="33" t="inlineStr">
        <is>
          <t>Compra</t>
        </is>
      </c>
      <c r="L648" s="33" t="inlineStr">
        <is>
          <t>No</t>
        </is>
      </c>
      <c r="M648" s="17" t="n"/>
      <c r="N648" s="17" t="n"/>
      <c r="O648" s="17" t="inlineStr">
        <is>
          <t>23 Embalaje</t>
        </is>
      </c>
      <c r="P648" s="17" t="n"/>
      <c r="Q648" s="33" t="inlineStr">
        <is>
          <t>P</t>
        </is>
      </c>
      <c r="R648" s="33" t="n"/>
      <c r="S648" s="17" t="inlineStr">
        <is>
          <t>Medida del plano</t>
        </is>
      </c>
    </row>
    <row r="649">
      <c r="A649" s="33" t="inlineStr">
        <is>
          <t>FL_MAT_CLASED_9l</t>
        </is>
      </c>
      <c r="B649" s="33" t="n">
        <v>2</v>
      </c>
      <c r="C649" s="33" t="inlineStr">
        <is>
          <t>CLASED9-E2</t>
        </is>
      </c>
      <c r="D649" s="17" t="inlineStr">
        <is>
          <t xml:space="preserve">        Instructivo de uso y mantenimiento</t>
        </is>
      </c>
      <c r="E649" s="33" t="n">
        <v>1</v>
      </c>
      <c r="F649" s="33" t="inlineStr">
        <is>
          <t>u</t>
        </is>
      </c>
      <c r="G649" s="34" t="n"/>
      <c r="H649" s="34" t="n"/>
      <c r="I649" s="33" t="inlineStr">
        <is>
          <t>Papel</t>
        </is>
      </c>
      <c r="J649" s="17" t="inlineStr">
        <is>
          <t>A5</t>
        </is>
      </c>
      <c r="K649" s="33" t="inlineStr">
        <is>
          <t>Compra</t>
        </is>
      </c>
      <c r="L649" s="33" t="inlineStr">
        <is>
          <t>No</t>
        </is>
      </c>
      <c r="M649" s="17" t="n"/>
      <c r="N649" s="17" t="n"/>
      <c r="O649" s="17" t="inlineStr">
        <is>
          <t>23 Embalaje</t>
        </is>
      </c>
      <c r="P649" s="17" t="n"/>
      <c r="Q649" s="33" t="inlineStr">
        <is>
          <t>I</t>
        </is>
      </c>
      <c r="R649" s="33" t="n"/>
      <c r="S649" s="17" t="inlineStr">
        <is>
          <t>Decisión comercial de FLAMA (las instrucciones de uso obligatorias van en la etiqueta, IRAM 3534)</t>
        </is>
      </c>
    </row>
    <row r="650">
      <c r="A650" s="33" t="inlineStr">
        <is>
          <t>FL_MAT_CLASED_9l</t>
        </is>
      </c>
      <c r="B650" s="33" t="n">
        <v>2</v>
      </c>
      <c r="C650" s="33" t="inlineStr">
        <is>
          <t>CLASED9-E3</t>
        </is>
      </c>
      <c r="D650" s="17" t="inlineStr">
        <is>
          <t xml:space="preserve">        Pallet 1200 × 1000 (fracción)</t>
        </is>
      </c>
      <c r="E650" s="33" t="n">
        <v>0.0312</v>
      </c>
      <c r="F650" s="33" t="inlineStr">
        <is>
          <t>u</t>
        </is>
      </c>
      <c r="G650" s="34" t="n"/>
      <c r="H650" s="34" t="n"/>
      <c r="I650" s="33" t="inlineStr">
        <is>
          <t>Madera</t>
        </is>
      </c>
      <c r="J650" s="17" t="inlineStr">
        <is>
          <t>32 u por pallet</t>
        </is>
      </c>
      <c r="K650" s="33" t="inlineStr">
        <is>
          <t>Compra</t>
        </is>
      </c>
      <c r="L650" s="33" t="inlineStr">
        <is>
          <t>No</t>
        </is>
      </c>
      <c r="M650" s="17" t="n"/>
      <c r="N650" s="17" t="n"/>
      <c r="O650" s="17" t="inlineStr">
        <is>
          <t>23 Embalaje</t>
        </is>
      </c>
      <c r="P650" s="17" t="n"/>
      <c r="Q650" s="33" t="inlineStr">
        <is>
          <t>C</t>
        </is>
      </c>
      <c r="R650" s="33" t="n"/>
      <c r="S650" s="17" t="inlineStr">
        <is>
          <t>u por pallet = acomodo de la caja (plano) en 1200 × 1000 × 1450 de alto</t>
        </is>
      </c>
    </row>
    <row r="651">
      <c r="A651" s="33" t="inlineStr">
        <is>
          <t>FL_MAT_CLASED_9l</t>
        </is>
      </c>
      <c r="B651" s="33" t="n">
        <v>2</v>
      </c>
      <c r="C651" s="33" t="inlineStr">
        <is>
          <t>CLASED9-E4</t>
        </is>
      </c>
      <c r="D651" s="17" t="inlineStr">
        <is>
          <t xml:space="preserve">        Film stretch (fracción del pallet)</t>
        </is>
      </c>
      <c r="E651" s="33" t="n">
        <v>0.0037</v>
      </c>
      <c r="F651" s="33" t="inlineStr">
        <is>
          <t>kg</t>
        </is>
      </c>
      <c r="G651" s="34" t="n">
        <v>1</v>
      </c>
      <c r="H651" s="34">
        <f>E651*G651</f>
        <v/>
      </c>
      <c r="I651" s="33" t="inlineStr">
        <is>
          <t>PE lineal 23 µm</t>
        </is>
      </c>
      <c r="J651" s="17" t="inlineStr">
        <is>
          <t>0,12 kg por pallet / 32 u</t>
        </is>
      </c>
      <c r="K651" s="33" t="inlineStr">
        <is>
          <t>Compra</t>
        </is>
      </c>
      <c r="L651" s="33" t="inlineStr">
        <is>
          <t>No</t>
        </is>
      </c>
      <c r="M651" s="17" t="n"/>
      <c r="N651" s="17" t="n"/>
      <c r="O651" s="17" t="inlineStr">
        <is>
          <t>24 Envolvedora (T11)</t>
        </is>
      </c>
      <c r="P651" s="17" t="n"/>
      <c r="Q651" s="33" t="inlineStr">
        <is>
          <t>C</t>
        </is>
      </c>
      <c r="R651" s="33" t="n"/>
      <c r="S6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2">
      <c r="A652" s="33" t="inlineStr">
        <is>
          <t>FL_MAT_CLASED_9l</t>
        </is>
      </c>
      <c r="B652" s="33" t="n">
        <v>2</v>
      </c>
      <c r="C652" s="33" t="inlineStr">
        <is>
          <t>CLASED9-E5</t>
        </is>
      </c>
      <c r="D652" s="17" t="inlineStr">
        <is>
          <t xml:space="preserve">        Etiqueta de pallet (lote y destino, fracción)</t>
        </is>
      </c>
      <c r="E652" s="33" t="n">
        <v>0.0312</v>
      </c>
      <c r="F652" s="33" t="inlineStr">
        <is>
          <t>u</t>
        </is>
      </c>
      <c r="G652" s="34" t="n"/>
      <c r="H652" s="34" t="n"/>
      <c r="I652" s="33" t="inlineStr">
        <is>
          <t>Papel térmico</t>
        </is>
      </c>
      <c r="J652" s="17" t="inlineStr">
        <is>
          <t>100 × 150</t>
        </is>
      </c>
      <c r="K652" s="33" t="inlineStr">
        <is>
          <t>Compra</t>
        </is>
      </c>
      <c r="L652" s="33" t="inlineStr">
        <is>
          <t>No</t>
        </is>
      </c>
      <c r="M652" s="17" t="n"/>
      <c r="N652" s="17" t="n"/>
      <c r="O652" s="17" t="inlineStr">
        <is>
          <t>24 Envolvedora</t>
        </is>
      </c>
      <c r="P652" s="17" t="n"/>
      <c r="Q652" s="33" t="inlineStr">
        <is>
          <t>C</t>
        </is>
      </c>
      <c r="R652" s="33" t="n"/>
      <c r="S652" s="17" t="n"/>
    </row>
    <row r="653">
      <c r="A653" s="33" t="inlineStr">
        <is>
          <t>FL_MAT_CLASED_9l</t>
        </is>
      </c>
      <c r="B653" s="33" t="n">
        <v>2</v>
      </c>
      <c r="C653" s="33" t="inlineStr">
        <is>
          <t>CLASED9-E6</t>
        </is>
      </c>
      <c r="D653" s="17" t="inlineStr">
        <is>
          <t xml:space="preserve">        Cinta de embalaje PP 48 mm (cierre de la caja)</t>
        </is>
      </c>
      <c r="E653" s="33" t="n">
        <v>0.8</v>
      </c>
      <c r="F653" s="33" t="inlineStr">
        <is>
          <t>m</t>
        </is>
      </c>
      <c r="G653" s="34" t="n"/>
      <c r="H653" s="34" t="n"/>
      <c r="I653" s="33" t="inlineStr">
        <is>
          <t>Polipropileno con adhesivo acrílico</t>
        </is>
      </c>
      <c r="J653" s="17" t="inlineStr">
        <is>
          <t>cierre en I arriba y abajo: 2 × (260 + 2 × 70 de solapa)</t>
        </is>
      </c>
      <c r="K653" s="33" t="inlineStr">
        <is>
          <t>Compra</t>
        </is>
      </c>
      <c r="L653" s="33" t="inlineStr">
        <is>
          <t>No</t>
        </is>
      </c>
      <c r="M653" s="17" t="n"/>
      <c r="N653" s="17" t="n"/>
      <c r="O653" s="17" t="inlineStr">
        <is>
          <t>23 Embalaje</t>
        </is>
      </c>
      <c r="P653" s="17" t="n"/>
      <c r="Q653" s="33" t="inlineStr">
        <is>
          <t>C</t>
        </is>
      </c>
      <c r="R653" s="33" t="n"/>
      <c r="S653" s="17" t="inlineStr">
        <is>
          <t>Solapa de 70 mm por lado: práctica de cierre de cajas (medir en la línea)</t>
        </is>
      </c>
    </row>
    <row r="654">
      <c r="A654" s="33" t="inlineStr">
        <is>
          <t>FL_MAT_CLASED_9l</t>
        </is>
      </c>
      <c r="B654" s="33" t="n">
        <v>2</v>
      </c>
      <c r="C654" s="33" t="inlineStr">
        <is>
          <t>CLASED9-E7</t>
        </is>
      </c>
      <c r="D654" s="17" t="inlineStr">
        <is>
          <t xml:space="preserve">        Esquineros de cartón 50 × 50 × 1200 (fracción del pallet)</t>
        </is>
      </c>
      <c r="E654" s="33" t="n">
        <v>0.125</v>
      </c>
      <c r="F654" s="33" t="inlineStr">
        <is>
          <t>u</t>
        </is>
      </c>
      <c r="G654" s="34" t="n"/>
      <c r="H654" s="34" t="n"/>
      <c r="I654" s="33" t="inlineStr">
        <is>
          <t>Cartón</t>
        </is>
      </c>
      <c r="J654" s="17" t="inlineStr">
        <is>
          <t>4 por pallet / 32 u</t>
        </is>
      </c>
      <c r="K654" s="33" t="inlineStr">
        <is>
          <t>Compra</t>
        </is>
      </c>
      <c r="L654" s="33" t="inlineStr">
        <is>
          <t>No</t>
        </is>
      </c>
      <c r="M654" s="17" t="n"/>
      <c r="N654" s="17" t="n"/>
      <c r="O654" s="17" t="inlineStr">
        <is>
          <t>24 Envolvedora (T11)</t>
        </is>
      </c>
      <c r="P654" s="17" t="n"/>
      <c r="Q654" s="33" t="inlineStr">
        <is>
          <t>C</t>
        </is>
      </c>
      <c r="R654" s="33" t="n"/>
      <c r="S654" s="17" t="inlineStr">
        <is>
          <t>Planilla MP-64</t>
        </is>
      </c>
    </row>
    <row r="655">
      <c r="A655" s="27" t="inlineStr">
        <is>
          <t>FL_MAT_ABC_25kg</t>
        </is>
      </c>
      <c r="B655" s="27" t="n">
        <v>0</v>
      </c>
      <c r="C655" s="27" t="inlineStr">
        <is>
          <t>FL_MAT_ABC_25kg</t>
        </is>
      </c>
      <c r="D655" s="28" t="inlineStr">
        <is>
          <t>Extintor ABC 25 kg sobre ruedas</t>
        </is>
      </c>
      <c r="E655" s="27" t="n">
        <v>1</v>
      </c>
      <c r="F655" s="27" t="inlineStr">
        <is>
          <t>u</t>
        </is>
      </c>
      <c r="G655" s="29" t="n"/>
      <c r="H655" s="29" t="n"/>
      <c r="I655" s="27" t="n"/>
      <c r="J655" s="28" t="n"/>
      <c r="K655" s="27" t="n"/>
      <c r="L655" s="27" t="n"/>
      <c r="M655" s="28" t="n"/>
      <c r="N655" s="28" t="n"/>
      <c r="O655" s="28" t="n"/>
      <c r="P655" s="28" t="inlineStr">
        <is>
          <t>IRAM 3550</t>
        </is>
      </c>
      <c r="Q655" s="27" t="inlineStr">
        <is>
          <t>P</t>
        </is>
      </c>
      <c r="R655" s="27" t="inlineStr">
        <is>
          <t>FL_MAT_ABC_25kg</t>
        </is>
      </c>
      <c r="S655" s="28" t="inlineStr">
        <is>
          <t>Fabricación propia</t>
        </is>
      </c>
    </row>
    <row r="656">
      <c r="A656" s="30" t="inlineStr">
        <is>
          <t>FL_MAT_ABC_25kg</t>
        </is>
      </c>
      <c r="B656" s="30" t="n">
        <v>1</v>
      </c>
      <c r="C656" s="30" t="inlineStr">
        <is>
          <t>FL_REC_ABC_25kg</t>
        </is>
      </c>
      <c r="D656" s="31" t="inlineStr">
        <is>
          <t xml:space="preserve">    Recipiente (cilindro)</t>
        </is>
      </c>
      <c r="E656" s="30" t="n">
        <v>1</v>
      </c>
      <c r="F656" s="30" t="inlineStr">
        <is>
          <t>u</t>
        </is>
      </c>
      <c r="G656" s="32" t="n"/>
      <c r="H656" s="32">
        <f>H657+H659+H660+H661+H662</f>
        <v/>
      </c>
      <c r="I656" s="30" t="n"/>
      <c r="J656" s="31" t="n"/>
      <c r="K656" s="30" t="inlineStr">
        <is>
          <t>Fabricación</t>
        </is>
      </c>
      <c r="L656" s="30" t="n"/>
      <c r="M656" s="31" t="n"/>
      <c r="N656" s="31" t="n"/>
      <c r="O656" s="31" t="n"/>
      <c r="P656" s="31" t="inlineStr">
        <is>
          <t>IRAM 3523 / 3550 (recipiente)</t>
        </is>
      </c>
      <c r="Q656" s="30" t="inlineStr">
        <is>
          <t>P</t>
        </is>
      </c>
      <c r="R656" s="30" t="inlineStr">
        <is>
          <t>FL_REC_ABC_25kg</t>
        </is>
      </c>
      <c r="S656" s="31" t="n"/>
    </row>
    <row r="657">
      <c r="A657" s="33" t="inlineStr">
        <is>
          <t>FL_MAT_ABC_25kg</t>
        </is>
      </c>
      <c r="B657" s="33" t="n">
        <v>2</v>
      </c>
      <c r="C657" s="33" t="inlineStr">
        <is>
          <t>ABC25-01</t>
        </is>
      </c>
      <c r="D657" s="17" t="inlineStr">
        <is>
          <t xml:space="preserve">        Cuerpo (virola)</t>
        </is>
      </c>
      <c r="E657" s="33" t="n">
        <v>1</v>
      </c>
      <c r="F657" s="33" t="inlineStr">
        <is>
          <t>u</t>
        </is>
      </c>
      <c r="G657" s="34" t="n">
        <v>8.756600000000001</v>
      </c>
      <c r="H657" s="34">
        <f>E657*G657</f>
        <v/>
      </c>
      <c r="I657" s="33" t="inlineStr">
        <is>
          <t>Chapa LAC IRAM-IAS U 500-04 e=3,2</t>
        </is>
      </c>
      <c r="J657" s="17" t="inlineStr">
        <is>
          <t>Ø276,5 × e3,2 × 406 de alto; desarrollo 858,6 × 406</t>
        </is>
      </c>
      <c r="K657" s="33" t="inlineStr">
        <is>
          <t>Fabricación</t>
        </is>
      </c>
      <c r="L657" s="33" t="inlineStr">
        <is>
          <t>No</t>
        </is>
      </c>
      <c r="M657" s="17" t="n"/>
      <c r="N657" s="17" t="n"/>
      <c r="O657" s="17" t="inlineStr">
        <is>
          <t>1 Guillotina -&gt; C1 cilindrado -&gt; C2 punteo -&gt; C3 sold. long.</t>
        </is>
      </c>
      <c r="P657" s="17" t="n"/>
      <c r="Q657" s="33" t="inlineStr">
        <is>
          <t>P</t>
        </is>
      </c>
      <c r="R657" s="33" t="inlineStr">
        <is>
          <t>FL_DES_ABC_25kg</t>
        </is>
      </c>
      <c r="S657" s="17" t="inlineStr">
        <is>
          <t>costura long. MAG</t>
        </is>
      </c>
    </row>
    <row r="658">
      <c r="A658" s="35" t="inlineStr">
        <is>
          <t>FL_MAT_ABC_25kg</t>
        </is>
      </c>
      <c r="B658" s="35" t="n">
        <v>3</v>
      </c>
      <c r="C658" s="35" t="inlineStr">
        <is>
          <t>MP-HOJA</t>
        </is>
      </c>
      <c r="D658" s="36" t="inlineStr">
        <is>
          <t xml:space="preserve">            Recorte de hoja LAC 1500 × 3000 e=3,2</t>
        </is>
      </c>
      <c r="E658" s="35" t="n">
        <v>1</v>
      </c>
      <c r="F658" s="35" t="inlineStr">
        <is>
          <t>u</t>
        </is>
      </c>
      <c r="G658" s="37" t="n">
        <v>12.558</v>
      </c>
      <c r="H658" s="37">
        <f>E658*G658</f>
        <v/>
      </c>
      <c r="I658" s="35" t="inlineStr">
        <is>
          <t>Chapa LAC IRAM-IAS U 500-04 LAC</t>
        </is>
      </c>
      <c r="J658" s="36" t="inlineStr">
        <is>
          <t>490 × 858 (aprovech. 84,1 %)</t>
        </is>
      </c>
      <c r="K658" s="35" t="inlineStr">
        <is>
          <t>Compra</t>
        </is>
      </c>
      <c r="L658" s="35" t="inlineStr">
        <is>
          <t>Sí</t>
        </is>
      </c>
      <c r="M658" s="36" t="inlineStr">
        <is>
          <t>Pradecon S.A.</t>
        </is>
      </c>
      <c r="N658" s="36" t="inlineStr">
        <is>
          <t>Pacheco Chapas</t>
        </is>
      </c>
      <c r="O658" s="36" t="inlineStr">
        <is>
          <t>AL-1H paquetes de hojas</t>
        </is>
      </c>
      <c r="P658" s="36" t="n"/>
      <c r="Q658" s="35" t="inlineStr">
        <is>
          <t>L</t>
        </is>
      </c>
      <c r="R658" s="35" t="inlineStr">
        <is>
          <t>FL_PI_04 h2</t>
        </is>
      </c>
      <c r="S658" s="36" t="n"/>
    </row>
    <row r="659">
      <c r="A659" s="33" t="inlineStr">
        <is>
          <t>FL_MAT_ABC_25kg</t>
        </is>
      </c>
      <c r="B659" s="33" t="n">
        <v>2</v>
      </c>
      <c r="C659" s="33" t="inlineStr">
        <is>
          <t>ABC25-02</t>
        </is>
      </c>
      <c r="D659" s="17" t="inlineStr">
        <is>
          <t xml:space="preserve">        Cúpula</t>
        </is>
      </c>
      <c r="E659" s="33" t="n">
        <v>1</v>
      </c>
      <c r="F659" s="33" t="inlineStr">
        <is>
          <t>u</t>
        </is>
      </c>
      <c r="G659" s="34" t="n">
        <v>2.162</v>
      </c>
      <c r="H659" s="34">
        <f>E659*G659</f>
        <v/>
      </c>
      <c r="I659" s="33" t="inlineStr">
        <is>
          <t>Chapa LAC IRAM-IAS U 500-04 e=3,2</t>
        </is>
      </c>
      <c r="J659" s="17" t="inlineStr">
        <is>
          <t>Ø276,5 × e3,2 × 86,3 de alto; disco Ø341</t>
        </is>
      </c>
      <c r="K659" s="33" t="inlineStr">
        <is>
          <t>Compra (tapa embutida tercerizada)</t>
        </is>
      </c>
      <c r="L659" s="33" t="inlineStr">
        <is>
          <t>Sí</t>
        </is>
      </c>
      <c r="M659" s="17" t="inlineStr">
        <is>
          <t>Gockel Ingeniería S.R.L.</t>
        </is>
      </c>
      <c r="N659" s="17" t="inlineStr">
        <is>
          <t>-</t>
        </is>
      </c>
      <c r="O659" s="17" t="inlineStr">
        <is>
          <t>Compra (casquetes de carros, rack RK1)</t>
        </is>
      </c>
      <c r="P659" s="17" t="n"/>
      <c r="Q659" s="33" t="inlineStr">
        <is>
          <t>P</t>
        </is>
      </c>
      <c r="R659" s="33" t="inlineStr">
        <is>
          <t>FL_DES_ABC_25kg</t>
        </is>
      </c>
      <c r="S659" s="17" t="inlineStr">
        <is>
          <t>embutida</t>
        </is>
      </c>
    </row>
    <row r="660">
      <c r="A660" s="33" t="inlineStr">
        <is>
          <t>FL_MAT_ABC_25kg</t>
        </is>
      </c>
      <c r="B660" s="33" t="n">
        <v>2</v>
      </c>
      <c r="C660" s="33" t="inlineStr">
        <is>
          <t>ABC25-03</t>
        </is>
      </c>
      <c r="D660" s="17" t="inlineStr">
        <is>
          <t xml:space="preserve">        Fondo</t>
        </is>
      </c>
      <c r="E660" s="33" t="n">
        <v>1</v>
      </c>
      <c r="F660" s="33" t="inlineStr">
        <is>
          <t>u</t>
        </is>
      </c>
      <c r="G660" s="34" t="n">
        <v>2.2425</v>
      </c>
      <c r="H660" s="34">
        <f>E660*G660</f>
        <v/>
      </c>
      <c r="I660" s="33" t="inlineStr">
        <is>
          <t>Chapa LAC IRAM-IAS U 500-04 e=3,2</t>
        </is>
      </c>
      <c r="J660" s="17" t="inlineStr">
        <is>
          <t>Ø276,5 × e3,2 × 87 de alto; disco Ø347,3</t>
        </is>
      </c>
      <c r="K660" s="33" t="inlineStr">
        <is>
          <t>Compra (tapa embutida tercerizada)</t>
        </is>
      </c>
      <c r="L660" s="33" t="inlineStr">
        <is>
          <t>Sí</t>
        </is>
      </c>
      <c r="M660" s="17" t="inlineStr">
        <is>
          <t>Gockel Ingeniería S.R.L.</t>
        </is>
      </c>
      <c r="N660" s="17" t="inlineStr">
        <is>
          <t>-</t>
        </is>
      </c>
      <c r="O660" s="17" t="inlineStr">
        <is>
          <t>Compra (casquetes de carros, rack RK1)</t>
        </is>
      </c>
      <c r="P660" s="17" t="n"/>
      <c r="Q660" s="33" t="inlineStr">
        <is>
          <t>P</t>
        </is>
      </c>
      <c r="R660" s="33" t="inlineStr">
        <is>
          <t>FL_DES_ABC_25kg</t>
        </is>
      </c>
      <c r="S660" s="17" t="inlineStr">
        <is>
          <t>embutido</t>
        </is>
      </c>
    </row>
    <row r="661">
      <c r="A661" s="33" t="inlineStr">
        <is>
          <t>FL_MAT_ABC_25kg</t>
        </is>
      </c>
      <c r="B661" s="33" t="n">
        <v>2</v>
      </c>
      <c r="C661" s="33" t="inlineStr">
        <is>
          <t>ABC25-04</t>
        </is>
      </c>
      <c r="D661" s="17" t="inlineStr">
        <is>
          <t xml:space="preserve">        Cuello roscado</t>
        </is>
      </c>
      <c r="E661" s="33" t="n">
        <v>1</v>
      </c>
      <c r="F661" s="33" t="inlineStr">
        <is>
          <t>u</t>
        </is>
      </c>
      <c r="G661" s="34" t="n">
        <v>0.1326</v>
      </c>
      <c r="H661" s="34">
        <f>E661*G661</f>
        <v/>
      </c>
      <c r="I661" s="33" t="inlineStr">
        <is>
          <t>Acero SAE 1010</t>
        </is>
      </c>
      <c r="J661" s="17" t="inlineStr">
        <is>
          <t>Ø37 × 35 de alto, rosca M30x1,5, asiento Ø35</t>
        </is>
      </c>
      <c r="K661" s="33" t="inlineStr">
        <is>
          <t>Compra (mecanizado, Eli-Met)</t>
        </is>
      </c>
      <c r="L661" s="33" t="inlineStr">
        <is>
          <t>Sí</t>
        </is>
      </c>
      <c r="M661" s="17" t="inlineStr">
        <is>
          <t>Eli-Met</t>
        </is>
      </c>
      <c r="N661" s="17" t="inlineStr">
        <is>
          <t>-</t>
        </is>
      </c>
      <c r="O661" s="17" t="inlineStr">
        <is>
          <t>Compra -&gt; C2 punteo</t>
        </is>
      </c>
      <c r="P661" s="17" t="n"/>
      <c r="Q661" s="33" t="inlineStr">
        <is>
          <t>P</t>
        </is>
      </c>
      <c r="R661" s="33" t="inlineStr">
        <is>
          <t>FL_DES_ABC_25kg</t>
        </is>
      </c>
      <c r="S661" s="17" t="inlineStr">
        <is>
          <t>M30x1,5</t>
        </is>
      </c>
    </row>
    <row r="662">
      <c r="A662" s="41" t="inlineStr">
        <is>
          <t>FL_MAT_ABC_25kg</t>
        </is>
      </c>
      <c r="B662" s="41" t="n">
        <v>2</v>
      </c>
      <c r="C662" s="41" t="inlineStr">
        <is>
          <t>ABC25-C1</t>
        </is>
      </c>
      <c r="D662" s="18" t="inlineStr">
        <is>
          <t xml:space="preserve">        Alambre MAG ER70S-6 Ø1,2 (AWS A5.18)</t>
        </is>
      </c>
      <c r="E662" s="41" t="n">
        <v>0.3374</v>
      </c>
      <c r="F662" s="41" t="inlineStr">
        <is>
          <t>kg</t>
        </is>
      </c>
      <c r="G662" s="42" t="n">
        <v>0.95</v>
      </c>
      <c r="H662" s="42">
        <f>E662*G662</f>
        <v/>
      </c>
      <c r="I662" s="41" t="inlineStr">
        <is>
          <t>ER70S-6</t>
        </is>
      </c>
      <c r="J662" s="18" t="inlineStr">
        <is>
          <t>metal depositado de los cordones del plano 321 g / rendimiento 0,95</t>
        </is>
      </c>
      <c r="K662" s="41" t="inlineStr">
        <is>
          <t>Compra</t>
        </is>
      </c>
      <c r="L662" s="41" t="inlineStr">
        <is>
          <t>Sí</t>
        </is>
      </c>
      <c r="M662" s="18" t="inlineStr">
        <is>
          <t>Conarco (ESAB Argentina)</t>
        </is>
      </c>
      <c r="N662" s="18" t="inlineStr">
        <is>
          <t>-</t>
        </is>
      </c>
      <c r="O662" s="18" t="inlineStr">
        <is>
          <t>4 sold. long. / 8 cuello / 11 circunferencial</t>
        </is>
      </c>
      <c r="P662" s="18" t="inlineStr">
        <is>
          <t>IRAM 3523 3.2.4.2 · IRAM 3550 4.1.2</t>
        </is>
      </c>
      <c r="Q662" s="41" t="inlineStr">
        <is>
          <t>C</t>
        </is>
      </c>
      <c r="R662" s="41" t="n"/>
      <c r="S66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3">
      <c r="A663" s="41" t="inlineStr">
        <is>
          <t>FL_MAT_ABC_25kg</t>
        </is>
      </c>
      <c r="B663" s="41" t="n">
        <v>2</v>
      </c>
      <c r="C663" s="41" t="inlineStr">
        <is>
          <t>ABC25-C2</t>
        </is>
      </c>
      <c r="D663" s="18" t="inlineStr">
        <is>
          <t xml:space="preserve">        Gas de protección MAG Arcal 21 / ARCAL Speed (Ar + 8 % CO₂, M20)</t>
        </is>
      </c>
      <c r="E663" s="41" t="n">
        <v>52.7</v>
      </c>
      <c r="F663" s="41" t="inlineStr">
        <is>
          <t>L</t>
        </is>
      </c>
      <c r="G663" s="42" t="n"/>
      <c r="H663" s="42" t="n"/>
      <c r="I663" s="41" t="inlineStr">
        <is>
          <t>EN ISO 14175 M20-ArC-8</t>
        </is>
      </c>
      <c r="J663" s="18" t="inlineStr">
        <is>
          <t>14 L/min × 3,77 min de arco (cordones 2.260 mm: long. 406 + circ. 1.737 + cuello 116, a 600 mm/min)</t>
        </is>
      </c>
      <c r="K663" s="41" t="inlineStr">
        <is>
          <t>Compra</t>
        </is>
      </c>
      <c r="L663" s="41" t="inlineStr">
        <is>
          <t>Sí</t>
        </is>
      </c>
      <c r="M663" s="18" t="inlineStr">
        <is>
          <t>Air Liquide Argentina - sucursal Piñeyro</t>
        </is>
      </c>
      <c r="N663" s="18" t="inlineStr">
        <is>
          <t>Gogniat</t>
        </is>
      </c>
      <c r="O663" s="18" t="inlineStr">
        <is>
          <t>Colector SC</t>
        </is>
      </c>
      <c r="P663" s="18" t="inlineStr">
        <is>
          <t>IRAM 3523 3.2.4.2 · IRAM 3550 3.2.2.2</t>
        </is>
      </c>
      <c r="Q663" s="41" t="inlineStr">
        <is>
          <t>C</t>
        </is>
      </c>
      <c r="R663" s="41" t="n"/>
      <c r="S66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4">
      <c r="A664" s="33" t="inlineStr">
        <is>
          <t>FL_MAT_ABC_25kg</t>
        </is>
      </c>
      <c r="B664" s="33" t="n">
        <v>2</v>
      </c>
      <c r="C664" s="33" t="inlineStr">
        <is>
          <t>ABC25-C4</t>
        </is>
      </c>
      <c r="D664" s="17" t="inlineStr">
        <is>
          <t xml:space="preserve">        Servicio de pintura en polvo al horno, rojo 03-1-050 (con preparación por quemado)</t>
        </is>
      </c>
      <c r="E664" s="33" t="n">
        <v>1</v>
      </c>
      <c r="F664" s="33" t="inlineStr">
        <is>
          <t>u</t>
        </is>
      </c>
      <c r="G664" s="34" t="n"/>
      <c r="H664" s="34" t="n"/>
      <c r="I664" s="33" t="inlineStr">
        <is>
          <t>Servicio tercerizado</t>
        </is>
      </c>
      <c r="J664" s="17" t="inlineStr">
        <is>
          <t>superficie exterior 0,524 m²</t>
        </is>
      </c>
      <c r="K664" s="33" t="inlineStr">
        <is>
          <t>Compra (servicio)</t>
        </is>
      </c>
      <c r="L664" s="33" t="inlineStr">
        <is>
          <t>Sí</t>
        </is>
      </c>
      <c r="M664" s="17" t="inlineStr">
        <is>
          <t>Pintor de carros (cotización por mensaje)</t>
        </is>
      </c>
      <c r="N664" s="17" t="inlineStr">
        <is>
          <t>Prymax</t>
        </is>
      </c>
      <c r="O664" s="17" t="inlineStr">
        <is>
          <t>17 Pintura tercerizada</t>
        </is>
      </c>
      <c r="P664" s="17" t="inlineStr">
        <is>
          <t>IRAM 3523 5.3 / IRAM 3550 3.11 · IRAM 121</t>
        </is>
      </c>
      <c r="Q664" s="33" t="inlineStr">
        <is>
          <t>Q</t>
        </is>
      </c>
      <c r="R664" s="33" t="n"/>
      <c r="S664" s="17" t="inlineStr">
        <is>
          <t>Q-CARROS (precio por carro); exigir informe de niebla salina del sistema de pintura; tercerización aceptada por el Ministerio (Res. 349/07 art. 18)</t>
        </is>
      </c>
    </row>
    <row r="665">
      <c r="A665" s="30" t="inlineStr">
        <is>
          <t>FL_MAT_ABC_25kg</t>
        </is>
      </c>
      <c r="B665" s="30" t="n">
        <v>1</v>
      </c>
      <c r="C665" s="30" t="inlineStr">
        <is>
          <t>ABC25-S2</t>
        </is>
      </c>
      <c r="D665" s="31" t="inlineStr">
        <is>
          <t xml:space="preserve">    Conjunto de válvula</t>
        </is>
      </c>
      <c r="E665" s="30" t="n">
        <v>1</v>
      </c>
      <c r="F665" s="30" t="inlineStr">
        <is>
          <t>u</t>
        </is>
      </c>
      <c r="G665" s="32" t="n"/>
      <c r="H665" s="32">
        <f>H666+H667+H668+H670+H671+H672+H673+H674+H675+H676</f>
        <v/>
      </c>
      <c r="I665" s="30" t="n"/>
      <c r="J665" s="31" t="n"/>
      <c r="K665" s="30" t="inlineStr">
        <is>
          <t>Compra / armado</t>
        </is>
      </c>
      <c r="L665" s="30" t="n"/>
      <c r="M665" s="31" t="n"/>
      <c r="N665" s="31" t="n"/>
      <c r="O665" s="31" t="n"/>
      <c r="P665" s="31" t="inlineStr">
        <is>
          <t>Manómetro IRAM 3533</t>
        </is>
      </c>
      <c r="Q665" s="30" t="inlineStr">
        <is>
          <t>P</t>
        </is>
      </c>
      <c r="R665" s="30" t="inlineStr">
        <is>
          <t>FL_DES_ABC_25kg</t>
        </is>
      </c>
      <c r="S665" s="31" t="n"/>
    </row>
    <row r="666">
      <c r="A666" s="33" t="inlineStr">
        <is>
          <t>FL_MAT_ABC_25kg</t>
        </is>
      </c>
      <c r="B666" s="33" t="n">
        <v>2</v>
      </c>
      <c r="C666" s="33" t="inlineStr">
        <is>
          <t>ABC25-11</t>
        </is>
      </c>
      <c r="D666" s="17" t="inlineStr">
        <is>
          <t xml:space="preserve">        Collarín de válvula</t>
        </is>
      </c>
      <c r="E666" s="33" t="n">
        <v>1</v>
      </c>
      <c r="F666" s="33" t="inlineStr">
        <is>
          <t>u</t>
        </is>
      </c>
      <c r="G666" s="34" t="n">
        <v>0.129</v>
      </c>
      <c r="H666" s="34">
        <f>E666*G666</f>
        <v/>
      </c>
      <c r="I666" s="33" t="inlineStr">
        <is>
          <t>Latón forjado</t>
        </is>
      </c>
      <c r="J666" s="17" t="inlineStr">
        <is>
          <t>45,1 × 45,1 × 13,5</t>
        </is>
      </c>
      <c r="K666" s="33" t="inlineStr">
        <is>
          <t>Incluido en válvula HZ</t>
        </is>
      </c>
      <c r="L666" s="33" t="inlineStr">
        <is>
          <t>No</t>
        </is>
      </c>
      <c r="M666" s="17" t="n"/>
      <c r="N666" s="17" t="n"/>
      <c r="O666" s="17" t="inlineStr">
        <is>
          <t>C9 armado</t>
        </is>
      </c>
      <c r="P666" s="17" t="n"/>
      <c r="Q666" s="33" t="inlineStr">
        <is>
          <t>P</t>
        </is>
      </c>
      <c r="R666" s="33" t="inlineStr">
        <is>
          <t>FL_DES_ABC_25kg</t>
        </is>
      </c>
      <c r="S666" s="17" t="n"/>
    </row>
    <row r="667">
      <c r="A667" s="33" t="inlineStr">
        <is>
          <t>FL_MAT_ABC_25kg</t>
        </is>
      </c>
      <c r="B667" s="33" t="n">
        <v>2</v>
      </c>
      <c r="C667" s="33" t="inlineStr">
        <is>
          <t>ABC25-12</t>
        </is>
      </c>
      <c r="D667" s="17" t="inlineStr">
        <is>
          <t xml:space="preserve">        Espiga roscada</t>
        </is>
      </c>
      <c r="E667" s="33" t="n">
        <v>1</v>
      </c>
      <c r="F667" s="33" t="inlineStr">
        <is>
          <t>u</t>
        </is>
      </c>
      <c r="G667" s="34" t="n">
        <v>0.0424</v>
      </c>
      <c r="H667" s="34">
        <f>E667*G667</f>
        <v/>
      </c>
      <c r="I667" s="33" t="inlineStr">
        <is>
          <t>Latón forjado</t>
        </is>
      </c>
      <c r="J667" s="17" t="inlineStr">
        <is>
          <t>28,4 × 28,4 × 16,2</t>
        </is>
      </c>
      <c r="K667" s="33" t="inlineStr">
        <is>
          <t>Incluido en válvula HZ</t>
        </is>
      </c>
      <c r="L667" s="33" t="inlineStr">
        <is>
          <t>No</t>
        </is>
      </c>
      <c r="M667" s="17" t="n"/>
      <c r="N667" s="17" t="n"/>
      <c r="O667" s="17" t="inlineStr">
        <is>
          <t>C9 armado</t>
        </is>
      </c>
      <c r="P667" s="17" t="n"/>
      <c r="Q667" s="33" t="inlineStr">
        <is>
          <t>P</t>
        </is>
      </c>
      <c r="R667" s="33" t="inlineStr">
        <is>
          <t>FL_DES_ABC_25kg</t>
        </is>
      </c>
      <c r="S667" s="17" t="n"/>
    </row>
    <row r="668">
      <c r="A668" s="33" t="inlineStr">
        <is>
          <t>FL_MAT_ABC_25kg</t>
        </is>
      </c>
      <c r="B668" s="33" t="n">
        <v>2</v>
      </c>
      <c r="C668" s="33" t="inlineStr">
        <is>
          <t>ABC25-13</t>
        </is>
      </c>
      <c r="D668" s="17" t="inlineStr">
        <is>
          <t xml:space="preserve">        Cuerpo de válvula</t>
        </is>
      </c>
      <c r="E668" s="33" t="n">
        <v>1</v>
      </c>
      <c r="F668" s="33" t="inlineStr">
        <is>
          <t>u</t>
        </is>
      </c>
      <c r="G668" s="34" t="n">
        <v>0.7378</v>
      </c>
      <c r="H668" s="34">
        <f>E668*G668</f>
        <v/>
      </c>
      <c r="I668" s="33" t="inlineStr">
        <is>
          <t>Latón forjado</t>
        </is>
      </c>
      <c r="J668" s="17" t="inlineStr">
        <is>
          <t>58,4 × 54 × 46,3</t>
        </is>
      </c>
      <c r="K668" s="33" t="inlineStr">
        <is>
          <t>Incluido en válvula HZ</t>
        </is>
      </c>
      <c r="L668" s="33" t="inlineStr">
        <is>
          <t>No</t>
        </is>
      </c>
      <c r="M668" s="17" t="n"/>
      <c r="N668" s="17" t="n"/>
      <c r="O668" s="17" t="inlineStr">
        <is>
          <t>C9 armado</t>
        </is>
      </c>
      <c r="P668" s="17" t="n"/>
      <c r="Q668" s="33" t="inlineStr">
        <is>
          <t>P</t>
        </is>
      </c>
      <c r="R668" s="33" t="inlineStr">
        <is>
          <t>FL_DES_ABC_25kg</t>
        </is>
      </c>
      <c r="S668" s="17" t="n"/>
    </row>
    <row r="669">
      <c r="A669" s="45" t="inlineStr">
        <is>
          <t>FL_MAT_ABC_25kg</t>
        </is>
      </c>
      <c r="B669" s="45" t="n">
        <v>2</v>
      </c>
      <c r="C669" s="45" t="inlineStr">
        <is>
          <t>ABC25-14</t>
        </is>
      </c>
      <c r="D669" s="19" t="inlineStr">
        <is>
          <t xml:space="preserve">        Manómetro</t>
        </is>
      </c>
      <c r="E669" s="45" t="n">
        <v>1</v>
      </c>
      <c r="F669" s="45" t="inlineStr">
        <is>
          <t>u</t>
        </is>
      </c>
      <c r="G669" s="46" t="n"/>
      <c r="H669" s="46" t="n"/>
      <c r="I669" s="45" t="inlineStr">
        <is>
          <t>Comercial</t>
        </is>
      </c>
      <c r="J669" s="19" t="inlineStr">
        <is>
          <t>Ø50 esfera, rango 0-3,5 MPa, sector verde en 1,4</t>
        </is>
      </c>
      <c r="K669" s="45" t="inlineStr">
        <is>
          <t>Compra</t>
        </is>
      </c>
      <c r="L669" s="45" t="inlineStr">
        <is>
          <t>Sí</t>
        </is>
      </c>
      <c r="M669" s="19" t="inlineStr">
        <is>
          <t>Yukon / MatafuegosYa S.R.L.</t>
        </is>
      </c>
      <c r="N669" s="19" t="inlineStr">
        <is>
          <t>Matafuegos Iglesias</t>
        </is>
      </c>
      <c r="O669" s="19" t="inlineStr">
        <is>
          <t>C9 armado</t>
        </is>
      </c>
      <c r="P669" s="19" t="inlineStr">
        <is>
          <t>IRAM 3533</t>
        </is>
      </c>
      <c r="Q669" s="45" t="inlineStr">
        <is>
          <t>P</t>
        </is>
      </c>
      <c r="R669" s="45" t="inlineStr">
        <is>
          <t>FL_DES_ABC_25kg</t>
        </is>
      </c>
      <c r="S669" s="19" t="inlineStr">
        <is>
          <t>Pieza comercial; sello IRAM 3533; peso: completar con la ficha del proveedor (no afecta el MRP)</t>
        </is>
      </c>
    </row>
    <row r="670">
      <c r="A670" s="33" t="inlineStr">
        <is>
          <t>FL_MAT_ABC_25kg</t>
        </is>
      </c>
      <c r="B670" s="33" t="n">
        <v>2</v>
      </c>
      <c r="C670" s="33" t="inlineStr">
        <is>
          <t>ABC25-15</t>
        </is>
      </c>
      <c r="D670" s="17" t="inlineStr">
        <is>
          <t xml:space="preserve">        Manija de transporte</t>
        </is>
      </c>
      <c r="E670" s="33" t="n">
        <v>1</v>
      </c>
      <c r="F670" s="33" t="inlineStr">
        <is>
          <t>u</t>
        </is>
      </c>
      <c r="G670" s="34" t="n">
        <v>0.0815</v>
      </c>
      <c r="H670" s="34">
        <f>E670*G670</f>
        <v/>
      </c>
      <c r="I670" s="33" t="inlineStr">
        <is>
          <t>Chapa acero SAE 1010 pintada</t>
        </is>
      </c>
      <c r="J670" s="17" t="inlineStr">
        <is>
          <t>71,4 × 27 × 12,8</t>
        </is>
      </c>
      <c r="K670" s="33" t="inlineStr">
        <is>
          <t>Incluido en válvula HZ</t>
        </is>
      </c>
      <c r="L670" s="33" t="inlineStr">
        <is>
          <t>No</t>
        </is>
      </c>
      <c r="M670" s="17" t="n"/>
      <c r="N670" s="17" t="n"/>
      <c r="O670" s="17" t="inlineStr">
        <is>
          <t>C9 armado</t>
        </is>
      </c>
      <c r="P670" s="17" t="n"/>
      <c r="Q670" s="33" t="inlineStr">
        <is>
          <t>P</t>
        </is>
      </c>
      <c r="R670" s="33" t="inlineStr">
        <is>
          <t>FL_DES_ABC_25kg</t>
        </is>
      </c>
      <c r="S670" s="17" t="n"/>
    </row>
    <row r="671">
      <c r="A671" s="33" t="inlineStr">
        <is>
          <t>FL_MAT_ABC_25kg</t>
        </is>
      </c>
      <c r="B671" s="33" t="n">
        <v>2</v>
      </c>
      <c r="C671" s="33" t="inlineStr">
        <is>
          <t>ABC25-16</t>
        </is>
      </c>
      <c r="D671" s="17" t="inlineStr">
        <is>
          <t xml:space="preserve">        Manija de accionamiento</t>
        </is>
      </c>
      <c r="E671" s="33" t="n">
        <v>1</v>
      </c>
      <c r="F671" s="33" t="inlineStr">
        <is>
          <t>u</t>
        </is>
      </c>
      <c r="G671" s="34" t="n">
        <v>0.1496</v>
      </c>
      <c r="H671" s="34">
        <f>E671*G671</f>
        <v/>
      </c>
      <c r="I671" s="33" t="inlineStr">
        <is>
          <t>Chapa acero SAE 1010 pintada</t>
        </is>
      </c>
      <c r="J671" s="17" t="inlineStr">
        <is>
          <t>130,4 × 27 × 21,3</t>
        </is>
      </c>
      <c r="K671" s="33" t="inlineStr">
        <is>
          <t>Incluido en válvula HZ</t>
        </is>
      </c>
      <c r="L671" s="33" t="inlineStr">
        <is>
          <t>No</t>
        </is>
      </c>
      <c r="M671" s="17" t="n"/>
      <c r="N671" s="17" t="n"/>
      <c r="O671" s="17" t="inlineStr">
        <is>
          <t>C9 armado</t>
        </is>
      </c>
      <c r="P671" s="17" t="n"/>
      <c r="Q671" s="33" t="inlineStr">
        <is>
          <t>P</t>
        </is>
      </c>
      <c r="R671" s="33" t="inlineStr">
        <is>
          <t>FL_DES_ABC_25kg</t>
        </is>
      </c>
      <c r="S671" s="17" t="n"/>
    </row>
    <row r="672">
      <c r="A672" s="33" t="inlineStr">
        <is>
          <t>FL_MAT_ABC_25kg</t>
        </is>
      </c>
      <c r="B672" s="33" t="n">
        <v>2</v>
      </c>
      <c r="C672" s="33" t="inlineStr">
        <is>
          <t>ABC25-17</t>
        </is>
      </c>
      <c r="D672" s="17" t="inlineStr">
        <is>
          <t xml:space="preserve">        Eje de palanca</t>
        </is>
      </c>
      <c r="E672" s="33" t="n">
        <v>1</v>
      </c>
      <c r="F672" s="33" t="inlineStr">
        <is>
          <t>u</t>
        </is>
      </c>
      <c r="G672" s="34" t="n">
        <v>0.0199</v>
      </c>
      <c r="H672" s="34">
        <f>E672*G672</f>
        <v/>
      </c>
      <c r="I672" s="33" t="inlineStr">
        <is>
          <t>Acero inox. AISI 304</t>
        </is>
      </c>
      <c r="J672" s="17" t="inlineStr">
        <is>
          <t>48,6 × 8,1 × 8,1</t>
        </is>
      </c>
      <c r="K672" s="33" t="inlineStr">
        <is>
          <t>Incluido en válvula HZ</t>
        </is>
      </c>
      <c r="L672" s="33" t="inlineStr">
        <is>
          <t>No</t>
        </is>
      </c>
      <c r="M672" s="17" t="n"/>
      <c r="N672" s="17" t="n"/>
      <c r="O672" s="17" t="inlineStr">
        <is>
          <t>C9 armado</t>
        </is>
      </c>
      <c r="P672" s="17" t="n"/>
      <c r="Q672" s="33" t="inlineStr">
        <is>
          <t>P</t>
        </is>
      </c>
      <c r="R672" s="33" t="inlineStr">
        <is>
          <t>FL_DES_ABC_25kg</t>
        </is>
      </c>
      <c r="S672" s="17" t="n"/>
    </row>
    <row r="673">
      <c r="A673" s="33" t="inlineStr">
        <is>
          <t>FL_MAT_ABC_25kg</t>
        </is>
      </c>
      <c r="B673" s="33" t="n">
        <v>2</v>
      </c>
      <c r="C673" s="33" t="inlineStr">
        <is>
          <t>ABC25-18</t>
        </is>
      </c>
      <c r="D673" s="17" t="inlineStr">
        <is>
          <t xml:space="preserve">        Vástago</t>
        </is>
      </c>
      <c r="E673" s="33" t="n">
        <v>1</v>
      </c>
      <c r="F673" s="33" t="inlineStr">
        <is>
          <t>u</t>
        </is>
      </c>
      <c r="G673" s="34" t="n">
        <v>0.0039</v>
      </c>
      <c r="H673" s="34">
        <f>E673*G673</f>
        <v/>
      </c>
      <c r="I673" s="33" t="inlineStr">
        <is>
          <t>Latón</t>
        </is>
      </c>
      <c r="J673" s="17" t="inlineStr">
        <is>
          <t>10,8 × 10,8 × 5</t>
        </is>
      </c>
      <c r="K673" s="33" t="inlineStr">
        <is>
          <t>Incluido en válvula HZ</t>
        </is>
      </c>
      <c r="L673" s="33" t="inlineStr">
        <is>
          <t>No</t>
        </is>
      </c>
      <c r="M673" s="17" t="n"/>
      <c r="N673" s="17" t="n"/>
      <c r="O673" s="17" t="inlineStr">
        <is>
          <t>C9 armado</t>
        </is>
      </c>
      <c r="P673" s="17" t="n"/>
      <c r="Q673" s="33" t="inlineStr">
        <is>
          <t>P</t>
        </is>
      </c>
      <c r="R673" s="33" t="inlineStr">
        <is>
          <t>FL_DES_ABC_25kg</t>
        </is>
      </c>
      <c r="S673" s="17" t="inlineStr">
        <is>
          <t>con junta tórica</t>
        </is>
      </c>
    </row>
    <row r="674">
      <c r="A674" s="33" t="inlineStr">
        <is>
          <t>FL_MAT_ABC_25kg</t>
        </is>
      </c>
      <c r="B674" s="33" t="n">
        <v>2</v>
      </c>
      <c r="C674" s="33" t="inlineStr">
        <is>
          <t>ABC25-19</t>
        </is>
      </c>
      <c r="D674" s="17" t="inlineStr">
        <is>
          <t xml:space="preserve">        Pasador de seguridad</t>
        </is>
      </c>
      <c r="E674" s="33" t="n">
        <v>1</v>
      </c>
      <c r="F674" s="33" t="inlineStr">
        <is>
          <t>u</t>
        </is>
      </c>
      <c r="G674" s="34" t="n">
        <v>0.0135</v>
      </c>
      <c r="H674" s="34">
        <f>E674*G674</f>
        <v/>
      </c>
      <c r="I674" s="33" t="inlineStr">
        <is>
          <t>Alambre acero inox. AISI 304</t>
        </is>
      </c>
      <c r="J674" s="17" t="inlineStr">
        <is>
          <t>61,3 × 28,4 × 28,1</t>
        </is>
      </c>
      <c r="K674" s="33" t="inlineStr">
        <is>
          <t>Incluido en válvula HZ</t>
        </is>
      </c>
      <c r="L674" s="33" t="inlineStr">
        <is>
          <t>No</t>
        </is>
      </c>
      <c r="M674" s="17" t="n"/>
      <c r="N674" s="17" t="n"/>
      <c r="O674" s="17" t="inlineStr">
        <is>
          <t>C9 armado</t>
        </is>
      </c>
      <c r="P674" s="17" t="n"/>
      <c r="Q674" s="33" t="inlineStr">
        <is>
          <t>P</t>
        </is>
      </c>
      <c r="R674" s="33" t="inlineStr">
        <is>
          <t>FL_DES_ABC_25kg</t>
        </is>
      </c>
      <c r="S674" s="17" t="inlineStr">
        <is>
          <t>con precinto</t>
        </is>
      </c>
    </row>
    <row r="675">
      <c r="A675" s="33" t="inlineStr">
        <is>
          <t>FL_MAT_ABC_25kg</t>
        </is>
      </c>
      <c r="B675" s="33" t="n">
        <v>2</v>
      </c>
      <c r="C675" s="33" t="inlineStr">
        <is>
          <t>ABC25-20</t>
        </is>
      </c>
      <c r="D675" s="17" t="inlineStr">
        <is>
          <t xml:space="preserve">        Caño de pesca (sifón)</t>
        </is>
      </c>
      <c r="E675" s="33" t="n">
        <v>1</v>
      </c>
      <c r="F675" s="33" t="inlineStr">
        <is>
          <t>u</t>
        </is>
      </c>
      <c r="G675" s="34" t="n">
        <v>0.1347</v>
      </c>
      <c r="H675" s="34">
        <f>E675*G675</f>
        <v/>
      </c>
      <c r="I675" s="33" t="inlineStr">
        <is>
          <t>Tubo PVC rígido</t>
        </is>
      </c>
      <c r="J675" s="17" t="inlineStr">
        <is>
          <t>Ø24 × 569,9 de largo</t>
        </is>
      </c>
      <c r="K675" s="33" t="inlineStr">
        <is>
          <t>Incluido en válvula HZ</t>
        </is>
      </c>
      <c r="L675" s="33" t="inlineStr">
        <is>
          <t>No</t>
        </is>
      </c>
      <c r="M675" s="17" t="n"/>
      <c r="N675" s="17" t="n"/>
      <c r="O675" s="17" t="inlineStr">
        <is>
          <t>C9 armado</t>
        </is>
      </c>
      <c r="P675" s="17" t="n"/>
      <c r="Q675" s="33" t="inlineStr">
        <is>
          <t>P</t>
        </is>
      </c>
      <c r="R675" s="33" t="inlineStr">
        <is>
          <t>FL_DES_ABC_25kg</t>
        </is>
      </c>
      <c r="S675" s="17" t="n"/>
    </row>
    <row r="676">
      <c r="A676" s="33" t="inlineStr">
        <is>
          <t>FL_MAT_ABC_25kg</t>
        </is>
      </c>
      <c r="B676" s="33" t="n">
        <v>2</v>
      </c>
      <c r="C676" s="33" t="inlineStr">
        <is>
          <t>ABC25-32</t>
        </is>
      </c>
      <c r="D676" s="17" t="inlineStr">
        <is>
          <t xml:space="preserve">        Junta tórica de asiento</t>
        </is>
      </c>
      <c r="E676" s="33" t="n">
        <v>1</v>
      </c>
      <c r="F676" s="33" t="inlineStr">
        <is>
          <t>u</t>
        </is>
      </c>
      <c r="G676" s="34" t="n">
        <v>0.001</v>
      </c>
      <c r="H676" s="34">
        <f>E676*G676</f>
        <v/>
      </c>
      <c r="I676" s="33" t="inlineStr">
        <is>
          <t>NBR 70 Shore A</t>
        </is>
      </c>
      <c r="J676" s="17" t="inlineStr">
        <is>
          <t>Ø31,4 ext. × cordón 3</t>
        </is>
      </c>
      <c r="K676" s="33" t="inlineStr">
        <is>
          <t>Compra</t>
        </is>
      </c>
      <c r="L676" s="33" t="inlineStr">
        <is>
          <t>Sí</t>
        </is>
      </c>
      <c r="M676" s="17" t="inlineStr">
        <is>
          <t>Argensold</t>
        </is>
      </c>
      <c r="N676" s="17" t="inlineStr">
        <is>
          <t>Matafuegos Iglesias</t>
        </is>
      </c>
      <c r="O676" s="17" t="inlineStr">
        <is>
          <t>C9 armado</t>
        </is>
      </c>
      <c r="P676" s="17" t="n"/>
      <c r="Q676" s="33" t="inlineStr">
        <is>
          <t>P</t>
        </is>
      </c>
      <c r="R676" s="33" t="inlineStr">
        <is>
          <t>FL_DES_ABC_25kg</t>
        </is>
      </c>
      <c r="S676" s="17" t="inlineStr">
        <is>
          <t>cambio c/recarga</t>
        </is>
      </c>
    </row>
    <row r="677">
      <c r="A677" s="33" t="inlineStr">
        <is>
          <t>FL_MAT_ABC_25kg</t>
        </is>
      </c>
      <c r="B677" s="33" t="n">
        <v>2</v>
      </c>
      <c r="C677" s="33" t="inlineStr">
        <is>
          <t>ABC25-K2</t>
        </is>
      </c>
      <c r="D677" s="17" t="inlineStr">
        <is>
          <t xml:space="preserve">        Válvula HZ armada de carro 25 kg c/traba, manija y resorte</t>
        </is>
      </c>
      <c r="E677" s="33" t="n">
        <v>1</v>
      </c>
      <c r="F677" s="33" t="inlineStr">
        <is>
          <t>u</t>
        </is>
      </c>
      <c r="G677" s="34" t="n"/>
      <c r="H677" s="34" t="n"/>
      <c r="I677" s="33" t="inlineStr">
        <is>
          <t>Latón forjado (HZ)</t>
        </is>
      </c>
      <c r="J677" s="17" t="inlineStr">
        <is>
          <t>rosca M30x1,5</t>
        </is>
      </c>
      <c r="K677" s="33" t="inlineStr">
        <is>
          <t>Compra</t>
        </is>
      </c>
      <c r="L677" s="33" t="inlineStr">
        <is>
          <t>Sí</t>
        </is>
      </c>
      <c r="M677" s="17" t="inlineStr">
        <is>
          <t>Polvex S.R.L. / Sancibrao</t>
        </is>
      </c>
      <c r="N677" s="17" t="inlineStr">
        <is>
          <t>Mozart S.R.L.</t>
        </is>
      </c>
      <c r="O677" s="17" t="inlineStr">
        <is>
          <t>19 Ensamblaje de válvula</t>
        </is>
      </c>
      <c r="P677" s="17" t="inlineStr">
        <is>
          <t>IRAM 3523 3.3</t>
        </is>
      </c>
      <c r="Q677" s="33" t="inlineStr">
        <is>
          <t>Q</t>
        </is>
      </c>
      <c r="R677" s="33" t="inlineStr">
        <is>
          <t>FL_DES_ABC_25kg</t>
        </is>
      </c>
      <c r="S677" s="17" t="inlineStr">
        <is>
          <t>Lista de precios HZ (Q-AGENTES); plano Fadesa usa válvula HZ (R-FADESA). Trae las piezas marcadas «Incluido en válvula HZ»</t>
        </is>
      </c>
    </row>
    <row r="678">
      <c r="A678" s="33" t="inlineStr">
        <is>
          <t>FL_MAT_ABC_25kg</t>
        </is>
      </c>
      <c r="B678" s="33" t="n">
        <v>2</v>
      </c>
      <c r="C678" s="33" t="inlineStr">
        <is>
          <t>ABC25-V2</t>
        </is>
      </c>
      <c r="D678" s="17" t="inlineStr">
        <is>
          <t xml:space="preserve">        Resorte de retorno del vástago</t>
        </is>
      </c>
      <c r="E678" s="33" t="n">
        <v>1</v>
      </c>
      <c r="F678" s="33" t="inlineStr">
        <is>
          <t>u</t>
        </is>
      </c>
      <c r="G678" s="34" t="n"/>
      <c r="H678" s="34" t="n"/>
      <c r="I678" s="33" t="inlineStr">
        <is>
          <t>Acero para resortes</t>
        </is>
      </c>
      <c r="J678" s="17" t="inlineStr">
        <is>
          <t>incluido en la válvula</t>
        </is>
      </c>
      <c r="K678" s="33" t="inlineStr">
        <is>
          <t>Incluido en válvula HZ</t>
        </is>
      </c>
      <c r="L678" s="33" t="inlineStr">
        <is>
          <t>No</t>
        </is>
      </c>
      <c r="M678" s="17" t="n"/>
      <c r="N678" s="17" t="n"/>
      <c r="O678" s="17" t="inlineStr">
        <is>
          <t>19 Ensamblaje</t>
        </is>
      </c>
      <c r="P678" s="17" t="n"/>
      <c r="Q678" s="33" t="inlineStr">
        <is>
          <t>Q</t>
        </is>
      </c>
      <c r="R678" s="33" t="n"/>
      <c r="S678" s="17" t="inlineStr">
        <is>
          <t>Lista de precios HZ: válvula «c/resorte» (Q-AGENTES)</t>
        </is>
      </c>
    </row>
    <row r="679">
      <c r="A679" s="33" t="inlineStr">
        <is>
          <t>FL_MAT_ABC_25kg</t>
        </is>
      </c>
      <c r="B679" s="33" t="n">
        <v>2</v>
      </c>
      <c r="C679" s="33" t="inlineStr">
        <is>
          <t>ABC25-V3</t>
        </is>
      </c>
      <c r="D679" s="17" t="inlineStr">
        <is>
          <t xml:space="preserve">        Junta tórica del vástago</t>
        </is>
      </c>
      <c r="E679" s="33" t="n">
        <v>1</v>
      </c>
      <c r="F679" s="33" t="inlineStr">
        <is>
          <t>u</t>
        </is>
      </c>
      <c r="G679" s="34" t="n"/>
      <c r="H679" s="34" t="n"/>
      <c r="I679" s="33" t="inlineStr">
        <is>
          <t>NBR 70 Shore A</t>
        </is>
      </c>
      <c r="J679" s="17" t="inlineStr">
        <is>
          <t>incluida en la válvula</t>
        </is>
      </c>
      <c r="K679" s="33" t="inlineStr">
        <is>
          <t>Incluido en válvula HZ</t>
        </is>
      </c>
      <c r="L679" s="33" t="inlineStr">
        <is>
          <t>No</t>
        </is>
      </c>
      <c r="M679" s="17" t="n"/>
      <c r="N679" s="17" t="n"/>
      <c r="O679" s="17" t="inlineStr">
        <is>
          <t>19 Ensamblaje</t>
        </is>
      </c>
      <c r="P679" s="17" t="n"/>
      <c r="Q679" s="33" t="inlineStr">
        <is>
          <t>P</t>
        </is>
      </c>
      <c r="R679" s="33" t="n"/>
      <c r="S679" s="17" t="inlineStr">
        <is>
          <t>Figura en el plano como «vástago con junta tórica»</t>
        </is>
      </c>
    </row>
    <row r="680">
      <c r="A680" s="30" t="inlineStr">
        <is>
          <t>FL_MAT_ABC_25kg</t>
        </is>
      </c>
      <c r="B680" s="30" t="n">
        <v>1</v>
      </c>
      <c r="C680" s="30" t="inlineStr">
        <is>
          <t>ABC25-S3</t>
        </is>
      </c>
      <c r="D680" s="31" t="inlineStr">
        <is>
          <t xml:space="preserve">    Dispositivo de descarga</t>
        </is>
      </c>
      <c r="E680" s="30" t="n">
        <v>1</v>
      </c>
      <c r="F680" s="30" t="inlineStr">
        <is>
          <t>u</t>
        </is>
      </c>
      <c r="G680" s="32" t="n"/>
      <c r="H680" s="32">
        <f>H681+H682+H683+H684+H685+H686</f>
        <v/>
      </c>
      <c r="I680" s="30" t="n"/>
      <c r="J680" s="31" t="n"/>
      <c r="K680" s="30" t="inlineStr">
        <is>
          <t>Compra / armado</t>
        </is>
      </c>
      <c r="L680" s="30" t="n"/>
      <c r="M680" s="31" t="n"/>
      <c r="N680" s="31" t="n"/>
      <c r="O680" s="31" t="n"/>
      <c r="P680" s="31" t="n"/>
      <c r="Q680" s="30" t="inlineStr">
        <is>
          <t>P</t>
        </is>
      </c>
      <c r="R680" s="30" t="inlineStr">
        <is>
          <t>FL_DES_ABC_25kg</t>
        </is>
      </c>
      <c r="S680" s="31" t="n"/>
    </row>
    <row r="681">
      <c r="A681" s="33" t="inlineStr">
        <is>
          <t>FL_MAT_ABC_25kg</t>
        </is>
      </c>
      <c r="B681" s="33" t="n">
        <v>2</v>
      </c>
      <c r="C681" s="33" t="inlineStr">
        <is>
          <t>ABC25-21</t>
        </is>
      </c>
      <c r="D681" s="17" t="inlineStr">
        <is>
          <t xml:space="preserve">        Manguera (tramo enrollado)</t>
        </is>
      </c>
      <c r="E681" s="33" t="n">
        <v>1</v>
      </c>
      <c r="F681" s="33" t="inlineStr">
        <is>
          <t>u</t>
        </is>
      </c>
      <c r="G681" s="34" t="n">
        <v>0.374</v>
      </c>
      <c r="H681" s="34">
        <f>E681*G681</f>
        <v/>
      </c>
      <c r="I681" s="33" t="inlineStr">
        <is>
          <t>Caucho sintético</t>
        </is>
      </c>
      <c r="J681" s="17" t="inlineStr">
        <is>
          <t>Ø25 × 992 de largo desarrollado</t>
        </is>
      </c>
      <c r="K681" s="33" t="inlineStr">
        <is>
          <t>Compra</t>
        </is>
      </c>
      <c r="L681" s="33" t="inlineStr">
        <is>
          <t>Sí</t>
        </is>
      </c>
      <c r="M681" s="17" t="inlineStr">
        <is>
          <t>Yukon / MatafuegosYa S.R.L.</t>
        </is>
      </c>
      <c r="N681" s="17" t="inlineStr">
        <is>
          <t>Matafuegos Iglesias</t>
        </is>
      </c>
      <c r="O681" s="17" t="inlineStr">
        <is>
          <t>C9 armado de ruedas y manguera</t>
        </is>
      </c>
      <c r="P681" s="17" t="n"/>
      <c r="Q681" s="33" t="inlineStr">
        <is>
          <t>P</t>
        </is>
      </c>
      <c r="R681" s="33" t="inlineStr">
        <is>
          <t>FL_DES_ABC_25kg</t>
        </is>
      </c>
      <c r="S681" s="17" t="n"/>
    </row>
    <row r="682">
      <c r="A682" s="33" t="inlineStr">
        <is>
          <t>FL_MAT_ABC_25kg</t>
        </is>
      </c>
      <c r="B682" s="33" t="n">
        <v>2</v>
      </c>
      <c r="C682" s="33" t="inlineStr">
        <is>
          <t>ABC25-22</t>
        </is>
      </c>
      <c r="D682" s="17" t="inlineStr">
        <is>
          <t xml:space="preserve">        Soporte de manguera</t>
        </is>
      </c>
      <c r="E682" s="33" t="n">
        <v>1</v>
      </c>
      <c r="F682" s="33" t="inlineStr">
        <is>
          <t>u</t>
        </is>
      </c>
      <c r="G682" s="34" t="n">
        <v>1.5505</v>
      </c>
      <c r="H682" s="34">
        <f>E682*G682</f>
        <v/>
      </c>
      <c r="I682" s="33" t="inlineStr">
        <is>
          <t>Planchuela acero SAE 1010</t>
        </is>
      </c>
      <c r="J682" s="17" t="inlineStr">
        <is>
          <t>378,4 × 193,1 × 40,5</t>
        </is>
      </c>
      <c r="K682" s="33" t="inlineStr">
        <is>
          <t>Compra (estructura)</t>
        </is>
      </c>
      <c r="L682" s="33" t="inlineStr">
        <is>
          <t>Sí</t>
        </is>
      </c>
      <c r="M682" s="17" t="inlineStr">
        <is>
          <t>Yukon / MatafuegosYa S.R.L.</t>
        </is>
      </c>
      <c r="N682" s="17" t="inlineStr">
        <is>
          <t>Matafuegos Iglesias</t>
        </is>
      </c>
      <c r="O682" s="17" t="inlineStr">
        <is>
          <t>C9 armado de ruedas y manguera</t>
        </is>
      </c>
      <c r="P682" s="17" t="n"/>
      <c r="Q682" s="33" t="inlineStr">
        <is>
          <t>P</t>
        </is>
      </c>
      <c r="R682" s="33" t="inlineStr">
        <is>
          <t>FL_DES_ABC_25kg</t>
        </is>
      </c>
      <c r="S682" s="17" t="n"/>
    </row>
    <row r="683">
      <c r="A683" s="33" t="inlineStr">
        <is>
          <t>FL_MAT_ABC_25kg</t>
        </is>
      </c>
      <c r="B683" s="33" t="n">
        <v>2</v>
      </c>
      <c r="C683" s="33" t="inlineStr">
        <is>
          <t>ABC25-23</t>
        </is>
      </c>
      <c r="D683" s="17" t="inlineStr">
        <is>
          <t xml:space="preserve">        Racor de manguera</t>
        </is>
      </c>
      <c r="E683" s="33" t="n">
        <v>1</v>
      </c>
      <c r="F683" s="33" t="inlineStr">
        <is>
          <t>u</t>
        </is>
      </c>
      <c r="G683" s="34" t="n">
        <v>0.0612</v>
      </c>
      <c r="H683" s="34">
        <f>E683*G683</f>
        <v/>
      </c>
      <c r="I683" s="33" t="inlineStr">
        <is>
          <t>Latón</t>
        </is>
      </c>
      <c r="J683" s="17" t="inlineStr">
        <is>
          <t>24 × 24 × 16</t>
        </is>
      </c>
      <c r="K683" s="33" t="inlineStr">
        <is>
          <t>Compra</t>
        </is>
      </c>
      <c r="L683" s="33" t="inlineStr">
        <is>
          <t>Sí</t>
        </is>
      </c>
      <c r="M683" s="17" t="inlineStr">
        <is>
          <t>Yukon / MatafuegosYa S.R.L.</t>
        </is>
      </c>
      <c r="N683" s="17" t="inlineStr">
        <is>
          <t>Matafuegos Iglesias</t>
        </is>
      </c>
      <c r="O683" s="17" t="inlineStr">
        <is>
          <t>C9 armado de ruedas y manguera</t>
        </is>
      </c>
      <c r="P683" s="17" t="n"/>
      <c r="Q683" s="33" t="inlineStr">
        <is>
          <t>P</t>
        </is>
      </c>
      <c r="R683" s="33" t="inlineStr">
        <is>
          <t>FL_DES_ABC_25kg</t>
        </is>
      </c>
      <c r="S683" s="17" t="n"/>
    </row>
    <row r="684">
      <c r="A684" s="33" t="inlineStr">
        <is>
          <t>FL_MAT_ABC_25kg</t>
        </is>
      </c>
      <c r="B684" s="33" t="n">
        <v>2</v>
      </c>
      <c r="C684" s="33" t="inlineStr">
        <is>
          <t>ABC25-24</t>
        </is>
      </c>
      <c r="D684" s="17" t="inlineStr">
        <is>
          <t xml:space="preserve">        Manguera</t>
        </is>
      </c>
      <c r="E684" s="33" t="n">
        <v>1</v>
      </c>
      <c r="F684" s="33" t="inlineStr">
        <is>
          <t>u</t>
        </is>
      </c>
      <c r="G684" s="34" t="n">
        <v>0.1382</v>
      </c>
      <c r="H684" s="34">
        <f>E684*G684</f>
        <v/>
      </c>
      <c r="I684" s="33" t="inlineStr">
        <is>
          <t>Caucho sintético</t>
        </is>
      </c>
      <c r="J684" s="17" t="inlineStr">
        <is>
          <t>Ø16 × 895 de largo desarrollado</t>
        </is>
      </c>
      <c r="K684" s="33" t="inlineStr">
        <is>
          <t>Compra</t>
        </is>
      </c>
      <c r="L684" s="33" t="inlineStr">
        <is>
          <t>Sí</t>
        </is>
      </c>
      <c r="M684" s="17" t="inlineStr">
        <is>
          <t>Yukon / MatafuegosYa S.R.L.</t>
        </is>
      </c>
      <c r="N684" s="17" t="inlineStr">
        <is>
          <t>Matafuegos Iglesias</t>
        </is>
      </c>
      <c r="O684" s="17" t="inlineStr">
        <is>
          <t>C9 armado de ruedas y manguera</t>
        </is>
      </c>
      <c r="P684" s="17" t="n"/>
      <c r="Q684" s="33" t="inlineStr">
        <is>
          <t>P</t>
        </is>
      </c>
      <c r="R684" s="33" t="inlineStr">
        <is>
          <t>FL_DES_ABC_25kg</t>
        </is>
      </c>
      <c r="S684" s="17" t="n"/>
    </row>
    <row r="685">
      <c r="A685" s="33" t="inlineStr">
        <is>
          <t>FL_MAT_ABC_25kg</t>
        </is>
      </c>
      <c r="B685" s="33" t="n">
        <v>2</v>
      </c>
      <c r="C685" s="33" t="inlineStr">
        <is>
          <t>ABC25-25</t>
        </is>
      </c>
      <c r="D685" s="17" t="inlineStr">
        <is>
          <t xml:space="preserve">        Válvula esférica</t>
        </is>
      </c>
      <c r="E685" s="33" t="n">
        <v>1</v>
      </c>
      <c r="F685" s="33" t="inlineStr">
        <is>
          <t>u</t>
        </is>
      </c>
      <c r="G685" s="34" t="n">
        <v>0.4225</v>
      </c>
      <c r="H685" s="34">
        <f>E685*G685</f>
        <v/>
      </c>
      <c r="I685" s="33" t="inlineStr">
        <is>
          <t>Latón cromado</t>
        </is>
      </c>
      <c r="J685" s="17" t="inlineStr">
        <is>
          <t>130 × 60 × 40</t>
        </is>
      </c>
      <c r="K685" s="33" t="inlineStr">
        <is>
          <t>Compra</t>
        </is>
      </c>
      <c r="L685" s="33" t="inlineStr">
        <is>
          <t>Sí</t>
        </is>
      </c>
      <c r="M685" s="17" t="inlineStr">
        <is>
          <t>Yukon / MatafuegosYa S.R.L.</t>
        </is>
      </c>
      <c r="N685" s="17" t="inlineStr">
        <is>
          <t>Matafuegos Iglesias</t>
        </is>
      </c>
      <c r="O685" s="17" t="inlineStr">
        <is>
          <t>C9 armado de ruedas y manguera</t>
        </is>
      </c>
      <c r="P685" s="17" t="n"/>
      <c r="Q685" s="33" t="inlineStr">
        <is>
          <t>P</t>
        </is>
      </c>
      <c r="R685" s="33" t="inlineStr">
        <is>
          <t>FL_DES_ABC_25kg</t>
        </is>
      </c>
      <c r="S685" s="17" t="n"/>
    </row>
    <row r="686">
      <c r="A686" s="33" t="inlineStr">
        <is>
          <t>FL_MAT_ABC_25kg</t>
        </is>
      </c>
      <c r="B686" s="33" t="n">
        <v>2</v>
      </c>
      <c r="C686" s="33" t="inlineStr">
        <is>
          <t>ABC25-26</t>
        </is>
      </c>
      <c r="D686" s="17" t="inlineStr">
        <is>
          <t xml:space="preserve">        Tobera campana</t>
        </is>
      </c>
      <c r="E686" s="33" t="n">
        <v>1</v>
      </c>
      <c r="F686" s="33" t="inlineStr">
        <is>
          <t>u</t>
        </is>
      </c>
      <c r="G686" s="34" t="n">
        <v>0.07969999999999999</v>
      </c>
      <c r="H686" s="34">
        <f>E686*G686</f>
        <v/>
      </c>
      <c r="I686" s="33" t="inlineStr">
        <is>
          <t>Polipropileno</t>
        </is>
      </c>
      <c r="J686" s="17" t="inlineStr">
        <is>
          <t>200 × 68 × 68</t>
        </is>
      </c>
      <c r="K686" s="33" t="inlineStr">
        <is>
          <t>Compra</t>
        </is>
      </c>
      <c r="L686" s="33" t="inlineStr">
        <is>
          <t>Sí</t>
        </is>
      </c>
      <c r="M686" s="17" t="inlineStr">
        <is>
          <t>Yukon / MatafuegosYa S.R.L.</t>
        </is>
      </c>
      <c r="N686" s="17" t="inlineStr">
        <is>
          <t>Matafuegos Iglesias</t>
        </is>
      </c>
      <c r="O686" s="17" t="inlineStr">
        <is>
          <t>C9 armado de ruedas y manguera</t>
        </is>
      </c>
      <c r="P686" s="17" t="n"/>
      <c r="Q686" s="33" t="inlineStr">
        <is>
          <t>P</t>
        </is>
      </c>
      <c r="R686" s="33" t="inlineStr">
        <is>
          <t>FL_DES_ABC_25kg</t>
        </is>
      </c>
      <c r="S686" s="17" t="n"/>
    </row>
    <row r="687">
      <c r="A687" s="30" t="inlineStr">
        <is>
          <t>FL_MAT_ABC_25kg</t>
        </is>
      </c>
      <c r="B687" s="30" t="n">
        <v>1</v>
      </c>
      <c r="C687" s="30" t="inlineStr">
        <is>
          <t>ABC25-S4</t>
        </is>
      </c>
      <c r="D687" s="31" t="inlineStr">
        <is>
          <t xml:space="preserve">    Carro (bastidor y ruedas)</t>
        </is>
      </c>
      <c r="E687" s="30" t="n">
        <v>1</v>
      </c>
      <c r="F687" s="30" t="inlineStr">
        <is>
          <t>u</t>
        </is>
      </c>
      <c r="G687" s="32" t="n"/>
      <c r="H687" s="32">
        <f>H688+H689+H690+H692+H694+H696</f>
        <v/>
      </c>
      <c r="I687" s="30" t="n"/>
      <c r="J687" s="31" t="n"/>
      <c r="K687" s="30" t="inlineStr">
        <is>
          <t>Fabricación</t>
        </is>
      </c>
      <c r="L687" s="30" t="n"/>
      <c r="M687" s="31" t="n"/>
      <c r="N687" s="31" t="n"/>
      <c r="O687" s="31" t="n"/>
      <c r="P687" s="31" t="inlineStr">
        <is>
          <t>IRAM 3550 3.12 y 4.8 (ruedas ≥ Ø300 × 50)</t>
        </is>
      </c>
      <c r="Q687" s="30" t="inlineStr">
        <is>
          <t>P</t>
        </is>
      </c>
      <c r="R687" s="30" t="inlineStr">
        <is>
          <t>FL_DES_ABC_25kg</t>
        </is>
      </c>
      <c r="S687" s="31" t="n"/>
    </row>
    <row r="688">
      <c r="A688" s="45" t="inlineStr">
        <is>
          <t>FL_MAT_ABC_25kg</t>
        </is>
      </c>
      <c r="B688" s="45" t="n">
        <v>2</v>
      </c>
      <c r="C688" s="45" t="inlineStr">
        <is>
          <t>ABC25-05</t>
        </is>
      </c>
      <c r="D688" s="19" t="inlineStr">
        <is>
          <t xml:space="preserve">        Neumático macizo</t>
        </is>
      </c>
      <c r="E688" s="45" t="n">
        <v>2</v>
      </c>
      <c r="F688" s="45" t="inlineStr">
        <is>
          <t>u</t>
        </is>
      </c>
      <c r="G688" s="46" t="n">
        <v>2.2468</v>
      </c>
      <c r="H688" s="46">
        <f>E688*G688</f>
        <v/>
      </c>
      <c r="I688" s="45" t="inlineStr">
        <is>
          <t>Caucho</t>
        </is>
      </c>
      <c r="J688" s="19" t="inlineStr">
        <is>
          <t>Ø300 × 55 de ancho</t>
        </is>
      </c>
      <c r="K688" s="45" t="inlineStr">
        <is>
          <t>Compra</t>
        </is>
      </c>
      <c r="L688" s="45" t="inlineStr">
        <is>
          <t>Sí</t>
        </is>
      </c>
      <c r="M688" s="19" t="inlineStr">
        <is>
          <t>Ruedar</t>
        </is>
      </c>
      <c r="N688" s="19" t="inlineStr">
        <is>
          <t>-</t>
        </is>
      </c>
      <c r="O688" s="19" t="inlineStr">
        <is>
          <t>C9 armado de ruedas (S-TC)</t>
        </is>
      </c>
      <c r="P688" s="19" t="n"/>
      <c r="Q688" s="45" t="inlineStr">
        <is>
          <t>P</t>
        </is>
      </c>
      <c r="R688" s="45" t="inlineStr">
        <is>
          <t>FL_DES_ABC_25kg</t>
        </is>
      </c>
      <c r="S688" s="19" t="inlineStr">
        <is>
          <t>IRAM 3550 4.8: Ø ≥ 300 y ancho ≥ 50</t>
        </is>
      </c>
    </row>
    <row r="689">
      <c r="A689" s="33" t="inlineStr">
        <is>
          <t>FL_MAT_ABC_25kg</t>
        </is>
      </c>
      <c r="B689" s="33" t="n">
        <v>2</v>
      </c>
      <c r="C689" s="33" t="inlineStr">
        <is>
          <t>ABC25-06</t>
        </is>
      </c>
      <c r="D689" s="17" t="inlineStr">
        <is>
          <t xml:space="preserve">        Llanta con cubo</t>
        </is>
      </c>
      <c r="E689" s="33" t="n">
        <v>2</v>
      </c>
      <c r="F689" s="33" t="inlineStr">
        <is>
          <t>u</t>
        </is>
      </c>
      <c r="G689" s="34" t="n">
        <v>2.9594</v>
      </c>
      <c r="H689" s="34">
        <f>E689*G689</f>
        <v/>
      </c>
      <c r="I689" s="33" t="inlineStr">
        <is>
          <t>Chapa acero SAE 1010</t>
        </is>
      </c>
      <c r="J689" s="17" t="inlineStr">
        <is>
          <t>Ø216 × 65 de ancho</t>
        </is>
      </c>
      <c r="K689" s="33" t="inlineStr">
        <is>
          <t>Incluido en rueda</t>
        </is>
      </c>
      <c r="L689" s="33" t="inlineStr">
        <is>
          <t>No</t>
        </is>
      </c>
      <c r="M689" s="17" t="n"/>
      <c r="N689" s="17" t="n"/>
      <c r="O689" s="17" t="inlineStr">
        <is>
          <t>C9 armado de ruedas (S-TC)</t>
        </is>
      </c>
      <c r="P689" s="17" t="n"/>
      <c r="Q689" s="33" t="inlineStr">
        <is>
          <t>P</t>
        </is>
      </c>
      <c r="R689" s="33" t="inlineStr">
        <is>
          <t>FL_DES_ABC_25kg</t>
        </is>
      </c>
      <c r="S689" s="17" t="n"/>
    </row>
    <row r="690">
      <c r="A690" s="33" t="inlineStr">
        <is>
          <t>FL_MAT_ABC_25kg</t>
        </is>
      </c>
      <c r="B690" s="33" t="n">
        <v>2</v>
      </c>
      <c r="C690" s="33" t="inlineStr">
        <is>
          <t>ABC25-07</t>
        </is>
      </c>
      <c r="D690" s="17" t="inlineStr">
        <is>
          <t xml:space="preserve">        Eje de ruedas</t>
        </is>
      </c>
      <c r="E690" s="33" t="n">
        <v>1</v>
      </c>
      <c r="F690" s="33" t="inlineStr">
        <is>
          <t>u</t>
        </is>
      </c>
      <c r="G690" s="34" t="n">
        <v>1.4065</v>
      </c>
      <c r="H690" s="34">
        <f>E690*G690</f>
        <v/>
      </c>
      <c r="I690" s="33" t="inlineStr">
        <is>
          <t>Acero SAE 1045</t>
        </is>
      </c>
      <c r="J690" s="17" t="inlineStr">
        <is>
          <t>Ø25 × 365 de largo</t>
        </is>
      </c>
      <c r="K690" s="33" t="inlineStr">
        <is>
          <t>Fabricación</t>
        </is>
      </c>
      <c r="L690" s="33" t="inlineStr">
        <is>
          <t>No</t>
        </is>
      </c>
      <c r="M690" s="17" t="n"/>
      <c r="N690" s="17" t="n"/>
      <c r="O690" s="17" t="inlineStr">
        <is>
          <t>Corte en sierra -&gt; curvado / plegado -&gt; soldadura MAG del carro -&gt; C9 armado (S-TC); puesto de soldadura de carros a incorporar al layout</t>
        </is>
      </c>
      <c r="P690" s="17" t="n"/>
      <c r="Q690" s="33" t="inlineStr">
        <is>
          <t>P</t>
        </is>
      </c>
      <c r="R690" s="33" t="inlineStr">
        <is>
          <t>FL_DES_ABC_25kg</t>
        </is>
      </c>
      <c r="S690" s="17" t="n"/>
    </row>
    <row r="691">
      <c r="A691" s="35" t="inlineStr">
        <is>
          <t>FL_MAT_ABC_25kg</t>
        </is>
      </c>
      <c r="B691" s="35" t="n">
        <v>3</v>
      </c>
      <c r="C691" s="35" t="inlineStr">
        <is>
          <t>MP-EJE</t>
        </is>
      </c>
      <c r="D691" s="36" t="inlineStr">
        <is>
          <t xml:space="preserve">            Redondo SAE 1045 Ø25 (tramo de barra de 6 m)</t>
        </is>
      </c>
      <c r="E691" s="35" t="n">
        <v>0.0608</v>
      </c>
      <c r="F691" s="35" t="inlineStr">
        <is>
          <t>barra</t>
        </is>
      </c>
      <c r="G691" s="37" t="n">
        <v>23.12</v>
      </c>
      <c r="H691" s="37">
        <f>E691*G691</f>
        <v/>
      </c>
      <c r="I691" s="35" t="inlineStr">
        <is>
          <t>Redondo SAE 1045 Ø25</t>
        </is>
      </c>
      <c r="J691" s="36" t="inlineStr">
        <is>
          <t>365 mm por pieza (kg por barra de 6 m)</t>
        </is>
      </c>
      <c r="K691" s="35" t="inlineStr">
        <is>
          <t>Compra</t>
        </is>
      </c>
      <c r="L691" s="35" t="inlineStr">
        <is>
          <t>Sí</t>
        </is>
      </c>
      <c r="M691" s="36" t="inlineStr">
        <is>
          <t>Hierros Parrotta</t>
        </is>
      </c>
      <c r="N691" s="36" t="inlineStr">
        <is>
          <t>-</t>
        </is>
      </c>
      <c r="O691" s="36" t="inlineStr">
        <is>
          <t>Corte en sierra</t>
        </is>
      </c>
      <c r="P691" s="36" t="n"/>
      <c r="Q691" s="35" t="inlineStr">
        <is>
          <t>C</t>
        </is>
      </c>
      <c r="R691" s="35" t="n"/>
      <c r="S691" s="36" t="n"/>
    </row>
    <row r="692">
      <c r="A692" s="33" t="inlineStr">
        <is>
          <t>FL_MAT_ABC_25kg</t>
        </is>
      </c>
      <c r="B692" s="33" t="n">
        <v>2</v>
      </c>
      <c r="C692" s="33" t="inlineStr">
        <is>
          <t>ABC25-08</t>
        </is>
      </c>
      <c r="D692" s="17" t="inlineStr">
        <is>
          <t xml:space="preserve">        Bastidor</t>
        </is>
      </c>
      <c r="E692" s="33" t="n">
        <v>1</v>
      </c>
      <c r="F692" s="33" t="inlineStr">
        <is>
          <t>u</t>
        </is>
      </c>
      <c r="G692" s="34" t="n">
        <v>1.9749</v>
      </c>
      <c r="H692" s="34">
        <f>E692*G692</f>
        <v/>
      </c>
      <c r="I692" s="33" t="inlineStr">
        <is>
          <t>Caño acero SAE 1010 Ø25,4×1,6</t>
        </is>
      </c>
      <c r="J692" s="17" t="inlineStr">
        <is>
          <t>caño Ø25,4 × 1,6 × 2.069 de largo desarrollado</t>
        </is>
      </c>
      <c r="K692" s="33" t="inlineStr">
        <is>
          <t>Fabricación</t>
        </is>
      </c>
      <c r="L692" s="33" t="inlineStr">
        <is>
          <t>No</t>
        </is>
      </c>
      <c r="M692" s="17" t="n"/>
      <c r="N692" s="17" t="n"/>
      <c r="O692" s="17" t="inlineStr">
        <is>
          <t>Corte en sierra -&gt; curvado / plegado -&gt; soldadura MAG del carro -&gt; C9 armado (S-TC); puesto de soldadura de carros a incorporar al layout</t>
        </is>
      </c>
      <c r="P692" s="17" t="n"/>
      <c r="Q692" s="33" t="inlineStr">
        <is>
          <t>P</t>
        </is>
      </c>
      <c r="R692" s="33" t="inlineStr">
        <is>
          <t>FL_DES_ABC_25kg</t>
        </is>
      </c>
      <c r="S692" s="17" t="n"/>
    </row>
    <row r="693">
      <c r="A693" s="35" t="inlineStr">
        <is>
          <t>FL_MAT_ABC_25kg</t>
        </is>
      </c>
      <c r="B693" s="35" t="n">
        <v>3</v>
      </c>
      <c r="C693" s="35" t="inlineStr">
        <is>
          <t>MP-CANO-CARRO</t>
        </is>
      </c>
      <c r="D693" s="36" t="inlineStr">
        <is>
          <t xml:space="preserve">            Caño SAE 1010 Ø25,4 × 1,6 (tramo de barra de 6 m)</t>
        </is>
      </c>
      <c r="E693" s="35" t="n">
        <v>0.3448</v>
      </c>
      <c r="F693" s="35" t="inlineStr">
        <is>
          <t>barra</t>
        </is>
      </c>
      <c r="G693" s="37" t="n">
        <v>5.635</v>
      </c>
      <c r="H693" s="37">
        <f>E693*G693</f>
        <v/>
      </c>
      <c r="I693" s="35" t="inlineStr">
        <is>
          <t>Caño acero SAE 1010 Ø25,4 × 1,6</t>
        </is>
      </c>
      <c r="J693" s="36" t="inlineStr">
        <is>
          <t>2.069 mm por pieza (kg por barra de 6 m)</t>
        </is>
      </c>
      <c r="K693" s="35" t="inlineStr">
        <is>
          <t>Compra</t>
        </is>
      </c>
      <c r="L693" s="35" t="inlineStr">
        <is>
          <t>Sí</t>
        </is>
      </c>
      <c r="M693" s="36" t="inlineStr">
        <is>
          <t>Metalpri / Prilux</t>
        </is>
      </c>
      <c r="N693" s="36" t="inlineStr">
        <is>
          <t>Comercial MID</t>
        </is>
      </c>
      <c r="O693" s="36" t="inlineStr">
        <is>
          <t>Corte en sierra</t>
        </is>
      </c>
      <c r="P693" s="36" t="n"/>
      <c r="Q693" s="35" t="inlineStr">
        <is>
          <t>C</t>
        </is>
      </c>
      <c r="R693" s="35" t="n"/>
      <c r="S693" s="36" t="inlineStr">
        <is>
          <t>Largo desarrollado del plano + curvado</t>
        </is>
      </c>
    </row>
    <row r="694">
      <c r="A694" s="33" t="inlineStr">
        <is>
          <t>FL_MAT_ABC_25kg</t>
        </is>
      </c>
      <c r="B694" s="33" t="n">
        <v>2</v>
      </c>
      <c r="C694" s="33" t="inlineStr">
        <is>
          <t>ABC25-09</t>
        </is>
      </c>
      <c r="D694" s="17" t="inlineStr">
        <is>
          <t xml:space="preserve">        Sunchos de fijación</t>
        </is>
      </c>
      <c r="E694" s="33" t="n">
        <v>1</v>
      </c>
      <c r="F694" s="33" t="inlineStr">
        <is>
          <t>u</t>
        </is>
      </c>
      <c r="G694" s="34" t="n">
        <v>5.4531</v>
      </c>
      <c r="H694" s="34">
        <f>E694*G694</f>
        <v/>
      </c>
      <c r="I694" s="33" t="inlineStr">
        <is>
          <t>Planchuela acero SAE 1010</t>
        </is>
      </c>
      <c r="J694" s="17" t="inlineStr">
        <is>
          <t>414 × 335,8 × 315</t>
        </is>
      </c>
      <c r="K694" s="33" t="inlineStr">
        <is>
          <t>Fabricación</t>
        </is>
      </c>
      <c r="L694" s="33" t="inlineStr">
        <is>
          <t>No</t>
        </is>
      </c>
      <c r="M694" s="17" t="n"/>
      <c r="N694" s="17" t="n"/>
      <c r="O694" s="17" t="inlineStr">
        <is>
          <t>Corte en sierra -&gt; curvado / plegado -&gt; soldadura MAG del carro -&gt; C9 armado (S-TC); puesto de soldadura de carros a incorporar al layout</t>
        </is>
      </c>
      <c r="P694" s="17" t="n"/>
      <c r="Q694" s="33" t="inlineStr">
        <is>
          <t>P</t>
        </is>
      </c>
      <c r="R694" s="33" t="inlineStr">
        <is>
          <t>FL_DES_ABC_25kg</t>
        </is>
      </c>
      <c r="S694" s="17" t="n"/>
    </row>
    <row r="695">
      <c r="A695" s="35" t="inlineStr">
        <is>
          <t>FL_MAT_ABC_25kg</t>
        </is>
      </c>
      <c r="B695" s="35" t="n">
        <v>3</v>
      </c>
      <c r="C695" s="35" t="inlineStr">
        <is>
          <t>MP-PLANCHUELA</t>
        </is>
      </c>
      <c r="D695" s="36" t="inlineStr">
        <is>
          <t xml:space="preserve">            Planchuela SAE 1010 40 × 6 (tramo de barra de 6 m)</t>
        </is>
      </c>
      <c r="E695" s="35" t="n">
        <v>0.4824</v>
      </c>
      <c r="F695" s="35" t="inlineStr">
        <is>
          <t>barra</t>
        </is>
      </c>
      <c r="G695" s="37" t="n">
        <v>11.304</v>
      </c>
      <c r="H695" s="37">
        <f>E695*G695</f>
        <v/>
      </c>
      <c r="I695" s="35" t="inlineStr">
        <is>
          <t>Planchuela SAE 1010 40 × 6</t>
        </is>
      </c>
      <c r="J695" s="36" t="inlineStr">
        <is>
          <t>2.894 mm por pieza (kg por barra de 6 m)</t>
        </is>
      </c>
      <c r="K695" s="35" t="inlineStr">
        <is>
          <t>Compra</t>
        </is>
      </c>
      <c r="L695" s="35" t="inlineStr">
        <is>
          <t>Sí</t>
        </is>
      </c>
      <c r="M695" s="36" t="inlineStr">
        <is>
          <t>Hierros Parrotta</t>
        </is>
      </c>
      <c r="N695" s="36" t="inlineStr">
        <is>
          <t>-</t>
        </is>
      </c>
      <c r="O695" s="36" t="inlineStr">
        <is>
          <t>Corte en sierra</t>
        </is>
      </c>
      <c r="P695" s="36" t="n"/>
      <c r="Q695" s="35" t="inlineStr">
        <is>
          <t>C</t>
        </is>
      </c>
      <c r="R695" s="35" t="n"/>
      <c r="S695" s="36" t="inlineStr">
        <is>
          <t>Largo = volumen del plano / sección 40 × 6</t>
        </is>
      </c>
    </row>
    <row r="696">
      <c r="A696" s="33" t="inlineStr">
        <is>
          <t>FL_MAT_ABC_25kg</t>
        </is>
      </c>
      <c r="B696" s="33" t="n">
        <v>2</v>
      </c>
      <c r="C696" s="33" t="inlineStr">
        <is>
          <t>ABC25-10</t>
        </is>
      </c>
      <c r="D696" s="17" t="inlineStr">
        <is>
          <t xml:space="preserve">        Apoyo delantero</t>
        </is>
      </c>
      <c r="E696" s="33" t="n">
        <v>1</v>
      </c>
      <c r="F696" s="33" t="inlineStr">
        <is>
          <t>u</t>
        </is>
      </c>
      <c r="G696" s="34" t="n">
        <v>0.3022</v>
      </c>
      <c r="H696" s="34">
        <f>E696*G696</f>
        <v/>
      </c>
      <c r="I696" s="33" t="inlineStr">
        <is>
          <t>Chapa acero SAE 1010 plegada</t>
        </is>
      </c>
      <c r="J696" s="17" t="inlineStr">
        <is>
          <t>70 × 55 × 50</t>
        </is>
      </c>
      <c r="K696" s="33" t="inlineStr">
        <is>
          <t>Fabricación</t>
        </is>
      </c>
      <c r="L696" s="33" t="inlineStr">
        <is>
          <t>No</t>
        </is>
      </c>
      <c r="M696" s="17" t="n"/>
      <c r="N696" s="17" t="n"/>
      <c r="O696" s="17" t="inlineStr">
        <is>
          <t>Corte en sierra -&gt; curvado / plegado -&gt; soldadura MAG del carro -&gt; C9 armado (S-TC); puesto de soldadura de carros a incorporar al layout</t>
        </is>
      </c>
      <c r="P696" s="17" t="n"/>
      <c r="Q696" s="33" t="inlineStr">
        <is>
          <t>P</t>
        </is>
      </c>
      <c r="R696" s="33" t="inlineStr">
        <is>
          <t>FL_DES_ABC_25kg</t>
        </is>
      </c>
      <c r="S696" s="17" t="n"/>
    </row>
    <row r="697">
      <c r="A697" s="47" t="inlineStr">
        <is>
          <t>FL_MAT_ABC_25kg</t>
        </is>
      </c>
      <c r="B697" s="47" t="n">
        <v>3</v>
      </c>
      <c r="C697" s="47" t="inlineStr">
        <is>
          <t>MP-CHAPA-APOYO</t>
        </is>
      </c>
      <c r="D697" s="48" t="inlineStr">
        <is>
          <t xml:space="preserve">            Recorte de chapa LAC e=3,2 para el apoyo plegado</t>
        </is>
      </c>
      <c r="E697" s="47" t="n">
        <v>1</v>
      </c>
      <c r="F697" s="47" t="inlineStr">
        <is>
          <t>u</t>
        </is>
      </c>
      <c r="G697" s="49" t="n">
        <v>0.348</v>
      </c>
      <c r="H697" s="49">
        <f>E697*G697</f>
        <v/>
      </c>
      <c r="I697" s="47" t="inlineStr">
        <is>
          <t>Chapa LAC SAE 1010</t>
        </is>
      </c>
      <c r="J697" s="48" t="inlineStr">
        <is>
          <t>desarrollo del apoyo + 15 % de recorte</t>
        </is>
      </c>
      <c r="K697" s="47" t="inlineStr">
        <is>
          <t>Compra</t>
        </is>
      </c>
      <c r="L697" s="47" t="inlineStr">
        <is>
          <t>Sí</t>
        </is>
      </c>
      <c r="M697" s="48" t="inlineStr">
        <is>
          <t>Pradecon S.A.</t>
        </is>
      </c>
      <c r="N697" s="48" t="inlineStr">
        <is>
          <t>Pacheco Chapas</t>
        </is>
      </c>
      <c r="O697" s="48" t="inlineStr">
        <is>
          <t>Corte y plegado</t>
        </is>
      </c>
      <c r="P697" s="48" t="n"/>
      <c r="Q697" s="47" t="inlineStr">
        <is>
          <t>C</t>
        </is>
      </c>
      <c r="R697" s="47" t="n"/>
      <c r="S697" s="48" t="inlineStr">
        <is>
          <t>15 % de recorte: valor de taller sin medir</t>
        </is>
      </c>
    </row>
    <row r="698">
      <c r="A698" s="30" t="inlineStr">
        <is>
          <t>FL_MAT_ABC_25kg</t>
        </is>
      </c>
      <c r="B698" s="30" t="n">
        <v>1</v>
      </c>
      <c r="C698" s="30" t="inlineStr">
        <is>
          <t>ABC25-S5</t>
        </is>
      </c>
      <c r="D698" s="31" t="inlineStr">
        <is>
          <t xml:space="preserve">    Carga: agente extintor y gas impulsor</t>
        </is>
      </c>
      <c r="E698" s="30" t="n">
        <v>1</v>
      </c>
      <c r="F698" s="30" t="inlineStr">
        <is>
          <t>u</t>
        </is>
      </c>
      <c r="G698" s="32" t="n"/>
      <c r="H698" s="32">
        <f>H699+H700</f>
        <v/>
      </c>
      <c r="I698" s="30" t="n"/>
      <c r="J698" s="31" t="n"/>
      <c r="K698" s="30" t="inlineStr">
        <is>
          <t>Carga en planta</t>
        </is>
      </c>
      <c r="L698" s="30" t="n"/>
      <c r="M698" s="31" t="n"/>
      <c r="N698" s="31" t="n"/>
      <c r="O698" s="31" t="inlineStr">
        <is>
          <t>18 Carga de polvo (T01) / C8 (T02)</t>
        </is>
      </c>
      <c r="P698" s="31" t="n"/>
      <c r="Q698" s="30" t="n"/>
      <c r="R698" s="30" t="n"/>
      <c r="S698" s="31" t="n"/>
    </row>
    <row r="699">
      <c r="A699" s="33" t="inlineStr">
        <is>
          <t>FL_MAT_ABC_25kg</t>
        </is>
      </c>
      <c r="B699" s="33" t="n">
        <v>2</v>
      </c>
      <c r="C699" s="33" t="inlineStr">
        <is>
          <t>ABC25-A1</t>
        </is>
      </c>
      <c r="D699" s="17" t="inlineStr">
        <is>
          <t xml:space="preserve">        Polvo químico seco ABC 90 (Sello IRAM 3569)</t>
        </is>
      </c>
      <c r="E699" s="33" t="n">
        <v>25</v>
      </c>
      <c r="F699" s="33" t="inlineStr">
        <is>
          <t>kg</t>
        </is>
      </c>
      <c r="G699" s="34" t="n">
        <v>1</v>
      </c>
      <c r="H699" s="34">
        <f>E699*G699</f>
        <v/>
      </c>
      <c r="I699" s="33" t="inlineStr">
        <is>
          <t>Polvo químico seco ABC 90 (Sello IRAM 3569)</t>
        </is>
      </c>
      <c r="J699" s="17" t="inlineStr">
        <is>
          <t>nominal 25 kg; tolerancia ± 3 % (IRAM 3517-2:2020 tabla 3)</t>
        </is>
      </c>
      <c r="K699" s="33" t="inlineStr">
        <is>
          <t>Compra</t>
        </is>
      </c>
      <c r="L699" s="33" t="inlineStr">
        <is>
          <t>Sí</t>
        </is>
      </c>
      <c r="M699" s="17" t="inlineStr">
        <is>
          <t>DEM S.A. (DEMSA)</t>
        </is>
      </c>
      <c r="N699" s="17" t="inlineStr">
        <is>
          <t>Polvex S.R.L. / Sancibrao</t>
        </is>
      </c>
      <c r="O699" s="17" t="inlineStr">
        <is>
          <t>SP-1 almacén previo a la carga</t>
        </is>
      </c>
      <c r="P699" s="17" t="inlineStr">
        <is>
          <t>IRAM 3569</t>
        </is>
      </c>
      <c r="Q699" s="33" t="inlineStr">
        <is>
          <t>N</t>
        </is>
      </c>
      <c r="R699" s="33" t="n"/>
      <c r="S699"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00">
      <c r="A700" s="41" t="inlineStr">
        <is>
          <t>FL_MAT_ABC_25kg</t>
        </is>
      </c>
      <c r="B700" s="41" t="n">
        <v>2</v>
      </c>
      <c r="C700" s="41" t="inlineStr">
        <is>
          <t>ABC25-A2</t>
        </is>
      </c>
      <c r="D700" s="18" t="inlineStr">
        <is>
          <t xml:space="preserve">        Gas impulsor: N₂</t>
        </is>
      </c>
      <c r="E700" s="41" t="n">
        <v>0.2013</v>
      </c>
      <c r="F700" s="41" t="inlineStr">
        <is>
          <t>kg</t>
        </is>
      </c>
      <c r="G700" s="42" t="n">
        <v>1</v>
      </c>
      <c r="H700" s="42">
        <f>E700*G700</f>
        <v/>
      </c>
      <c r="I700" s="41" t="inlineStr">
        <is>
          <t>N₂</t>
        </is>
      </c>
      <c r="J700" s="18" t="inlineStr">
        <is>
          <t>161,1 L normales para 1,4 MPa a 20 °C en 11,67 dm³ libres</t>
        </is>
      </c>
      <c r="K700" s="41" t="inlineStr">
        <is>
          <t>Compra</t>
        </is>
      </c>
      <c r="L700" s="41" t="inlineStr">
        <is>
          <t>Sí</t>
        </is>
      </c>
      <c r="M700" s="18" t="inlineStr">
        <is>
          <t>Air Liquide Argentina - sucursal Piñeyro</t>
        </is>
      </c>
      <c r="N700" s="18" t="inlineStr">
        <is>
          <t>Gogniat</t>
        </is>
      </c>
      <c r="O700" s="18" t="inlineStr">
        <is>
          <t>20 Presurización (T05) / C10</t>
        </is>
      </c>
      <c r="P700" s="18" t="inlineStr">
        <is>
          <t>IRAM 3517-2 9.4.9 (tabla 2) · IRAM 3523 2.3 y 3.10</t>
        </is>
      </c>
      <c r="Q700" s="41" t="inlineStr">
        <is>
          <t>C</t>
        </is>
      </c>
      <c r="R700" s="41" t="n"/>
      <c r="S700" s="18" t="inlineStr">
        <is>
          <t>N₂ ≥ 99,8 %, H₂O ≤ 40 ppm (Q-N2, Air Liquide) · volumen libre con ρ empacada mínima 1,1 kg/dm³ (NOM-104-STPS-2001); confirmar con descarga ≥ 85 % (IRAM 3523 4.9.1)</t>
        </is>
      </c>
    </row>
    <row r="701">
      <c r="A701" s="30" t="inlineStr">
        <is>
          <t>FL_MAT_ABC_25kg</t>
        </is>
      </c>
      <c r="B701" s="30" t="n">
        <v>1</v>
      </c>
      <c r="C701" s="30" t="inlineStr">
        <is>
          <t>ABC25-S6</t>
        </is>
      </c>
      <c r="D701" s="31" t="inlineStr">
        <is>
          <t xml:space="preserve">    Identificación y precinto</t>
        </is>
      </c>
      <c r="E701" s="30" t="n">
        <v>1</v>
      </c>
      <c r="F701" s="30" t="inlineStr">
        <is>
          <t>u</t>
        </is>
      </c>
      <c r="G701" s="32" t="n"/>
      <c r="H701" s="32">
        <f>H702+H703+H704+H705+H706+H707+H708</f>
        <v/>
      </c>
      <c r="I701" s="30" t="n"/>
      <c r="J701" s="31" t="n"/>
      <c r="K701" s="30" t="inlineStr">
        <is>
          <t>Compra</t>
        </is>
      </c>
      <c r="L701" s="30" t="n"/>
      <c r="M701" s="31" t="n"/>
      <c r="N701" s="31" t="n"/>
      <c r="O701" s="31" t="inlineStr">
        <is>
          <t>22 Etiquetado (T07)</t>
        </is>
      </c>
      <c r="P701" s="31" t="n"/>
      <c r="Q701" s="30" t="n"/>
      <c r="R701" s="30" t="n"/>
      <c r="S701" s="31" t="n"/>
    </row>
    <row r="702">
      <c r="A702" s="33" t="inlineStr">
        <is>
          <t>FL_MAT_ABC_25kg</t>
        </is>
      </c>
      <c r="B702" s="33" t="n">
        <v>2</v>
      </c>
      <c r="C702" s="33" t="inlineStr">
        <is>
          <t>ABC25-27</t>
        </is>
      </c>
      <c r="D702" s="17" t="inlineStr">
        <is>
          <t xml:space="preserve">        Etiqueta / placa de características</t>
        </is>
      </c>
      <c r="E702" s="33" t="n">
        <v>1</v>
      </c>
      <c r="F702" s="33" t="inlineStr">
        <is>
          <t>u</t>
        </is>
      </c>
      <c r="G702" s="34" t="n">
        <v>0.0456</v>
      </c>
      <c r="H702" s="34">
        <f>E702*G702</f>
        <v/>
      </c>
      <c r="I702" s="33" t="inlineStr">
        <is>
          <t>Vinilo autoadhesivo laminado</t>
        </is>
      </c>
      <c r="J702" s="17" t="inlineStr">
        <is>
          <t>522 × 208 (desarrollo × alto: panel central 108° + 2 alas laterales), e ≈ 0,3, laminado UV</t>
        </is>
      </c>
      <c r="K702" s="33" t="inlineStr">
        <is>
          <t>Compra</t>
        </is>
      </c>
      <c r="L702" s="33" t="inlineStr">
        <is>
          <t>Sí</t>
        </is>
      </c>
      <c r="M702" s="17" t="inlineStr">
        <is>
          <t>Astuprint</t>
        </is>
      </c>
      <c r="N702" s="17" t="inlineStr">
        <is>
          <t>Multilabel Argentina S.A.</t>
        </is>
      </c>
      <c r="O702" s="17" t="inlineStr">
        <is>
          <t>22 Etiquetado (T07)</t>
        </is>
      </c>
      <c r="P702" s="17" t="inlineStr">
        <is>
          <t>IRAM 3534 · IRAM 3550 cap. 5 · relevamiento de mercado</t>
        </is>
      </c>
      <c r="Q702" s="33" t="inlineStr">
        <is>
          <t>P</t>
        </is>
      </c>
      <c r="R702" s="33" t="inlineStr">
        <is>
          <t>FL_DES_ABC_25kg</t>
        </is>
      </c>
      <c r="S702" s="17" t="inlineStr">
        <is>
          <t>IRAM 3534</t>
        </is>
      </c>
    </row>
    <row r="703">
      <c r="A703" s="33" t="inlineStr">
        <is>
          <t>FL_MAT_ABC_25kg</t>
        </is>
      </c>
      <c r="B703" s="33" t="n">
        <v>2</v>
      </c>
      <c r="C703" s="33" t="inlineStr">
        <is>
          <t>ABC25-28</t>
        </is>
      </c>
      <c r="D703" s="17" t="inlineStr">
        <is>
          <t xml:space="preserve">        Oblea de fabricación (PBA)</t>
        </is>
      </c>
      <c r="E703" s="33" t="n">
        <v>1</v>
      </c>
      <c r="F703" s="33" t="inlineStr">
        <is>
          <t>u</t>
        </is>
      </c>
      <c r="G703" s="34" t="n">
        <v>0.0009</v>
      </c>
      <c r="H703" s="34">
        <f>E703*G703</f>
        <v/>
      </c>
      <c r="I703" s="33" t="inlineStr">
        <is>
          <t>Papel de seguridad autodestructible</t>
        </is>
      </c>
      <c r="J703" s="17" t="inlineStr">
        <is>
          <t>Ø46 (Res. OPDS 522/07), numerada, autodestructible</t>
        </is>
      </c>
      <c r="K703" s="33" t="inlineStr">
        <is>
          <t>Compra</t>
        </is>
      </c>
      <c r="L703" s="33" t="inlineStr">
        <is>
          <t>Sí</t>
        </is>
      </c>
      <c r="M703" s="17" t="inlineStr">
        <is>
          <t>Ministerio de Ambiente PBA (ex OPDS)</t>
        </is>
      </c>
      <c r="N703" s="17" t="inlineStr">
        <is>
          <t>-</t>
        </is>
      </c>
      <c r="O703" s="17" t="inlineStr">
        <is>
          <t>22 Etiquetado (T07)</t>
        </is>
      </c>
      <c r="P703" s="17" t="inlineStr">
        <is>
          <t>Res. OPDS 522/07 anexos 1, 2 y 6</t>
        </is>
      </c>
      <c r="Q703" s="33" t="inlineStr">
        <is>
          <t>P</t>
        </is>
      </c>
      <c r="R703" s="33" t="inlineStr">
        <is>
          <t>FL_DES_ABC_25kg</t>
        </is>
      </c>
      <c r="S703" s="17" t="inlineStr">
        <is>
          <t>Res. 522/07</t>
        </is>
      </c>
    </row>
    <row r="704">
      <c r="A704" s="33" t="inlineStr">
        <is>
          <t>FL_MAT_ABC_25kg</t>
        </is>
      </c>
      <c r="B704" s="33" t="n">
        <v>2</v>
      </c>
      <c r="C704" s="33" t="inlineStr">
        <is>
          <t>ABC25-29</t>
        </is>
      </c>
      <c r="D704" s="17" t="inlineStr">
        <is>
          <t xml:space="preserve">        Estampilla IRAM de conformidad</t>
        </is>
      </c>
      <c r="E704" s="33" t="n">
        <v>1</v>
      </c>
      <c r="F704" s="33" t="inlineStr">
        <is>
          <t>u</t>
        </is>
      </c>
      <c r="G704" s="34" t="n">
        <v>0.001</v>
      </c>
      <c r="H704" s="34">
        <f>E704*G704</f>
        <v/>
      </c>
      <c r="I704" s="33" t="inlineStr">
        <is>
          <t>Provista por IRAM (Anexo R)</t>
        </is>
      </c>
      <c r="J704" s="17" t="inlineStr">
        <is>
          <t>60 × 40</t>
        </is>
      </c>
      <c r="K704" s="33" t="inlineStr">
        <is>
          <t>Compra</t>
        </is>
      </c>
      <c r="L704" s="33" t="inlineStr">
        <is>
          <t>Sí</t>
        </is>
      </c>
      <c r="M704" s="17" t="inlineStr">
        <is>
          <t>IRAM - Instituto Argentino de Normalización</t>
        </is>
      </c>
      <c r="N704" s="17" t="inlineStr">
        <is>
          <t>-</t>
        </is>
      </c>
      <c r="O704" s="17" t="inlineStr">
        <is>
          <t>22 Etiquetado (T07)</t>
        </is>
      </c>
      <c r="P704" s="17" t="inlineStr">
        <is>
          <t>IRAM Anexo R (DC-PG-129)</t>
        </is>
      </c>
      <c r="Q704" s="33" t="inlineStr">
        <is>
          <t>P</t>
        </is>
      </c>
      <c r="R704" s="33" t="inlineStr">
        <is>
          <t>FL_DES_ABC_25kg</t>
        </is>
      </c>
      <c r="S704" s="17" t="inlineStr">
        <is>
          <t>numerada</t>
        </is>
      </c>
    </row>
    <row r="705">
      <c r="A705" s="33" t="inlineStr">
        <is>
          <t>FL_MAT_ABC_25kg</t>
        </is>
      </c>
      <c r="B705" s="33" t="n">
        <v>2</v>
      </c>
      <c r="C705" s="33" t="inlineStr">
        <is>
          <t>ABC25-30</t>
        </is>
      </c>
      <c r="D705" s="17" t="inlineStr">
        <is>
          <t xml:space="preserve">        Tarjeta de identificación AGC (CABA)</t>
        </is>
      </c>
      <c r="E705" s="33" t="n">
        <v>1</v>
      </c>
      <c r="F705" s="33" t="inlineStr">
        <is>
          <t>u</t>
        </is>
      </c>
      <c r="G705" s="34" t="n">
        <v>0.0032</v>
      </c>
      <c r="H705" s="34">
        <f>E705*G705</f>
        <v/>
      </c>
      <c r="I705" s="33" t="inlineStr">
        <is>
          <t>Etiqueta autoadhesiva emitida por la AGC</t>
        </is>
      </c>
      <c r="J705" s="17" t="inlineStr">
        <is>
          <t>140 × 55</t>
        </is>
      </c>
      <c r="K705" s="33" t="inlineStr">
        <is>
          <t>Compra</t>
        </is>
      </c>
      <c r="L705" s="33" t="inlineStr">
        <is>
          <t>Sí</t>
        </is>
      </c>
      <c r="M705" s="17" t="inlineStr">
        <is>
          <t>Agencia Gubernamental de Control (CABA)</t>
        </is>
      </c>
      <c r="N705" s="17" t="inlineStr">
        <is>
          <t>-</t>
        </is>
      </c>
      <c r="O705" s="17" t="inlineStr">
        <is>
          <t>22 Etiquetado (T07)</t>
        </is>
      </c>
      <c r="P705" s="17" t="inlineStr">
        <is>
          <t>Ordenanza 40.473 art. 6 · Res. AGC 32/15</t>
        </is>
      </c>
      <c r="Q705" s="33" t="inlineStr">
        <is>
          <t>P</t>
        </is>
      </c>
      <c r="R705" s="33" t="inlineStr">
        <is>
          <t>FL_DES_ABC_25kg</t>
        </is>
      </c>
      <c r="S705" s="17" t="inlineStr">
        <is>
          <t>sólo destino CABA</t>
        </is>
      </c>
    </row>
    <row r="706">
      <c r="A706" s="33" t="inlineStr">
        <is>
          <t>FL_MAT_ABC_25kg</t>
        </is>
      </c>
      <c r="B706" s="33" t="n">
        <v>2</v>
      </c>
      <c r="C706" s="33" t="inlineStr">
        <is>
          <t>ABC25-31</t>
        </is>
      </c>
      <c r="D706" s="17" t="inlineStr">
        <is>
          <t xml:space="preserve">        Etiqueta de n° de serie GS1</t>
        </is>
      </c>
      <c r="E706" s="33" t="n">
        <v>1</v>
      </c>
      <c r="F706" s="33" t="inlineStr">
        <is>
          <t>u</t>
        </is>
      </c>
      <c r="G706" s="34" t="n">
        <v>0.0005</v>
      </c>
      <c r="H706" s="34">
        <f>E706*G706</f>
        <v/>
      </c>
      <c r="I706" s="33" t="inlineStr">
        <is>
          <t>Poliéster autoadhesivo impreso térmico</t>
        </is>
      </c>
      <c r="J706" s="17" t="inlineStr">
        <is>
          <t>45 × 25</t>
        </is>
      </c>
      <c r="K706" s="33" t="inlineStr">
        <is>
          <t>Compra</t>
        </is>
      </c>
      <c r="L706" s="33" t="inlineStr">
        <is>
          <t>Sí</t>
        </is>
      </c>
      <c r="M706" s="17" t="inlineStr">
        <is>
          <t>Astuprint</t>
        </is>
      </c>
      <c r="N706" s="17" t="inlineStr">
        <is>
          <t>GS1 Argentina</t>
        </is>
      </c>
      <c r="O706" s="17" t="inlineStr">
        <is>
          <t>22 Etiquetado (T07)</t>
        </is>
      </c>
      <c r="P706" s="17" t="inlineStr">
        <is>
          <t>GS1 Argentina (GTIN 779) · trazabilidad IRAM 3523 5.1</t>
        </is>
      </c>
      <c r="Q706" s="33" t="inlineStr">
        <is>
          <t>P</t>
        </is>
      </c>
      <c r="R706" s="33" t="inlineStr">
        <is>
          <t>FL_DES_ABC_25kg</t>
        </is>
      </c>
      <c r="S706" s="17" t="inlineStr">
        <is>
          <t>QR GTIN + serie</t>
        </is>
      </c>
    </row>
    <row r="707">
      <c r="A707" s="33" t="inlineStr">
        <is>
          <t>FL_MAT_ABC_25kg</t>
        </is>
      </c>
      <c r="B707" s="33" t="n">
        <v>2</v>
      </c>
      <c r="C707" s="33" t="inlineStr">
        <is>
          <t>ABC25-33</t>
        </is>
      </c>
      <c r="D707" s="17" t="inlineStr">
        <is>
          <t xml:space="preserve">        Faja de garantía válvula-cuello</t>
        </is>
      </c>
      <c r="E707" s="33" t="n">
        <v>1</v>
      </c>
      <c r="F707" s="33" t="inlineStr">
        <is>
          <t>u</t>
        </is>
      </c>
      <c r="G707" s="34" t="n">
        <v>0.0003</v>
      </c>
      <c r="H707" s="34">
        <f>E707*G707</f>
        <v/>
      </c>
      <c r="I707" s="33" t="inlineStr">
        <is>
          <t>Vinilo destructible rayado rojo/blanco</t>
        </is>
      </c>
      <c r="J707" s="17" t="inlineStr">
        <is>
          <t>30 × 40</t>
        </is>
      </c>
      <c r="K707" s="33" t="inlineStr">
        <is>
          <t>Compra</t>
        </is>
      </c>
      <c r="L707" s="33" t="inlineStr">
        <is>
          <t>Sí</t>
        </is>
      </c>
      <c r="M707" s="17" t="inlineStr">
        <is>
          <t>Astuprint</t>
        </is>
      </c>
      <c r="N707" s="17" t="inlineStr">
        <is>
          <t>Multilabel Argentina S.A.</t>
        </is>
      </c>
      <c r="O707" s="17" t="inlineStr">
        <is>
          <t>22 Etiquetado (T07)</t>
        </is>
      </c>
      <c r="P707" s="17" t="inlineStr">
        <is>
          <t>Sin norma: práctica de mercado (garantía de fábrica)</t>
        </is>
      </c>
      <c r="Q707" s="33" t="inlineStr">
        <is>
          <t>P</t>
        </is>
      </c>
      <c r="R707" s="33" t="inlineStr">
        <is>
          <t>FL_DES_ABC_25kg</t>
        </is>
      </c>
      <c r="S707" s="17" t="inlineStr">
        <is>
          <t>nuevo sin abrir</t>
        </is>
      </c>
    </row>
    <row r="708">
      <c r="A708" s="33" t="inlineStr">
        <is>
          <t>FL_MAT_ABC_25kg</t>
        </is>
      </c>
      <c r="B708" s="33" t="n">
        <v>2</v>
      </c>
      <c r="C708" s="33" t="inlineStr">
        <is>
          <t>ABC25-34</t>
        </is>
      </c>
      <c r="D708" s="17" t="inlineStr">
        <is>
          <t xml:space="preserve">        Precinto de fábrica</t>
        </is>
      </c>
      <c r="E708" s="33" t="n">
        <v>1</v>
      </c>
      <c r="F708" s="33" t="inlineStr">
        <is>
          <t>u</t>
        </is>
      </c>
      <c r="G708" s="34" t="n">
        <v>0.0002</v>
      </c>
      <c r="H708" s="34">
        <f>E708*G708</f>
        <v/>
      </c>
      <c r="I708" s="33" t="inlineStr">
        <is>
          <t>Polipropileno color</t>
        </is>
      </c>
      <c r="J708" s="17" t="inlineStr">
        <is>
          <t>Ø5 × 10, numerado, rotura 30-50 N</t>
        </is>
      </c>
      <c r="K708" s="33" t="inlineStr">
        <is>
          <t>Compra</t>
        </is>
      </c>
      <c r="L708" s="33" t="inlineStr">
        <is>
          <t>Sí</t>
        </is>
      </c>
      <c r="M708" s="17" t="inlineStr">
        <is>
          <t>SonFuertes (vía Papelera Damián)</t>
        </is>
      </c>
      <c r="N708" s="17" t="inlineStr">
        <is>
          <t>Precinter S.R.L.</t>
        </is>
      </c>
      <c r="O708" s="17" t="inlineStr">
        <is>
          <t>20 Presurización (T05)</t>
        </is>
      </c>
      <c r="P708" s="17" t="inlineStr">
        <is>
          <t>IRAM 3523 3.3.2 · IRAM 3517-2:2020 9.4.13</t>
        </is>
      </c>
      <c r="Q708" s="33" t="inlineStr">
        <is>
          <t>P</t>
        </is>
      </c>
      <c r="R708" s="33" t="inlineStr">
        <is>
          <t>FL_DES_ABC_25kg</t>
        </is>
      </c>
      <c r="S708" s="17" t="inlineStr">
        <is>
          <t>id. FLAMA y lote</t>
        </is>
      </c>
    </row>
    <row r="709">
      <c r="A709" s="30" t="inlineStr">
        <is>
          <t>FL_MAT_ABC_25kg</t>
        </is>
      </c>
      <c r="B709" s="30" t="n">
        <v>1</v>
      </c>
      <c r="C709" s="30" t="inlineStr">
        <is>
          <t>ABC25-S7</t>
        </is>
      </c>
      <c r="D709" s="31" t="inlineStr">
        <is>
          <t xml:space="preserve">    Embalaje</t>
        </is>
      </c>
      <c r="E709" s="30" t="n">
        <v>1</v>
      </c>
      <c r="F709" s="30" t="inlineStr">
        <is>
          <t>u</t>
        </is>
      </c>
      <c r="G709" s="32" t="n"/>
      <c r="H709" s="32">
        <f>H712</f>
        <v/>
      </c>
      <c r="I709" s="30" t="n"/>
      <c r="J709" s="31" t="n"/>
      <c r="K709" s="30" t="inlineStr">
        <is>
          <t>Compra</t>
        </is>
      </c>
      <c r="L709" s="30" t="n"/>
      <c r="M709" s="31" t="n"/>
      <c r="N709" s="31" t="n"/>
      <c r="O709" s="31" t="inlineStr">
        <is>
          <t>23 Embalaje -&gt; 24 envolvedora (T11)</t>
        </is>
      </c>
      <c r="P709" s="31" t="n"/>
      <c r="Q709" s="30" t="n"/>
      <c r="R709" s="30" t="n"/>
      <c r="S709" s="31" t="n"/>
    </row>
    <row r="710">
      <c r="A710" s="33" t="inlineStr">
        <is>
          <t>FL_MAT_ABC_25kg</t>
        </is>
      </c>
      <c r="B710" s="33" t="n">
        <v>2</v>
      </c>
      <c r="C710" s="33" t="inlineStr">
        <is>
          <t>ABC25-E1</t>
        </is>
      </c>
      <c r="D710" s="17" t="inlineStr">
        <is>
          <t xml:space="preserve">        Esquineros y funda de polietileno</t>
        </is>
      </c>
      <c r="E710" s="33" t="n">
        <v>1</v>
      </c>
      <c r="F710" s="33" t="inlineStr">
        <is>
          <t>jgo</t>
        </is>
      </c>
      <c r="G710" s="34" t="n"/>
      <c r="H710" s="34" t="n"/>
      <c r="I710" s="33" t="inlineStr">
        <is>
          <t>PE / cartón</t>
        </is>
      </c>
      <c r="J710" s="17" t="inlineStr">
        <is>
          <t>a medida de la envolvente del plano</t>
        </is>
      </c>
      <c r="K710" s="33" t="inlineStr">
        <is>
          <t>Compra</t>
        </is>
      </c>
      <c r="L710" s="33" t="inlineStr">
        <is>
          <t>Sí</t>
        </is>
      </c>
      <c r="M710" s="17" t="inlineStr">
        <is>
          <t>MV Embalajes</t>
        </is>
      </c>
      <c r="N710" s="17" t="inlineStr">
        <is>
          <t>Embalpack</t>
        </is>
      </c>
      <c r="O710" s="17" t="inlineStr">
        <is>
          <t>23 Embalaje</t>
        </is>
      </c>
      <c r="P710" s="17" t="n"/>
      <c r="Q710" s="33" t="inlineStr">
        <is>
          <t>P</t>
        </is>
      </c>
      <c r="R710" s="33" t="n"/>
      <c r="S710" s="17" t="inlineStr">
        <is>
          <t>Medida del plano</t>
        </is>
      </c>
    </row>
    <row r="711">
      <c r="A711" s="33" t="inlineStr">
        <is>
          <t>FL_MAT_ABC_25kg</t>
        </is>
      </c>
      <c r="B711" s="33" t="n">
        <v>2</v>
      </c>
      <c r="C711" s="33" t="inlineStr">
        <is>
          <t>ABC25-E3</t>
        </is>
      </c>
      <c r="D711" s="17" t="inlineStr">
        <is>
          <t xml:space="preserve">        Pallet 1200 × 1000 (fracción)</t>
        </is>
      </c>
      <c r="E711" s="33" t="n">
        <v>0.5</v>
      </c>
      <c r="F711" s="33" t="inlineStr">
        <is>
          <t>u</t>
        </is>
      </c>
      <c r="G711" s="34" t="n"/>
      <c r="H711" s="34" t="n"/>
      <c r="I711" s="33" t="inlineStr">
        <is>
          <t>Madera</t>
        </is>
      </c>
      <c r="J711" s="17" t="inlineStr">
        <is>
          <t>2 u por pallet</t>
        </is>
      </c>
      <c r="K711" s="33" t="inlineStr">
        <is>
          <t>Compra</t>
        </is>
      </c>
      <c r="L711" s="33" t="inlineStr">
        <is>
          <t>Sí</t>
        </is>
      </c>
      <c r="M711" s="17" t="inlineStr">
        <is>
          <t>IndusPallets</t>
        </is>
      </c>
      <c r="N711" s="17" t="inlineStr">
        <is>
          <t>-</t>
        </is>
      </c>
      <c r="O711" s="17" t="inlineStr">
        <is>
          <t>23 Embalaje</t>
        </is>
      </c>
      <c r="P711" s="17" t="n"/>
      <c r="Q711" s="33" t="inlineStr">
        <is>
          <t>C</t>
        </is>
      </c>
      <c r="R711" s="33" t="n"/>
      <c r="S711" s="17" t="inlineStr">
        <is>
          <t>u por pallet = acomodo de la caja (plano) en 1200 × 1000 × 1450 de alto</t>
        </is>
      </c>
    </row>
    <row r="712">
      <c r="A712" s="41" t="inlineStr">
        <is>
          <t>FL_MAT_ABC_25kg</t>
        </is>
      </c>
      <c r="B712" s="41" t="n">
        <v>2</v>
      </c>
      <c r="C712" s="41" t="inlineStr">
        <is>
          <t>ABC25-E4</t>
        </is>
      </c>
      <c r="D712" s="18" t="inlineStr">
        <is>
          <t xml:space="preserve">        Film stretch (fracción del pallet)</t>
        </is>
      </c>
      <c r="E712" s="41" t="n">
        <v>0.06</v>
      </c>
      <c r="F712" s="41" t="inlineStr">
        <is>
          <t>kg</t>
        </is>
      </c>
      <c r="G712" s="42" t="n">
        <v>1</v>
      </c>
      <c r="H712" s="42">
        <f>E712*G712</f>
        <v/>
      </c>
      <c r="I712" s="41" t="inlineStr">
        <is>
          <t>PE lineal 23 µm</t>
        </is>
      </c>
      <c r="J712" s="18" t="inlineStr">
        <is>
          <t>0,12 kg por pallet / 2 u</t>
        </is>
      </c>
      <c r="K712" s="41" t="inlineStr">
        <is>
          <t>Compra</t>
        </is>
      </c>
      <c r="L712" s="41" t="inlineStr">
        <is>
          <t>Sí</t>
        </is>
      </c>
      <c r="M712" s="18" t="inlineStr">
        <is>
          <t>MV Embalajes</t>
        </is>
      </c>
      <c r="N712" s="18" t="inlineStr">
        <is>
          <t>Embalpack</t>
        </is>
      </c>
      <c r="O712" s="18" t="inlineStr">
        <is>
          <t>24 Envolvedora (T11)</t>
        </is>
      </c>
      <c r="P712" s="18" t="n"/>
      <c r="Q712" s="41" t="inlineStr">
        <is>
          <t>C</t>
        </is>
      </c>
      <c r="R712" s="41" t="n"/>
      <c r="S71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3">
      <c r="A713" s="33" t="inlineStr">
        <is>
          <t>FL_MAT_ABC_25kg</t>
        </is>
      </c>
      <c r="B713" s="33" t="n">
        <v>2</v>
      </c>
      <c r="C713" s="33" t="inlineStr">
        <is>
          <t>ABC25-E5</t>
        </is>
      </c>
      <c r="D713" s="17" t="inlineStr">
        <is>
          <t xml:space="preserve">        Etiqueta de pallet (lote y destino, fracción)</t>
        </is>
      </c>
      <c r="E713" s="33" t="n">
        <v>0.5</v>
      </c>
      <c r="F713" s="33" t="inlineStr">
        <is>
          <t>u</t>
        </is>
      </c>
      <c r="G713" s="34" t="n"/>
      <c r="H713" s="34" t="n"/>
      <c r="I713" s="33" t="inlineStr">
        <is>
          <t>Papel térmico</t>
        </is>
      </c>
      <c r="J713" s="17" t="inlineStr">
        <is>
          <t>100 × 150</t>
        </is>
      </c>
      <c r="K713" s="33" t="inlineStr">
        <is>
          <t>Compra</t>
        </is>
      </c>
      <c r="L713" s="33" t="inlineStr">
        <is>
          <t>Sí</t>
        </is>
      </c>
      <c r="M713" s="17" t="inlineStr">
        <is>
          <t>Astuprint</t>
        </is>
      </c>
      <c r="N713" s="17" t="inlineStr">
        <is>
          <t>Multilabel Argentina S.A.</t>
        </is>
      </c>
      <c r="O713" s="17" t="inlineStr">
        <is>
          <t>24 Envolvedora</t>
        </is>
      </c>
      <c r="P713" s="17" t="n"/>
      <c r="Q713" s="33" t="inlineStr">
        <is>
          <t>C</t>
        </is>
      </c>
      <c r="R713" s="33" t="n"/>
      <c r="S713" s="17" t="n"/>
    </row>
    <row r="714">
      <c r="A714" s="27" t="inlineStr">
        <is>
          <t>FL_MAT_ABC_50kg</t>
        </is>
      </c>
      <c r="B714" s="27" t="n">
        <v>0</v>
      </c>
      <c r="C714" s="27" t="inlineStr">
        <is>
          <t>FL_MAT_ABC_50kg</t>
        </is>
      </c>
      <c r="D714" s="28" t="inlineStr">
        <is>
          <t>Extintor ABC 50 kg sobre ruedas</t>
        </is>
      </c>
      <c r="E714" s="27" t="n">
        <v>1</v>
      </c>
      <c r="F714" s="27" t="inlineStr">
        <is>
          <t>u</t>
        </is>
      </c>
      <c r="G714" s="29" t="n"/>
      <c r="H714" s="29" t="n"/>
      <c r="I714" s="27" t="n"/>
      <c r="J714" s="28" t="n"/>
      <c r="K714" s="27" t="n"/>
      <c r="L714" s="27" t="n"/>
      <c r="M714" s="28" t="n"/>
      <c r="N714" s="28" t="n"/>
      <c r="O714" s="28" t="n"/>
      <c r="P714" s="28" t="inlineStr">
        <is>
          <t>IRAM 3550</t>
        </is>
      </c>
      <c r="Q714" s="27" t="inlineStr">
        <is>
          <t>P</t>
        </is>
      </c>
      <c r="R714" s="27" t="inlineStr">
        <is>
          <t>FL_MAT_ABC_50kg</t>
        </is>
      </c>
      <c r="S714" s="28" t="inlineStr">
        <is>
          <t>Fabricación propia</t>
        </is>
      </c>
    </row>
    <row r="715">
      <c r="A715" s="30" t="inlineStr">
        <is>
          <t>FL_MAT_ABC_50kg</t>
        </is>
      </c>
      <c r="B715" s="30" t="n">
        <v>1</v>
      </c>
      <c r="C715" s="30" t="inlineStr">
        <is>
          <t>FL_REC_ABC_50kg</t>
        </is>
      </c>
      <c r="D715" s="31" t="inlineStr">
        <is>
          <t xml:space="preserve">    Recipiente (cilindro)</t>
        </is>
      </c>
      <c r="E715" s="30" t="n">
        <v>1</v>
      </c>
      <c r="F715" s="30" t="inlineStr">
        <is>
          <t>u</t>
        </is>
      </c>
      <c r="G715" s="32" t="n"/>
      <c r="H715" s="32">
        <f>H716+H718+H719+H720+H721</f>
        <v/>
      </c>
      <c r="I715" s="30" t="n"/>
      <c r="J715" s="31" t="n"/>
      <c r="K715" s="30" t="inlineStr">
        <is>
          <t>Fabricación</t>
        </is>
      </c>
      <c r="L715" s="30" t="n"/>
      <c r="M715" s="31" t="n"/>
      <c r="N715" s="31" t="n"/>
      <c r="O715" s="31" t="n"/>
      <c r="P715" s="31" t="inlineStr">
        <is>
          <t>IRAM 3523 / 3550 (recipiente)</t>
        </is>
      </c>
      <c r="Q715" s="30" t="inlineStr">
        <is>
          <t>P</t>
        </is>
      </c>
      <c r="R715" s="30" t="inlineStr">
        <is>
          <t>FL_REC_ABC_50kg</t>
        </is>
      </c>
      <c r="S715" s="31" t="n"/>
    </row>
    <row r="716">
      <c r="A716" s="33" t="inlineStr">
        <is>
          <t>FL_MAT_ABC_50kg</t>
        </is>
      </c>
      <c r="B716" s="33" t="n">
        <v>2</v>
      </c>
      <c r="C716" s="33" t="inlineStr">
        <is>
          <t>ABC50-01</t>
        </is>
      </c>
      <c r="D716" s="17" t="inlineStr">
        <is>
          <t xml:space="preserve">        Cuerpo (virola)</t>
        </is>
      </c>
      <c r="E716" s="33" t="n">
        <v>1</v>
      </c>
      <c r="F716" s="33" t="inlineStr">
        <is>
          <t>u</t>
        </is>
      </c>
      <c r="G716" s="34" t="n">
        <v>13.3755</v>
      </c>
      <c r="H716" s="34">
        <f>E716*G716</f>
        <v/>
      </c>
      <c r="I716" s="33" t="inlineStr">
        <is>
          <t>Chapa LAC IRAM-IAS U 500-04 e=3,2</t>
        </is>
      </c>
      <c r="J716" s="17" t="inlineStr">
        <is>
          <t>Ø320 × e3,2 × 535 de alto; desarrollo 995,3 × 535</t>
        </is>
      </c>
      <c r="K716" s="33" t="inlineStr">
        <is>
          <t>Fabricación</t>
        </is>
      </c>
      <c r="L716" s="33" t="inlineStr">
        <is>
          <t>No</t>
        </is>
      </c>
      <c r="M716" s="17" t="n"/>
      <c r="N716" s="17" t="n"/>
      <c r="O716" s="17" t="inlineStr">
        <is>
          <t>1 Guillotina -&gt; C1 cilindrado -&gt; C2 punteo -&gt; C3 sold. long.</t>
        </is>
      </c>
      <c r="P716" s="17" t="n"/>
      <c r="Q716" s="33" t="inlineStr">
        <is>
          <t>P</t>
        </is>
      </c>
      <c r="R716" s="33" t="inlineStr">
        <is>
          <t>FL_DES_ABC_50kg</t>
        </is>
      </c>
      <c r="S716" s="17" t="inlineStr">
        <is>
          <t>costura long. MAG</t>
        </is>
      </c>
    </row>
    <row r="717">
      <c r="A717" s="35" t="inlineStr">
        <is>
          <t>FL_MAT_ABC_50kg</t>
        </is>
      </c>
      <c r="B717" s="35" t="n">
        <v>3</v>
      </c>
      <c r="C717" s="35" t="inlineStr">
        <is>
          <t>MP-HOJA</t>
        </is>
      </c>
      <c r="D717" s="36" t="inlineStr">
        <is>
          <t xml:space="preserve">            Recorte de hoja LAC 1500 × 3000 e=3,2</t>
        </is>
      </c>
      <c r="E717" s="35" t="n">
        <v>1</v>
      </c>
      <c r="F717" s="35" t="inlineStr">
        <is>
          <t>u</t>
        </is>
      </c>
      <c r="G717" s="37" t="n">
        <v>18.845</v>
      </c>
      <c r="H717" s="37">
        <f>E717*G717</f>
        <v/>
      </c>
      <c r="I717" s="35" t="inlineStr">
        <is>
          <t>Chapa LAC IRAM-IAS U 500-04 LAC</t>
        </is>
      </c>
      <c r="J717" s="36" t="inlineStr">
        <is>
          <t>640 × 994 (aprovech. 84,8 %)</t>
        </is>
      </c>
      <c r="K717" s="35" t="inlineStr">
        <is>
          <t>Compra</t>
        </is>
      </c>
      <c r="L717" s="35" t="inlineStr">
        <is>
          <t>Sí</t>
        </is>
      </c>
      <c r="M717" s="36" t="inlineStr">
        <is>
          <t>Pradecon S.A.</t>
        </is>
      </c>
      <c r="N717" s="36" t="inlineStr">
        <is>
          <t>Pacheco Chapas</t>
        </is>
      </c>
      <c r="O717" s="36" t="inlineStr">
        <is>
          <t>AL-1H paquetes de hojas</t>
        </is>
      </c>
      <c r="P717" s="36" t="n"/>
      <c r="Q717" s="35" t="inlineStr">
        <is>
          <t>L</t>
        </is>
      </c>
      <c r="R717" s="35" t="inlineStr">
        <is>
          <t>FL_PI_04 h2</t>
        </is>
      </c>
      <c r="S717" s="36" t="n"/>
    </row>
    <row r="718">
      <c r="A718" s="33" t="inlineStr">
        <is>
          <t>FL_MAT_ABC_50kg</t>
        </is>
      </c>
      <c r="B718" s="33" t="n">
        <v>2</v>
      </c>
      <c r="C718" s="33" t="inlineStr">
        <is>
          <t>ABC50-02</t>
        </is>
      </c>
      <c r="D718" s="17" t="inlineStr">
        <is>
          <t xml:space="preserve">        Cúpula</t>
        </is>
      </c>
      <c r="E718" s="33" t="n">
        <v>1</v>
      </c>
      <c r="F718" s="33" t="inlineStr">
        <is>
          <t>u</t>
        </is>
      </c>
      <c r="G718" s="34" t="n">
        <v>2.884</v>
      </c>
      <c r="H718" s="34">
        <f>E718*G718</f>
        <v/>
      </c>
      <c r="I718" s="33" t="inlineStr">
        <is>
          <t>Chapa LAC IRAM-IAS U 500-04 e=3,2</t>
        </is>
      </c>
      <c r="J718" s="17" t="inlineStr">
        <is>
          <t>Ø320 × e3,2 × 101,7 de alto; disco Ø393,8</t>
        </is>
      </c>
      <c r="K718" s="33" t="inlineStr">
        <is>
          <t>Compra (tapa embutida tercerizada)</t>
        </is>
      </c>
      <c r="L718" s="33" t="inlineStr">
        <is>
          <t>Sí</t>
        </is>
      </c>
      <c r="M718" s="17" t="inlineStr">
        <is>
          <t>Gockel Ingeniería S.R.L.</t>
        </is>
      </c>
      <c r="N718" s="17" t="inlineStr">
        <is>
          <t>-</t>
        </is>
      </c>
      <c r="O718" s="17" t="inlineStr">
        <is>
          <t>Compra (casquetes de carros, rack RK1)</t>
        </is>
      </c>
      <c r="P718" s="17" t="n"/>
      <c r="Q718" s="33" t="inlineStr">
        <is>
          <t>P</t>
        </is>
      </c>
      <c r="R718" s="33" t="inlineStr">
        <is>
          <t>FL_DES_ABC_50kg</t>
        </is>
      </c>
      <c r="S718" s="17" t="inlineStr">
        <is>
          <t>embutida</t>
        </is>
      </c>
    </row>
    <row r="719">
      <c r="A719" s="33" t="inlineStr">
        <is>
          <t>FL_MAT_ABC_50kg</t>
        </is>
      </c>
      <c r="B719" s="33" t="n">
        <v>2</v>
      </c>
      <c r="C719" s="33" t="inlineStr">
        <is>
          <t>ABC50-03</t>
        </is>
      </c>
      <c r="D719" s="17" t="inlineStr">
        <is>
          <t xml:space="preserve">        Fondo</t>
        </is>
      </c>
      <c r="E719" s="33" t="n">
        <v>1</v>
      </c>
      <c r="F719" s="33" t="inlineStr">
        <is>
          <t>u</t>
        </is>
      </c>
      <c r="G719" s="34" t="n">
        <v>3.1025</v>
      </c>
      <c r="H719" s="34">
        <f>E719*G719</f>
        <v/>
      </c>
      <c r="I719" s="33" t="inlineStr">
        <is>
          <t>Chapa LAC IRAM-IAS U 500-04 e=3,2</t>
        </is>
      </c>
      <c r="J719" s="17" t="inlineStr">
        <is>
          <t>Ø320 × e3,2 × 105 de alto; disco Ø408,5</t>
        </is>
      </c>
      <c r="K719" s="33" t="inlineStr">
        <is>
          <t>Compra (tapa embutida tercerizada)</t>
        </is>
      </c>
      <c r="L719" s="33" t="inlineStr">
        <is>
          <t>Sí</t>
        </is>
      </c>
      <c r="M719" s="17" t="inlineStr">
        <is>
          <t>Gockel Ingeniería S.R.L.</t>
        </is>
      </c>
      <c r="N719" s="17" t="inlineStr">
        <is>
          <t>-</t>
        </is>
      </c>
      <c r="O719" s="17" t="inlineStr">
        <is>
          <t>Compra (casquetes de carros, rack RK1)</t>
        </is>
      </c>
      <c r="P719" s="17" t="n"/>
      <c r="Q719" s="33" t="inlineStr">
        <is>
          <t>P</t>
        </is>
      </c>
      <c r="R719" s="33" t="inlineStr">
        <is>
          <t>FL_DES_ABC_50kg</t>
        </is>
      </c>
      <c r="S719" s="17" t="inlineStr">
        <is>
          <t>embutido</t>
        </is>
      </c>
    </row>
    <row r="720">
      <c r="A720" s="33" t="inlineStr">
        <is>
          <t>FL_MAT_ABC_50kg</t>
        </is>
      </c>
      <c r="B720" s="33" t="n">
        <v>2</v>
      </c>
      <c r="C720" s="33" t="inlineStr">
        <is>
          <t>ABC50-04</t>
        </is>
      </c>
      <c r="D720" s="17" t="inlineStr">
        <is>
          <t xml:space="preserve">        Cuello roscado</t>
        </is>
      </c>
      <c r="E720" s="33" t="n">
        <v>1</v>
      </c>
      <c r="F720" s="33" t="inlineStr">
        <is>
          <t>u</t>
        </is>
      </c>
      <c r="G720" s="34" t="n">
        <v>0.6085</v>
      </c>
      <c r="H720" s="34">
        <f>E720*G720</f>
        <v/>
      </c>
      <c r="I720" s="33" t="inlineStr">
        <is>
          <t>Acero SAE 1010</t>
        </is>
      </c>
      <c r="J720" s="17" t="inlineStr">
        <is>
          <t>Ø88 × 37 de alto, rosca RBSP 2 1/2"-11 h, asiento Ø80</t>
        </is>
      </c>
      <c r="K720" s="33" t="inlineStr">
        <is>
          <t>Compra (mecanizado, Eli-Met)</t>
        </is>
      </c>
      <c r="L720" s="33" t="inlineStr">
        <is>
          <t>Sí</t>
        </is>
      </c>
      <c r="M720" s="17" t="inlineStr">
        <is>
          <t>Eli-Met</t>
        </is>
      </c>
      <c r="N720" s="17" t="inlineStr">
        <is>
          <t>-</t>
        </is>
      </c>
      <c r="O720" s="17" t="inlineStr">
        <is>
          <t>Compra -&gt; C2 punteo</t>
        </is>
      </c>
      <c r="P720" s="17" t="n"/>
      <c r="Q720" s="33" t="inlineStr">
        <is>
          <t>P</t>
        </is>
      </c>
      <c r="R720" s="33" t="inlineStr">
        <is>
          <t>FL_DES_ABC_50kg</t>
        </is>
      </c>
      <c r="S720" s="17" t="inlineStr">
        <is>
          <t>RBSP 2 1/2"-11 h</t>
        </is>
      </c>
    </row>
    <row r="721">
      <c r="A721" s="41" t="inlineStr">
        <is>
          <t>FL_MAT_ABC_50kg</t>
        </is>
      </c>
      <c r="B721" s="41" t="n">
        <v>2</v>
      </c>
      <c r="C721" s="41" t="inlineStr">
        <is>
          <t>ABC50-C1</t>
        </is>
      </c>
      <c r="D721" s="18" t="inlineStr">
        <is>
          <t xml:space="preserve">        Alambre MAG ER70S-6 Ø1,2 (AWS A5.18)</t>
        </is>
      </c>
      <c r="E721" s="41" t="n">
        <v>0.4194</v>
      </c>
      <c r="F721" s="41" t="inlineStr">
        <is>
          <t>kg</t>
        </is>
      </c>
      <c r="G721" s="42" t="n">
        <v>0.95</v>
      </c>
      <c r="H721" s="42">
        <f>E721*G721</f>
        <v/>
      </c>
      <c r="I721" s="41" t="inlineStr">
        <is>
          <t>ER70S-6</t>
        </is>
      </c>
      <c r="J721" s="18" t="inlineStr">
        <is>
          <t>metal depositado de los cordones del plano 398 g / rendimiento 0,95</t>
        </is>
      </c>
      <c r="K721" s="41" t="inlineStr">
        <is>
          <t>Compra</t>
        </is>
      </c>
      <c r="L721" s="41" t="inlineStr">
        <is>
          <t>Sí</t>
        </is>
      </c>
      <c r="M721" s="18" t="inlineStr">
        <is>
          <t>Conarco (ESAB Argentina)</t>
        </is>
      </c>
      <c r="N721" s="18" t="inlineStr">
        <is>
          <t>-</t>
        </is>
      </c>
      <c r="O721" s="18" t="inlineStr">
        <is>
          <t>4 sold. long. / 8 cuello / 11 circunferencial</t>
        </is>
      </c>
      <c r="P721" s="18" t="inlineStr">
        <is>
          <t>IRAM 3523 3.2.4.2 · IRAM 3550 4.1.2</t>
        </is>
      </c>
      <c r="Q721" s="41" t="inlineStr">
        <is>
          <t>C</t>
        </is>
      </c>
      <c r="R721" s="41" t="n"/>
      <c r="S721"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22">
      <c r="A722" s="41" t="inlineStr">
        <is>
          <t>FL_MAT_ABC_50kg</t>
        </is>
      </c>
      <c r="B722" s="41" t="n">
        <v>2</v>
      </c>
      <c r="C722" s="41" t="inlineStr">
        <is>
          <t>ABC50-C2</t>
        </is>
      </c>
      <c r="D722" s="18" t="inlineStr">
        <is>
          <t xml:space="preserve">        Gas de protección MAG Arcal 21 / ARCAL Speed (Ar + 8 % CO₂, M20)</t>
        </is>
      </c>
      <c r="E722" s="41" t="n">
        <v>65.8</v>
      </c>
      <c r="F722" s="41" t="inlineStr">
        <is>
          <t>L</t>
        </is>
      </c>
      <c r="G722" s="42" t="n"/>
      <c r="H722" s="42" t="n"/>
      <c r="I722" s="41" t="inlineStr">
        <is>
          <t>EN ISO 14175 M20-ArC-8</t>
        </is>
      </c>
      <c r="J722" s="18" t="inlineStr">
        <is>
          <t>14 L/min × 4,7 min de arco (cordones 2.822 mm: long. 535 + circ. 2.011 + cuello 276, a 600 mm/min)</t>
        </is>
      </c>
      <c r="K722" s="41" t="inlineStr">
        <is>
          <t>Compra</t>
        </is>
      </c>
      <c r="L722" s="41" t="inlineStr">
        <is>
          <t>Sí</t>
        </is>
      </c>
      <c r="M722" s="18" t="inlineStr">
        <is>
          <t>Air Liquide Argentina - sucursal Piñeyro</t>
        </is>
      </c>
      <c r="N722" s="18" t="inlineStr">
        <is>
          <t>Gogniat</t>
        </is>
      </c>
      <c r="O722" s="18" t="inlineStr">
        <is>
          <t>Colector SC</t>
        </is>
      </c>
      <c r="P722" s="18" t="inlineStr">
        <is>
          <t>IRAM 3523 3.2.4.2 · IRAM 3550 3.2.2.2</t>
        </is>
      </c>
      <c r="Q722" s="41" t="inlineStr">
        <is>
          <t>C</t>
        </is>
      </c>
      <c r="R722" s="41" t="n"/>
      <c r="S722"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23">
      <c r="A723" s="33" t="inlineStr">
        <is>
          <t>FL_MAT_ABC_50kg</t>
        </is>
      </c>
      <c r="B723" s="33" t="n">
        <v>2</v>
      </c>
      <c r="C723" s="33" t="inlineStr">
        <is>
          <t>ABC50-C4</t>
        </is>
      </c>
      <c r="D723" s="17" t="inlineStr">
        <is>
          <t xml:space="preserve">        Servicio de pintura en polvo al horno, rojo 03-1-050 (con preparación por quemado)</t>
        </is>
      </c>
      <c r="E723" s="33" t="n">
        <v>1</v>
      </c>
      <c r="F723" s="33" t="inlineStr">
        <is>
          <t>u</t>
        </is>
      </c>
      <c r="G723" s="34" t="n"/>
      <c r="H723" s="34" t="n"/>
      <c r="I723" s="33" t="inlineStr">
        <is>
          <t>Servicio tercerizado</t>
        </is>
      </c>
      <c r="J723" s="17" t="inlineStr">
        <is>
          <t>superficie exterior 0,771 m²</t>
        </is>
      </c>
      <c r="K723" s="33" t="inlineStr">
        <is>
          <t>Compra (servicio)</t>
        </is>
      </c>
      <c r="L723" s="33" t="inlineStr">
        <is>
          <t>Sí</t>
        </is>
      </c>
      <c r="M723" s="17" t="inlineStr">
        <is>
          <t>Pintor de carros (cotización por mensaje)</t>
        </is>
      </c>
      <c r="N723" s="17" t="inlineStr">
        <is>
          <t>Prymax</t>
        </is>
      </c>
      <c r="O723" s="17" t="inlineStr">
        <is>
          <t>17 Pintura tercerizada</t>
        </is>
      </c>
      <c r="P723" s="17" t="inlineStr">
        <is>
          <t>IRAM 3523 5.3 / IRAM 3550 3.11 · IRAM 121</t>
        </is>
      </c>
      <c r="Q723" s="33" t="inlineStr">
        <is>
          <t>Q</t>
        </is>
      </c>
      <c r="R723" s="33" t="n"/>
      <c r="S723" s="17" t="inlineStr">
        <is>
          <t>Q-CARROS (precio por carro); exigir informe de niebla salina del sistema de pintura; tercerización aceptada por el Ministerio (Res. 349/07 art. 18)</t>
        </is>
      </c>
    </row>
    <row r="724">
      <c r="A724" s="30" t="inlineStr">
        <is>
          <t>FL_MAT_ABC_50kg</t>
        </is>
      </c>
      <c r="B724" s="30" t="n">
        <v>1</v>
      </c>
      <c r="C724" s="30" t="inlineStr">
        <is>
          <t>ABC50-S2</t>
        </is>
      </c>
      <c r="D724" s="31" t="inlineStr">
        <is>
          <t xml:space="preserve">    Conjunto de válvula</t>
        </is>
      </c>
      <c r="E724" s="30" t="n">
        <v>1</v>
      </c>
      <c r="F724" s="30" t="inlineStr">
        <is>
          <t>u</t>
        </is>
      </c>
      <c r="G724" s="32" t="n"/>
      <c r="H724" s="32">
        <f>H725+H726+H727+H729+H730+H731+H732+H733+H734+H735</f>
        <v/>
      </c>
      <c r="I724" s="30" t="n"/>
      <c r="J724" s="31" t="n"/>
      <c r="K724" s="30" t="inlineStr">
        <is>
          <t>Compra / armado</t>
        </is>
      </c>
      <c r="L724" s="30" t="n"/>
      <c r="M724" s="31" t="n"/>
      <c r="N724" s="31" t="n"/>
      <c r="O724" s="31" t="n"/>
      <c r="P724" s="31" t="inlineStr">
        <is>
          <t>Manómetro IRAM 3533</t>
        </is>
      </c>
      <c r="Q724" s="30" t="inlineStr">
        <is>
          <t>P</t>
        </is>
      </c>
      <c r="R724" s="30" t="inlineStr">
        <is>
          <t>FL_DES_ABC_50kg</t>
        </is>
      </c>
      <c r="S724" s="31" t="n"/>
    </row>
    <row r="725">
      <c r="A725" s="33" t="inlineStr">
        <is>
          <t>FL_MAT_ABC_50kg</t>
        </is>
      </c>
      <c r="B725" s="33" t="n">
        <v>2</v>
      </c>
      <c r="C725" s="33" t="inlineStr">
        <is>
          <t>ABC50-11</t>
        </is>
      </c>
      <c r="D725" s="17" t="inlineStr">
        <is>
          <t xml:space="preserve">        Collarín de válvula</t>
        </is>
      </c>
      <c r="E725" s="33" t="n">
        <v>1</v>
      </c>
      <c r="F725" s="33" t="inlineStr">
        <is>
          <t>u</t>
        </is>
      </c>
      <c r="G725" s="34" t="n">
        <v>0.4107</v>
      </c>
      <c r="H725" s="34">
        <f>E725*G725</f>
        <v/>
      </c>
      <c r="I725" s="33" t="inlineStr">
        <is>
          <t>Latón forjado</t>
        </is>
      </c>
      <c r="J725" s="17" t="inlineStr">
        <is>
          <t>96,1 × 96,1 × 13,5</t>
        </is>
      </c>
      <c r="K725" s="33" t="inlineStr">
        <is>
          <t>Incluido en válvula HZ</t>
        </is>
      </c>
      <c r="L725" s="33" t="inlineStr">
        <is>
          <t>No</t>
        </is>
      </c>
      <c r="M725" s="17" t="n"/>
      <c r="N725" s="17" t="n"/>
      <c r="O725" s="17" t="inlineStr">
        <is>
          <t>C9 armado</t>
        </is>
      </c>
      <c r="P725" s="17" t="n"/>
      <c r="Q725" s="33" t="inlineStr">
        <is>
          <t>P</t>
        </is>
      </c>
      <c r="R725" s="33" t="inlineStr">
        <is>
          <t>FL_DES_ABC_50kg</t>
        </is>
      </c>
      <c r="S725" s="17" t="n"/>
    </row>
    <row r="726">
      <c r="A726" s="33" t="inlineStr">
        <is>
          <t>FL_MAT_ABC_50kg</t>
        </is>
      </c>
      <c r="B726" s="33" t="n">
        <v>2</v>
      </c>
      <c r="C726" s="33" t="inlineStr">
        <is>
          <t>ABC50-12</t>
        </is>
      </c>
      <c r="D726" s="17" t="inlineStr">
        <is>
          <t xml:space="preserve">        Espiga roscada</t>
        </is>
      </c>
      <c r="E726" s="33" t="n">
        <v>1</v>
      </c>
      <c r="F726" s="33" t="inlineStr">
        <is>
          <t>u</t>
        </is>
      </c>
      <c r="G726" s="34" t="n">
        <v>0.1187</v>
      </c>
      <c r="H726" s="34">
        <f>E726*G726</f>
        <v/>
      </c>
      <c r="I726" s="33" t="inlineStr">
        <is>
          <t>Latón forjado</t>
        </is>
      </c>
      <c r="J726" s="17" t="inlineStr">
        <is>
          <t>72,2 × 72,2 × 16,2</t>
        </is>
      </c>
      <c r="K726" s="33" t="inlineStr">
        <is>
          <t>Incluido en válvula HZ</t>
        </is>
      </c>
      <c r="L726" s="33" t="inlineStr">
        <is>
          <t>No</t>
        </is>
      </c>
      <c r="M726" s="17" t="n"/>
      <c r="N726" s="17" t="n"/>
      <c r="O726" s="17" t="inlineStr">
        <is>
          <t>C9 armado</t>
        </is>
      </c>
      <c r="P726" s="17" t="n"/>
      <c r="Q726" s="33" t="inlineStr">
        <is>
          <t>P</t>
        </is>
      </c>
      <c r="R726" s="33" t="inlineStr">
        <is>
          <t>FL_DES_ABC_50kg</t>
        </is>
      </c>
      <c r="S726" s="17" t="n"/>
    </row>
    <row r="727">
      <c r="A727" s="33" t="inlineStr">
        <is>
          <t>FL_MAT_ABC_50kg</t>
        </is>
      </c>
      <c r="B727" s="33" t="n">
        <v>2</v>
      </c>
      <c r="C727" s="33" t="inlineStr">
        <is>
          <t>ABC50-13</t>
        </is>
      </c>
      <c r="D727" s="17" t="inlineStr">
        <is>
          <t xml:space="preserve">        Cuerpo de válvula</t>
        </is>
      </c>
      <c r="E727" s="33" t="n">
        <v>1</v>
      </c>
      <c r="F727" s="33" t="inlineStr">
        <is>
          <t>u</t>
        </is>
      </c>
      <c r="G727" s="34" t="n">
        <v>0.7378</v>
      </c>
      <c r="H727" s="34">
        <f>E727*G727</f>
        <v/>
      </c>
      <c r="I727" s="33" t="inlineStr">
        <is>
          <t>Latón forjado</t>
        </is>
      </c>
      <c r="J727" s="17" t="inlineStr">
        <is>
          <t>58,4 × 54 × 46,3</t>
        </is>
      </c>
      <c r="K727" s="33" t="inlineStr">
        <is>
          <t>Incluido en válvula HZ</t>
        </is>
      </c>
      <c r="L727" s="33" t="inlineStr">
        <is>
          <t>No</t>
        </is>
      </c>
      <c r="M727" s="17" t="n"/>
      <c r="N727" s="17" t="n"/>
      <c r="O727" s="17" t="inlineStr">
        <is>
          <t>C9 armado</t>
        </is>
      </c>
      <c r="P727" s="17" t="n"/>
      <c r="Q727" s="33" t="inlineStr">
        <is>
          <t>P</t>
        </is>
      </c>
      <c r="R727" s="33" t="inlineStr">
        <is>
          <t>FL_DES_ABC_50kg</t>
        </is>
      </c>
      <c r="S727" s="17" t="n"/>
    </row>
    <row r="728">
      <c r="A728" s="45" t="inlineStr">
        <is>
          <t>FL_MAT_ABC_50kg</t>
        </is>
      </c>
      <c r="B728" s="45" t="n">
        <v>2</v>
      </c>
      <c r="C728" s="45" t="inlineStr">
        <is>
          <t>ABC50-14</t>
        </is>
      </c>
      <c r="D728" s="19" t="inlineStr">
        <is>
          <t xml:space="preserve">        Manómetro</t>
        </is>
      </c>
      <c r="E728" s="45" t="n">
        <v>1</v>
      </c>
      <c r="F728" s="45" t="inlineStr">
        <is>
          <t>u</t>
        </is>
      </c>
      <c r="G728" s="46" t="n"/>
      <c r="H728" s="46" t="n"/>
      <c r="I728" s="45" t="inlineStr">
        <is>
          <t>Comercial</t>
        </is>
      </c>
      <c r="J728" s="19" t="inlineStr">
        <is>
          <t>Ø50 esfera, rango 0-3,5 MPa, sector verde en 1,4</t>
        </is>
      </c>
      <c r="K728" s="45" t="inlineStr">
        <is>
          <t>Compra</t>
        </is>
      </c>
      <c r="L728" s="45" t="inlineStr">
        <is>
          <t>Sí</t>
        </is>
      </c>
      <c r="M728" s="19" t="inlineStr">
        <is>
          <t>Yukon / MatafuegosYa S.R.L.</t>
        </is>
      </c>
      <c r="N728" s="19" t="inlineStr">
        <is>
          <t>Matafuegos Iglesias</t>
        </is>
      </c>
      <c r="O728" s="19" t="inlineStr">
        <is>
          <t>C9 armado</t>
        </is>
      </c>
      <c r="P728" s="19" t="inlineStr">
        <is>
          <t>IRAM 3533</t>
        </is>
      </c>
      <c r="Q728" s="45" t="inlineStr">
        <is>
          <t>P</t>
        </is>
      </c>
      <c r="R728" s="45" t="inlineStr">
        <is>
          <t>FL_DES_ABC_50kg</t>
        </is>
      </c>
      <c r="S728" s="19" t="inlineStr">
        <is>
          <t>Pieza comercial; sello IRAM 3533; peso: completar con la ficha del proveedor (no afecta el MRP)</t>
        </is>
      </c>
    </row>
    <row r="729">
      <c r="A729" s="33" t="inlineStr">
        <is>
          <t>FL_MAT_ABC_50kg</t>
        </is>
      </c>
      <c r="B729" s="33" t="n">
        <v>2</v>
      </c>
      <c r="C729" s="33" t="inlineStr">
        <is>
          <t>ABC50-15</t>
        </is>
      </c>
      <c r="D729" s="17" t="inlineStr">
        <is>
          <t xml:space="preserve">        Manija de transporte</t>
        </is>
      </c>
      <c r="E729" s="33" t="n">
        <v>1</v>
      </c>
      <c r="F729" s="33" t="inlineStr">
        <is>
          <t>u</t>
        </is>
      </c>
      <c r="G729" s="34" t="n">
        <v>0.1002</v>
      </c>
      <c r="H729" s="34">
        <f>E729*G729</f>
        <v/>
      </c>
      <c r="I729" s="33" t="inlineStr">
        <is>
          <t>Chapa acero SAE 1010 pintada</t>
        </is>
      </c>
      <c r="J729" s="17" t="inlineStr">
        <is>
          <t>87,6 × 27 × 14,5</t>
        </is>
      </c>
      <c r="K729" s="33" t="inlineStr">
        <is>
          <t>Incluido en válvula HZ</t>
        </is>
      </c>
      <c r="L729" s="33" t="inlineStr">
        <is>
          <t>No</t>
        </is>
      </c>
      <c r="M729" s="17" t="n"/>
      <c r="N729" s="17" t="n"/>
      <c r="O729" s="17" t="inlineStr">
        <is>
          <t>C9 armado</t>
        </is>
      </c>
      <c r="P729" s="17" t="n"/>
      <c r="Q729" s="33" t="inlineStr">
        <is>
          <t>P</t>
        </is>
      </c>
      <c r="R729" s="33" t="inlineStr">
        <is>
          <t>FL_DES_ABC_50kg</t>
        </is>
      </c>
      <c r="S729" s="17" t="n"/>
    </row>
    <row r="730">
      <c r="A730" s="33" t="inlineStr">
        <is>
          <t>FL_MAT_ABC_50kg</t>
        </is>
      </c>
      <c r="B730" s="33" t="n">
        <v>2</v>
      </c>
      <c r="C730" s="33" t="inlineStr">
        <is>
          <t>ABC50-16</t>
        </is>
      </c>
      <c r="D730" s="17" t="inlineStr">
        <is>
          <t xml:space="preserve">        Manija de accionamiento</t>
        </is>
      </c>
      <c r="E730" s="33" t="n">
        <v>1</v>
      </c>
      <c r="F730" s="33" t="inlineStr">
        <is>
          <t>u</t>
        </is>
      </c>
      <c r="G730" s="34" t="n">
        <v>0.1682</v>
      </c>
      <c r="H730" s="34">
        <f>E730*G730</f>
        <v/>
      </c>
      <c r="I730" s="33" t="inlineStr">
        <is>
          <t>Chapa acero SAE 1010 pintada</t>
        </is>
      </c>
      <c r="J730" s="17" t="inlineStr">
        <is>
          <t>146,6 × 27 × 23,3</t>
        </is>
      </c>
      <c r="K730" s="33" t="inlineStr">
        <is>
          <t>Incluido en válvula HZ</t>
        </is>
      </c>
      <c r="L730" s="33" t="inlineStr">
        <is>
          <t>No</t>
        </is>
      </c>
      <c r="M730" s="17" t="n"/>
      <c r="N730" s="17" t="n"/>
      <c r="O730" s="17" t="inlineStr">
        <is>
          <t>C9 armado</t>
        </is>
      </c>
      <c r="P730" s="17" t="n"/>
      <c r="Q730" s="33" t="inlineStr">
        <is>
          <t>P</t>
        </is>
      </c>
      <c r="R730" s="33" t="inlineStr">
        <is>
          <t>FL_DES_ABC_50kg</t>
        </is>
      </c>
      <c r="S730" s="17" t="n"/>
    </row>
    <row r="731">
      <c r="A731" s="33" t="inlineStr">
        <is>
          <t>FL_MAT_ABC_50kg</t>
        </is>
      </c>
      <c r="B731" s="33" t="n">
        <v>2</v>
      </c>
      <c r="C731" s="33" t="inlineStr">
        <is>
          <t>ABC50-17</t>
        </is>
      </c>
      <c r="D731" s="17" t="inlineStr">
        <is>
          <t xml:space="preserve">        Eje de palanca</t>
        </is>
      </c>
      <c r="E731" s="33" t="n">
        <v>1</v>
      </c>
      <c r="F731" s="33" t="inlineStr">
        <is>
          <t>u</t>
        </is>
      </c>
      <c r="G731" s="34" t="n">
        <v>0.0199</v>
      </c>
      <c r="H731" s="34">
        <f>E731*G731</f>
        <v/>
      </c>
      <c r="I731" s="33" t="inlineStr">
        <is>
          <t>Acero inox. AISI 304</t>
        </is>
      </c>
      <c r="J731" s="17" t="inlineStr">
        <is>
          <t>48,6 × 8,1 × 8,1</t>
        </is>
      </c>
      <c r="K731" s="33" t="inlineStr">
        <is>
          <t>Incluido en válvula HZ</t>
        </is>
      </c>
      <c r="L731" s="33" t="inlineStr">
        <is>
          <t>No</t>
        </is>
      </c>
      <c r="M731" s="17" t="n"/>
      <c r="N731" s="17" t="n"/>
      <c r="O731" s="17" t="inlineStr">
        <is>
          <t>C9 armado</t>
        </is>
      </c>
      <c r="P731" s="17" t="n"/>
      <c r="Q731" s="33" t="inlineStr">
        <is>
          <t>P</t>
        </is>
      </c>
      <c r="R731" s="33" t="inlineStr">
        <is>
          <t>FL_DES_ABC_50kg</t>
        </is>
      </c>
      <c r="S731" s="17" t="n"/>
    </row>
    <row r="732">
      <c r="A732" s="33" t="inlineStr">
        <is>
          <t>FL_MAT_ABC_50kg</t>
        </is>
      </c>
      <c r="B732" s="33" t="n">
        <v>2</v>
      </c>
      <c r="C732" s="33" t="inlineStr">
        <is>
          <t>ABC50-18</t>
        </is>
      </c>
      <c r="D732" s="17" t="inlineStr">
        <is>
          <t xml:space="preserve">        Vástago</t>
        </is>
      </c>
      <c r="E732" s="33" t="n">
        <v>1</v>
      </c>
      <c r="F732" s="33" t="inlineStr">
        <is>
          <t>u</t>
        </is>
      </c>
      <c r="G732" s="34" t="n">
        <v>0.0039</v>
      </c>
      <c r="H732" s="34">
        <f>E732*G732</f>
        <v/>
      </c>
      <c r="I732" s="33" t="inlineStr">
        <is>
          <t>Latón</t>
        </is>
      </c>
      <c r="J732" s="17" t="inlineStr">
        <is>
          <t>10,8 × 10,8 × 5</t>
        </is>
      </c>
      <c r="K732" s="33" t="inlineStr">
        <is>
          <t>Incluido en válvula HZ</t>
        </is>
      </c>
      <c r="L732" s="33" t="inlineStr">
        <is>
          <t>No</t>
        </is>
      </c>
      <c r="M732" s="17" t="n"/>
      <c r="N732" s="17" t="n"/>
      <c r="O732" s="17" t="inlineStr">
        <is>
          <t>C9 armado</t>
        </is>
      </c>
      <c r="P732" s="17" t="n"/>
      <c r="Q732" s="33" t="inlineStr">
        <is>
          <t>P</t>
        </is>
      </c>
      <c r="R732" s="33" t="inlineStr">
        <is>
          <t>FL_DES_ABC_50kg</t>
        </is>
      </c>
      <c r="S732" s="17" t="inlineStr">
        <is>
          <t>con junta tórica</t>
        </is>
      </c>
    </row>
    <row r="733">
      <c r="A733" s="33" t="inlineStr">
        <is>
          <t>FL_MAT_ABC_50kg</t>
        </is>
      </c>
      <c r="B733" s="33" t="n">
        <v>2</v>
      </c>
      <c r="C733" s="33" t="inlineStr">
        <is>
          <t>ABC50-19</t>
        </is>
      </c>
      <c r="D733" s="17" t="inlineStr">
        <is>
          <t xml:space="preserve">        Pasador de seguridad</t>
        </is>
      </c>
      <c r="E733" s="33" t="n">
        <v>1</v>
      </c>
      <c r="F733" s="33" t="inlineStr">
        <is>
          <t>u</t>
        </is>
      </c>
      <c r="G733" s="34" t="n">
        <v>0.0135</v>
      </c>
      <c r="H733" s="34">
        <f>E733*G733</f>
        <v/>
      </c>
      <c r="I733" s="33" t="inlineStr">
        <is>
          <t>Alambre acero inox. AISI 304</t>
        </is>
      </c>
      <c r="J733" s="17" t="inlineStr">
        <is>
          <t>61,3 × 28,4 × 28,1</t>
        </is>
      </c>
      <c r="K733" s="33" t="inlineStr">
        <is>
          <t>Incluido en válvula HZ</t>
        </is>
      </c>
      <c r="L733" s="33" t="inlineStr">
        <is>
          <t>No</t>
        </is>
      </c>
      <c r="M733" s="17" t="n"/>
      <c r="N733" s="17" t="n"/>
      <c r="O733" s="17" t="inlineStr">
        <is>
          <t>C9 armado</t>
        </is>
      </c>
      <c r="P733" s="17" t="n"/>
      <c r="Q733" s="33" t="inlineStr">
        <is>
          <t>P</t>
        </is>
      </c>
      <c r="R733" s="33" t="inlineStr">
        <is>
          <t>FL_DES_ABC_50kg</t>
        </is>
      </c>
      <c r="S733" s="17" t="inlineStr">
        <is>
          <t>con precinto</t>
        </is>
      </c>
    </row>
    <row r="734">
      <c r="A734" s="33" t="inlineStr">
        <is>
          <t>FL_MAT_ABC_50kg</t>
        </is>
      </c>
      <c r="B734" s="33" t="n">
        <v>2</v>
      </c>
      <c r="C734" s="33" t="inlineStr">
        <is>
          <t>ABC50-20</t>
        </is>
      </c>
      <c r="D734" s="17" t="inlineStr">
        <is>
          <t xml:space="preserve">        Caño de pesca (sifón)</t>
        </is>
      </c>
      <c r="E734" s="33" t="n">
        <v>1</v>
      </c>
      <c r="F734" s="33" t="inlineStr">
        <is>
          <t>u</t>
        </is>
      </c>
      <c r="G734" s="34" t="n">
        <v>0.1736</v>
      </c>
      <c r="H734" s="34">
        <f>E734*G734</f>
        <v/>
      </c>
      <c r="I734" s="33" t="inlineStr">
        <is>
          <t>Tubo PVC rígido</t>
        </is>
      </c>
      <c r="J734" s="17" t="inlineStr">
        <is>
          <t>Ø24 × 734,3 de largo</t>
        </is>
      </c>
      <c r="K734" s="33" t="inlineStr">
        <is>
          <t>Incluido en válvula HZ</t>
        </is>
      </c>
      <c r="L734" s="33" t="inlineStr">
        <is>
          <t>No</t>
        </is>
      </c>
      <c r="M734" s="17" t="n"/>
      <c r="N734" s="17" t="n"/>
      <c r="O734" s="17" t="inlineStr">
        <is>
          <t>C9 armado</t>
        </is>
      </c>
      <c r="P734" s="17" t="n"/>
      <c r="Q734" s="33" t="inlineStr">
        <is>
          <t>P</t>
        </is>
      </c>
      <c r="R734" s="33" t="inlineStr">
        <is>
          <t>FL_DES_ABC_50kg</t>
        </is>
      </c>
      <c r="S734" s="17" t="n"/>
    </row>
    <row r="735">
      <c r="A735" s="33" t="inlineStr">
        <is>
          <t>FL_MAT_ABC_50kg</t>
        </is>
      </c>
      <c r="B735" s="33" t="n">
        <v>2</v>
      </c>
      <c r="C735" s="33" t="inlineStr">
        <is>
          <t>ABC50-32</t>
        </is>
      </c>
      <c r="D735" s="17" t="inlineStr">
        <is>
          <t xml:space="preserve">        Junta tórica de asiento</t>
        </is>
      </c>
      <c r="E735" s="33" t="n">
        <v>1</v>
      </c>
      <c r="F735" s="33" t="inlineStr">
        <is>
          <t>u</t>
        </is>
      </c>
      <c r="G735" s="34" t="n">
        <v>0.0024</v>
      </c>
      <c r="H735" s="34">
        <f>E735*G735</f>
        <v/>
      </c>
      <c r="I735" s="33" t="inlineStr">
        <is>
          <t>NBR 70 Shore A</t>
        </is>
      </c>
      <c r="J735" s="17" t="inlineStr">
        <is>
          <t>Ø75,2 ext. × cordón 3</t>
        </is>
      </c>
      <c r="K735" s="33" t="inlineStr">
        <is>
          <t>Compra</t>
        </is>
      </c>
      <c r="L735" s="33" t="inlineStr">
        <is>
          <t>Sí</t>
        </is>
      </c>
      <c r="M735" s="17" t="inlineStr">
        <is>
          <t>Argensold</t>
        </is>
      </c>
      <c r="N735" s="17" t="inlineStr">
        <is>
          <t>Matafuegos Iglesias</t>
        </is>
      </c>
      <c r="O735" s="17" t="inlineStr">
        <is>
          <t>C9 armado</t>
        </is>
      </c>
      <c r="P735" s="17" t="n"/>
      <c r="Q735" s="33" t="inlineStr">
        <is>
          <t>P</t>
        </is>
      </c>
      <c r="R735" s="33" t="inlineStr">
        <is>
          <t>FL_DES_ABC_50kg</t>
        </is>
      </c>
      <c r="S735" s="17" t="inlineStr">
        <is>
          <t>cambio c/recarga</t>
        </is>
      </c>
    </row>
    <row r="736">
      <c r="A736" s="33" t="inlineStr">
        <is>
          <t>FL_MAT_ABC_50kg</t>
        </is>
      </c>
      <c r="B736" s="33" t="n">
        <v>2</v>
      </c>
      <c r="C736" s="33" t="inlineStr">
        <is>
          <t>ABC50-K2</t>
        </is>
      </c>
      <c r="D736" s="17" t="inlineStr">
        <is>
          <t xml:space="preserve">        Válvula HZ armada de carro 50-70-100 kg</t>
        </is>
      </c>
      <c r="E736" s="33" t="n">
        <v>1</v>
      </c>
      <c r="F736" s="33" t="inlineStr">
        <is>
          <t>u</t>
        </is>
      </c>
      <c r="G736" s="34" t="n"/>
      <c r="H736" s="34" t="n"/>
      <c r="I736" s="33" t="inlineStr">
        <is>
          <t>Latón forjado (HZ)</t>
        </is>
      </c>
      <c r="J736" s="17" t="inlineStr">
        <is>
          <t>rosca RBSP 2 1/2"-11 h</t>
        </is>
      </c>
      <c r="K736" s="33" t="inlineStr">
        <is>
          <t>Compra</t>
        </is>
      </c>
      <c r="L736" s="33" t="inlineStr">
        <is>
          <t>Sí</t>
        </is>
      </c>
      <c r="M736" s="17" t="inlineStr">
        <is>
          <t>Polvex S.R.L. / Sancibrao</t>
        </is>
      </c>
      <c r="N736" s="17" t="inlineStr">
        <is>
          <t>Mozart S.R.L.</t>
        </is>
      </c>
      <c r="O736" s="17" t="inlineStr">
        <is>
          <t>19 Ensamblaje de válvula</t>
        </is>
      </c>
      <c r="P736" s="17" t="inlineStr">
        <is>
          <t>IRAM 3523 3.3</t>
        </is>
      </c>
      <c r="Q736" s="33" t="inlineStr">
        <is>
          <t>Q</t>
        </is>
      </c>
      <c r="R736" s="33" t="inlineStr">
        <is>
          <t>FL_DES_ABC_50kg</t>
        </is>
      </c>
      <c r="S736" s="17" t="inlineStr">
        <is>
          <t>Lista de precios HZ (Q-AGENTES); plano Fadesa usa válvula HZ (R-FADESA). Trae las piezas marcadas «Incluido en válvula HZ»</t>
        </is>
      </c>
    </row>
    <row r="737">
      <c r="A737" s="33" t="inlineStr">
        <is>
          <t>FL_MAT_ABC_50kg</t>
        </is>
      </c>
      <c r="B737" s="33" t="n">
        <v>2</v>
      </c>
      <c r="C737" s="33" t="inlineStr">
        <is>
          <t>ABC50-V2</t>
        </is>
      </c>
      <c r="D737" s="17" t="inlineStr">
        <is>
          <t xml:space="preserve">        Resorte de retorno del vástago</t>
        </is>
      </c>
      <c r="E737" s="33" t="n">
        <v>1</v>
      </c>
      <c r="F737" s="33" t="inlineStr">
        <is>
          <t>u</t>
        </is>
      </c>
      <c r="G737" s="34" t="n"/>
      <c r="H737" s="34" t="n"/>
      <c r="I737" s="33" t="inlineStr">
        <is>
          <t>Acero para resortes</t>
        </is>
      </c>
      <c r="J737" s="17" t="inlineStr">
        <is>
          <t>incluido en la válvula</t>
        </is>
      </c>
      <c r="K737" s="33" t="inlineStr">
        <is>
          <t>Incluido en válvula HZ</t>
        </is>
      </c>
      <c r="L737" s="33" t="inlineStr">
        <is>
          <t>No</t>
        </is>
      </c>
      <c r="M737" s="17" t="n"/>
      <c r="N737" s="17" t="n"/>
      <c r="O737" s="17" t="inlineStr">
        <is>
          <t>19 Ensamblaje</t>
        </is>
      </c>
      <c r="P737" s="17" t="n"/>
      <c r="Q737" s="33" t="inlineStr">
        <is>
          <t>Q</t>
        </is>
      </c>
      <c r="R737" s="33" t="n"/>
      <c r="S737" s="17" t="inlineStr">
        <is>
          <t>Lista de precios HZ: válvula «c/resorte» (Q-AGENTES)</t>
        </is>
      </c>
    </row>
    <row r="738">
      <c r="A738" s="33" t="inlineStr">
        <is>
          <t>FL_MAT_ABC_50kg</t>
        </is>
      </c>
      <c r="B738" s="33" t="n">
        <v>2</v>
      </c>
      <c r="C738" s="33" t="inlineStr">
        <is>
          <t>ABC50-V3</t>
        </is>
      </c>
      <c r="D738" s="17" t="inlineStr">
        <is>
          <t xml:space="preserve">        Junta tórica del vástago</t>
        </is>
      </c>
      <c r="E738" s="33" t="n">
        <v>1</v>
      </c>
      <c r="F738" s="33" t="inlineStr">
        <is>
          <t>u</t>
        </is>
      </c>
      <c r="G738" s="34" t="n"/>
      <c r="H738" s="34" t="n"/>
      <c r="I738" s="33" t="inlineStr">
        <is>
          <t>NBR 70 Shore A</t>
        </is>
      </c>
      <c r="J738" s="17" t="inlineStr">
        <is>
          <t>incluida en la válvula</t>
        </is>
      </c>
      <c r="K738" s="33" t="inlineStr">
        <is>
          <t>Incluido en válvula HZ</t>
        </is>
      </c>
      <c r="L738" s="33" t="inlineStr">
        <is>
          <t>No</t>
        </is>
      </c>
      <c r="M738" s="17" t="n"/>
      <c r="N738" s="17" t="n"/>
      <c r="O738" s="17" t="inlineStr">
        <is>
          <t>19 Ensamblaje</t>
        </is>
      </c>
      <c r="P738" s="17" t="n"/>
      <c r="Q738" s="33" t="inlineStr">
        <is>
          <t>P</t>
        </is>
      </c>
      <c r="R738" s="33" t="n"/>
      <c r="S738" s="17" t="inlineStr">
        <is>
          <t>Figura en el plano como «vástago con junta tórica»</t>
        </is>
      </c>
    </row>
    <row r="739">
      <c r="A739" s="30" t="inlineStr">
        <is>
          <t>FL_MAT_ABC_50kg</t>
        </is>
      </c>
      <c r="B739" s="30" t="n">
        <v>1</v>
      </c>
      <c r="C739" s="30" t="inlineStr">
        <is>
          <t>ABC50-S3</t>
        </is>
      </c>
      <c r="D739" s="31" t="inlineStr">
        <is>
          <t xml:space="preserve">    Dispositivo de descarga</t>
        </is>
      </c>
      <c r="E739" s="30" t="n">
        <v>1</v>
      </c>
      <c r="F739" s="30" t="inlineStr">
        <is>
          <t>u</t>
        </is>
      </c>
      <c r="G739" s="32" t="n"/>
      <c r="H739" s="32">
        <f>H740+H741+H742+H743+H744+H745</f>
        <v/>
      </c>
      <c r="I739" s="30" t="n"/>
      <c r="J739" s="31" t="n"/>
      <c r="K739" s="30" t="inlineStr">
        <is>
          <t>Compra / armado</t>
        </is>
      </c>
      <c r="L739" s="30" t="n"/>
      <c r="M739" s="31" t="n"/>
      <c r="N739" s="31" t="n"/>
      <c r="O739" s="31" t="n"/>
      <c r="P739" s="31" t="n"/>
      <c r="Q739" s="30" t="inlineStr">
        <is>
          <t>P</t>
        </is>
      </c>
      <c r="R739" s="30" t="inlineStr">
        <is>
          <t>FL_DES_ABC_50kg</t>
        </is>
      </c>
      <c r="S739" s="31" t="n"/>
    </row>
    <row r="740">
      <c r="A740" s="33" t="inlineStr">
        <is>
          <t>FL_MAT_ABC_50kg</t>
        </is>
      </c>
      <c r="B740" s="33" t="n">
        <v>2</v>
      </c>
      <c r="C740" s="33" t="inlineStr">
        <is>
          <t>ABC50-21</t>
        </is>
      </c>
      <c r="D740" s="17" t="inlineStr">
        <is>
          <t xml:space="preserve">        Manguera (tramo enrollado)</t>
        </is>
      </c>
      <c r="E740" s="33" t="n">
        <v>1</v>
      </c>
      <c r="F740" s="33" t="inlineStr">
        <is>
          <t>u</t>
        </is>
      </c>
      <c r="G740" s="34" t="n">
        <v>0.4763</v>
      </c>
      <c r="H740" s="34">
        <f>E740*G740</f>
        <v/>
      </c>
      <c r="I740" s="33" t="inlineStr">
        <is>
          <t>Caucho sintético</t>
        </is>
      </c>
      <c r="J740" s="17" t="inlineStr">
        <is>
          <t>Ø25 × 1.263 de largo desarrollado</t>
        </is>
      </c>
      <c r="K740" s="33" t="inlineStr">
        <is>
          <t>Compra</t>
        </is>
      </c>
      <c r="L740" s="33" t="inlineStr">
        <is>
          <t>Sí</t>
        </is>
      </c>
      <c r="M740" s="17" t="inlineStr">
        <is>
          <t>Yukon / MatafuegosYa S.R.L.</t>
        </is>
      </c>
      <c r="N740" s="17" t="inlineStr">
        <is>
          <t>Matafuegos Iglesias</t>
        </is>
      </c>
      <c r="O740" s="17" t="inlineStr">
        <is>
          <t>C9 armado de ruedas y manguera</t>
        </is>
      </c>
      <c r="P740" s="17" t="n"/>
      <c r="Q740" s="33" t="inlineStr">
        <is>
          <t>P</t>
        </is>
      </c>
      <c r="R740" s="33" t="inlineStr">
        <is>
          <t>FL_DES_ABC_50kg</t>
        </is>
      </c>
      <c r="S740" s="17" t="n"/>
    </row>
    <row r="741">
      <c r="A741" s="33" t="inlineStr">
        <is>
          <t>FL_MAT_ABC_50kg</t>
        </is>
      </c>
      <c r="B741" s="33" t="n">
        <v>2</v>
      </c>
      <c r="C741" s="33" t="inlineStr">
        <is>
          <t>ABC50-22</t>
        </is>
      </c>
      <c r="D741" s="17" t="inlineStr">
        <is>
          <t xml:space="preserve">        Soporte de manguera</t>
        </is>
      </c>
      <c r="E741" s="33" t="n">
        <v>1</v>
      </c>
      <c r="F741" s="33" t="inlineStr">
        <is>
          <t>u</t>
        </is>
      </c>
      <c r="G741" s="34" t="n">
        <v>1.6857</v>
      </c>
      <c r="H741" s="34">
        <f>E741*G741</f>
        <v/>
      </c>
      <c r="I741" s="33" t="inlineStr">
        <is>
          <t>Planchuela acero SAE 1010</t>
        </is>
      </c>
      <c r="J741" s="17" t="inlineStr">
        <is>
          <t>490,8 × 217 × 40,5</t>
        </is>
      </c>
      <c r="K741" s="33" t="inlineStr">
        <is>
          <t>Compra (estructura)</t>
        </is>
      </c>
      <c r="L741" s="33" t="inlineStr">
        <is>
          <t>Sí</t>
        </is>
      </c>
      <c r="M741" s="17" t="inlineStr">
        <is>
          <t>Yukon / MatafuegosYa S.R.L.</t>
        </is>
      </c>
      <c r="N741" s="17" t="inlineStr">
        <is>
          <t>Matafuegos Iglesias</t>
        </is>
      </c>
      <c r="O741" s="17" t="inlineStr">
        <is>
          <t>C9 armado de ruedas y manguera</t>
        </is>
      </c>
      <c r="P741" s="17" t="n"/>
      <c r="Q741" s="33" t="inlineStr">
        <is>
          <t>P</t>
        </is>
      </c>
      <c r="R741" s="33" t="inlineStr">
        <is>
          <t>FL_DES_ABC_50kg</t>
        </is>
      </c>
      <c r="S741" s="17" t="n"/>
    </row>
    <row r="742">
      <c r="A742" s="33" t="inlineStr">
        <is>
          <t>FL_MAT_ABC_50kg</t>
        </is>
      </c>
      <c r="B742" s="33" t="n">
        <v>2</v>
      </c>
      <c r="C742" s="33" t="inlineStr">
        <is>
          <t>ABC50-23</t>
        </is>
      </c>
      <c r="D742" s="17" t="inlineStr">
        <is>
          <t xml:space="preserve">        Racor de manguera</t>
        </is>
      </c>
      <c r="E742" s="33" t="n">
        <v>1</v>
      </c>
      <c r="F742" s="33" t="inlineStr">
        <is>
          <t>u</t>
        </is>
      </c>
      <c r="G742" s="34" t="n">
        <v>0.0612</v>
      </c>
      <c r="H742" s="34">
        <f>E742*G742</f>
        <v/>
      </c>
      <c r="I742" s="33" t="inlineStr">
        <is>
          <t>Latón</t>
        </is>
      </c>
      <c r="J742" s="17" t="inlineStr">
        <is>
          <t>24 × 24 × 16</t>
        </is>
      </c>
      <c r="K742" s="33" t="inlineStr">
        <is>
          <t>Compra</t>
        </is>
      </c>
      <c r="L742" s="33" t="inlineStr">
        <is>
          <t>Sí</t>
        </is>
      </c>
      <c r="M742" s="17" t="inlineStr">
        <is>
          <t>Yukon / MatafuegosYa S.R.L.</t>
        </is>
      </c>
      <c r="N742" s="17" t="inlineStr">
        <is>
          <t>Matafuegos Iglesias</t>
        </is>
      </c>
      <c r="O742" s="17" t="inlineStr">
        <is>
          <t>C9 armado de ruedas y manguera</t>
        </is>
      </c>
      <c r="P742" s="17" t="n"/>
      <c r="Q742" s="33" t="inlineStr">
        <is>
          <t>P</t>
        </is>
      </c>
      <c r="R742" s="33" t="inlineStr">
        <is>
          <t>FL_DES_ABC_50kg</t>
        </is>
      </c>
      <c r="S742" s="17" t="n"/>
    </row>
    <row r="743">
      <c r="A743" s="33" t="inlineStr">
        <is>
          <t>FL_MAT_ABC_50kg</t>
        </is>
      </c>
      <c r="B743" s="33" t="n">
        <v>2</v>
      </c>
      <c r="C743" s="33" t="inlineStr">
        <is>
          <t>ABC50-24</t>
        </is>
      </c>
      <c r="D743" s="17" t="inlineStr">
        <is>
          <t xml:space="preserve">        Manguera</t>
        </is>
      </c>
      <c r="E743" s="33" t="n">
        <v>1</v>
      </c>
      <c r="F743" s="33" t="inlineStr">
        <is>
          <t>u</t>
        </is>
      </c>
      <c r="G743" s="34" t="n">
        <v>0.1766</v>
      </c>
      <c r="H743" s="34">
        <f>E743*G743</f>
        <v/>
      </c>
      <c r="I743" s="33" t="inlineStr">
        <is>
          <t>Caucho sintético</t>
        </is>
      </c>
      <c r="J743" s="17" t="inlineStr">
        <is>
          <t>Ø16 × 1.144 de largo desarrollado</t>
        </is>
      </c>
      <c r="K743" s="33" t="inlineStr">
        <is>
          <t>Compra</t>
        </is>
      </c>
      <c r="L743" s="33" t="inlineStr">
        <is>
          <t>Sí</t>
        </is>
      </c>
      <c r="M743" s="17" t="inlineStr">
        <is>
          <t>Yukon / MatafuegosYa S.R.L.</t>
        </is>
      </c>
      <c r="N743" s="17" t="inlineStr">
        <is>
          <t>Matafuegos Iglesias</t>
        </is>
      </c>
      <c r="O743" s="17" t="inlineStr">
        <is>
          <t>C9 armado de ruedas y manguera</t>
        </is>
      </c>
      <c r="P743" s="17" t="n"/>
      <c r="Q743" s="33" t="inlineStr">
        <is>
          <t>P</t>
        </is>
      </c>
      <c r="R743" s="33" t="inlineStr">
        <is>
          <t>FL_DES_ABC_50kg</t>
        </is>
      </c>
      <c r="S743" s="17" t="n"/>
    </row>
    <row r="744">
      <c r="A744" s="33" t="inlineStr">
        <is>
          <t>FL_MAT_ABC_50kg</t>
        </is>
      </c>
      <c r="B744" s="33" t="n">
        <v>2</v>
      </c>
      <c r="C744" s="33" t="inlineStr">
        <is>
          <t>ABC50-25</t>
        </is>
      </c>
      <c r="D744" s="17" t="inlineStr">
        <is>
          <t xml:space="preserve">        Válvula esférica</t>
        </is>
      </c>
      <c r="E744" s="33" t="n">
        <v>1</v>
      </c>
      <c r="F744" s="33" t="inlineStr">
        <is>
          <t>u</t>
        </is>
      </c>
      <c r="G744" s="34" t="n">
        <v>0.4225</v>
      </c>
      <c r="H744" s="34">
        <f>E744*G744</f>
        <v/>
      </c>
      <c r="I744" s="33" t="inlineStr">
        <is>
          <t>Latón cromado</t>
        </is>
      </c>
      <c r="J744" s="17" t="inlineStr">
        <is>
          <t>130 × 60 × 40</t>
        </is>
      </c>
      <c r="K744" s="33" t="inlineStr">
        <is>
          <t>Compra</t>
        </is>
      </c>
      <c r="L744" s="33" t="inlineStr">
        <is>
          <t>Sí</t>
        </is>
      </c>
      <c r="M744" s="17" t="inlineStr">
        <is>
          <t>Yukon / MatafuegosYa S.R.L.</t>
        </is>
      </c>
      <c r="N744" s="17" t="inlineStr">
        <is>
          <t>Matafuegos Iglesias</t>
        </is>
      </c>
      <c r="O744" s="17" t="inlineStr">
        <is>
          <t>C9 armado de ruedas y manguera</t>
        </is>
      </c>
      <c r="P744" s="17" t="n"/>
      <c r="Q744" s="33" t="inlineStr">
        <is>
          <t>P</t>
        </is>
      </c>
      <c r="R744" s="33" t="inlineStr">
        <is>
          <t>FL_DES_ABC_50kg</t>
        </is>
      </c>
      <c r="S744" s="17" t="n"/>
    </row>
    <row r="745">
      <c r="A745" s="33" t="inlineStr">
        <is>
          <t>FL_MAT_ABC_50kg</t>
        </is>
      </c>
      <c r="B745" s="33" t="n">
        <v>2</v>
      </c>
      <c r="C745" s="33" t="inlineStr">
        <is>
          <t>ABC50-26</t>
        </is>
      </c>
      <c r="D745" s="17" t="inlineStr">
        <is>
          <t xml:space="preserve">        Tobera campana</t>
        </is>
      </c>
      <c r="E745" s="33" t="n">
        <v>1</v>
      </c>
      <c r="F745" s="33" t="inlineStr">
        <is>
          <t>u</t>
        </is>
      </c>
      <c r="G745" s="34" t="n">
        <v>0.07969999999999999</v>
      </c>
      <c r="H745" s="34">
        <f>E745*G745</f>
        <v/>
      </c>
      <c r="I745" s="33" t="inlineStr">
        <is>
          <t>Polipropileno</t>
        </is>
      </c>
      <c r="J745" s="17" t="inlineStr">
        <is>
          <t>200 × 68 × 68</t>
        </is>
      </c>
      <c r="K745" s="33" t="inlineStr">
        <is>
          <t>Compra</t>
        </is>
      </c>
      <c r="L745" s="33" t="inlineStr">
        <is>
          <t>Sí</t>
        </is>
      </c>
      <c r="M745" s="17" t="inlineStr">
        <is>
          <t>Yukon / MatafuegosYa S.R.L.</t>
        </is>
      </c>
      <c r="N745" s="17" t="inlineStr">
        <is>
          <t>Matafuegos Iglesias</t>
        </is>
      </c>
      <c r="O745" s="17" t="inlineStr">
        <is>
          <t>C9 armado de ruedas y manguera</t>
        </is>
      </c>
      <c r="P745" s="17" t="n"/>
      <c r="Q745" s="33" t="inlineStr">
        <is>
          <t>P</t>
        </is>
      </c>
      <c r="R745" s="33" t="inlineStr">
        <is>
          <t>FL_DES_ABC_50kg</t>
        </is>
      </c>
      <c r="S745" s="17" t="n"/>
    </row>
    <row r="746">
      <c r="A746" s="30" t="inlineStr">
        <is>
          <t>FL_MAT_ABC_50kg</t>
        </is>
      </c>
      <c r="B746" s="30" t="n">
        <v>1</v>
      </c>
      <c r="C746" s="30" t="inlineStr">
        <is>
          <t>ABC50-S4</t>
        </is>
      </c>
      <c r="D746" s="31" t="inlineStr">
        <is>
          <t xml:space="preserve">    Carro (bastidor y ruedas)</t>
        </is>
      </c>
      <c r="E746" s="30" t="n">
        <v>1</v>
      </c>
      <c r="F746" s="30" t="inlineStr">
        <is>
          <t>u</t>
        </is>
      </c>
      <c r="G746" s="32" t="n"/>
      <c r="H746" s="32">
        <f>H747+H748+H749+H751+H753+H755</f>
        <v/>
      </c>
      <c r="I746" s="30" t="n"/>
      <c r="J746" s="31" t="n"/>
      <c r="K746" s="30" t="inlineStr">
        <is>
          <t>Fabricación</t>
        </is>
      </c>
      <c r="L746" s="30" t="n"/>
      <c r="M746" s="31" t="n"/>
      <c r="N746" s="31" t="n"/>
      <c r="O746" s="31" t="n"/>
      <c r="P746" s="31" t="inlineStr">
        <is>
          <t>IRAM 3550 3.12 y 4.8 (ruedas ≥ Ø300 × 50)</t>
        </is>
      </c>
      <c r="Q746" s="30" t="inlineStr">
        <is>
          <t>P</t>
        </is>
      </c>
      <c r="R746" s="30" t="inlineStr">
        <is>
          <t>FL_DES_ABC_50kg</t>
        </is>
      </c>
      <c r="S746" s="31" t="n"/>
    </row>
    <row r="747">
      <c r="A747" s="33" t="inlineStr">
        <is>
          <t>FL_MAT_ABC_50kg</t>
        </is>
      </c>
      <c r="B747" s="33" t="n">
        <v>2</v>
      </c>
      <c r="C747" s="33" t="inlineStr">
        <is>
          <t>ABC50-05</t>
        </is>
      </c>
      <c r="D747" s="17" t="inlineStr">
        <is>
          <t xml:space="preserve">        Neumático macizo</t>
        </is>
      </c>
      <c r="E747" s="33" t="n">
        <v>2</v>
      </c>
      <c r="F747" s="33" t="inlineStr">
        <is>
          <t>u</t>
        </is>
      </c>
      <c r="G747" s="34" t="n">
        <v>3.8922</v>
      </c>
      <c r="H747" s="34">
        <f>E747*G747</f>
        <v/>
      </c>
      <c r="I747" s="33" t="inlineStr">
        <is>
          <t>Caucho</t>
        </is>
      </c>
      <c r="J747" s="17" t="inlineStr">
        <is>
          <t>Ø350 × 70 de ancho</t>
        </is>
      </c>
      <c r="K747" s="33" t="inlineStr">
        <is>
          <t>Compra</t>
        </is>
      </c>
      <c r="L747" s="33" t="inlineStr">
        <is>
          <t>Sí</t>
        </is>
      </c>
      <c r="M747" s="17" t="inlineStr">
        <is>
          <t>Ruedar</t>
        </is>
      </c>
      <c r="N747" s="17" t="inlineStr">
        <is>
          <t>Escanort S.A.</t>
        </is>
      </c>
      <c r="O747" s="17" t="inlineStr">
        <is>
          <t>C9 armado de ruedas (S-TC)</t>
        </is>
      </c>
      <c r="P747" s="17" t="n"/>
      <c r="Q747" s="33" t="inlineStr">
        <is>
          <t>P</t>
        </is>
      </c>
      <c r="R747" s="33" t="inlineStr">
        <is>
          <t>FL_DES_ABC_50kg</t>
        </is>
      </c>
      <c r="S747" s="17" t="inlineStr">
        <is>
          <t>IRAM 3550 4.8: Ø ≥ 300 y ancho ≥ 50</t>
        </is>
      </c>
    </row>
    <row r="748">
      <c r="A748" s="33" t="inlineStr">
        <is>
          <t>FL_MAT_ABC_50kg</t>
        </is>
      </c>
      <c r="B748" s="33" t="n">
        <v>2</v>
      </c>
      <c r="C748" s="33" t="inlineStr">
        <is>
          <t>ABC50-06</t>
        </is>
      </c>
      <c r="D748" s="17" t="inlineStr">
        <is>
          <t xml:space="preserve">        Llanta con cubo</t>
        </is>
      </c>
      <c r="E748" s="33" t="n">
        <v>2</v>
      </c>
      <c r="F748" s="33" t="inlineStr">
        <is>
          <t>u</t>
        </is>
      </c>
      <c r="G748" s="34" t="n">
        <v>4.0415</v>
      </c>
      <c r="H748" s="34">
        <f>E748*G748</f>
        <v/>
      </c>
      <c r="I748" s="33" t="inlineStr">
        <is>
          <t>Chapa acero SAE 1010</t>
        </is>
      </c>
      <c r="J748" s="17" t="inlineStr">
        <is>
          <t>Ø252 × 80 de ancho</t>
        </is>
      </c>
      <c r="K748" s="33" t="inlineStr">
        <is>
          <t>Incluido en rueda</t>
        </is>
      </c>
      <c r="L748" s="33" t="inlineStr">
        <is>
          <t>No</t>
        </is>
      </c>
      <c r="M748" s="17" t="n"/>
      <c r="N748" s="17" t="n"/>
      <c r="O748" s="17" t="inlineStr">
        <is>
          <t>C9 armado de ruedas (S-TC)</t>
        </is>
      </c>
      <c r="P748" s="17" t="n"/>
      <c r="Q748" s="33" t="inlineStr">
        <is>
          <t>P</t>
        </is>
      </c>
      <c r="R748" s="33" t="inlineStr">
        <is>
          <t>FL_DES_ABC_50kg</t>
        </is>
      </c>
      <c r="S748" s="17" t="n"/>
    </row>
    <row r="749">
      <c r="A749" s="33" t="inlineStr">
        <is>
          <t>FL_MAT_ABC_50kg</t>
        </is>
      </c>
      <c r="B749" s="33" t="n">
        <v>2</v>
      </c>
      <c r="C749" s="33" t="inlineStr">
        <is>
          <t>ABC50-07</t>
        </is>
      </c>
      <c r="D749" s="17" t="inlineStr">
        <is>
          <t xml:space="preserve">        Eje de ruedas</t>
        </is>
      </c>
      <c r="E749" s="33" t="n">
        <v>1</v>
      </c>
      <c r="F749" s="33" t="inlineStr">
        <is>
          <t>u</t>
        </is>
      </c>
      <c r="G749" s="34" t="n">
        <v>1.3333</v>
      </c>
      <c r="H749" s="34">
        <f>E749*G749</f>
        <v/>
      </c>
      <c r="I749" s="33" t="inlineStr">
        <is>
          <t>Acero SAE 1045</t>
        </is>
      </c>
      <c r="J749" s="17" t="inlineStr">
        <is>
          <t>Ø25 × 346 de largo</t>
        </is>
      </c>
      <c r="K749" s="33" t="inlineStr">
        <is>
          <t>Fabricación</t>
        </is>
      </c>
      <c r="L749" s="33" t="inlineStr">
        <is>
          <t>No</t>
        </is>
      </c>
      <c r="M749" s="17" t="n"/>
      <c r="N749" s="17" t="n"/>
      <c r="O749" s="17" t="inlineStr">
        <is>
          <t>Corte en sierra -&gt; curvado / plegado -&gt; soldadura MAG del carro -&gt; C9 armado (S-TC); puesto de soldadura de carros a incorporar al layout</t>
        </is>
      </c>
      <c r="P749" s="17" t="n"/>
      <c r="Q749" s="33" t="inlineStr">
        <is>
          <t>P</t>
        </is>
      </c>
      <c r="R749" s="33" t="inlineStr">
        <is>
          <t>FL_DES_ABC_50kg</t>
        </is>
      </c>
      <c r="S749" s="17" t="n"/>
    </row>
    <row r="750">
      <c r="A750" s="35" t="inlineStr">
        <is>
          <t>FL_MAT_ABC_50kg</t>
        </is>
      </c>
      <c r="B750" s="35" t="n">
        <v>3</v>
      </c>
      <c r="C750" s="35" t="inlineStr">
        <is>
          <t>MP-EJE</t>
        </is>
      </c>
      <c r="D750" s="36" t="inlineStr">
        <is>
          <t xml:space="preserve">            Redondo SAE 1045 Ø25 (tramo de barra de 6 m)</t>
        </is>
      </c>
      <c r="E750" s="35" t="n">
        <v>0.0577</v>
      </c>
      <c r="F750" s="35" t="inlineStr">
        <is>
          <t>barra</t>
        </is>
      </c>
      <c r="G750" s="37" t="n">
        <v>23.12</v>
      </c>
      <c r="H750" s="37">
        <f>E750*G750</f>
        <v/>
      </c>
      <c r="I750" s="35" t="inlineStr">
        <is>
          <t>Redondo SAE 1045 Ø25</t>
        </is>
      </c>
      <c r="J750" s="36" t="inlineStr">
        <is>
          <t>346 mm por pieza (kg por barra de 6 m)</t>
        </is>
      </c>
      <c r="K750" s="35" t="inlineStr">
        <is>
          <t>Compra</t>
        </is>
      </c>
      <c r="L750" s="35" t="inlineStr">
        <is>
          <t>Sí</t>
        </is>
      </c>
      <c r="M750" s="36" t="inlineStr">
        <is>
          <t>Hierros Parrotta</t>
        </is>
      </c>
      <c r="N750" s="36" t="inlineStr">
        <is>
          <t>-</t>
        </is>
      </c>
      <c r="O750" s="36" t="inlineStr">
        <is>
          <t>Corte en sierra</t>
        </is>
      </c>
      <c r="P750" s="36" t="n"/>
      <c r="Q750" s="35" t="inlineStr">
        <is>
          <t>C</t>
        </is>
      </c>
      <c r="R750" s="35" t="n"/>
      <c r="S750" s="36" t="n"/>
    </row>
    <row r="751">
      <c r="A751" s="33" t="inlineStr">
        <is>
          <t>FL_MAT_ABC_50kg</t>
        </is>
      </c>
      <c r="B751" s="33" t="n">
        <v>2</v>
      </c>
      <c r="C751" s="33" t="inlineStr">
        <is>
          <t>ABC50-08</t>
        </is>
      </c>
      <c r="D751" s="17" t="inlineStr">
        <is>
          <t xml:space="preserve">        Bastidor</t>
        </is>
      </c>
      <c r="E751" s="33" t="n">
        <v>1</v>
      </c>
      <c r="F751" s="33" t="inlineStr">
        <is>
          <t>u</t>
        </is>
      </c>
      <c r="G751" s="34" t="n">
        <v>2.0504</v>
      </c>
      <c r="H751" s="34">
        <f>E751*G751</f>
        <v/>
      </c>
      <c r="I751" s="33" t="inlineStr">
        <is>
          <t>Caño acero SAE 1010 Ø25,4×1,6</t>
        </is>
      </c>
      <c r="J751" s="17" t="inlineStr">
        <is>
          <t>caño Ø25,4 × 1,6 × 2.148 de largo desarrollado</t>
        </is>
      </c>
      <c r="K751" s="33" t="inlineStr">
        <is>
          <t>Fabricación</t>
        </is>
      </c>
      <c r="L751" s="33" t="inlineStr">
        <is>
          <t>No</t>
        </is>
      </c>
      <c r="M751" s="17" t="n"/>
      <c r="N751" s="17" t="n"/>
      <c r="O751" s="17" t="inlineStr">
        <is>
          <t>Corte en sierra -&gt; curvado / plegado -&gt; soldadura MAG del carro -&gt; C9 armado (S-TC); puesto de soldadura de carros a incorporar al layout</t>
        </is>
      </c>
      <c r="P751" s="17" t="n"/>
      <c r="Q751" s="33" t="inlineStr">
        <is>
          <t>P</t>
        </is>
      </c>
      <c r="R751" s="33" t="inlineStr">
        <is>
          <t>FL_DES_ABC_50kg</t>
        </is>
      </c>
      <c r="S751" s="17" t="n"/>
    </row>
    <row r="752">
      <c r="A752" s="35" t="inlineStr">
        <is>
          <t>FL_MAT_ABC_50kg</t>
        </is>
      </c>
      <c r="B752" s="35" t="n">
        <v>3</v>
      </c>
      <c r="C752" s="35" t="inlineStr">
        <is>
          <t>MP-CANO-CARRO</t>
        </is>
      </c>
      <c r="D752" s="36" t="inlineStr">
        <is>
          <t xml:space="preserve">            Caño SAE 1010 Ø25,4 × 1,6 (tramo de barra de 6 m)</t>
        </is>
      </c>
      <c r="E752" s="35" t="n">
        <v>0.358</v>
      </c>
      <c r="F752" s="35" t="inlineStr">
        <is>
          <t>barra</t>
        </is>
      </c>
      <c r="G752" s="37" t="n">
        <v>5.635</v>
      </c>
      <c r="H752" s="37">
        <f>E752*G752</f>
        <v/>
      </c>
      <c r="I752" s="35" t="inlineStr">
        <is>
          <t>Caño acero SAE 1010 Ø25,4 × 1,6</t>
        </is>
      </c>
      <c r="J752" s="36" t="inlineStr">
        <is>
          <t>2.148 mm por pieza (kg por barra de 6 m)</t>
        </is>
      </c>
      <c r="K752" s="35" t="inlineStr">
        <is>
          <t>Compra</t>
        </is>
      </c>
      <c r="L752" s="35" t="inlineStr">
        <is>
          <t>Sí</t>
        </is>
      </c>
      <c r="M752" s="36" t="inlineStr">
        <is>
          <t>Metalpri / Prilux</t>
        </is>
      </c>
      <c r="N752" s="36" t="inlineStr">
        <is>
          <t>Comercial MID</t>
        </is>
      </c>
      <c r="O752" s="36" t="inlineStr">
        <is>
          <t>Corte en sierra</t>
        </is>
      </c>
      <c r="P752" s="36" t="n"/>
      <c r="Q752" s="35" t="inlineStr">
        <is>
          <t>C</t>
        </is>
      </c>
      <c r="R752" s="35" t="n"/>
      <c r="S752" s="36" t="inlineStr">
        <is>
          <t>Largo desarrollado del plano + curvado</t>
        </is>
      </c>
    </row>
    <row r="753">
      <c r="A753" s="33" t="inlineStr">
        <is>
          <t>FL_MAT_ABC_50kg</t>
        </is>
      </c>
      <c r="B753" s="33" t="n">
        <v>2</v>
      </c>
      <c r="C753" s="33" t="inlineStr">
        <is>
          <t>ABC50-09</t>
        </is>
      </c>
      <c r="D753" s="17" t="inlineStr">
        <is>
          <t xml:space="preserve">        Sunchos de fijación</t>
        </is>
      </c>
      <c r="E753" s="33" t="n">
        <v>1</v>
      </c>
      <c r="F753" s="33" t="inlineStr">
        <is>
          <t>u</t>
        </is>
      </c>
      <c r="G753" s="34" t="n">
        <v>5.4228</v>
      </c>
      <c r="H753" s="34">
        <f>E753*G753</f>
        <v/>
      </c>
      <c r="I753" s="33" t="inlineStr">
        <is>
          <t>Planchuela acero SAE 1010</t>
        </is>
      </c>
      <c r="J753" s="17" t="inlineStr">
        <is>
          <t>459 × 424 × 332</t>
        </is>
      </c>
      <c r="K753" s="33" t="inlineStr">
        <is>
          <t>Fabricación</t>
        </is>
      </c>
      <c r="L753" s="33" t="inlineStr">
        <is>
          <t>No</t>
        </is>
      </c>
      <c r="M753" s="17" t="n"/>
      <c r="N753" s="17" t="n"/>
      <c r="O753" s="17" t="inlineStr">
        <is>
          <t>Corte en sierra -&gt; curvado / plegado -&gt; soldadura MAG del carro -&gt; C9 armado (S-TC); puesto de soldadura de carros a incorporar al layout</t>
        </is>
      </c>
      <c r="P753" s="17" t="n"/>
      <c r="Q753" s="33" t="inlineStr">
        <is>
          <t>P</t>
        </is>
      </c>
      <c r="R753" s="33" t="inlineStr">
        <is>
          <t>FL_DES_ABC_50kg</t>
        </is>
      </c>
      <c r="S753" s="17" t="n"/>
    </row>
    <row r="754">
      <c r="A754" s="35" t="inlineStr">
        <is>
          <t>FL_MAT_ABC_50kg</t>
        </is>
      </c>
      <c r="B754" s="35" t="n">
        <v>3</v>
      </c>
      <c r="C754" s="35" t="inlineStr">
        <is>
          <t>MP-PLANCHUELA</t>
        </is>
      </c>
      <c r="D754" s="36" t="inlineStr">
        <is>
          <t xml:space="preserve">            Planchuela SAE 1010 40 × 6 (tramo de barra de 6 m)</t>
        </is>
      </c>
      <c r="E754" s="35" t="n">
        <v>0.4797</v>
      </c>
      <c r="F754" s="35" t="inlineStr">
        <is>
          <t>barra</t>
        </is>
      </c>
      <c r="G754" s="37" t="n">
        <v>11.304</v>
      </c>
      <c r="H754" s="37">
        <f>E754*G754</f>
        <v/>
      </c>
      <c r="I754" s="35" t="inlineStr">
        <is>
          <t>Planchuela SAE 1010 40 × 6</t>
        </is>
      </c>
      <c r="J754" s="36" t="inlineStr">
        <is>
          <t>2.878 mm por pieza (kg por barra de 6 m)</t>
        </is>
      </c>
      <c r="K754" s="35" t="inlineStr">
        <is>
          <t>Compra</t>
        </is>
      </c>
      <c r="L754" s="35" t="inlineStr">
        <is>
          <t>Sí</t>
        </is>
      </c>
      <c r="M754" s="36" t="inlineStr">
        <is>
          <t>Hierros Parrotta</t>
        </is>
      </c>
      <c r="N754" s="36" t="inlineStr">
        <is>
          <t>-</t>
        </is>
      </c>
      <c r="O754" s="36" t="inlineStr">
        <is>
          <t>Corte en sierra</t>
        </is>
      </c>
      <c r="P754" s="36" t="n"/>
      <c r="Q754" s="35" t="inlineStr">
        <is>
          <t>C</t>
        </is>
      </c>
      <c r="R754" s="35" t="n"/>
      <c r="S754" s="36" t="inlineStr">
        <is>
          <t>Largo = volumen del plano / sección 40 × 6</t>
        </is>
      </c>
    </row>
    <row r="755">
      <c r="A755" s="33" t="inlineStr">
        <is>
          <t>FL_MAT_ABC_50kg</t>
        </is>
      </c>
      <c r="B755" s="33" t="n">
        <v>2</v>
      </c>
      <c r="C755" s="33" t="inlineStr">
        <is>
          <t>ABC50-10</t>
        </is>
      </c>
      <c r="D755" s="17" t="inlineStr">
        <is>
          <t xml:space="preserve">        Apoyo delantero</t>
        </is>
      </c>
      <c r="E755" s="33" t="n">
        <v>1</v>
      </c>
      <c r="F755" s="33" t="inlineStr">
        <is>
          <t>u</t>
        </is>
      </c>
      <c r="G755" s="34" t="n">
        <v>0.3022</v>
      </c>
      <c r="H755" s="34">
        <f>E755*G755</f>
        <v/>
      </c>
      <c r="I755" s="33" t="inlineStr">
        <is>
          <t>Chapa acero SAE 1010 plegada</t>
        </is>
      </c>
      <c r="J755" s="17" t="inlineStr">
        <is>
          <t>70 × 55 × 50</t>
        </is>
      </c>
      <c r="K755" s="33" t="inlineStr">
        <is>
          <t>Fabricación</t>
        </is>
      </c>
      <c r="L755" s="33" t="inlineStr">
        <is>
          <t>No</t>
        </is>
      </c>
      <c r="M755" s="17" t="n"/>
      <c r="N755" s="17" t="n"/>
      <c r="O755" s="17" t="inlineStr">
        <is>
          <t>Corte en sierra -&gt; curvado / plegado -&gt; soldadura MAG del carro -&gt; C9 armado (S-TC); puesto de soldadura de carros a incorporar al layout</t>
        </is>
      </c>
      <c r="P755" s="17" t="n"/>
      <c r="Q755" s="33" t="inlineStr">
        <is>
          <t>P</t>
        </is>
      </c>
      <c r="R755" s="33" t="inlineStr">
        <is>
          <t>FL_DES_ABC_50kg</t>
        </is>
      </c>
      <c r="S755" s="17" t="n"/>
    </row>
    <row r="756">
      <c r="A756" s="47" t="inlineStr">
        <is>
          <t>FL_MAT_ABC_50kg</t>
        </is>
      </c>
      <c r="B756" s="47" t="n">
        <v>3</v>
      </c>
      <c r="C756" s="47" t="inlineStr">
        <is>
          <t>MP-CHAPA-APOYO</t>
        </is>
      </c>
      <c r="D756" s="48" t="inlineStr">
        <is>
          <t xml:space="preserve">            Recorte de chapa LAC e=3,2 para el apoyo plegado</t>
        </is>
      </c>
      <c r="E756" s="47" t="n">
        <v>1</v>
      </c>
      <c r="F756" s="47" t="inlineStr">
        <is>
          <t>u</t>
        </is>
      </c>
      <c r="G756" s="49" t="n">
        <v>0.348</v>
      </c>
      <c r="H756" s="49">
        <f>E756*G756</f>
        <v/>
      </c>
      <c r="I756" s="47" t="inlineStr">
        <is>
          <t>Chapa LAC SAE 1010</t>
        </is>
      </c>
      <c r="J756" s="48" t="inlineStr">
        <is>
          <t>desarrollo del apoyo + 15 % de recorte</t>
        </is>
      </c>
      <c r="K756" s="47" t="inlineStr">
        <is>
          <t>Compra</t>
        </is>
      </c>
      <c r="L756" s="47" t="inlineStr">
        <is>
          <t>Sí</t>
        </is>
      </c>
      <c r="M756" s="48" t="inlineStr">
        <is>
          <t>Pradecon S.A.</t>
        </is>
      </c>
      <c r="N756" s="48" t="inlineStr">
        <is>
          <t>Pacheco Chapas</t>
        </is>
      </c>
      <c r="O756" s="48" t="inlineStr">
        <is>
          <t>Corte y plegado</t>
        </is>
      </c>
      <c r="P756" s="48" t="n"/>
      <c r="Q756" s="47" t="inlineStr">
        <is>
          <t>C</t>
        </is>
      </c>
      <c r="R756" s="47" t="n"/>
      <c r="S756" s="48" t="inlineStr">
        <is>
          <t>15 % de recorte: valor de taller sin medir</t>
        </is>
      </c>
    </row>
    <row r="757">
      <c r="A757" s="30" t="inlineStr">
        <is>
          <t>FL_MAT_ABC_50kg</t>
        </is>
      </c>
      <c r="B757" s="30" t="n">
        <v>1</v>
      </c>
      <c r="C757" s="30" t="inlineStr">
        <is>
          <t>ABC50-S5</t>
        </is>
      </c>
      <c r="D757" s="31" t="inlineStr">
        <is>
          <t xml:space="preserve">    Carga: agente extintor y gas impulsor</t>
        </is>
      </c>
      <c r="E757" s="30" t="n">
        <v>1</v>
      </c>
      <c r="F757" s="30" t="inlineStr">
        <is>
          <t>u</t>
        </is>
      </c>
      <c r="G757" s="32" t="n"/>
      <c r="H757" s="32">
        <f>H758+H759</f>
        <v/>
      </c>
      <c r="I757" s="30" t="n"/>
      <c r="J757" s="31" t="n"/>
      <c r="K757" s="30" t="inlineStr">
        <is>
          <t>Carga en planta</t>
        </is>
      </c>
      <c r="L757" s="30" t="n"/>
      <c r="M757" s="31" t="n"/>
      <c r="N757" s="31" t="n"/>
      <c r="O757" s="31" t="inlineStr">
        <is>
          <t>18 Carga de polvo (T01) / C8 (T02)</t>
        </is>
      </c>
      <c r="P757" s="31" t="n"/>
      <c r="Q757" s="30" t="n"/>
      <c r="R757" s="30" t="n"/>
      <c r="S757" s="31" t="n"/>
    </row>
    <row r="758">
      <c r="A758" s="33" t="inlineStr">
        <is>
          <t>FL_MAT_ABC_50kg</t>
        </is>
      </c>
      <c r="B758" s="33" t="n">
        <v>2</v>
      </c>
      <c r="C758" s="33" t="inlineStr">
        <is>
          <t>ABC50-A1</t>
        </is>
      </c>
      <c r="D758" s="17" t="inlineStr">
        <is>
          <t xml:space="preserve">        Polvo químico seco ABC 90 (Sello IRAM 3569)</t>
        </is>
      </c>
      <c r="E758" s="33" t="n">
        <v>50</v>
      </c>
      <c r="F758" s="33" t="inlineStr">
        <is>
          <t>kg</t>
        </is>
      </c>
      <c r="G758" s="34" t="n">
        <v>1</v>
      </c>
      <c r="H758" s="34">
        <f>E758*G758</f>
        <v/>
      </c>
      <c r="I758" s="33" t="inlineStr">
        <is>
          <t>Polvo químico seco ABC 90 (Sello IRAM 3569)</t>
        </is>
      </c>
      <c r="J758" s="17" t="inlineStr">
        <is>
          <t>nominal 50 kg; tolerancia ± 3 % (IRAM 3517-2:2020 tabla 3)</t>
        </is>
      </c>
      <c r="K758" s="33" t="inlineStr">
        <is>
          <t>Compra</t>
        </is>
      </c>
      <c r="L758" s="33" t="inlineStr">
        <is>
          <t>Sí</t>
        </is>
      </c>
      <c r="M758" s="17" t="inlineStr">
        <is>
          <t>DEM S.A. (DEMSA)</t>
        </is>
      </c>
      <c r="N758" s="17" t="inlineStr">
        <is>
          <t>Polvex S.R.L. / Sancibrao</t>
        </is>
      </c>
      <c r="O758" s="17" t="inlineStr">
        <is>
          <t>SP-1 almacén previo a la carga</t>
        </is>
      </c>
      <c r="P758" s="17" t="inlineStr">
        <is>
          <t>IRAM 3569</t>
        </is>
      </c>
      <c r="Q758" s="33" t="inlineStr">
        <is>
          <t>N</t>
        </is>
      </c>
      <c r="R758" s="33" t="n"/>
      <c r="S758"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59">
      <c r="A759" s="41" t="inlineStr">
        <is>
          <t>FL_MAT_ABC_50kg</t>
        </is>
      </c>
      <c r="B759" s="41" t="n">
        <v>2</v>
      </c>
      <c r="C759" s="41" t="inlineStr">
        <is>
          <t>ABC50-A2</t>
        </is>
      </c>
      <c r="D759" s="18" t="inlineStr">
        <is>
          <t xml:space="preserve">        Gas impulsor: N₂</t>
        </is>
      </c>
      <c r="E759" s="41" t="n">
        <v>0.2819</v>
      </c>
      <c r="F759" s="41" t="inlineStr">
        <is>
          <t>kg</t>
        </is>
      </c>
      <c r="G759" s="42" t="n">
        <v>1</v>
      </c>
      <c r="H759" s="42">
        <f>E759*G759</f>
        <v/>
      </c>
      <c r="I759" s="41" t="inlineStr">
        <is>
          <t>N₂</t>
        </is>
      </c>
      <c r="J759" s="18" t="inlineStr">
        <is>
          <t>225,6 L normales para 1,4 MPa a 20 °C en 16,35 dm³ libres</t>
        </is>
      </c>
      <c r="K759" s="41" t="inlineStr">
        <is>
          <t>Compra</t>
        </is>
      </c>
      <c r="L759" s="41" t="inlineStr">
        <is>
          <t>Sí</t>
        </is>
      </c>
      <c r="M759" s="18" t="inlineStr">
        <is>
          <t>Air Liquide Argentina - sucursal Piñeyro</t>
        </is>
      </c>
      <c r="N759" s="18" t="inlineStr">
        <is>
          <t>Gogniat</t>
        </is>
      </c>
      <c r="O759" s="18" t="inlineStr">
        <is>
          <t>20 Presurización (T05) / C10</t>
        </is>
      </c>
      <c r="P759" s="18" t="inlineStr">
        <is>
          <t>IRAM 3517-2 9.4.9 (tabla 2) · IRAM 3523 2.3 y 3.10</t>
        </is>
      </c>
      <c r="Q759" s="41" t="inlineStr">
        <is>
          <t>C</t>
        </is>
      </c>
      <c r="R759" s="41" t="n"/>
      <c r="S759" s="18" t="inlineStr">
        <is>
          <t>N₂ ≥ 99,8 %, H₂O ≤ 40 ppm (Q-N2, Air Liquide) · volumen libre con ρ empacada mínima 1,1 kg/dm³ (NOM-104-STPS-2001); confirmar con descarga ≥ 85 % (IRAM 3523 4.9.1)</t>
        </is>
      </c>
    </row>
    <row r="760">
      <c r="A760" s="30" t="inlineStr">
        <is>
          <t>FL_MAT_ABC_50kg</t>
        </is>
      </c>
      <c r="B760" s="30" t="n">
        <v>1</v>
      </c>
      <c r="C760" s="30" t="inlineStr">
        <is>
          <t>ABC50-S6</t>
        </is>
      </c>
      <c r="D760" s="31" t="inlineStr">
        <is>
          <t xml:space="preserve">    Identificación y precinto</t>
        </is>
      </c>
      <c r="E760" s="30" t="n">
        <v>1</v>
      </c>
      <c r="F760" s="30" t="inlineStr">
        <is>
          <t>u</t>
        </is>
      </c>
      <c r="G760" s="32" t="n"/>
      <c r="H760" s="32">
        <f>H761+H762+H763+H764+H765+H766+H767</f>
        <v/>
      </c>
      <c r="I760" s="30" t="n"/>
      <c r="J760" s="31" t="n"/>
      <c r="K760" s="30" t="inlineStr">
        <is>
          <t>Compra</t>
        </is>
      </c>
      <c r="L760" s="30" t="n"/>
      <c r="M760" s="31" t="n"/>
      <c r="N760" s="31" t="n"/>
      <c r="O760" s="31" t="inlineStr">
        <is>
          <t>22 Etiquetado (T07)</t>
        </is>
      </c>
      <c r="P760" s="31" t="n"/>
      <c r="Q760" s="30" t="n"/>
      <c r="R760" s="30" t="n"/>
      <c r="S760" s="31" t="n"/>
    </row>
    <row r="761">
      <c r="A761" s="33" t="inlineStr">
        <is>
          <t>FL_MAT_ABC_50kg</t>
        </is>
      </c>
      <c r="B761" s="33" t="n">
        <v>2</v>
      </c>
      <c r="C761" s="33" t="inlineStr">
        <is>
          <t>ABC50-27</t>
        </is>
      </c>
      <c r="D761" s="17" t="inlineStr">
        <is>
          <t xml:space="preserve">        Etiqueta / placa de características</t>
        </is>
      </c>
      <c r="E761" s="33" t="n">
        <v>1</v>
      </c>
      <c r="F761" s="33" t="inlineStr">
        <is>
          <t>u</t>
        </is>
      </c>
      <c r="G761" s="34" t="n">
        <v>0.0518</v>
      </c>
      <c r="H761" s="34">
        <f>E761*G761</f>
        <v/>
      </c>
      <c r="I761" s="33" t="inlineStr">
        <is>
          <t>Vinilo autoadhesivo laminado</t>
        </is>
      </c>
      <c r="J761" s="17" t="inlineStr">
        <is>
          <t>604 × 204 (desarrollo × alto: panel central 108° + 2 alas laterales), e ≈ 0,3, laminado UV</t>
        </is>
      </c>
      <c r="K761" s="33" t="inlineStr">
        <is>
          <t>Compra</t>
        </is>
      </c>
      <c r="L761" s="33" t="inlineStr">
        <is>
          <t>Sí</t>
        </is>
      </c>
      <c r="M761" s="17" t="inlineStr">
        <is>
          <t>Astuprint</t>
        </is>
      </c>
      <c r="N761" s="17" t="inlineStr">
        <is>
          <t>Multilabel Argentina S.A.</t>
        </is>
      </c>
      <c r="O761" s="17" t="inlineStr">
        <is>
          <t>22 Etiquetado (T07)</t>
        </is>
      </c>
      <c r="P761" s="17" t="inlineStr">
        <is>
          <t>IRAM 3534 · IRAM 3550 cap. 5 · relevamiento de mercado</t>
        </is>
      </c>
      <c r="Q761" s="33" t="inlineStr">
        <is>
          <t>P</t>
        </is>
      </c>
      <c r="R761" s="33" t="inlineStr">
        <is>
          <t>FL_DES_ABC_50kg</t>
        </is>
      </c>
      <c r="S761" s="17" t="inlineStr">
        <is>
          <t>IRAM 3534</t>
        </is>
      </c>
    </row>
    <row r="762">
      <c r="A762" s="33" t="inlineStr">
        <is>
          <t>FL_MAT_ABC_50kg</t>
        </is>
      </c>
      <c r="B762" s="33" t="n">
        <v>2</v>
      </c>
      <c r="C762" s="33" t="inlineStr">
        <is>
          <t>ABC50-28</t>
        </is>
      </c>
      <c r="D762" s="17" t="inlineStr">
        <is>
          <t xml:space="preserve">        Oblea de fabricación (PBA)</t>
        </is>
      </c>
      <c r="E762" s="33" t="n">
        <v>1</v>
      </c>
      <c r="F762" s="33" t="inlineStr">
        <is>
          <t>u</t>
        </is>
      </c>
      <c r="G762" s="34" t="n">
        <v>0.0009</v>
      </c>
      <c r="H762" s="34">
        <f>E762*G762</f>
        <v/>
      </c>
      <c r="I762" s="33" t="inlineStr">
        <is>
          <t>Papel de seguridad autodestructible</t>
        </is>
      </c>
      <c r="J762" s="17" t="inlineStr">
        <is>
          <t>Ø46 (Res. OPDS 522/07), numerada, autodestructible</t>
        </is>
      </c>
      <c r="K762" s="33" t="inlineStr">
        <is>
          <t>Compra</t>
        </is>
      </c>
      <c r="L762" s="33" t="inlineStr">
        <is>
          <t>Sí</t>
        </is>
      </c>
      <c r="M762" s="17" t="inlineStr">
        <is>
          <t>Ministerio de Ambiente PBA (ex OPDS)</t>
        </is>
      </c>
      <c r="N762" s="17" t="inlineStr">
        <is>
          <t>-</t>
        </is>
      </c>
      <c r="O762" s="17" t="inlineStr">
        <is>
          <t>22 Etiquetado (T07)</t>
        </is>
      </c>
      <c r="P762" s="17" t="inlineStr">
        <is>
          <t>Res. OPDS 522/07 anexos 1, 2 y 6</t>
        </is>
      </c>
      <c r="Q762" s="33" t="inlineStr">
        <is>
          <t>P</t>
        </is>
      </c>
      <c r="R762" s="33" t="inlineStr">
        <is>
          <t>FL_DES_ABC_50kg</t>
        </is>
      </c>
      <c r="S762" s="17" t="inlineStr">
        <is>
          <t>Res. 522/07</t>
        </is>
      </c>
    </row>
    <row r="763">
      <c r="A763" s="33" t="inlineStr">
        <is>
          <t>FL_MAT_ABC_50kg</t>
        </is>
      </c>
      <c r="B763" s="33" t="n">
        <v>2</v>
      </c>
      <c r="C763" s="33" t="inlineStr">
        <is>
          <t>ABC50-29</t>
        </is>
      </c>
      <c r="D763" s="17" t="inlineStr">
        <is>
          <t xml:space="preserve">        Estampilla IRAM de conformidad</t>
        </is>
      </c>
      <c r="E763" s="33" t="n">
        <v>1</v>
      </c>
      <c r="F763" s="33" t="inlineStr">
        <is>
          <t>u</t>
        </is>
      </c>
      <c r="G763" s="34" t="n">
        <v>0.001</v>
      </c>
      <c r="H763" s="34">
        <f>E763*G763</f>
        <v/>
      </c>
      <c r="I763" s="33" t="inlineStr">
        <is>
          <t>Provista por IRAM (Anexo R)</t>
        </is>
      </c>
      <c r="J763" s="17" t="inlineStr">
        <is>
          <t>60 × 40</t>
        </is>
      </c>
      <c r="K763" s="33" t="inlineStr">
        <is>
          <t>Compra</t>
        </is>
      </c>
      <c r="L763" s="33" t="inlineStr">
        <is>
          <t>Sí</t>
        </is>
      </c>
      <c r="M763" s="17" t="inlineStr">
        <is>
          <t>IRAM - Instituto Argentino de Normalización</t>
        </is>
      </c>
      <c r="N763" s="17" t="inlineStr">
        <is>
          <t>-</t>
        </is>
      </c>
      <c r="O763" s="17" t="inlineStr">
        <is>
          <t>22 Etiquetado (T07)</t>
        </is>
      </c>
      <c r="P763" s="17" t="inlineStr">
        <is>
          <t>IRAM Anexo R (DC-PG-129)</t>
        </is>
      </c>
      <c r="Q763" s="33" t="inlineStr">
        <is>
          <t>P</t>
        </is>
      </c>
      <c r="R763" s="33" t="inlineStr">
        <is>
          <t>FL_DES_ABC_50kg</t>
        </is>
      </c>
      <c r="S763" s="17" t="inlineStr">
        <is>
          <t>numerada</t>
        </is>
      </c>
    </row>
    <row r="764">
      <c r="A764" s="33" t="inlineStr">
        <is>
          <t>FL_MAT_ABC_50kg</t>
        </is>
      </c>
      <c r="B764" s="33" t="n">
        <v>2</v>
      </c>
      <c r="C764" s="33" t="inlineStr">
        <is>
          <t>ABC50-30</t>
        </is>
      </c>
      <c r="D764" s="17" t="inlineStr">
        <is>
          <t xml:space="preserve">        Tarjeta de identificación AGC (CABA)</t>
        </is>
      </c>
      <c r="E764" s="33" t="n">
        <v>1</v>
      </c>
      <c r="F764" s="33" t="inlineStr">
        <is>
          <t>u</t>
        </is>
      </c>
      <c r="G764" s="34" t="n">
        <v>0.0032</v>
      </c>
      <c r="H764" s="34">
        <f>E764*G764</f>
        <v/>
      </c>
      <c r="I764" s="33" t="inlineStr">
        <is>
          <t>Etiqueta autoadhesiva emitida por la AGC</t>
        </is>
      </c>
      <c r="J764" s="17" t="inlineStr">
        <is>
          <t>140 × 55</t>
        </is>
      </c>
      <c r="K764" s="33" t="inlineStr">
        <is>
          <t>Compra</t>
        </is>
      </c>
      <c r="L764" s="33" t="inlineStr">
        <is>
          <t>Sí</t>
        </is>
      </c>
      <c r="M764" s="17" t="inlineStr">
        <is>
          <t>Agencia Gubernamental de Control (CABA)</t>
        </is>
      </c>
      <c r="N764" s="17" t="inlineStr">
        <is>
          <t>-</t>
        </is>
      </c>
      <c r="O764" s="17" t="inlineStr">
        <is>
          <t>22 Etiquetado (T07)</t>
        </is>
      </c>
      <c r="P764" s="17" t="inlineStr">
        <is>
          <t>Ordenanza 40.473 art. 6 · Res. AGC 32/15</t>
        </is>
      </c>
      <c r="Q764" s="33" t="inlineStr">
        <is>
          <t>P</t>
        </is>
      </c>
      <c r="R764" s="33" t="inlineStr">
        <is>
          <t>FL_DES_ABC_50kg</t>
        </is>
      </c>
      <c r="S764" s="17" t="inlineStr">
        <is>
          <t>sólo destino CABA</t>
        </is>
      </c>
    </row>
    <row r="765">
      <c r="A765" s="33" t="inlineStr">
        <is>
          <t>FL_MAT_ABC_50kg</t>
        </is>
      </c>
      <c r="B765" s="33" t="n">
        <v>2</v>
      </c>
      <c r="C765" s="33" t="inlineStr">
        <is>
          <t>ABC50-31</t>
        </is>
      </c>
      <c r="D765" s="17" t="inlineStr">
        <is>
          <t xml:space="preserve">        Etiqueta de n° de serie GS1</t>
        </is>
      </c>
      <c r="E765" s="33" t="n">
        <v>1</v>
      </c>
      <c r="F765" s="33" t="inlineStr">
        <is>
          <t>u</t>
        </is>
      </c>
      <c r="G765" s="34" t="n">
        <v>0.0005</v>
      </c>
      <c r="H765" s="34">
        <f>E765*G765</f>
        <v/>
      </c>
      <c r="I765" s="33" t="inlineStr">
        <is>
          <t>Poliéster autoadhesivo impreso térmico</t>
        </is>
      </c>
      <c r="J765" s="17" t="inlineStr">
        <is>
          <t>45 × 25</t>
        </is>
      </c>
      <c r="K765" s="33" t="inlineStr">
        <is>
          <t>Compra</t>
        </is>
      </c>
      <c r="L765" s="33" t="inlineStr">
        <is>
          <t>Sí</t>
        </is>
      </c>
      <c r="M765" s="17" t="inlineStr">
        <is>
          <t>Astuprint</t>
        </is>
      </c>
      <c r="N765" s="17" t="inlineStr">
        <is>
          <t>GS1 Argentina</t>
        </is>
      </c>
      <c r="O765" s="17" t="inlineStr">
        <is>
          <t>22 Etiquetado (T07)</t>
        </is>
      </c>
      <c r="P765" s="17" t="inlineStr">
        <is>
          <t>GS1 Argentina (GTIN 779) · trazabilidad IRAM 3523 5.1</t>
        </is>
      </c>
      <c r="Q765" s="33" t="inlineStr">
        <is>
          <t>P</t>
        </is>
      </c>
      <c r="R765" s="33" t="inlineStr">
        <is>
          <t>FL_DES_ABC_50kg</t>
        </is>
      </c>
      <c r="S765" s="17" t="inlineStr">
        <is>
          <t>QR GTIN + serie</t>
        </is>
      </c>
    </row>
    <row r="766">
      <c r="A766" s="33" t="inlineStr">
        <is>
          <t>FL_MAT_ABC_50kg</t>
        </is>
      </c>
      <c r="B766" s="33" t="n">
        <v>2</v>
      </c>
      <c r="C766" s="33" t="inlineStr">
        <is>
          <t>ABC50-33</t>
        </is>
      </c>
      <c r="D766" s="17" t="inlineStr">
        <is>
          <t xml:space="preserve">        Faja de garantía válvula-cuello</t>
        </is>
      </c>
      <c r="E766" s="33" t="n">
        <v>1</v>
      </c>
      <c r="F766" s="33" t="inlineStr">
        <is>
          <t>u</t>
        </is>
      </c>
      <c r="G766" s="34" t="n">
        <v>0.0003</v>
      </c>
      <c r="H766" s="34">
        <f>E766*G766</f>
        <v/>
      </c>
      <c r="I766" s="33" t="inlineStr">
        <is>
          <t>Vinilo destructible rayado rojo/blanco</t>
        </is>
      </c>
      <c r="J766" s="17" t="inlineStr">
        <is>
          <t>30 × 40</t>
        </is>
      </c>
      <c r="K766" s="33" t="inlineStr">
        <is>
          <t>Compra</t>
        </is>
      </c>
      <c r="L766" s="33" t="inlineStr">
        <is>
          <t>Sí</t>
        </is>
      </c>
      <c r="M766" s="17" t="inlineStr">
        <is>
          <t>Astuprint</t>
        </is>
      </c>
      <c r="N766" s="17" t="inlineStr">
        <is>
          <t>Multilabel Argentina S.A.</t>
        </is>
      </c>
      <c r="O766" s="17" t="inlineStr">
        <is>
          <t>22 Etiquetado (T07)</t>
        </is>
      </c>
      <c r="P766" s="17" t="inlineStr">
        <is>
          <t>Sin norma: práctica de mercado (garantía de fábrica)</t>
        </is>
      </c>
      <c r="Q766" s="33" t="inlineStr">
        <is>
          <t>P</t>
        </is>
      </c>
      <c r="R766" s="33" t="inlineStr">
        <is>
          <t>FL_DES_ABC_50kg</t>
        </is>
      </c>
      <c r="S766" s="17" t="inlineStr">
        <is>
          <t>nuevo sin abrir</t>
        </is>
      </c>
    </row>
    <row r="767">
      <c r="A767" s="33" t="inlineStr">
        <is>
          <t>FL_MAT_ABC_50kg</t>
        </is>
      </c>
      <c r="B767" s="33" t="n">
        <v>2</v>
      </c>
      <c r="C767" s="33" t="inlineStr">
        <is>
          <t>ABC50-34</t>
        </is>
      </c>
      <c r="D767" s="17" t="inlineStr">
        <is>
          <t xml:space="preserve">        Precinto de fábrica</t>
        </is>
      </c>
      <c r="E767" s="33" t="n">
        <v>1</v>
      </c>
      <c r="F767" s="33" t="inlineStr">
        <is>
          <t>u</t>
        </is>
      </c>
      <c r="G767" s="34" t="n">
        <v>0.0002</v>
      </c>
      <c r="H767" s="34">
        <f>E767*G767</f>
        <v/>
      </c>
      <c r="I767" s="33" t="inlineStr">
        <is>
          <t>Polipropileno color</t>
        </is>
      </c>
      <c r="J767" s="17" t="inlineStr">
        <is>
          <t>Ø5 × 10, numerado, rotura 30-50 N</t>
        </is>
      </c>
      <c r="K767" s="33" t="inlineStr">
        <is>
          <t>Compra</t>
        </is>
      </c>
      <c r="L767" s="33" t="inlineStr">
        <is>
          <t>Sí</t>
        </is>
      </c>
      <c r="M767" s="17" t="inlineStr">
        <is>
          <t>SonFuertes (vía Papelera Damián)</t>
        </is>
      </c>
      <c r="N767" s="17" t="inlineStr">
        <is>
          <t>Precinter S.R.L.</t>
        </is>
      </c>
      <c r="O767" s="17" t="inlineStr">
        <is>
          <t>20 Presurización (T05)</t>
        </is>
      </c>
      <c r="P767" s="17" t="inlineStr">
        <is>
          <t>IRAM 3523 3.3.2 · IRAM 3517-2:2020 9.4.13</t>
        </is>
      </c>
      <c r="Q767" s="33" t="inlineStr">
        <is>
          <t>P</t>
        </is>
      </c>
      <c r="R767" s="33" t="inlineStr">
        <is>
          <t>FL_DES_ABC_50kg</t>
        </is>
      </c>
      <c r="S767" s="17" t="inlineStr">
        <is>
          <t>id. FLAMA y lote</t>
        </is>
      </c>
    </row>
    <row r="768">
      <c r="A768" s="30" t="inlineStr">
        <is>
          <t>FL_MAT_ABC_50kg</t>
        </is>
      </c>
      <c r="B768" s="30" t="n">
        <v>1</v>
      </c>
      <c r="C768" s="30" t="inlineStr">
        <is>
          <t>ABC50-S7</t>
        </is>
      </c>
      <c r="D768" s="31" t="inlineStr">
        <is>
          <t xml:space="preserve">    Embalaje</t>
        </is>
      </c>
      <c r="E768" s="30" t="n">
        <v>1</v>
      </c>
      <c r="F768" s="30" t="inlineStr">
        <is>
          <t>u</t>
        </is>
      </c>
      <c r="G768" s="32" t="n"/>
      <c r="H768" s="32">
        <f>H771</f>
        <v/>
      </c>
      <c r="I768" s="30" t="n"/>
      <c r="J768" s="31" t="n"/>
      <c r="K768" s="30" t="inlineStr">
        <is>
          <t>Compra</t>
        </is>
      </c>
      <c r="L768" s="30" t="n"/>
      <c r="M768" s="31" t="n"/>
      <c r="N768" s="31" t="n"/>
      <c r="O768" s="31" t="inlineStr">
        <is>
          <t>23 Embalaje -&gt; 24 envolvedora (T11)</t>
        </is>
      </c>
      <c r="P768" s="31" t="n"/>
      <c r="Q768" s="30" t="n"/>
      <c r="R768" s="30" t="n"/>
      <c r="S768" s="31" t="n"/>
    </row>
    <row r="769">
      <c r="A769" s="33" t="inlineStr">
        <is>
          <t>FL_MAT_ABC_50kg</t>
        </is>
      </c>
      <c r="B769" s="33" t="n">
        <v>2</v>
      </c>
      <c r="C769" s="33" t="inlineStr">
        <is>
          <t>ABC50-E1</t>
        </is>
      </c>
      <c r="D769" s="17" t="inlineStr">
        <is>
          <t xml:space="preserve">        Esquineros y funda de polietileno</t>
        </is>
      </c>
      <c r="E769" s="33" t="n">
        <v>1</v>
      </c>
      <c r="F769" s="33" t="inlineStr">
        <is>
          <t>jgo</t>
        </is>
      </c>
      <c r="G769" s="34" t="n"/>
      <c r="H769" s="34" t="n"/>
      <c r="I769" s="33" t="inlineStr">
        <is>
          <t>PE / cartón</t>
        </is>
      </c>
      <c r="J769" s="17" t="inlineStr">
        <is>
          <t>a medida de la envolvente del plano</t>
        </is>
      </c>
      <c r="K769" s="33" t="inlineStr">
        <is>
          <t>Compra</t>
        </is>
      </c>
      <c r="L769" s="33" t="inlineStr">
        <is>
          <t>Sí</t>
        </is>
      </c>
      <c r="M769" s="17" t="inlineStr">
        <is>
          <t>MV Embalajes</t>
        </is>
      </c>
      <c r="N769" s="17" t="inlineStr">
        <is>
          <t>Embalpack</t>
        </is>
      </c>
      <c r="O769" s="17" t="inlineStr">
        <is>
          <t>23 Embalaje</t>
        </is>
      </c>
      <c r="P769" s="17" t="n"/>
      <c r="Q769" s="33" t="inlineStr">
        <is>
          <t>P</t>
        </is>
      </c>
      <c r="R769" s="33" t="n"/>
      <c r="S769" s="17" t="inlineStr">
        <is>
          <t>Medida del plano</t>
        </is>
      </c>
    </row>
    <row r="770">
      <c r="A770" s="33" t="inlineStr">
        <is>
          <t>FL_MAT_ABC_50kg</t>
        </is>
      </c>
      <c r="B770" s="33" t="n">
        <v>2</v>
      </c>
      <c r="C770" s="33" t="inlineStr">
        <is>
          <t>ABC50-E3</t>
        </is>
      </c>
      <c r="D770" s="17" t="inlineStr">
        <is>
          <t xml:space="preserve">        Pallet 1200 × 1000 (fracción)</t>
        </is>
      </c>
      <c r="E770" s="33" t="n">
        <v>0.5</v>
      </c>
      <c r="F770" s="33" t="inlineStr">
        <is>
          <t>u</t>
        </is>
      </c>
      <c r="G770" s="34" t="n"/>
      <c r="H770" s="34" t="n"/>
      <c r="I770" s="33" t="inlineStr">
        <is>
          <t>Madera</t>
        </is>
      </c>
      <c r="J770" s="17" t="inlineStr">
        <is>
          <t>2 u por pallet</t>
        </is>
      </c>
      <c r="K770" s="33" t="inlineStr">
        <is>
          <t>Compra</t>
        </is>
      </c>
      <c r="L770" s="33" t="inlineStr">
        <is>
          <t>Sí</t>
        </is>
      </c>
      <c r="M770" s="17" t="inlineStr">
        <is>
          <t>IndusPallets</t>
        </is>
      </c>
      <c r="N770" s="17" t="inlineStr">
        <is>
          <t>-</t>
        </is>
      </c>
      <c r="O770" s="17" t="inlineStr">
        <is>
          <t>23 Embalaje</t>
        </is>
      </c>
      <c r="P770" s="17" t="n"/>
      <c r="Q770" s="33" t="inlineStr">
        <is>
          <t>C</t>
        </is>
      </c>
      <c r="R770" s="33" t="n"/>
      <c r="S770" s="17" t="inlineStr">
        <is>
          <t>u por pallet = acomodo de la caja (plano) en 1200 × 1000 × 1450 de alto</t>
        </is>
      </c>
    </row>
    <row r="771">
      <c r="A771" s="41" t="inlineStr">
        <is>
          <t>FL_MAT_ABC_50kg</t>
        </is>
      </c>
      <c r="B771" s="41" t="n">
        <v>2</v>
      </c>
      <c r="C771" s="41" t="inlineStr">
        <is>
          <t>ABC50-E4</t>
        </is>
      </c>
      <c r="D771" s="18" t="inlineStr">
        <is>
          <t xml:space="preserve">        Film stretch (fracción del pallet)</t>
        </is>
      </c>
      <c r="E771" s="41" t="n">
        <v>0.06</v>
      </c>
      <c r="F771" s="41" t="inlineStr">
        <is>
          <t>kg</t>
        </is>
      </c>
      <c r="G771" s="42" t="n">
        <v>1</v>
      </c>
      <c r="H771" s="42">
        <f>E771*G771</f>
        <v/>
      </c>
      <c r="I771" s="41" t="inlineStr">
        <is>
          <t>PE lineal 23 µm</t>
        </is>
      </c>
      <c r="J771" s="18" t="inlineStr">
        <is>
          <t>0,12 kg por pallet / 2 u</t>
        </is>
      </c>
      <c r="K771" s="41" t="inlineStr">
        <is>
          <t>Compra</t>
        </is>
      </c>
      <c r="L771" s="41" t="inlineStr">
        <is>
          <t>Sí</t>
        </is>
      </c>
      <c r="M771" s="18" t="inlineStr">
        <is>
          <t>MV Embalajes</t>
        </is>
      </c>
      <c r="N771" s="18" t="inlineStr">
        <is>
          <t>Embalpack</t>
        </is>
      </c>
      <c r="O771" s="18" t="inlineStr">
        <is>
          <t>24 Envolvedora (T11)</t>
        </is>
      </c>
      <c r="P771" s="18" t="n"/>
      <c r="Q771" s="41" t="inlineStr">
        <is>
          <t>C</t>
        </is>
      </c>
      <c r="R771" s="41" t="n"/>
      <c r="S7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72">
      <c r="A772" s="33" t="inlineStr">
        <is>
          <t>FL_MAT_ABC_50kg</t>
        </is>
      </c>
      <c r="B772" s="33" t="n">
        <v>2</v>
      </c>
      <c r="C772" s="33" t="inlineStr">
        <is>
          <t>ABC50-E5</t>
        </is>
      </c>
      <c r="D772" s="17" t="inlineStr">
        <is>
          <t xml:space="preserve">        Etiqueta de pallet (lote y destino, fracción)</t>
        </is>
      </c>
      <c r="E772" s="33" t="n">
        <v>0.5</v>
      </c>
      <c r="F772" s="33" t="inlineStr">
        <is>
          <t>u</t>
        </is>
      </c>
      <c r="G772" s="34" t="n"/>
      <c r="H772" s="34" t="n"/>
      <c r="I772" s="33" t="inlineStr">
        <is>
          <t>Papel térmico</t>
        </is>
      </c>
      <c r="J772" s="17" t="inlineStr">
        <is>
          <t>100 × 150</t>
        </is>
      </c>
      <c r="K772" s="33" t="inlineStr">
        <is>
          <t>Compra</t>
        </is>
      </c>
      <c r="L772" s="33" t="inlineStr">
        <is>
          <t>Sí</t>
        </is>
      </c>
      <c r="M772" s="17" t="inlineStr">
        <is>
          <t>Astuprint</t>
        </is>
      </c>
      <c r="N772" s="17" t="inlineStr">
        <is>
          <t>Multilabel Argentina S.A.</t>
        </is>
      </c>
      <c r="O772" s="17" t="inlineStr">
        <is>
          <t>24 Envolvedora</t>
        </is>
      </c>
      <c r="P772" s="17" t="n"/>
      <c r="Q772" s="33" t="inlineStr">
        <is>
          <t>C</t>
        </is>
      </c>
      <c r="R772" s="33" t="n"/>
      <c r="S772" s="17" t="n"/>
    </row>
    <row r="773">
      <c r="A773" s="27" t="inlineStr">
        <is>
          <t>FL_MAT_ABC_70kg</t>
        </is>
      </c>
      <c r="B773" s="27" t="n">
        <v>0</v>
      </c>
      <c r="C773" s="27" t="inlineStr">
        <is>
          <t>FL_MAT_ABC_70kg</t>
        </is>
      </c>
      <c r="D773" s="28" t="inlineStr">
        <is>
          <t>Extintor ABC 70 kg sobre ruedas</t>
        </is>
      </c>
      <c r="E773" s="27" t="n">
        <v>1</v>
      </c>
      <c r="F773" s="27" t="inlineStr">
        <is>
          <t>u</t>
        </is>
      </c>
      <c r="G773" s="29" t="n"/>
      <c r="H773" s="29" t="n"/>
      <c r="I773" s="27" t="n"/>
      <c r="J773" s="28" t="n"/>
      <c r="K773" s="27" t="n"/>
      <c r="L773" s="27" t="n"/>
      <c r="M773" s="28" t="n"/>
      <c r="N773" s="28" t="n"/>
      <c r="O773" s="28" t="n"/>
      <c r="P773" s="28" t="inlineStr">
        <is>
          <t>IRAM 3550</t>
        </is>
      </c>
      <c r="Q773" s="27" t="inlineStr">
        <is>
          <t>P</t>
        </is>
      </c>
      <c r="R773" s="27" t="inlineStr">
        <is>
          <t>FL_MAT_ABC_70kg</t>
        </is>
      </c>
      <c r="S773" s="28" t="inlineStr">
        <is>
          <t>Fabricación propia</t>
        </is>
      </c>
    </row>
    <row r="774">
      <c r="A774" s="30" t="inlineStr">
        <is>
          <t>FL_MAT_ABC_70kg</t>
        </is>
      </c>
      <c r="B774" s="30" t="n">
        <v>1</v>
      </c>
      <c r="C774" s="30" t="inlineStr">
        <is>
          <t>FL_REC_ABC_70kg</t>
        </is>
      </c>
      <c r="D774" s="31" t="inlineStr">
        <is>
          <t xml:space="preserve">    Recipiente (cilindro)</t>
        </is>
      </c>
      <c r="E774" s="30" t="n">
        <v>1</v>
      </c>
      <c r="F774" s="30" t="inlineStr">
        <is>
          <t>u</t>
        </is>
      </c>
      <c r="G774" s="32" t="n"/>
      <c r="H774" s="32">
        <f>H775+H777+H778+H779+H780+H782</f>
        <v/>
      </c>
      <c r="I774" s="30" t="n"/>
      <c r="J774" s="31" t="n"/>
      <c r="K774" s="30" t="inlineStr">
        <is>
          <t>Fabricación</t>
        </is>
      </c>
      <c r="L774" s="30" t="n"/>
      <c r="M774" s="31" t="n"/>
      <c r="N774" s="31" t="n"/>
      <c r="O774" s="31" t="n"/>
      <c r="P774" s="31" t="inlineStr">
        <is>
          <t>IRAM 3523 / 3550 (recipiente)</t>
        </is>
      </c>
      <c r="Q774" s="30" t="inlineStr">
        <is>
          <t>P</t>
        </is>
      </c>
      <c r="R774" s="30" t="inlineStr">
        <is>
          <t>FL_REC_ABC_70kg</t>
        </is>
      </c>
      <c r="S774" s="31" t="n"/>
    </row>
    <row r="775">
      <c r="A775" s="33" t="inlineStr">
        <is>
          <t>FL_MAT_ABC_70kg</t>
        </is>
      </c>
      <c r="B775" s="33" t="n">
        <v>2</v>
      </c>
      <c r="C775" s="33" t="inlineStr">
        <is>
          <t>ABC70-01</t>
        </is>
      </c>
      <c r="D775" s="17" t="inlineStr">
        <is>
          <t xml:space="preserve">        Cuerpo (virola)</t>
        </is>
      </c>
      <c r="E775" s="33" t="n">
        <v>1</v>
      </c>
      <c r="F775" s="33" t="inlineStr">
        <is>
          <t>u</t>
        </is>
      </c>
      <c r="G775" s="34" t="n">
        <v>27.6309</v>
      </c>
      <c r="H775" s="34">
        <f>E775*G775</f>
        <v/>
      </c>
      <c r="I775" s="33" t="inlineStr">
        <is>
          <t>Chapa LAC IRAM-IAS U 500-04 e=4,75</t>
        </is>
      </c>
      <c r="J775" s="17" t="inlineStr">
        <is>
          <t>Ø350 × e4,75 × 683,2 de alto; desarrollo 1.084,6 × 683,2</t>
        </is>
      </c>
      <c r="K775" s="33" t="inlineStr">
        <is>
          <t>Fabricación</t>
        </is>
      </c>
      <c r="L775" s="33" t="inlineStr">
        <is>
          <t>No</t>
        </is>
      </c>
      <c r="M775" s="17" t="n"/>
      <c r="N775" s="17" t="n"/>
      <c r="O775" s="17" t="inlineStr">
        <is>
          <t>1 Guillotina -&gt; C1 cilindrado -&gt; C2 punteo -&gt; C3 sold. long.</t>
        </is>
      </c>
      <c r="P775" s="17" t="n"/>
      <c r="Q775" s="33" t="inlineStr">
        <is>
          <t>P</t>
        </is>
      </c>
      <c r="R775" s="33" t="inlineStr">
        <is>
          <t>FL_DES_ABC_70kg</t>
        </is>
      </c>
      <c r="S775" s="17" t="inlineStr">
        <is>
          <t>costura long. MAG</t>
        </is>
      </c>
    </row>
    <row r="776">
      <c r="A776" s="35" t="inlineStr">
        <is>
          <t>FL_MAT_ABC_70kg</t>
        </is>
      </c>
      <c r="B776" s="35" t="n">
        <v>3</v>
      </c>
      <c r="C776" s="35" t="inlineStr">
        <is>
          <t>MP-HOJA</t>
        </is>
      </c>
      <c r="D776" s="36" t="inlineStr">
        <is>
          <t xml:space="preserve">            Recorte de hoja LAC 1500 × 3000 e=4,75</t>
        </is>
      </c>
      <c r="E776" s="35" t="n">
        <v>1</v>
      </c>
      <c r="F776" s="35" t="inlineStr">
        <is>
          <t>u</t>
        </is>
      </c>
      <c r="G776" s="37" t="n">
        <v>41.925</v>
      </c>
      <c r="H776" s="37">
        <f>E776*G776</f>
        <v/>
      </c>
      <c r="I776" s="35" t="inlineStr">
        <is>
          <t>Chapa LAC IRAM-IAS U 500-04 LAC</t>
        </is>
      </c>
      <c r="J776" s="36" t="inlineStr">
        <is>
          <t>680 × 1.212 (aprovech. 73,3 %)</t>
        </is>
      </c>
      <c r="K776" s="35" t="inlineStr">
        <is>
          <t>Compra</t>
        </is>
      </c>
      <c r="L776" s="35" t="inlineStr">
        <is>
          <t>Sí</t>
        </is>
      </c>
      <c r="M776" s="36" t="inlineStr">
        <is>
          <t>Pradecon S.A.</t>
        </is>
      </c>
      <c r="N776" s="36" t="inlineStr">
        <is>
          <t>Pacheco Chapas</t>
        </is>
      </c>
      <c r="O776" s="36" t="inlineStr">
        <is>
          <t>AL-1H paquetes de hojas</t>
        </is>
      </c>
      <c r="P776" s="36" t="n"/>
      <c r="Q776" s="35" t="inlineStr">
        <is>
          <t>L</t>
        </is>
      </c>
      <c r="R776" s="35" t="inlineStr">
        <is>
          <t>FL_PI_04 h2</t>
        </is>
      </c>
      <c r="S776" s="36" t="n"/>
    </row>
    <row r="777">
      <c r="A777" s="33" t="inlineStr">
        <is>
          <t>FL_MAT_ABC_70kg</t>
        </is>
      </c>
      <c r="B777" s="33" t="n">
        <v>2</v>
      </c>
      <c r="C777" s="33" t="inlineStr">
        <is>
          <t>ABC70-02</t>
        </is>
      </c>
      <c r="D777" s="17" t="inlineStr">
        <is>
          <t xml:space="preserve">        Cúpula</t>
        </is>
      </c>
      <c r="E777" s="33" t="n">
        <v>1</v>
      </c>
      <c r="F777" s="33" t="inlineStr">
        <is>
          <t>u</t>
        </is>
      </c>
      <c r="G777" s="34" t="n">
        <v>5.1255</v>
      </c>
      <c r="H777" s="34">
        <f>E777*G777</f>
        <v/>
      </c>
      <c r="I777" s="33" t="inlineStr">
        <is>
          <t>Chapa LAC IRAM-IAS U 500-04 e=4,75</t>
        </is>
      </c>
      <c r="J777" s="17" t="inlineStr">
        <is>
          <t>Ø350 × e4,75 × 111,8 de alto; disco Ø430,9</t>
        </is>
      </c>
      <c r="K777" s="33" t="inlineStr">
        <is>
          <t>Compra (tapa embutida tercerizada)</t>
        </is>
      </c>
      <c r="L777" s="33" t="inlineStr">
        <is>
          <t>Sí</t>
        </is>
      </c>
      <c r="M777" s="17" t="inlineStr">
        <is>
          <t>Gockel Ingeniería S.R.L.</t>
        </is>
      </c>
      <c r="N777" s="17" t="inlineStr">
        <is>
          <t>-</t>
        </is>
      </c>
      <c r="O777" s="17" t="inlineStr">
        <is>
          <t>Compra (casquetes de carros, rack RK1)</t>
        </is>
      </c>
      <c r="P777" s="17" t="n"/>
      <c r="Q777" s="33" t="inlineStr">
        <is>
          <t>P</t>
        </is>
      </c>
      <c r="R777" s="33" t="inlineStr">
        <is>
          <t>FL_DES_ABC_70kg</t>
        </is>
      </c>
      <c r="S777" s="17" t="inlineStr">
        <is>
          <t>embutida</t>
        </is>
      </c>
    </row>
    <row r="778">
      <c r="A778" s="33" t="inlineStr">
        <is>
          <t>FL_MAT_ABC_70kg</t>
        </is>
      </c>
      <c r="B778" s="33" t="n">
        <v>2</v>
      </c>
      <c r="C778" s="33" t="inlineStr">
        <is>
          <t>ABC70-03</t>
        </is>
      </c>
      <c r="D778" s="17" t="inlineStr">
        <is>
          <t xml:space="preserve">        Fondo</t>
        </is>
      </c>
      <c r="E778" s="33" t="n">
        <v>1</v>
      </c>
      <c r="F778" s="33" t="inlineStr">
        <is>
          <t>u</t>
        </is>
      </c>
      <c r="G778" s="34" t="n">
        <v>5.4357</v>
      </c>
      <c r="H778" s="34">
        <f>E778*G778</f>
        <v/>
      </c>
      <c r="I778" s="33" t="inlineStr">
        <is>
          <t>Chapa LAC IRAM-IAS U 500-04 e=4,75</t>
        </is>
      </c>
      <c r="J778" s="17" t="inlineStr">
        <is>
          <t>Ø350 × e4,75 × 114,8 de alto; disco Ø443,7</t>
        </is>
      </c>
      <c r="K778" s="33" t="inlineStr">
        <is>
          <t>Compra (tapa embutida tercerizada)</t>
        </is>
      </c>
      <c r="L778" s="33" t="inlineStr">
        <is>
          <t>Sí</t>
        </is>
      </c>
      <c r="M778" s="17" t="inlineStr">
        <is>
          <t>Gockel Ingeniería S.R.L.</t>
        </is>
      </c>
      <c r="N778" s="17" t="inlineStr">
        <is>
          <t>-</t>
        </is>
      </c>
      <c r="O778" s="17" t="inlineStr">
        <is>
          <t>Compra (casquetes de carros, rack RK1)</t>
        </is>
      </c>
      <c r="P778" s="17" t="n"/>
      <c r="Q778" s="33" t="inlineStr">
        <is>
          <t>P</t>
        </is>
      </c>
      <c r="R778" s="33" t="inlineStr">
        <is>
          <t>FL_DES_ABC_70kg</t>
        </is>
      </c>
      <c r="S778" s="17" t="inlineStr">
        <is>
          <t>embutido</t>
        </is>
      </c>
    </row>
    <row r="779">
      <c r="A779" s="33" t="inlineStr">
        <is>
          <t>FL_MAT_ABC_70kg</t>
        </is>
      </c>
      <c r="B779" s="33" t="n">
        <v>2</v>
      </c>
      <c r="C779" s="33" t="inlineStr">
        <is>
          <t>ABC70-04</t>
        </is>
      </c>
      <c r="D779" s="17" t="inlineStr">
        <is>
          <t xml:space="preserve">        Cuello roscado</t>
        </is>
      </c>
      <c r="E779" s="33" t="n">
        <v>1</v>
      </c>
      <c r="F779" s="33" t="inlineStr">
        <is>
          <t>u</t>
        </is>
      </c>
      <c r="G779" s="34" t="n">
        <v>0.6199</v>
      </c>
      <c r="H779" s="34">
        <f>E779*G779</f>
        <v/>
      </c>
      <c r="I779" s="33" t="inlineStr">
        <is>
          <t>Acero SAE 1010</t>
        </is>
      </c>
      <c r="J779" s="17" t="inlineStr">
        <is>
          <t>Ø88 × 37 de alto, rosca RBSP 2 1/2"-11 h, asiento Ø80</t>
        </is>
      </c>
      <c r="K779" s="33" t="inlineStr">
        <is>
          <t>Compra (mecanizado, Eli-Met)</t>
        </is>
      </c>
      <c r="L779" s="33" t="inlineStr">
        <is>
          <t>Sí</t>
        </is>
      </c>
      <c r="M779" s="17" t="inlineStr">
        <is>
          <t>Eli-Met</t>
        </is>
      </c>
      <c r="N779" s="17" t="inlineStr">
        <is>
          <t>-</t>
        </is>
      </c>
      <c r="O779" s="17" t="inlineStr">
        <is>
          <t>Compra -&gt; C2 punteo</t>
        </is>
      </c>
      <c r="P779" s="17" t="n"/>
      <c r="Q779" s="33" t="inlineStr">
        <is>
          <t>P</t>
        </is>
      </c>
      <c r="R779" s="33" t="inlineStr">
        <is>
          <t>FL_DES_ABC_70kg</t>
        </is>
      </c>
      <c r="S779" s="17" t="inlineStr">
        <is>
          <t>RBSP 2 1/2"-11 h</t>
        </is>
      </c>
    </row>
    <row r="780">
      <c r="A780" s="41" t="inlineStr">
        <is>
          <t>FL_MAT_ABC_70kg</t>
        </is>
      </c>
      <c r="B780" s="41" t="n">
        <v>2</v>
      </c>
      <c r="C780" s="41" t="inlineStr">
        <is>
          <t>ABC70-05</t>
        </is>
      </c>
      <c r="D780" s="18" t="inlineStr">
        <is>
          <t xml:space="preserve">        Varilla de refuerzo interior</t>
        </is>
      </c>
      <c r="E780" s="41" t="n">
        <v>1</v>
      </c>
      <c r="F780" s="41" t="inlineStr">
        <is>
          <t>u</t>
        </is>
      </c>
      <c r="G780" s="42" t="n">
        <v>0.2577</v>
      </c>
      <c r="H780" s="42">
        <f>E780*G780</f>
        <v/>
      </c>
      <c r="I780" s="41" t="inlineStr">
        <is>
          <t>Redondo liso SAE 1010 Ø8</t>
        </is>
      </c>
      <c r="J780" s="18" t="inlineStr">
        <is>
          <t>653,2 × 8 × 8</t>
        </is>
      </c>
      <c r="K780" s="41" t="inlineStr">
        <is>
          <t>Fabricación</t>
        </is>
      </c>
      <c r="L780" s="41" t="inlineStr">
        <is>
          <t>No</t>
        </is>
      </c>
      <c r="M780" s="18" t="n"/>
      <c r="N780" s="18" t="n"/>
      <c r="O780" s="18" t="inlineStr">
        <is>
          <t>Corte de barra -&gt; C2 punteo interior antes de C3 soldadura longitudinal</t>
        </is>
      </c>
      <c r="P780" s="18" t="n"/>
      <c r="Q780" s="41" t="inlineStr">
        <is>
          <t>P</t>
        </is>
      </c>
      <c r="R780" s="41" t="inlineStr">
        <is>
          <t>FL_DES_ABC_70kg</t>
        </is>
      </c>
      <c r="S780" s="18" t="inlineStr">
        <is>
          <t>Interior, detrás de la costura longitudinal; se puntea antes de la soldadura longitudinal para mantener la simetría del cilindrado (decisión FLAMA). Ø8 = propuesta de diseño, sin cálculo</t>
        </is>
      </c>
    </row>
    <row r="781">
      <c r="A781" s="47" t="inlineStr">
        <is>
          <t>FL_MAT_ABC_70kg</t>
        </is>
      </c>
      <c r="B781" s="47" t="n">
        <v>3</v>
      </c>
      <c r="C781" s="47" t="inlineStr">
        <is>
          <t>MP-VARILLA</t>
        </is>
      </c>
      <c r="D781" s="48" t="inlineStr">
        <is>
          <t xml:space="preserve">            Redondo liso SAE 1010 Ø8 (tramo de barra de 6 m)</t>
        </is>
      </c>
      <c r="E781" s="47" t="n">
        <v>0.1089</v>
      </c>
      <c r="F781" s="47" t="inlineStr">
        <is>
          <t>barra</t>
        </is>
      </c>
      <c r="G781" s="49" t="n">
        <v>2.37</v>
      </c>
      <c r="H781" s="49">
        <f>E781*G781</f>
        <v/>
      </c>
      <c r="I781" s="47" t="inlineStr">
        <is>
          <t>Redondo liso SAE 1010 Ø8</t>
        </is>
      </c>
      <c r="J781" s="48" t="inlineStr">
        <is>
          <t>653 mm por pieza (kg por barra de 6 m)</t>
        </is>
      </c>
      <c r="K781" s="47" t="inlineStr">
        <is>
          <t>Compra</t>
        </is>
      </c>
      <c r="L781" s="47" t="inlineStr">
        <is>
          <t>Sí</t>
        </is>
      </c>
      <c r="M781" s="48" t="inlineStr">
        <is>
          <t>Hierros Parrotta</t>
        </is>
      </c>
      <c r="N781" s="48" t="inlineStr">
        <is>
          <t>Aceros Inoxidables Caseros</t>
        </is>
      </c>
      <c r="O781" s="48" t="inlineStr">
        <is>
          <t>Corte en sierra</t>
        </is>
      </c>
      <c r="P781" s="48" t="n"/>
      <c r="Q781" s="47" t="inlineStr">
        <is>
          <t>C</t>
        </is>
      </c>
      <c r="R781" s="47" t="n"/>
      <c r="S781" s="48" t="inlineStr">
        <is>
          <t>Ø8 = propuesta de diseño (sin cálculo)</t>
        </is>
      </c>
    </row>
    <row r="782">
      <c r="A782" s="41" t="inlineStr">
        <is>
          <t>FL_MAT_ABC_70kg</t>
        </is>
      </c>
      <c r="B782" s="41" t="n">
        <v>2</v>
      </c>
      <c r="C782" s="41" t="inlineStr">
        <is>
          <t>ABC70-C1</t>
        </is>
      </c>
      <c r="D782" s="18" t="inlineStr">
        <is>
          <t xml:space="preserve">        Alambre MAG ER70S-6 Ø1,2 (AWS A5.18)</t>
        </is>
      </c>
      <c r="E782" s="41" t="n">
        <v>0.9806</v>
      </c>
      <c r="F782" s="41" t="inlineStr">
        <is>
          <t>kg</t>
        </is>
      </c>
      <c r="G782" s="42" t="n">
        <v>0.95</v>
      </c>
      <c r="H782" s="42">
        <f>E782*G782</f>
        <v/>
      </c>
      <c r="I782" s="41" t="inlineStr">
        <is>
          <t>ER70S-6</t>
        </is>
      </c>
      <c r="J782" s="18" t="inlineStr">
        <is>
          <t>metal depositado de los cordones del plano 932 g / rendimiento 0,95</t>
        </is>
      </c>
      <c r="K782" s="41" t="inlineStr">
        <is>
          <t>Compra</t>
        </is>
      </c>
      <c r="L782" s="41" t="inlineStr">
        <is>
          <t>Sí</t>
        </is>
      </c>
      <c r="M782" s="18" t="inlineStr">
        <is>
          <t>Conarco (ESAB Argentina)</t>
        </is>
      </c>
      <c r="N782" s="18" t="inlineStr">
        <is>
          <t>-</t>
        </is>
      </c>
      <c r="O782" s="18" t="inlineStr">
        <is>
          <t>4 sold. long. / 8 cuello / 11 circunferencial</t>
        </is>
      </c>
      <c r="P782" s="18" t="inlineStr">
        <is>
          <t>IRAM 3523 3.2.4.2 · IRAM 3550 4.1.2</t>
        </is>
      </c>
      <c r="Q782" s="41" t="inlineStr">
        <is>
          <t>C</t>
        </is>
      </c>
      <c r="R782" s="41" t="n"/>
      <c r="S78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83">
      <c r="A783" s="41" t="inlineStr">
        <is>
          <t>FL_MAT_ABC_70kg</t>
        </is>
      </c>
      <c r="B783" s="41" t="n">
        <v>2</v>
      </c>
      <c r="C783" s="41" t="inlineStr">
        <is>
          <t>ABC70-C2</t>
        </is>
      </c>
      <c r="D783" s="18" t="inlineStr">
        <is>
          <t xml:space="preserve">        Gas de protección MAG Arcal 21 / ARCAL Speed (Ar + 8 % CO₂, M20)</t>
        </is>
      </c>
      <c r="E783" s="41" t="n">
        <v>73.7</v>
      </c>
      <c r="F783" s="41" t="inlineStr">
        <is>
          <t>L</t>
        </is>
      </c>
      <c r="G783" s="42" t="n"/>
      <c r="H783" s="42" t="n"/>
      <c r="I783" s="41" t="inlineStr">
        <is>
          <t>EN ISO 14175 M20-ArC-8</t>
        </is>
      </c>
      <c r="J783" s="18" t="inlineStr">
        <is>
          <t>14 L/min × 5,26 min de arco (cordones 3.159 mm: long. 683 + circ. 2.199 + cuello 276, a 600 mm/min)</t>
        </is>
      </c>
      <c r="K783" s="41" t="inlineStr">
        <is>
          <t>Compra</t>
        </is>
      </c>
      <c r="L783" s="41" t="inlineStr">
        <is>
          <t>Sí</t>
        </is>
      </c>
      <c r="M783" s="18" t="inlineStr">
        <is>
          <t>Air Liquide Argentina - sucursal Piñeyro</t>
        </is>
      </c>
      <c r="N783" s="18" t="inlineStr">
        <is>
          <t>Gogniat</t>
        </is>
      </c>
      <c r="O783" s="18" t="inlineStr">
        <is>
          <t>Colector SC</t>
        </is>
      </c>
      <c r="P783" s="18" t="inlineStr">
        <is>
          <t>IRAM 3523 3.2.4.2 · IRAM 3550 3.2.2.2</t>
        </is>
      </c>
      <c r="Q783" s="41" t="inlineStr">
        <is>
          <t>C</t>
        </is>
      </c>
      <c r="R783" s="41" t="n"/>
      <c r="S78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84">
      <c r="A784" s="33" t="inlineStr">
        <is>
          <t>FL_MAT_ABC_70kg</t>
        </is>
      </c>
      <c r="B784" s="33" t="n">
        <v>2</v>
      </c>
      <c r="C784" s="33" t="inlineStr">
        <is>
          <t>ABC70-C4</t>
        </is>
      </c>
      <c r="D784" s="17" t="inlineStr">
        <is>
          <t xml:space="preserve">        Servicio de pintura en polvo al horno, rojo 03-1-050 (con preparación por quemado)</t>
        </is>
      </c>
      <c r="E784" s="33" t="n">
        <v>1</v>
      </c>
      <c r="F784" s="33" t="inlineStr">
        <is>
          <t>u</t>
        </is>
      </c>
      <c r="G784" s="34" t="n"/>
      <c r="H784" s="34" t="n"/>
      <c r="I784" s="33" t="inlineStr">
        <is>
          <t>Servicio tercerizado</t>
        </is>
      </c>
      <c r="J784" s="17" t="inlineStr">
        <is>
          <t>superficie exterior 1,024 m²</t>
        </is>
      </c>
      <c r="K784" s="33" t="inlineStr">
        <is>
          <t>Compra (servicio)</t>
        </is>
      </c>
      <c r="L784" s="33" t="inlineStr">
        <is>
          <t>Sí</t>
        </is>
      </c>
      <c r="M784" s="17" t="inlineStr">
        <is>
          <t>Pintor de carros (cotización por mensaje)</t>
        </is>
      </c>
      <c r="N784" s="17" t="inlineStr">
        <is>
          <t>Prymax</t>
        </is>
      </c>
      <c r="O784" s="17" t="inlineStr">
        <is>
          <t>17 Pintura tercerizada</t>
        </is>
      </c>
      <c r="P784" s="17" t="inlineStr">
        <is>
          <t>IRAM 3523 5.3 / IRAM 3550 3.11 · IRAM 121</t>
        </is>
      </c>
      <c r="Q784" s="33" t="inlineStr">
        <is>
          <t>Q</t>
        </is>
      </c>
      <c r="R784" s="33" t="n"/>
      <c r="S784" s="17" t="inlineStr">
        <is>
          <t>Q-CARROS (precio por carro); exigir informe de niebla salina del sistema de pintura; tercerización aceptada por el Ministerio (Res. 349/07 art. 18)</t>
        </is>
      </c>
    </row>
    <row r="785">
      <c r="A785" s="30" t="inlineStr">
        <is>
          <t>FL_MAT_ABC_70kg</t>
        </is>
      </c>
      <c r="B785" s="30" t="n">
        <v>1</v>
      </c>
      <c r="C785" s="30" t="inlineStr">
        <is>
          <t>ABC70-S2</t>
        </is>
      </c>
      <c r="D785" s="31" t="inlineStr">
        <is>
          <t xml:space="preserve">    Conjunto de válvula</t>
        </is>
      </c>
      <c r="E785" s="30" t="n">
        <v>1</v>
      </c>
      <c r="F785" s="30" t="inlineStr">
        <is>
          <t>u</t>
        </is>
      </c>
      <c r="G785" s="32" t="n"/>
      <c r="H785" s="32">
        <f>H786+H787+H788+H790+H791+H792+H793+H794+H795+H796</f>
        <v/>
      </c>
      <c r="I785" s="30" t="n"/>
      <c r="J785" s="31" t="n"/>
      <c r="K785" s="30" t="inlineStr">
        <is>
          <t>Compra / armado</t>
        </is>
      </c>
      <c r="L785" s="30" t="n"/>
      <c r="M785" s="31" t="n"/>
      <c r="N785" s="31" t="n"/>
      <c r="O785" s="31" t="n"/>
      <c r="P785" s="31" t="inlineStr">
        <is>
          <t>Manómetro IRAM 3533</t>
        </is>
      </c>
      <c r="Q785" s="30" t="inlineStr">
        <is>
          <t>P</t>
        </is>
      </c>
      <c r="R785" s="30" t="inlineStr">
        <is>
          <t>FL_DES_ABC_70kg</t>
        </is>
      </c>
      <c r="S785" s="31" t="n"/>
    </row>
    <row r="786">
      <c r="A786" s="33" t="inlineStr">
        <is>
          <t>FL_MAT_ABC_70kg</t>
        </is>
      </c>
      <c r="B786" s="33" t="n">
        <v>2</v>
      </c>
      <c r="C786" s="33" t="inlineStr">
        <is>
          <t>ABC70-12</t>
        </is>
      </c>
      <c r="D786" s="17" t="inlineStr">
        <is>
          <t xml:space="preserve">        Collarín de válvula</t>
        </is>
      </c>
      <c r="E786" s="33" t="n">
        <v>1</v>
      </c>
      <c r="F786" s="33" t="inlineStr">
        <is>
          <t>u</t>
        </is>
      </c>
      <c r="G786" s="34" t="n">
        <v>0.4107</v>
      </c>
      <c r="H786" s="34">
        <f>E786*G786</f>
        <v/>
      </c>
      <c r="I786" s="33" t="inlineStr">
        <is>
          <t>Latón forjado</t>
        </is>
      </c>
      <c r="J786" s="17" t="inlineStr">
        <is>
          <t>96,1 × 96,1 × 13,5</t>
        </is>
      </c>
      <c r="K786" s="33" t="inlineStr">
        <is>
          <t>Incluido en válvula HZ</t>
        </is>
      </c>
      <c r="L786" s="33" t="inlineStr">
        <is>
          <t>No</t>
        </is>
      </c>
      <c r="M786" s="17" t="n"/>
      <c r="N786" s="17" t="n"/>
      <c r="O786" s="17" t="inlineStr">
        <is>
          <t>C9 armado</t>
        </is>
      </c>
      <c r="P786" s="17" t="n"/>
      <c r="Q786" s="33" t="inlineStr">
        <is>
          <t>P</t>
        </is>
      </c>
      <c r="R786" s="33" t="inlineStr">
        <is>
          <t>FL_DES_ABC_70kg</t>
        </is>
      </c>
      <c r="S786" s="17" t="n"/>
    </row>
    <row r="787">
      <c r="A787" s="33" t="inlineStr">
        <is>
          <t>FL_MAT_ABC_70kg</t>
        </is>
      </c>
      <c r="B787" s="33" t="n">
        <v>2</v>
      </c>
      <c r="C787" s="33" t="inlineStr">
        <is>
          <t>ABC70-13</t>
        </is>
      </c>
      <c r="D787" s="17" t="inlineStr">
        <is>
          <t xml:space="preserve">        Espiga roscada</t>
        </is>
      </c>
      <c r="E787" s="33" t="n">
        <v>1</v>
      </c>
      <c r="F787" s="33" t="inlineStr">
        <is>
          <t>u</t>
        </is>
      </c>
      <c r="G787" s="34" t="n">
        <v>0.1187</v>
      </c>
      <c r="H787" s="34">
        <f>E787*G787</f>
        <v/>
      </c>
      <c r="I787" s="33" t="inlineStr">
        <is>
          <t>Latón forjado</t>
        </is>
      </c>
      <c r="J787" s="17" t="inlineStr">
        <is>
          <t>72,2 × 72,2 × 16,2</t>
        </is>
      </c>
      <c r="K787" s="33" t="inlineStr">
        <is>
          <t>Incluido en válvula HZ</t>
        </is>
      </c>
      <c r="L787" s="33" t="inlineStr">
        <is>
          <t>No</t>
        </is>
      </c>
      <c r="M787" s="17" t="n"/>
      <c r="N787" s="17" t="n"/>
      <c r="O787" s="17" t="inlineStr">
        <is>
          <t>C9 armado</t>
        </is>
      </c>
      <c r="P787" s="17" t="n"/>
      <c r="Q787" s="33" t="inlineStr">
        <is>
          <t>P</t>
        </is>
      </c>
      <c r="R787" s="33" t="inlineStr">
        <is>
          <t>FL_DES_ABC_70kg</t>
        </is>
      </c>
      <c r="S787" s="17" t="n"/>
    </row>
    <row r="788">
      <c r="A788" s="33" t="inlineStr">
        <is>
          <t>FL_MAT_ABC_70kg</t>
        </is>
      </c>
      <c r="B788" s="33" t="n">
        <v>2</v>
      </c>
      <c r="C788" s="33" t="inlineStr">
        <is>
          <t>ABC70-14</t>
        </is>
      </c>
      <c r="D788" s="17" t="inlineStr">
        <is>
          <t xml:space="preserve">        Cuerpo de válvula</t>
        </is>
      </c>
      <c r="E788" s="33" t="n">
        <v>1</v>
      </c>
      <c r="F788" s="33" t="inlineStr">
        <is>
          <t>u</t>
        </is>
      </c>
      <c r="G788" s="34" t="n">
        <v>0.7378</v>
      </c>
      <c r="H788" s="34">
        <f>E788*G788</f>
        <v/>
      </c>
      <c r="I788" s="33" t="inlineStr">
        <is>
          <t>Latón forjado</t>
        </is>
      </c>
      <c r="J788" s="17" t="inlineStr">
        <is>
          <t>58,4 × 54 × 46,3</t>
        </is>
      </c>
      <c r="K788" s="33" t="inlineStr">
        <is>
          <t>Incluido en válvula HZ</t>
        </is>
      </c>
      <c r="L788" s="33" t="inlineStr">
        <is>
          <t>No</t>
        </is>
      </c>
      <c r="M788" s="17" t="n"/>
      <c r="N788" s="17" t="n"/>
      <c r="O788" s="17" t="inlineStr">
        <is>
          <t>C9 armado</t>
        </is>
      </c>
      <c r="P788" s="17" t="n"/>
      <c r="Q788" s="33" t="inlineStr">
        <is>
          <t>P</t>
        </is>
      </c>
      <c r="R788" s="33" t="inlineStr">
        <is>
          <t>FL_DES_ABC_70kg</t>
        </is>
      </c>
      <c r="S788" s="17" t="n"/>
    </row>
    <row r="789">
      <c r="A789" s="45" t="inlineStr">
        <is>
          <t>FL_MAT_ABC_70kg</t>
        </is>
      </c>
      <c r="B789" s="45" t="n">
        <v>2</v>
      </c>
      <c r="C789" s="45" t="inlineStr">
        <is>
          <t>ABC70-15</t>
        </is>
      </c>
      <c r="D789" s="19" t="inlineStr">
        <is>
          <t xml:space="preserve">        Manómetro</t>
        </is>
      </c>
      <c r="E789" s="45" t="n">
        <v>1</v>
      </c>
      <c r="F789" s="45" t="inlineStr">
        <is>
          <t>u</t>
        </is>
      </c>
      <c r="G789" s="46" t="n"/>
      <c r="H789" s="46" t="n"/>
      <c r="I789" s="45" t="inlineStr">
        <is>
          <t>Comercial</t>
        </is>
      </c>
      <c r="J789" s="19" t="inlineStr">
        <is>
          <t>Ø50 esfera, rango 0-3,5 MPa, sector verde en 1,4</t>
        </is>
      </c>
      <c r="K789" s="45" t="inlineStr">
        <is>
          <t>Compra</t>
        </is>
      </c>
      <c r="L789" s="45" t="inlineStr">
        <is>
          <t>Sí</t>
        </is>
      </c>
      <c r="M789" s="19" t="inlineStr">
        <is>
          <t>Yukon / MatafuegosYa S.R.L.</t>
        </is>
      </c>
      <c r="N789" s="19" t="inlineStr">
        <is>
          <t>Matafuegos Iglesias</t>
        </is>
      </c>
      <c r="O789" s="19" t="inlineStr">
        <is>
          <t>C9 armado</t>
        </is>
      </c>
      <c r="P789" s="19" t="inlineStr">
        <is>
          <t>IRAM 3533</t>
        </is>
      </c>
      <c r="Q789" s="45" t="inlineStr">
        <is>
          <t>P</t>
        </is>
      </c>
      <c r="R789" s="45" t="inlineStr">
        <is>
          <t>FL_DES_ABC_70kg</t>
        </is>
      </c>
      <c r="S789" s="19" t="inlineStr">
        <is>
          <t>Pieza comercial; sello IRAM 3533; peso: completar con la ficha del proveedor (no afecta el MRP)</t>
        </is>
      </c>
    </row>
    <row r="790">
      <c r="A790" s="33" t="inlineStr">
        <is>
          <t>FL_MAT_ABC_70kg</t>
        </is>
      </c>
      <c r="B790" s="33" t="n">
        <v>2</v>
      </c>
      <c r="C790" s="33" t="inlineStr">
        <is>
          <t>ABC70-16</t>
        </is>
      </c>
      <c r="D790" s="17" t="inlineStr">
        <is>
          <t xml:space="preserve">        Manija de transporte</t>
        </is>
      </c>
      <c r="E790" s="33" t="n">
        <v>1</v>
      </c>
      <c r="F790" s="33" t="inlineStr">
        <is>
          <t>u</t>
        </is>
      </c>
      <c r="G790" s="34" t="n">
        <v>0.1131</v>
      </c>
      <c r="H790" s="34">
        <f>E790*G790</f>
        <v/>
      </c>
      <c r="I790" s="33" t="inlineStr">
        <is>
          <t>Chapa acero SAE 1010 pintada</t>
        </is>
      </c>
      <c r="J790" s="17" t="inlineStr">
        <is>
          <t>98,8 × 27 × 15,7</t>
        </is>
      </c>
      <c r="K790" s="33" t="inlineStr">
        <is>
          <t>Incluido en válvula HZ</t>
        </is>
      </c>
      <c r="L790" s="33" t="inlineStr">
        <is>
          <t>No</t>
        </is>
      </c>
      <c r="M790" s="17" t="n"/>
      <c r="N790" s="17" t="n"/>
      <c r="O790" s="17" t="inlineStr">
        <is>
          <t>C9 armado</t>
        </is>
      </c>
      <c r="P790" s="17" t="n"/>
      <c r="Q790" s="33" t="inlineStr">
        <is>
          <t>P</t>
        </is>
      </c>
      <c r="R790" s="33" t="inlineStr">
        <is>
          <t>FL_DES_ABC_70kg</t>
        </is>
      </c>
      <c r="S790" s="17" t="n"/>
    </row>
    <row r="791">
      <c r="A791" s="33" t="inlineStr">
        <is>
          <t>FL_MAT_ABC_70kg</t>
        </is>
      </c>
      <c r="B791" s="33" t="n">
        <v>2</v>
      </c>
      <c r="C791" s="33" t="inlineStr">
        <is>
          <t>ABC70-17</t>
        </is>
      </c>
      <c r="D791" s="17" t="inlineStr">
        <is>
          <t xml:space="preserve">        Manija de accionamiento</t>
        </is>
      </c>
      <c r="E791" s="33" t="n">
        <v>1</v>
      </c>
      <c r="F791" s="33" t="inlineStr">
        <is>
          <t>u</t>
        </is>
      </c>
      <c r="G791" s="34" t="n">
        <v>0.1811</v>
      </c>
      <c r="H791" s="34">
        <f>E791*G791</f>
        <v/>
      </c>
      <c r="I791" s="33" t="inlineStr">
        <is>
          <t>Chapa acero SAE 1010 pintada</t>
        </is>
      </c>
      <c r="J791" s="17" t="inlineStr">
        <is>
          <t>157,7 × 27 × 24,6</t>
        </is>
      </c>
      <c r="K791" s="33" t="inlineStr">
        <is>
          <t>Incluido en válvula HZ</t>
        </is>
      </c>
      <c r="L791" s="33" t="inlineStr">
        <is>
          <t>No</t>
        </is>
      </c>
      <c r="M791" s="17" t="n"/>
      <c r="N791" s="17" t="n"/>
      <c r="O791" s="17" t="inlineStr">
        <is>
          <t>C9 armado</t>
        </is>
      </c>
      <c r="P791" s="17" t="n"/>
      <c r="Q791" s="33" t="inlineStr">
        <is>
          <t>P</t>
        </is>
      </c>
      <c r="R791" s="33" t="inlineStr">
        <is>
          <t>FL_DES_ABC_70kg</t>
        </is>
      </c>
      <c r="S791" s="17" t="n"/>
    </row>
    <row r="792">
      <c r="A792" s="33" t="inlineStr">
        <is>
          <t>FL_MAT_ABC_70kg</t>
        </is>
      </c>
      <c r="B792" s="33" t="n">
        <v>2</v>
      </c>
      <c r="C792" s="33" t="inlineStr">
        <is>
          <t>ABC70-18</t>
        </is>
      </c>
      <c r="D792" s="17" t="inlineStr">
        <is>
          <t xml:space="preserve">        Eje de palanca</t>
        </is>
      </c>
      <c r="E792" s="33" t="n">
        <v>1</v>
      </c>
      <c r="F792" s="33" t="inlineStr">
        <is>
          <t>u</t>
        </is>
      </c>
      <c r="G792" s="34" t="n">
        <v>0.0199</v>
      </c>
      <c r="H792" s="34">
        <f>E792*G792</f>
        <v/>
      </c>
      <c r="I792" s="33" t="inlineStr">
        <is>
          <t>Acero inox. AISI 304</t>
        </is>
      </c>
      <c r="J792" s="17" t="inlineStr">
        <is>
          <t>48,6 × 8,1 × 8,1</t>
        </is>
      </c>
      <c r="K792" s="33" t="inlineStr">
        <is>
          <t>Incluido en válvula HZ</t>
        </is>
      </c>
      <c r="L792" s="33" t="inlineStr">
        <is>
          <t>No</t>
        </is>
      </c>
      <c r="M792" s="17" t="n"/>
      <c r="N792" s="17" t="n"/>
      <c r="O792" s="17" t="inlineStr">
        <is>
          <t>C9 armado</t>
        </is>
      </c>
      <c r="P792" s="17" t="n"/>
      <c r="Q792" s="33" t="inlineStr">
        <is>
          <t>P</t>
        </is>
      </c>
      <c r="R792" s="33" t="inlineStr">
        <is>
          <t>FL_DES_ABC_70kg</t>
        </is>
      </c>
      <c r="S792" s="17" t="n"/>
    </row>
    <row r="793">
      <c r="A793" s="33" t="inlineStr">
        <is>
          <t>FL_MAT_ABC_70kg</t>
        </is>
      </c>
      <c r="B793" s="33" t="n">
        <v>2</v>
      </c>
      <c r="C793" s="33" t="inlineStr">
        <is>
          <t>ABC70-19</t>
        </is>
      </c>
      <c r="D793" s="17" t="inlineStr">
        <is>
          <t xml:space="preserve">        Vástago</t>
        </is>
      </c>
      <c r="E793" s="33" t="n">
        <v>1</v>
      </c>
      <c r="F793" s="33" t="inlineStr">
        <is>
          <t>u</t>
        </is>
      </c>
      <c r="G793" s="34" t="n">
        <v>0.0039</v>
      </c>
      <c r="H793" s="34">
        <f>E793*G793</f>
        <v/>
      </c>
      <c r="I793" s="33" t="inlineStr">
        <is>
          <t>Latón</t>
        </is>
      </c>
      <c r="J793" s="17" t="inlineStr">
        <is>
          <t>10,8 × 10,8 × 5</t>
        </is>
      </c>
      <c r="K793" s="33" t="inlineStr">
        <is>
          <t>Incluido en válvula HZ</t>
        </is>
      </c>
      <c r="L793" s="33" t="inlineStr">
        <is>
          <t>No</t>
        </is>
      </c>
      <c r="M793" s="17" t="n"/>
      <c r="N793" s="17" t="n"/>
      <c r="O793" s="17" t="inlineStr">
        <is>
          <t>C9 armado</t>
        </is>
      </c>
      <c r="P793" s="17" t="n"/>
      <c r="Q793" s="33" t="inlineStr">
        <is>
          <t>P</t>
        </is>
      </c>
      <c r="R793" s="33" t="inlineStr">
        <is>
          <t>FL_DES_ABC_70kg</t>
        </is>
      </c>
      <c r="S793" s="17" t="inlineStr">
        <is>
          <t>con junta tórica</t>
        </is>
      </c>
    </row>
    <row r="794">
      <c r="A794" s="33" t="inlineStr">
        <is>
          <t>FL_MAT_ABC_70kg</t>
        </is>
      </c>
      <c r="B794" s="33" t="n">
        <v>2</v>
      </c>
      <c r="C794" s="33" t="inlineStr">
        <is>
          <t>ABC70-20</t>
        </is>
      </c>
      <c r="D794" s="17" t="inlineStr">
        <is>
          <t xml:space="preserve">        Pasador de seguridad</t>
        </is>
      </c>
      <c r="E794" s="33" t="n">
        <v>1</v>
      </c>
      <c r="F794" s="33" t="inlineStr">
        <is>
          <t>u</t>
        </is>
      </c>
      <c r="G794" s="34" t="n">
        <v>0.0135</v>
      </c>
      <c r="H794" s="34">
        <f>E794*G794</f>
        <v/>
      </c>
      <c r="I794" s="33" t="inlineStr">
        <is>
          <t>Alambre acero inox. AISI 304</t>
        </is>
      </c>
      <c r="J794" s="17" t="inlineStr">
        <is>
          <t>61,3 × 28,4 × 28,1</t>
        </is>
      </c>
      <c r="K794" s="33" t="inlineStr">
        <is>
          <t>Incluido en válvula HZ</t>
        </is>
      </c>
      <c r="L794" s="33" t="inlineStr">
        <is>
          <t>No</t>
        </is>
      </c>
      <c r="M794" s="17" t="n"/>
      <c r="N794" s="17" t="n"/>
      <c r="O794" s="17" t="inlineStr">
        <is>
          <t>C9 armado</t>
        </is>
      </c>
      <c r="P794" s="17" t="n"/>
      <c r="Q794" s="33" t="inlineStr">
        <is>
          <t>P</t>
        </is>
      </c>
      <c r="R794" s="33" t="inlineStr">
        <is>
          <t>FL_DES_ABC_70kg</t>
        </is>
      </c>
      <c r="S794" s="17" t="inlineStr">
        <is>
          <t>con precinto</t>
        </is>
      </c>
    </row>
    <row r="795">
      <c r="A795" s="33" t="inlineStr">
        <is>
          <t>FL_MAT_ABC_70kg</t>
        </is>
      </c>
      <c r="B795" s="33" t="n">
        <v>2</v>
      </c>
      <c r="C795" s="33" t="inlineStr">
        <is>
          <t>ABC70-21</t>
        </is>
      </c>
      <c r="D795" s="17" t="inlineStr">
        <is>
          <t xml:space="preserve">        Caño de pesca (sifón)</t>
        </is>
      </c>
      <c r="E795" s="33" t="n">
        <v>1</v>
      </c>
      <c r="F795" s="33" t="inlineStr">
        <is>
          <t>u</t>
        </is>
      </c>
      <c r="G795" s="34" t="n">
        <v>0.213</v>
      </c>
      <c r="H795" s="34">
        <f>E795*G795</f>
        <v/>
      </c>
      <c r="I795" s="33" t="inlineStr">
        <is>
          <t>Tubo PVC rígido</t>
        </is>
      </c>
      <c r="J795" s="17" t="inlineStr">
        <is>
          <t>Ø24 × 900,8 de largo</t>
        </is>
      </c>
      <c r="K795" s="33" t="inlineStr">
        <is>
          <t>Incluido en válvula HZ</t>
        </is>
      </c>
      <c r="L795" s="33" t="inlineStr">
        <is>
          <t>No</t>
        </is>
      </c>
      <c r="M795" s="17" t="n"/>
      <c r="N795" s="17" t="n"/>
      <c r="O795" s="17" t="inlineStr">
        <is>
          <t>C9 armado</t>
        </is>
      </c>
      <c r="P795" s="17" t="n"/>
      <c r="Q795" s="33" t="inlineStr">
        <is>
          <t>P</t>
        </is>
      </c>
      <c r="R795" s="33" t="inlineStr">
        <is>
          <t>FL_DES_ABC_70kg</t>
        </is>
      </c>
      <c r="S795" s="17" t="n"/>
    </row>
    <row r="796">
      <c r="A796" s="33" t="inlineStr">
        <is>
          <t>FL_MAT_ABC_70kg</t>
        </is>
      </c>
      <c r="B796" s="33" t="n">
        <v>2</v>
      </c>
      <c r="C796" s="33" t="inlineStr">
        <is>
          <t>ABC70-33</t>
        </is>
      </c>
      <c r="D796" s="17" t="inlineStr">
        <is>
          <t xml:space="preserve">        Junta tórica de asiento</t>
        </is>
      </c>
      <c r="E796" s="33" t="n">
        <v>1</v>
      </c>
      <c r="F796" s="33" t="inlineStr">
        <is>
          <t>u</t>
        </is>
      </c>
      <c r="G796" s="34" t="n">
        <v>0.0024</v>
      </c>
      <c r="H796" s="34">
        <f>E796*G796</f>
        <v/>
      </c>
      <c r="I796" s="33" t="inlineStr">
        <is>
          <t>NBR 70 Shore A</t>
        </is>
      </c>
      <c r="J796" s="17" t="inlineStr">
        <is>
          <t>Ø75,2 ext. × cordón 3</t>
        </is>
      </c>
      <c r="K796" s="33" t="inlineStr">
        <is>
          <t>Compra</t>
        </is>
      </c>
      <c r="L796" s="33" t="inlineStr">
        <is>
          <t>Sí</t>
        </is>
      </c>
      <c r="M796" s="17" t="inlineStr">
        <is>
          <t>Argensold</t>
        </is>
      </c>
      <c r="N796" s="17" t="inlineStr">
        <is>
          <t>Matafuegos Iglesias</t>
        </is>
      </c>
      <c r="O796" s="17" t="inlineStr">
        <is>
          <t>C9 armado</t>
        </is>
      </c>
      <c r="P796" s="17" t="n"/>
      <c r="Q796" s="33" t="inlineStr">
        <is>
          <t>P</t>
        </is>
      </c>
      <c r="R796" s="33" t="inlineStr">
        <is>
          <t>FL_DES_ABC_70kg</t>
        </is>
      </c>
      <c r="S796" s="17" t="inlineStr">
        <is>
          <t>cambio c/recarga</t>
        </is>
      </c>
    </row>
    <row r="797">
      <c r="A797" s="33" t="inlineStr">
        <is>
          <t>FL_MAT_ABC_70kg</t>
        </is>
      </c>
      <c r="B797" s="33" t="n">
        <v>2</v>
      </c>
      <c r="C797" s="33" t="inlineStr">
        <is>
          <t>ABC70-K2</t>
        </is>
      </c>
      <c r="D797" s="17" t="inlineStr">
        <is>
          <t xml:space="preserve">        Válvula HZ armada de carro 50-70-100 kg</t>
        </is>
      </c>
      <c r="E797" s="33" t="n">
        <v>1</v>
      </c>
      <c r="F797" s="33" t="inlineStr">
        <is>
          <t>u</t>
        </is>
      </c>
      <c r="G797" s="34" t="n"/>
      <c r="H797" s="34" t="n"/>
      <c r="I797" s="33" t="inlineStr">
        <is>
          <t>Latón forjado (HZ)</t>
        </is>
      </c>
      <c r="J797" s="17" t="inlineStr">
        <is>
          <t>rosca RBSP 2 1/2"-11 h</t>
        </is>
      </c>
      <c r="K797" s="33" t="inlineStr">
        <is>
          <t>Compra</t>
        </is>
      </c>
      <c r="L797" s="33" t="inlineStr">
        <is>
          <t>Sí</t>
        </is>
      </c>
      <c r="M797" s="17" t="inlineStr">
        <is>
          <t>Polvex S.R.L. / Sancibrao</t>
        </is>
      </c>
      <c r="N797" s="17" t="inlineStr">
        <is>
          <t>Mozart S.R.L.</t>
        </is>
      </c>
      <c r="O797" s="17" t="inlineStr">
        <is>
          <t>19 Ensamblaje de válvula</t>
        </is>
      </c>
      <c r="P797" s="17" t="inlineStr">
        <is>
          <t>IRAM 3523 3.3</t>
        </is>
      </c>
      <c r="Q797" s="33" t="inlineStr">
        <is>
          <t>Q</t>
        </is>
      </c>
      <c r="R797" s="33" t="inlineStr">
        <is>
          <t>FL_DES_ABC_70kg</t>
        </is>
      </c>
      <c r="S797" s="17" t="inlineStr">
        <is>
          <t>Lista de precios HZ (Q-AGENTES); plano Fadesa usa válvula HZ (R-FADESA). Trae las piezas marcadas «Incluido en válvula HZ»</t>
        </is>
      </c>
    </row>
    <row r="798">
      <c r="A798" s="33" t="inlineStr">
        <is>
          <t>FL_MAT_ABC_70kg</t>
        </is>
      </c>
      <c r="B798" s="33" t="n">
        <v>2</v>
      </c>
      <c r="C798" s="33" t="inlineStr">
        <is>
          <t>ABC70-V2</t>
        </is>
      </c>
      <c r="D798" s="17" t="inlineStr">
        <is>
          <t xml:space="preserve">        Resorte de retorno del vástago</t>
        </is>
      </c>
      <c r="E798" s="33" t="n">
        <v>1</v>
      </c>
      <c r="F798" s="33" t="inlineStr">
        <is>
          <t>u</t>
        </is>
      </c>
      <c r="G798" s="34" t="n"/>
      <c r="H798" s="34" t="n"/>
      <c r="I798" s="33" t="inlineStr">
        <is>
          <t>Acero para resortes</t>
        </is>
      </c>
      <c r="J798" s="17" t="inlineStr">
        <is>
          <t>incluido en la válvula</t>
        </is>
      </c>
      <c r="K798" s="33" t="inlineStr">
        <is>
          <t>Incluido en válvula HZ</t>
        </is>
      </c>
      <c r="L798" s="33" t="inlineStr">
        <is>
          <t>No</t>
        </is>
      </c>
      <c r="M798" s="17" t="n"/>
      <c r="N798" s="17" t="n"/>
      <c r="O798" s="17" t="inlineStr">
        <is>
          <t>19 Ensamblaje</t>
        </is>
      </c>
      <c r="P798" s="17" t="n"/>
      <c r="Q798" s="33" t="inlineStr">
        <is>
          <t>Q</t>
        </is>
      </c>
      <c r="R798" s="33" t="n"/>
      <c r="S798" s="17" t="inlineStr">
        <is>
          <t>Lista de precios HZ: válvula «c/resorte» (Q-AGENTES)</t>
        </is>
      </c>
    </row>
    <row r="799">
      <c r="A799" s="33" t="inlineStr">
        <is>
          <t>FL_MAT_ABC_70kg</t>
        </is>
      </c>
      <c r="B799" s="33" t="n">
        <v>2</v>
      </c>
      <c r="C799" s="33" t="inlineStr">
        <is>
          <t>ABC70-V3</t>
        </is>
      </c>
      <c r="D799" s="17" t="inlineStr">
        <is>
          <t xml:space="preserve">        Junta tórica del vástago</t>
        </is>
      </c>
      <c r="E799" s="33" t="n">
        <v>1</v>
      </c>
      <c r="F799" s="33" t="inlineStr">
        <is>
          <t>u</t>
        </is>
      </c>
      <c r="G799" s="34" t="n"/>
      <c r="H799" s="34" t="n"/>
      <c r="I799" s="33" t="inlineStr">
        <is>
          <t>NBR 70 Shore A</t>
        </is>
      </c>
      <c r="J799" s="17" t="inlineStr">
        <is>
          <t>incluida en la válvula</t>
        </is>
      </c>
      <c r="K799" s="33" t="inlineStr">
        <is>
          <t>Incluido en válvula HZ</t>
        </is>
      </c>
      <c r="L799" s="33" t="inlineStr">
        <is>
          <t>No</t>
        </is>
      </c>
      <c r="M799" s="17" t="n"/>
      <c r="N799" s="17" t="n"/>
      <c r="O799" s="17" t="inlineStr">
        <is>
          <t>19 Ensamblaje</t>
        </is>
      </c>
      <c r="P799" s="17" t="n"/>
      <c r="Q799" s="33" t="inlineStr">
        <is>
          <t>P</t>
        </is>
      </c>
      <c r="R799" s="33" t="n"/>
      <c r="S799" s="17" t="inlineStr">
        <is>
          <t>Figura en el plano como «vástago con junta tórica»</t>
        </is>
      </c>
    </row>
    <row r="800">
      <c r="A800" s="30" t="inlineStr">
        <is>
          <t>FL_MAT_ABC_70kg</t>
        </is>
      </c>
      <c r="B800" s="30" t="n">
        <v>1</v>
      </c>
      <c r="C800" s="30" t="inlineStr">
        <is>
          <t>ABC70-S3</t>
        </is>
      </c>
      <c r="D800" s="31" t="inlineStr">
        <is>
          <t xml:space="preserve">    Dispositivo de descarga</t>
        </is>
      </c>
      <c r="E800" s="30" t="n">
        <v>1</v>
      </c>
      <c r="F800" s="30" t="inlineStr">
        <is>
          <t>u</t>
        </is>
      </c>
      <c r="G800" s="32" t="n"/>
      <c r="H800" s="32">
        <f>H801+H802+H803+H804+H805+H806</f>
        <v/>
      </c>
      <c r="I800" s="30" t="n"/>
      <c r="J800" s="31" t="n"/>
      <c r="K800" s="30" t="inlineStr">
        <is>
          <t>Compra / armado</t>
        </is>
      </c>
      <c r="L800" s="30" t="n"/>
      <c r="M800" s="31" t="n"/>
      <c r="N800" s="31" t="n"/>
      <c r="O800" s="31" t="n"/>
      <c r="P800" s="31" t="n"/>
      <c r="Q800" s="30" t="inlineStr">
        <is>
          <t>P</t>
        </is>
      </c>
      <c r="R800" s="30" t="inlineStr">
        <is>
          <t>FL_DES_ABC_70kg</t>
        </is>
      </c>
      <c r="S800" s="31" t="n"/>
    </row>
    <row r="801">
      <c r="A801" s="33" t="inlineStr">
        <is>
          <t>FL_MAT_ABC_70kg</t>
        </is>
      </c>
      <c r="B801" s="33" t="n">
        <v>2</v>
      </c>
      <c r="C801" s="33" t="inlineStr">
        <is>
          <t>ABC70-22</t>
        </is>
      </c>
      <c r="D801" s="17" t="inlineStr">
        <is>
          <t xml:space="preserve">        Manguera (tramo enrollado)</t>
        </is>
      </c>
      <c r="E801" s="33" t="n">
        <v>1</v>
      </c>
      <c r="F801" s="33" t="inlineStr">
        <is>
          <t>u</t>
        </is>
      </c>
      <c r="G801" s="34" t="n">
        <v>0.5822000000000001</v>
      </c>
      <c r="H801" s="34">
        <f>E801*G801</f>
        <v/>
      </c>
      <c r="I801" s="33" t="inlineStr">
        <is>
          <t>Caucho sintético</t>
        </is>
      </c>
      <c r="J801" s="17" t="inlineStr">
        <is>
          <t>Ø25 × 1.544 de largo desarrollado</t>
        </is>
      </c>
      <c r="K801" s="33" t="inlineStr">
        <is>
          <t>Compra</t>
        </is>
      </c>
      <c r="L801" s="33" t="inlineStr">
        <is>
          <t>Sí</t>
        </is>
      </c>
      <c r="M801" s="17" t="inlineStr">
        <is>
          <t>Yukon / MatafuegosYa S.R.L.</t>
        </is>
      </c>
      <c r="N801" s="17" t="inlineStr">
        <is>
          <t>Matafuegos Iglesias</t>
        </is>
      </c>
      <c r="O801" s="17" t="inlineStr">
        <is>
          <t>C9 armado de ruedas y manguera</t>
        </is>
      </c>
      <c r="P801" s="17" t="n"/>
      <c r="Q801" s="33" t="inlineStr">
        <is>
          <t>P</t>
        </is>
      </c>
      <c r="R801" s="33" t="inlineStr">
        <is>
          <t>FL_DES_ABC_70kg</t>
        </is>
      </c>
      <c r="S801" s="17" t="n"/>
    </row>
    <row r="802">
      <c r="A802" s="33" t="inlineStr">
        <is>
          <t>FL_MAT_ABC_70kg</t>
        </is>
      </c>
      <c r="B802" s="33" t="n">
        <v>2</v>
      </c>
      <c r="C802" s="33" t="inlineStr">
        <is>
          <t>ABC70-23</t>
        </is>
      </c>
      <c r="D802" s="17" t="inlineStr">
        <is>
          <t xml:space="preserve">        Soporte de manguera</t>
        </is>
      </c>
      <c r="E802" s="33" t="n">
        <v>1</v>
      </c>
      <c r="F802" s="33" t="inlineStr">
        <is>
          <t>u</t>
        </is>
      </c>
      <c r="G802" s="34" t="n">
        <v>1.779</v>
      </c>
      <c r="H802" s="34">
        <f>E802*G802</f>
        <v/>
      </c>
      <c r="I802" s="33" t="inlineStr">
        <is>
          <t>Planchuela acero SAE 1010</t>
        </is>
      </c>
      <c r="J802" s="17" t="inlineStr">
        <is>
          <t>615,3 × 233,5 × 40,5</t>
        </is>
      </c>
      <c r="K802" s="33" t="inlineStr">
        <is>
          <t>Compra (estructura)</t>
        </is>
      </c>
      <c r="L802" s="33" t="inlineStr">
        <is>
          <t>Sí</t>
        </is>
      </c>
      <c r="M802" s="17" t="inlineStr">
        <is>
          <t>Yukon / MatafuegosYa S.R.L.</t>
        </is>
      </c>
      <c r="N802" s="17" t="inlineStr">
        <is>
          <t>Matafuegos Iglesias</t>
        </is>
      </c>
      <c r="O802" s="17" t="inlineStr">
        <is>
          <t>C9 armado de ruedas y manguera</t>
        </is>
      </c>
      <c r="P802" s="17" t="n"/>
      <c r="Q802" s="33" t="inlineStr">
        <is>
          <t>P</t>
        </is>
      </c>
      <c r="R802" s="33" t="inlineStr">
        <is>
          <t>FL_DES_ABC_70kg</t>
        </is>
      </c>
      <c r="S802" s="17" t="n"/>
    </row>
    <row r="803">
      <c r="A803" s="33" t="inlineStr">
        <is>
          <t>FL_MAT_ABC_70kg</t>
        </is>
      </c>
      <c r="B803" s="33" t="n">
        <v>2</v>
      </c>
      <c r="C803" s="33" t="inlineStr">
        <is>
          <t>ABC70-24</t>
        </is>
      </c>
      <c r="D803" s="17" t="inlineStr">
        <is>
          <t xml:space="preserve">        Racor de manguera</t>
        </is>
      </c>
      <c r="E803" s="33" t="n">
        <v>1</v>
      </c>
      <c r="F803" s="33" t="inlineStr">
        <is>
          <t>u</t>
        </is>
      </c>
      <c r="G803" s="34" t="n">
        <v>0.0612</v>
      </c>
      <c r="H803" s="34">
        <f>E803*G803</f>
        <v/>
      </c>
      <c r="I803" s="33" t="inlineStr">
        <is>
          <t>Latón</t>
        </is>
      </c>
      <c r="J803" s="17" t="inlineStr">
        <is>
          <t>24 × 24 × 16</t>
        </is>
      </c>
      <c r="K803" s="33" t="inlineStr">
        <is>
          <t>Compra</t>
        </is>
      </c>
      <c r="L803" s="33" t="inlineStr">
        <is>
          <t>Sí</t>
        </is>
      </c>
      <c r="M803" s="17" t="inlineStr">
        <is>
          <t>Yukon / MatafuegosYa S.R.L.</t>
        </is>
      </c>
      <c r="N803" s="17" t="inlineStr">
        <is>
          <t>Matafuegos Iglesias</t>
        </is>
      </c>
      <c r="O803" s="17" t="inlineStr">
        <is>
          <t>C9 armado de ruedas y manguera</t>
        </is>
      </c>
      <c r="P803" s="17" t="n"/>
      <c r="Q803" s="33" t="inlineStr">
        <is>
          <t>P</t>
        </is>
      </c>
      <c r="R803" s="33" t="inlineStr">
        <is>
          <t>FL_DES_ABC_70kg</t>
        </is>
      </c>
      <c r="S803" s="17" t="n"/>
    </row>
    <row r="804">
      <c r="A804" s="33" t="inlineStr">
        <is>
          <t>FL_MAT_ABC_70kg</t>
        </is>
      </c>
      <c r="B804" s="33" t="n">
        <v>2</v>
      </c>
      <c r="C804" s="33" t="inlineStr">
        <is>
          <t>ABC70-25</t>
        </is>
      </c>
      <c r="D804" s="17" t="inlineStr">
        <is>
          <t xml:space="preserve">        Manguera</t>
        </is>
      </c>
      <c r="E804" s="33" t="n">
        <v>1</v>
      </c>
      <c r="F804" s="33" t="inlineStr">
        <is>
          <t>u</t>
        </is>
      </c>
      <c r="G804" s="34" t="n">
        <v>0.2152</v>
      </c>
      <c r="H804" s="34">
        <f>E804*G804</f>
        <v/>
      </c>
      <c r="I804" s="33" t="inlineStr">
        <is>
          <t>Caucho sintético</t>
        </is>
      </c>
      <c r="J804" s="17" t="inlineStr">
        <is>
          <t>Ø16 × 1.393 de largo desarrollado</t>
        </is>
      </c>
      <c r="K804" s="33" t="inlineStr">
        <is>
          <t>Compra</t>
        </is>
      </c>
      <c r="L804" s="33" t="inlineStr">
        <is>
          <t>Sí</t>
        </is>
      </c>
      <c r="M804" s="17" t="inlineStr">
        <is>
          <t>Yukon / MatafuegosYa S.R.L.</t>
        </is>
      </c>
      <c r="N804" s="17" t="inlineStr">
        <is>
          <t>Matafuegos Iglesias</t>
        </is>
      </c>
      <c r="O804" s="17" t="inlineStr">
        <is>
          <t>C9 armado de ruedas y manguera</t>
        </is>
      </c>
      <c r="P804" s="17" t="n"/>
      <c r="Q804" s="33" t="inlineStr">
        <is>
          <t>P</t>
        </is>
      </c>
      <c r="R804" s="33" t="inlineStr">
        <is>
          <t>FL_DES_ABC_70kg</t>
        </is>
      </c>
      <c r="S804" s="17" t="n"/>
    </row>
    <row r="805">
      <c r="A805" s="33" t="inlineStr">
        <is>
          <t>FL_MAT_ABC_70kg</t>
        </is>
      </c>
      <c r="B805" s="33" t="n">
        <v>2</v>
      </c>
      <c r="C805" s="33" t="inlineStr">
        <is>
          <t>ABC70-26</t>
        </is>
      </c>
      <c r="D805" s="17" t="inlineStr">
        <is>
          <t xml:space="preserve">        Válvula esférica</t>
        </is>
      </c>
      <c r="E805" s="33" t="n">
        <v>1</v>
      </c>
      <c r="F805" s="33" t="inlineStr">
        <is>
          <t>u</t>
        </is>
      </c>
      <c r="G805" s="34" t="n">
        <v>0.4225</v>
      </c>
      <c r="H805" s="34">
        <f>E805*G805</f>
        <v/>
      </c>
      <c r="I805" s="33" t="inlineStr">
        <is>
          <t>Latón cromado</t>
        </is>
      </c>
      <c r="J805" s="17" t="inlineStr">
        <is>
          <t>130 × 60 × 40</t>
        </is>
      </c>
      <c r="K805" s="33" t="inlineStr">
        <is>
          <t>Compra</t>
        </is>
      </c>
      <c r="L805" s="33" t="inlineStr">
        <is>
          <t>Sí</t>
        </is>
      </c>
      <c r="M805" s="17" t="inlineStr">
        <is>
          <t>Yukon / MatafuegosYa S.R.L.</t>
        </is>
      </c>
      <c r="N805" s="17" t="inlineStr">
        <is>
          <t>Matafuegos Iglesias</t>
        </is>
      </c>
      <c r="O805" s="17" t="inlineStr">
        <is>
          <t>C9 armado de ruedas y manguera</t>
        </is>
      </c>
      <c r="P805" s="17" t="n"/>
      <c r="Q805" s="33" t="inlineStr">
        <is>
          <t>P</t>
        </is>
      </c>
      <c r="R805" s="33" t="inlineStr">
        <is>
          <t>FL_DES_ABC_70kg</t>
        </is>
      </c>
      <c r="S805" s="17" t="n"/>
    </row>
    <row r="806">
      <c r="A806" s="33" t="inlineStr">
        <is>
          <t>FL_MAT_ABC_70kg</t>
        </is>
      </c>
      <c r="B806" s="33" t="n">
        <v>2</v>
      </c>
      <c r="C806" s="33" t="inlineStr">
        <is>
          <t>ABC70-27</t>
        </is>
      </c>
      <c r="D806" s="17" t="inlineStr">
        <is>
          <t xml:space="preserve">        Tobera campana</t>
        </is>
      </c>
      <c r="E806" s="33" t="n">
        <v>1</v>
      </c>
      <c r="F806" s="33" t="inlineStr">
        <is>
          <t>u</t>
        </is>
      </c>
      <c r="G806" s="34" t="n">
        <v>0.07969999999999999</v>
      </c>
      <c r="H806" s="34">
        <f>E806*G806</f>
        <v/>
      </c>
      <c r="I806" s="33" t="inlineStr">
        <is>
          <t>Polipropileno</t>
        </is>
      </c>
      <c r="J806" s="17" t="inlineStr">
        <is>
          <t>200 × 68 × 68</t>
        </is>
      </c>
      <c r="K806" s="33" t="inlineStr">
        <is>
          <t>Compra</t>
        </is>
      </c>
      <c r="L806" s="33" t="inlineStr">
        <is>
          <t>Sí</t>
        </is>
      </c>
      <c r="M806" s="17" t="inlineStr">
        <is>
          <t>Yukon / MatafuegosYa S.R.L.</t>
        </is>
      </c>
      <c r="N806" s="17" t="inlineStr">
        <is>
          <t>Matafuegos Iglesias</t>
        </is>
      </c>
      <c r="O806" s="17" t="inlineStr">
        <is>
          <t>C9 armado de ruedas y manguera</t>
        </is>
      </c>
      <c r="P806" s="17" t="n"/>
      <c r="Q806" s="33" t="inlineStr">
        <is>
          <t>P</t>
        </is>
      </c>
      <c r="R806" s="33" t="inlineStr">
        <is>
          <t>FL_DES_ABC_70kg</t>
        </is>
      </c>
      <c r="S806" s="17" t="n"/>
    </row>
    <row r="807">
      <c r="A807" s="30" t="inlineStr">
        <is>
          <t>FL_MAT_ABC_70kg</t>
        </is>
      </c>
      <c r="B807" s="30" t="n">
        <v>1</v>
      </c>
      <c r="C807" s="30" t="inlineStr">
        <is>
          <t>ABC70-S4</t>
        </is>
      </c>
      <c r="D807" s="31" t="inlineStr">
        <is>
          <t xml:space="preserve">    Carro (bastidor y ruedas)</t>
        </is>
      </c>
      <c r="E807" s="30" t="n">
        <v>1</v>
      </c>
      <c r="F807" s="30" t="inlineStr">
        <is>
          <t>u</t>
        </is>
      </c>
      <c r="G807" s="32" t="n"/>
      <c r="H807" s="32">
        <f>H808+H809+H810+H812+H814+H816</f>
        <v/>
      </c>
      <c r="I807" s="30" t="n"/>
      <c r="J807" s="31" t="n"/>
      <c r="K807" s="30" t="inlineStr">
        <is>
          <t>Fabricación</t>
        </is>
      </c>
      <c r="L807" s="30" t="n"/>
      <c r="M807" s="31" t="n"/>
      <c r="N807" s="31" t="n"/>
      <c r="O807" s="31" t="n"/>
      <c r="P807" s="31" t="inlineStr">
        <is>
          <t>IRAM 3550 3.12 y 4.8 (ruedas ≥ Ø300 × 50)</t>
        </is>
      </c>
      <c r="Q807" s="30" t="inlineStr">
        <is>
          <t>P</t>
        </is>
      </c>
      <c r="R807" s="30" t="inlineStr">
        <is>
          <t>FL_DES_ABC_70kg</t>
        </is>
      </c>
      <c r="S807" s="31" t="n"/>
    </row>
    <row r="808">
      <c r="A808" s="33" t="inlineStr">
        <is>
          <t>FL_MAT_ABC_70kg</t>
        </is>
      </c>
      <c r="B808" s="33" t="n">
        <v>2</v>
      </c>
      <c r="C808" s="33" t="inlineStr">
        <is>
          <t>ABC70-06</t>
        </is>
      </c>
      <c r="D808" s="17" t="inlineStr">
        <is>
          <t xml:space="preserve">        Neumático macizo</t>
        </is>
      </c>
      <c r="E808" s="33" t="n">
        <v>2</v>
      </c>
      <c r="F808" s="33" t="inlineStr">
        <is>
          <t>u</t>
        </is>
      </c>
      <c r="G808" s="34" t="n">
        <v>3.8922</v>
      </c>
      <c r="H808" s="34">
        <f>E808*G808</f>
        <v/>
      </c>
      <c r="I808" s="33" t="inlineStr">
        <is>
          <t>Caucho</t>
        </is>
      </c>
      <c r="J808" s="17" t="inlineStr">
        <is>
          <t>Ø350 × 70 de ancho</t>
        </is>
      </c>
      <c r="K808" s="33" t="inlineStr">
        <is>
          <t>Compra</t>
        </is>
      </c>
      <c r="L808" s="33" t="inlineStr">
        <is>
          <t>Sí</t>
        </is>
      </c>
      <c r="M808" s="17" t="inlineStr">
        <is>
          <t>Ruedar</t>
        </is>
      </c>
      <c r="N808" s="17" t="inlineStr">
        <is>
          <t>Escanort S.A.</t>
        </is>
      </c>
      <c r="O808" s="17" t="inlineStr">
        <is>
          <t>C9 armado de ruedas (S-TC)</t>
        </is>
      </c>
      <c r="P808" s="17" t="n"/>
      <c r="Q808" s="33" t="inlineStr">
        <is>
          <t>P</t>
        </is>
      </c>
      <c r="R808" s="33" t="inlineStr">
        <is>
          <t>FL_DES_ABC_70kg</t>
        </is>
      </c>
      <c r="S808" s="17" t="inlineStr">
        <is>
          <t>IRAM 3550 4.8: Ø ≥ 300 y ancho ≥ 50</t>
        </is>
      </c>
    </row>
    <row r="809">
      <c r="A809" s="33" t="inlineStr">
        <is>
          <t>FL_MAT_ABC_70kg</t>
        </is>
      </c>
      <c r="B809" s="33" t="n">
        <v>2</v>
      </c>
      <c r="C809" s="33" t="inlineStr">
        <is>
          <t>ABC70-07</t>
        </is>
      </c>
      <c r="D809" s="17" t="inlineStr">
        <is>
          <t xml:space="preserve">        Llanta con cubo</t>
        </is>
      </c>
      <c r="E809" s="33" t="n">
        <v>2</v>
      </c>
      <c r="F809" s="33" t="inlineStr">
        <is>
          <t>u</t>
        </is>
      </c>
      <c r="G809" s="34" t="n">
        <v>4.0415</v>
      </c>
      <c r="H809" s="34">
        <f>E809*G809</f>
        <v/>
      </c>
      <c r="I809" s="33" t="inlineStr">
        <is>
          <t>Chapa acero SAE 1010</t>
        </is>
      </c>
      <c r="J809" s="17" t="inlineStr">
        <is>
          <t>Ø252 × 80 de ancho</t>
        </is>
      </c>
      <c r="K809" s="33" t="inlineStr">
        <is>
          <t>Incluido en rueda</t>
        </is>
      </c>
      <c r="L809" s="33" t="inlineStr">
        <is>
          <t>No</t>
        </is>
      </c>
      <c r="M809" s="17" t="n"/>
      <c r="N809" s="17" t="n"/>
      <c r="O809" s="17" t="inlineStr">
        <is>
          <t>C9 armado de ruedas (S-TC)</t>
        </is>
      </c>
      <c r="P809" s="17" t="n"/>
      <c r="Q809" s="33" t="inlineStr">
        <is>
          <t>P</t>
        </is>
      </c>
      <c r="R809" s="33" t="inlineStr">
        <is>
          <t>FL_DES_ABC_70kg</t>
        </is>
      </c>
      <c r="S809" s="17" t="n"/>
    </row>
    <row r="810">
      <c r="A810" s="33" t="inlineStr">
        <is>
          <t>FL_MAT_ABC_70kg</t>
        </is>
      </c>
      <c r="B810" s="33" t="n">
        <v>2</v>
      </c>
      <c r="C810" s="33" t="inlineStr">
        <is>
          <t>ABC70-08</t>
        </is>
      </c>
      <c r="D810" s="17" t="inlineStr">
        <is>
          <t xml:space="preserve">        Eje de ruedas</t>
        </is>
      </c>
      <c r="E810" s="33" t="n">
        <v>1</v>
      </c>
      <c r="F810" s="33" t="inlineStr">
        <is>
          <t>u</t>
        </is>
      </c>
      <c r="G810" s="34" t="n">
        <v>1.7533</v>
      </c>
      <c r="H810" s="34">
        <f>E810*G810</f>
        <v/>
      </c>
      <c r="I810" s="33" t="inlineStr">
        <is>
          <t>Acero SAE 1045</t>
        </is>
      </c>
      <c r="J810" s="17" t="inlineStr">
        <is>
          <t>Ø25 × 455 de largo</t>
        </is>
      </c>
      <c r="K810" s="33" t="inlineStr">
        <is>
          <t>Fabricación</t>
        </is>
      </c>
      <c r="L810" s="33" t="inlineStr">
        <is>
          <t>No</t>
        </is>
      </c>
      <c r="M810" s="17" t="n"/>
      <c r="N810" s="17" t="n"/>
      <c r="O810" s="17" t="inlineStr">
        <is>
          <t>Corte en sierra -&gt; curvado / plegado -&gt; soldadura MAG del carro -&gt; C9 armado (S-TC); puesto de soldadura de carros a incorporar al layout</t>
        </is>
      </c>
      <c r="P810" s="17" t="n"/>
      <c r="Q810" s="33" t="inlineStr">
        <is>
          <t>P</t>
        </is>
      </c>
      <c r="R810" s="33" t="inlineStr">
        <is>
          <t>FL_DES_ABC_70kg</t>
        </is>
      </c>
      <c r="S810" s="17" t="n"/>
    </row>
    <row r="811">
      <c r="A811" s="35" t="inlineStr">
        <is>
          <t>FL_MAT_ABC_70kg</t>
        </is>
      </c>
      <c r="B811" s="35" t="n">
        <v>3</v>
      </c>
      <c r="C811" s="35" t="inlineStr">
        <is>
          <t>MP-EJE</t>
        </is>
      </c>
      <c r="D811" s="36" t="inlineStr">
        <is>
          <t xml:space="preserve">            Redondo SAE 1045 Ø25 (tramo de barra de 6 m)</t>
        </is>
      </c>
      <c r="E811" s="35" t="n">
        <v>0.07580000000000001</v>
      </c>
      <c r="F811" s="35" t="inlineStr">
        <is>
          <t>barra</t>
        </is>
      </c>
      <c r="G811" s="37" t="n">
        <v>23.12</v>
      </c>
      <c r="H811" s="37">
        <f>E811*G811</f>
        <v/>
      </c>
      <c r="I811" s="35" t="inlineStr">
        <is>
          <t>Redondo SAE 1045 Ø25</t>
        </is>
      </c>
      <c r="J811" s="36" t="inlineStr">
        <is>
          <t>455 mm por pieza (kg por barra de 6 m)</t>
        </is>
      </c>
      <c r="K811" s="35" t="inlineStr">
        <is>
          <t>Compra</t>
        </is>
      </c>
      <c r="L811" s="35" t="inlineStr">
        <is>
          <t>Sí</t>
        </is>
      </c>
      <c r="M811" s="36" t="inlineStr">
        <is>
          <t>Hierros Parrotta</t>
        </is>
      </c>
      <c r="N811" s="36" t="inlineStr">
        <is>
          <t>-</t>
        </is>
      </c>
      <c r="O811" s="36" t="inlineStr">
        <is>
          <t>Corte en sierra</t>
        </is>
      </c>
      <c r="P811" s="36" t="n"/>
      <c r="Q811" s="35" t="inlineStr">
        <is>
          <t>C</t>
        </is>
      </c>
      <c r="R811" s="35" t="n"/>
      <c r="S811" s="36" t="n"/>
    </row>
    <row r="812">
      <c r="A812" s="33" t="inlineStr">
        <is>
          <t>FL_MAT_ABC_70kg</t>
        </is>
      </c>
      <c r="B812" s="33" t="n">
        <v>2</v>
      </c>
      <c r="C812" s="33" t="inlineStr">
        <is>
          <t>ABC70-09</t>
        </is>
      </c>
      <c r="D812" s="17" t="inlineStr">
        <is>
          <t xml:space="preserve">        Bastidor</t>
        </is>
      </c>
      <c r="E812" s="33" t="n">
        <v>1</v>
      </c>
      <c r="F812" s="33" t="inlineStr">
        <is>
          <t>u</t>
        </is>
      </c>
      <c r="G812" s="34" t="n">
        <v>2.3771</v>
      </c>
      <c r="H812" s="34">
        <f>E812*G812</f>
        <v/>
      </c>
      <c r="I812" s="33" t="inlineStr">
        <is>
          <t>Caño acero SAE 1010 Ø25,4×1,6</t>
        </is>
      </c>
      <c r="J812" s="17" t="inlineStr">
        <is>
          <t>caño Ø25,4 × 1,6 × 2.490 de largo desarrollado</t>
        </is>
      </c>
      <c r="K812" s="33" t="inlineStr">
        <is>
          <t>Fabricación</t>
        </is>
      </c>
      <c r="L812" s="33" t="inlineStr">
        <is>
          <t>No</t>
        </is>
      </c>
      <c r="M812" s="17" t="n"/>
      <c r="N812" s="17" t="n"/>
      <c r="O812" s="17" t="inlineStr">
        <is>
          <t>Corte en sierra -&gt; curvado / plegado -&gt; soldadura MAG del carro -&gt; C9 armado (S-TC); puesto de soldadura de carros a incorporar al layout</t>
        </is>
      </c>
      <c r="P812" s="17" t="n"/>
      <c r="Q812" s="33" t="inlineStr">
        <is>
          <t>P</t>
        </is>
      </c>
      <c r="R812" s="33" t="inlineStr">
        <is>
          <t>FL_DES_ABC_70kg</t>
        </is>
      </c>
      <c r="S812" s="17" t="n"/>
    </row>
    <row r="813">
      <c r="A813" s="35" t="inlineStr">
        <is>
          <t>FL_MAT_ABC_70kg</t>
        </is>
      </c>
      <c r="B813" s="35" t="n">
        <v>3</v>
      </c>
      <c r="C813" s="35" t="inlineStr">
        <is>
          <t>MP-CANO-CARRO</t>
        </is>
      </c>
      <c r="D813" s="36" t="inlineStr">
        <is>
          <t xml:space="preserve">            Caño SAE 1010 Ø25,4 × 1,6 (tramo de barra de 6 m)</t>
        </is>
      </c>
      <c r="E813" s="35" t="n">
        <v>0.415</v>
      </c>
      <c r="F813" s="35" t="inlineStr">
        <is>
          <t>barra</t>
        </is>
      </c>
      <c r="G813" s="37" t="n">
        <v>5.635</v>
      </c>
      <c r="H813" s="37">
        <f>E813*G813</f>
        <v/>
      </c>
      <c r="I813" s="35" t="inlineStr">
        <is>
          <t>Caño acero SAE 1010 Ø25,4 × 1,6</t>
        </is>
      </c>
      <c r="J813" s="36" t="inlineStr">
        <is>
          <t>2.490 mm por pieza (kg por barra de 6 m)</t>
        </is>
      </c>
      <c r="K813" s="35" t="inlineStr">
        <is>
          <t>Compra</t>
        </is>
      </c>
      <c r="L813" s="35" t="inlineStr">
        <is>
          <t>Sí</t>
        </is>
      </c>
      <c r="M813" s="36" t="inlineStr">
        <is>
          <t>Metalpri / Prilux</t>
        </is>
      </c>
      <c r="N813" s="36" t="inlineStr">
        <is>
          <t>Comercial MID</t>
        </is>
      </c>
      <c r="O813" s="36" t="inlineStr">
        <is>
          <t>Corte en sierra</t>
        </is>
      </c>
      <c r="P813" s="36" t="n"/>
      <c r="Q813" s="35" t="inlineStr">
        <is>
          <t>C</t>
        </is>
      </c>
      <c r="R813" s="35" t="n"/>
      <c r="S813" s="36" t="inlineStr">
        <is>
          <t>Largo desarrollado del plano + curvado</t>
        </is>
      </c>
    </row>
    <row r="814">
      <c r="A814" s="33" t="inlineStr">
        <is>
          <t>FL_MAT_ABC_70kg</t>
        </is>
      </c>
      <c r="B814" s="33" t="n">
        <v>2</v>
      </c>
      <c r="C814" s="33" t="inlineStr">
        <is>
          <t>ABC70-10</t>
        </is>
      </c>
      <c r="D814" s="17" t="inlineStr">
        <is>
          <t xml:space="preserve">        Sunchos de fijación</t>
        </is>
      </c>
      <c r="E814" s="33" t="n">
        <v>1</v>
      </c>
      <c r="F814" s="33" t="inlineStr">
        <is>
          <t>u</t>
        </is>
      </c>
      <c r="G814" s="34" t="n">
        <v>6.9304</v>
      </c>
      <c r="H814" s="34">
        <f>E814*G814</f>
        <v/>
      </c>
      <c r="I814" s="33" t="inlineStr">
        <is>
          <t>Planchuela acero SAE 1010</t>
        </is>
      </c>
      <c r="J814" s="17" t="inlineStr">
        <is>
          <t>525 × 518,8 × 405</t>
        </is>
      </c>
      <c r="K814" s="33" t="inlineStr">
        <is>
          <t>Fabricación</t>
        </is>
      </c>
      <c r="L814" s="33" t="inlineStr">
        <is>
          <t>No</t>
        </is>
      </c>
      <c r="M814" s="17" t="n"/>
      <c r="N814" s="17" t="n"/>
      <c r="O814" s="17" t="inlineStr">
        <is>
          <t>Corte en sierra -&gt; curvado / plegado -&gt; soldadura MAG del carro -&gt; C9 armado (S-TC); puesto de soldadura de carros a incorporar al layout</t>
        </is>
      </c>
      <c r="P814" s="17" t="n"/>
      <c r="Q814" s="33" t="inlineStr">
        <is>
          <t>P</t>
        </is>
      </c>
      <c r="R814" s="33" t="inlineStr">
        <is>
          <t>FL_DES_ABC_70kg</t>
        </is>
      </c>
      <c r="S814" s="17" t="n"/>
    </row>
    <row r="815">
      <c r="A815" s="35" t="inlineStr">
        <is>
          <t>FL_MAT_ABC_70kg</t>
        </is>
      </c>
      <c r="B815" s="35" t="n">
        <v>3</v>
      </c>
      <c r="C815" s="35" t="inlineStr">
        <is>
          <t>MP-PLANCHUELA</t>
        </is>
      </c>
      <c r="D815" s="36" t="inlineStr">
        <is>
          <t xml:space="preserve">            Planchuela SAE 1010 40 × 6 (tramo de barra de 6 m)</t>
        </is>
      </c>
      <c r="E815" s="35" t="n">
        <v>0.6131</v>
      </c>
      <c r="F815" s="35" t="inlineStr">
        <is>
          <t>barra</t>
        </is>
      </c>
      <c r="G815" s="37" t="n">
        <v>11.304</v>
      </c>
      <c r="H815" s="37">
        <f>E815*G815</f>
        <v/>
      </c>
      <c r="I815" s="35" t="inlineStr">
        <is>
          <t>Planchuela SAE 1010 40 × 6</t>
        </is>
      </c>
      <c r="J815" s="36" t="inlineStr">
        <is>
          <t>3.679 mm por pieza (kg por barra de 6 m)</t>
        </is>
      </c>
      <c r="K815" s="35" t="inlineStr">
        <is>
          <t>Compra</t>
        </is>
      </c>
      <c r="L815" s="35" t="inlineStr">
        <is>
          <t>Sí</t>
        </is>
      </c>
      <c r="M815" s="36" t="inlineStr">
        <is>
          <t>Hierros Parrotta</t>
        </is>
      </c>
      <c r="N815" s="36" t="inlineStr">
        <is>
          <t>-</t>
        </is>
      </c>
      <c r="O815" s="36" t="inlineStr">
        <is>
          <t>Corte en sierra</t>
        </is>
      </c>
      <c r="P815" s="36" t="n"/>
      <c r="Q815" s="35" t="inlineStr">
        <is>
          <t>C</t>
        </is>
      </c>
      <c r="R815" s="35" t="n"/>
      <c r="S815" s="36" t="inlineStr">
        <is>
          <t>Largo = volumen del plano / sección 40 × 6</t>
        </is>
      </c>
    </row>
    <row r="816">
      <c r="A816" s="33" t="inlineStr">
        <is>
          <t>FL_MAT_ABC_70kg</t>
        </is>
      </c>
      <c r="B816" s="33" t="n">
        <v>2</v>
      </c>
      <c r="C816" s="33" t="inlineStr">
        <is>
          <t>ABC70-11</t>
        </is>
      </c>
      <c r="D816" s="17" t="inlineStr">
        <is>
          <t xml:space="preserve">        Apoyo delantero</t>
        </is>
      </c>
      <c r="E816" s="33" t="n">
        <v>1</v>
      </c>
      <c r="F816" s="33" t="inlineStr">
        <is>
          <t>u</t>
        </is>
      </c>
      <c r="G816" s="34" t="n">
        <v>0.3022</v>
      </c>
      <c r="H816" s="34">
        <f>E816*G816</f>
        <v/>
      </c>
      <c r="I816" s="33" t="inlineStr">
        <is>
          <t>Chapa acero SAE 1010 plegada</t>
        </is>
      </c>
      <c r="J816" s="17" t="inlineStr">
        <is>
          <t>70 × 55 × 50</t>
        </is>
      </c>
      <c r="K816" s="33" t="inlineStr">
        <is>
          <t>Fabricación</t>
        </is>
      </c>
      <c r="L816" s="33" t="inlineStr">
        <is>
          <t>No</t>
        </is>
      </c>
      <c r="M816" s="17" t="n"/>
      <c r="N816" s="17" t="n"/>
      <c r="O816" s="17" t="inlineStr">
        <is>
          <t>Corte en sierra -&gt; curvado / plegado -&gt; soldadura MAG del carro -&gt; C9 armado (S-TC); puesto de soldadura de carros a incorporar al layout</t>
        </is>
      </c>
      <c r="P816" s="17" t="n"/>
      <c r="Q816" s="33" t="inlineStr">
        <is>
          <t>P</t>
        </is>
      </c>
      <c r="R816" s="33" t="inlineStr">
        <is>
          <t>FL_DES_ABC_70kg</t>
        </is>
      </c>
      <c r="S816" s="17" t="n"/>
    </row>
    <row r="817">
      <c r="A817" s="47" t="inlineStr">
        <is>
          <t>FL_MAT_ABC_70kg</t>
        </is>
      </c>
      <c r="B817" s="47" t="n">
        <v>3</v>
      </c>
      <c r="C817" s="47" t="inlineStr">
        <is>
          <t>MP-CHAPA-APOYO</t>
        </is>
      </c>
      <c r="D817" s="48" t="inlineStr">
        <is>
          <t xml:space="preserve">            Recorte de chapa LAC e=3,2 para el apoyo plegado</t>
        </is>
      </c>
      <c r="E817" s="47" t="n">
        <v>1</v>
      </c>
      <c r="F817" s="47" t="inlineStr">
        <is>
          <t>u</t>
        </is>
      </c>
      <c r="G817" s="49" t="n">
        <v>0.348</v>
      </c>
      <c r="H817" s="49">
        <f>E817*G817</f>
        <v/>
      </c>
      <c r="I817" s="47" t="inlineStr">
        <is>
          <t>Chapa LAC SAE 1010</t>
        </is>
      </c>
      <c r="J817" s="48" t="inlineStr">
        <is>
          <t>desarrollo del apoyo + 15 % de recorte</t>
        </is>
      </c>
      <c r="K817" s="47" t="inlineStr">
        <is>
          <t>Compra</t>
        </is>
      </c>
      <c r="L817" s="47" t="inlineStr">
        <is>
          <t>Sí</t>
        </is>
      </c>
      <c r="M817" s="48" t="inlineStr">
        <is>
          <t>Pradecon S.A.</t>
        </is>
      </c>
      <c r="N817" s="48" t="inlineStr">
        <is>
          <t>Pacheco Chapas</t>
        </is>
      </c>
      <c r="O817" s="48" t="inlineStr">
        <is>
          <t>Corte y plegado</t>
        </is>
      </c>
      <c r="P817" s="48" t="n"/>
      <c r="Q817" s="47" t="inlineStr">
        <is>
          <t>C</t>
        </is>
      </c>
      <c r="R817" s="47" t="n"/>
      <c r="S817" s="48" t="inlineStr">
        <is>
          <t>15 % de recorte: valor de taller sin medir</t>
        </is>
      </c>
    </row>
    <row r="818">
      <c r="A818" s="30" t="inlineStr">
        <is>
          <t>FL_MAT_ABC_70kg</t>
        </is>
      </c>
      <c r="B818" s="30" t="n">
        <v>1</v>
      </c>
      <c r="C818" s="30" t="inlineStr">
        <is>
          <t>ABC70-S5</t>
        </is>
      </c>
      <c r="D818" s="31" t="inlineStr">
        <is>
          <t xml:space="preserve">    Carga: agente extintor y gas impulsor</t>
        </is>
      </c>
      <c r="E818" s="30" t="n">
        <v>1</v>
      </c>
      <c r="F818" s="30" t="inlineStr">
        <is>
          <t>u</t>
        </is>
      </c>
      <c r="G818" s="32" t="n"/>
      <c r="H818" s="32">
        <f>H819+H820</f>
        <v/>
      </c>
      <c r="I818" s="30" t="n"/>
      <c r="J818" s="31" t="n"/>
      <c r="K818" s="30" t="inlineStr">
        <is>
          <t>Carga en planta</t>
        </is>
      </c>
      <c r="L818" s="30" t="n"/>
      <c r="M818" s="31" t="n"/>
      <c r="N818" s="31" t="n"/>
      <c r="O818" s="31" t="inlineStr">
        <is>
          <t>18 Carga de polvo (T01) / C8 (T02)</t>
        </is>
      </c>
      <c r="P818" s="31" t="n"/>
      <c r="Q818" s="30" t="n"/>
      <c r="R818" s="30" t="n"/>
      <c r="S818" s="31" t="n"/>
    </row>
    <row r="819">
      <c r="A819" s="33" t="inlineStr">
        <is>
          <t>FL_MAT_ABC_70kg</t>
        </is>
      </c>
      <c r="B819" s="33" t="n">
        <v>2</v>
      </c>
      <c r="C819" s="33" t="inlineStr">
        <is>
          <t>ABC70-A1</t>
        </is>
      </c>
      <c r="D819" s="17" t="inlineStr">
        <is>
          <t xml:space="preserve">        Polvo químico seco ABC 90 (Sello IRAM 3569)</t>
        </is>
      </c>
      <c r="E819" s="33" t="n">
        <v>70</v>
      </c>
      <c r="F819" s="33" t="inlineStr">
        <is>
          <t>kg</t>
        </is>
      </c>
      <c r="G819" s="34" t="n">
        <v>1</v>
      </c>
      <c r="H819" s="34">
        <f>E819*G819</f>
        <v/>
      </c>
      <c r="I819" s="33" t="inlineStr">
        <is>
          <t>Polvo químico seco ABC 90 (Sello IRAM 3569)</t>
        </is>
      </c>
      <c r="J819" s="17" t="inlineStr">
        <is>
          <t>nominal 70 kg; tolerancia ± 3 % (IRAM 3517-2:2020 tabla 3)</t>
        </is>
      </c>
      <c r="K819" s="33" t="inlineStr">
        <is>
          <t>Compra</t>
        </is>
      </c>
      <c r="L819" s="33" t="inlineStr">
        <is>
          <t>Sí</t>
        </is>
      </c>
      <c r="M819" s="17" t="inlineStr">
        <is>
          <t>DEM S.A. (DEMSA)</t>
        </is>
      </c>
      <c r="N819" s="17" t="inlineStr">
        <is>
          <t>Polvex S.R.L. / Sancibrao</t>
        </is>
      </c>
      <c r="O819" s="17" t="inlineStr">
        <is>
          <t>SP-1 almacén previo a la carga</t>
        </is>
      </c>
      <c r="P819" s="17" t="inlineStr">
        <is>
          <t>IRAM 3569</t>
        </is>
      </c>
      <c r="Q819" s="33" t="inlineStr">
        <is>
          <t>N</t>
        </is>
      </c>
      <c r="R819" s="33" t="n"/>
      <c r="S819"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20">
      <c r="A820" s="41" t="inlineStr">
        <is>
          <t>FL_MAT_ABC_70kg</t>
        </is>
      </c>
      <c r="B820" s="41" t="n">
        <v>2</v>
      </c>
      <c r="C820" s="41" t="inlineStr">
        <is>
          <t>ABC70-A2</t>
        </is>
      </c>
      <c r="D820" s="18" t="inlineStr">
        <is>
          <t xml:space="preserve">        Gas impulsor: N₂</t>
        </is>
      </c>
      <c r="E820" s="41" t="n">
        <v>0.3856</v>
      </c>
      <c r="F820" s="41" t="inlineStr">
        <is>
          <t>kg</t>
        </is>
      </c>
      <c r="G820" s="42" t="n">
        <v>1</v>
      </c>
      <c r="H820" s="42">
        <f>E820*G820</f>
        <v/>
      </c>
      <c r="I820" s="41" t="inlineStr">
        <is>
          <t>N₂</t>
        </is>
      </c>
      <c r="J820" s="18" t="inlineStr">
        <is>
          <t>308,7 L normales para 1,4 MPa a 20 °C en 22,36 dm³ libres</t>
        </is>
      </c>
      <c r="K820" s="41" t="inlineStr">
        <is>
          <t>Compra</t>
        </is>
      </c>
      <c r="L820" s="41" t="inlineStr">
        <is>
          <t>Sí</t>
        </is>
      </c>
      <c r="M820" s="18" t="inlineStr">
        <is>
          <t>Air Liquide Argentina - sucursal Piñeyro</t>
        </is>
      </c>
      <c r="N820" s="18" t="inlineStr">
        <is>
          <t>Gogniat</t>
        </is>
      </c>
      <c r="O820" s="18" t="inlineStr">
        <is>
          <t>20 Presurización (T05) / C10</t>
        </is>
      </c>
      <c r="P820" s="18" t="inlineStr">
        <is>
          <t>IRAM 3517-2 9.4.9 (tabla 2) · IRAM 3523 2.3 y 3.10</t>
        </is>
      </c>
      <c r="Q820" s="41" t="inlineStr">
        <is>
          <t>C</t>
        </is>
      </c>
      <c r="R820" s="41" t="n"/>
      <c r="S820" s="18" t="inlineStr">
        <is>
          <t>N₂ ≥ 99,8 %, H₂O ≤ 40 ppm (Q-N2, Air Liquide) · volumen libre con ρ empacada mínima 1,1 kg/dm³ (NOM-104-STPS-2001); confirmar con descarga ≥ 85 % (IRAM 3523 4.9.1)</t>
        </is>
      </c>
    </row>
    <row r="821">
      <c r="A821" s="30" t="inlineStr">
        <is>
          <t>FL_MAT_ABC_70kg</t>
        </is>
      </c>
      <c r="B821" s="30" t="n">
        <v>1</v>
      </c>
      <c r="C821" s="30" t="inlineStr">
        <is>
          <t>ABC70-S6</t>
        </is>
      </c>
      <c r="D821" s="31" t="inlineStr">
        <is>
          <t xml:space="preserve">    Identificación y precinto</t>
        </is>
      </c>
      <c r="E821" s="30" t="n">
        <v>1</v>
      </c>
      <c r="F821" s="30" t="inlineStr">
        <is>
          <t>u</t>
        </is>
      </c>
      <c r="G821" s="32" t="n"/>
      <c r="H821" s="32">
        <f>H822+H823+H824+H825+H826+H827+H828</f>
        <v/>
      </c>
      <c r="I821" s="30" t="n"/>
      <c r="J821" s="31" t="n"/>
      <c r="K821" s="30" t="inlineStr">
        <is>
          <t>Compra</t>
        </is>
      </c>
      <c r="L821" s="30" t="n"/>
      <c r="M821" s="31" t="n"/>
      <c r="N821" s="31" t="n"/>
      <c r="O821" s="31" t="inlineStr">
        <is>
          <t>22 Etiquetado (T07)</t>
        </is>
      </c>
      <c r="P821" s="31" t="n"/>
      <c r="Q821" s="30" t="n"/>
      <c r="R821" s="30" t="n"/>
      <c r="S821" s="31" t="n"/>
    </row>
    <row r="822">
      <c r="A822" s="33" t="inlineStr">
        <is>
          <t>FL_MAT_ABC_70kg</t>
        </is>
      </c>
      <c r="B822" s="33" t="n">
        <v>2</v>
      </c>
      <c r="C822" s="33" t="inlineStr">
        <is>
          <t>ABC70-28</t>
        </is>
      </c>
      <c r="D822" s="17" t="inlineStr">
        <is>
          <t xml:space="preserve">        Etiqueta / placa de características</t>
        </is>
      </c>
      <c r="E822" s="33" t="n">
        <v>1</v>
      </c>
      <c r="F822" s="33" t="inlineStr">
        <is>
          <t>u</t>
        </is>
      </c>
      <c r="G822" s="34" t="n">
        <v>0.0569</v>
      </c>
      <c r="H822" s="34">
        <f>E822*G822</f>
        <v/>
      </c>
      <c r="I822" s="33" t="inlineStr">
        <is>
          <t>Vinilo autoadhesivo laminado</t>
        </is>
      </c>
      <c r="J822" s="17" t="inlineStr">
        <is>
          <t>660 × 205 (desarrollo × alto: panel central 108° + 2 alas laterales), e ≈ 0,3, laminado UV</t>
        </is>
      </c>
      <c r="K822" s="33" t="inlineStr">
        <is>
          <t>Compra</t>
        </is>
      </c>
      <c r="L822" s="33" t="inlineStr">
        <is>
          <t>Sí</t>
        </is>
      </c>
      <c r="M822" s="17" t="inlineStr">
        <is>
          <t>Astuprint</t>
        </is>
      </c>
      <c r="N822" s="17" t="inlineStr">
        <is>
          <t>Multilabel Argentina S.A.</t>
        </is>
      </c>
      <c r="O822" s="17" t="inlineStr">
        <is>
          <t>22 Etiquetado (T07)</t>
        </is>
      </c>
      <c r="P822" s="17" t="inlineStr">
        <is>
          <t>IRAM 3534 · IRAM 3550 cap. 5 · relevamiento de mercado</t>
        </is>
      </c>
      <c r="Q822" s="33" t="inlineStr">
        <is>
          <t>P</t>
        </is>
      </c>
      <c r="R822" s="33" t="inlineStr">
        <is>
          <t>FL_DES_ABC_70kg</t>
        </is>
      </c>
      <c r="S822" s="17" t="inlineStr">
        <is>
          <t>IRAM 3534</t>
        </is>
      </c>
    </row>
    <row r="823">
      <c r="A823" s="33" t="inlineStr">
        <is>
          <t>FL_MAT_ABC_70kg</t>
        </is>
      </c>
      <c r="B823" s="33" t="n">
        <v>2</v>
      </c>
      <c r="C823" s="33" t="inlineStr">
        <is>
          <t>ABC70-29</t>
        </is>
      </c>
      <c r="D823" s="17" t="inlineStr">
        <is>
          <t xml:space="preserve">        Oblea de fabricación (PBA)</t>
        </is>
      </c>
      <c r="E823" s="33" t="n">
        <v>1</v>
      </c>
      <c r="F823" s="33" t="inlineStr">
        <is>
          <t>u</t>
        </is>
      </c>
      <c r="G823" s="34" t="n">
        <v>0.0009</v>
      </c>
      <c r="H823" s="34">
        <f>E823*G823</f>
        <v/>
      </c>
      <c r="I823" s="33" t="inlineStr">
        <is>
          <t>Papel de seguridad autodestructible</t>
        </is>
      </c>
      <c r="J823" s="17" t="inlineStr">
        <is>
          <t>Ø46 (Res. OPDS 522/07), numerada, autodestructible</t>
        </is>
      </c>
      <c r="K823" s="33" t="inlineStr">
        <is>
          <t>Compra</t>
        </is>
      </c>
      <c r="L823" s="33" t="inlineStr">
        <is>
          <t>Sí</t>
        </is>
      </c>
      <c r="M823" s="17" t="inlineStr">
        <is>
          <t>Ministerio de Ambiente PBA (ex OPDS)</t>
        </is>
      </c>
      <c r="N823" s="17" t="inlineStr">
        <is>
          <t>-</t>
        </is>
      </c>
      <c r="O823" s="17" t="inlineStr">
        <is>
          <t>22 Etiquetado (T07)</t>
        </is>
      </c>
      <c r="P823" s="17" t="inlineStr">
        <is>
          <t>Res. OPDS 522/07 anexos 1, 2 y 6</t>
        </is>
      </c>
      <c r="Q823" s="33" t="inlineStr">
        <is>
          <t>P</t>
        </is>
      </c>
      <c r="R823" s="33" t="inlineStr">
        <is>
          <t>FL_DES_ABC_70kg</t>
        </is>
      </c>
      <c r="S823" s="17" t="inlineStr">
        <is>
          <t>Res. 522/07</t>
        </is>
      </c>
    </row>
    <row r="824">
      <c r="A824" s="33" t="inlineStr">
        <is>
          <t>FL_MAT_ABC_70kg</t>
        </is>
      </c>
      <c r="B824" s="33" t="n">
        <v>2</v>
      </c>
      <c r="C824" s="33" t="inlineStr">
        <is>
          <t>ABC70-30</t>
        </is>
      </c>
      <c r="D824" s="17" t="inlineStr">
        <is>
          <t xml:space="preserve">        Estampilla IRAM de conformidad</t>
        </is>
      </c>
      <c r="E824" s="33" t="n">
        <v>1</v>
      </c>
      <c r="F824" s="33" t="inlineStr">
        <is>
          <t>u</t>
        </is>
      </c>
      <c r="G824" s="34" t="n">
        <v>0.001</v>
      </c>
      <c r="H824" s="34">
        <f>E824*G824</f>
        <v/>
      </c>
      <c r="I824" s="33" t="inlineStr">
        <is>
          <t>Provista por IRAM (Anexo R)</t>
        </is>
      </c>
      <c r="J824" s="17" t="inlineStr">
        <is>
          <t>60 × 40</t>
        </is>
      </c>
      <c r="K824" s="33" t="inlineStr">
        <is>
          <t>Compra</t>
        </is>
      </c>
      <c r="L824" s="33" t="inlineStr">
        <is>
          <t>Sí</t>
        </is>
      </c>
      <c r="M824" s="17" t="inlineStr">
        <is>
          <t>IRAM - Instituto Argentino de Normalización</t>
        </is>
      </c>
      <c r="N824" s="17" t="inlineStr">
        <is>
          <t>-</t>
        </is>
      </c>
      <c r="O824" s="17" t="inlineStr">
        <is>
          <t>22 Etiquetado (T07)</t>
        </is>
      </c>
      <c r="P824" s="17" t="inlineStr">
        <is>
          <t>IRAM Anexo R (DC-PG-129)</t>
        </is>
      </c>
      <c r="Q824" s="33" t="inlineStr">
        <is>
          <t>P</t>
        </is>
      </c>
      <c r="R824" s="33" t="inlineStr">
        <is>
          <t>FL_DES_ABC_70kg</t>
        </is>
      </c>
      <c r="S824" s="17" t="inlineStr">
        <is>
          <t>numerada</t>
        </is>
      </c>
    </row>
    <row r="825">
      <c r="A825" s="33" t="inlineStr">
        <is>
          <t>FL_MAT_ABC_70kg</t>
        </is>
      </c>
      <c r="B825" s="33" t="n">
        <v>2</v>
      </c>
      <c r="C825" s="33" t="inlineStr">
        <is>
          <t>ABC70-31</t>
        </is>
      </c>
      <c r="D825" s="17" t="inlineStr">
        <is>
          <t xml:space="preserve">        Tarjeta de identificación AGC (CABA)</t>
        </is>
      </c>
      <c r="E825" s="33" t="n">
        <v>1</v>
      </c>
      <c r="F825" s="33" t="inlineStr">
        <is>
          <t>u</t>
        </is>
      </c>
      <c r="G825" s="34" t="n">
        <v>0.0032</v>
      </c>
      <c r="H825" s="34">
        <f>E825*G825</f>
        <v/>
      </c>
      <c r="I825" s="33" t="inlineStr">
        <is>
          <t>Etiqueta autoadhesiva emitida por la AGC</t>
        </is>
      </c>
      <c r="J825" s="17" t="inlineStr">
        <is>
          <t>140 × 55</t>
        </is>
      </c>
      <c r="K825" s="33" t="inlineStr">
        <is>
          <t>Compra</t>
        </is>
      </c>
      <c r="L825" s="33" t="inlineStr">
        <is>
          <t>Sí</t>
        </is>
      </c>
      <c r="M825" s="17" t="inlineStr">
        <is>
          <t>Agencia Gubernamental de Control (CABA)</t>
        </is>
      </c>
      <c r="N825" s="17" t="inlineStr">
        <is>
          <t>-</t>
        </is>
      </c>
      <c r="O825" s="17" t="inlineStr">
        <is>
          <t>22 Etiquetado (T07)</t>
        </is>
      </c>
      <c r="P825" s="17" t="inlineStr">
        <is>
          <t>Ordenanza 40.473 art. 6 · Res. AGC 32/15</t>
        </is>
      </c>
      <c r="Q825" s="33" t="inlineStr">
        <is>
          <t>P</t>
        </is>
      </c>
      <c r="R825" s="33" t="inlineStr">
        <is>
          <t>FL_DES_ABC_70kg</t>
        </is>
      </c>
      <c r="S825" s="17" t="inlineStr">
        <is>
          <t>sólo destino CABA</t>
        </is>
      </c>
    </row>
    <row r="826">
      <c r="A826" s="33" t="inlineStr">
        <is>
          <t>FL_MAT_ABC_70kg</t>
        </is>
      </c>
      <c r="B826" s="33" t="n">
        <v>2</v>
      </c>
      <c r="C826" s="33" t="inlineStr">
        <is>
          <t>ABC70-32</t>
        </is>
      </c>
      <c r="D826" s="17" t="inlineStr">
        <is>
          <t xml:space="preserve">        Etiqueta de n° de serie GS1</t>
        </is>
      </c>
      <c r="E826" s="33" t="n">
        <v>1</v>
      </c>
      <c r="F826" s="33" t="inlineStr">
        <is>
          <t>u</t>
        </is>
      </c>
      <c r="G826" s="34" t="n">
        <v>0.0005</v>
      </c>
      <c r="H826" s="34">
        <f>E826*G826</f>
        <v/>
      </c>
      <c r="I826" s="33" t="inlineStr">
        <is>
          <t>Poliéster autoadhesivo impreso térmico</t>
        </is>
      </c>
      <c r="J826" s="17" t="inlineStr">
        <is>
          <t>45 × 25</t>
        </is>
      </c>
      <c r="K826" s="33" t="inlineStr">
        <is>
          <t>Compra</t>
        </is>
      </c>
      <c r="L826" s="33" t="inlineStr">
        <is>
          <t>Sí</t>
        </is>
      </c>
      <c r="M826" s="17" t="inlineStr">
        <is>
          <t>Astuprint</t>
        </is>
      </c>
      <c r="N826" s="17" t="inlineStr">
        <is>
          <t>GS1 Argentina</t>
        </is>
      </c>
      <c r="O826" s="17" t="inlineStr">
        <is>
          <t>22 Etiquetado (T07)</t>
        </is>
      </c>
      <c r="P826" s="17" t="inlineStr">
        <is>
          <t>GS1 Argentina (GTIN 779) · trazabilidad IRAM 3523 5.1</t>
        </is>
      </c>
      <c r="Q826" s="33" t="inlineStr">
        <is>
          <t>P</t>
        </is>
      </c>
      <c r="R826" s="33" t="inlineStr">
        <is>
          <t>FL_DES_ABC_70kg</t>
        </is>
      </c>
      <c r="S826" s="17" t="inlineStr">
        <is>
          <t>QR GTIN + serie</t>
        </is>
      </c>
    </row>
    <row r="827">
      <c r="A827" s="33" t="inlineStr">
        <is>
          <t>FL_MAT_ABC_70kg</t>
        </is>
      </c>
      <c r="B827" s="33" t="n">
        <v>2</v>
      </c>
      <c r="C827" s="33" t="inlineStr">
        <is>
          <t>ABC70-34</t>
        </is>
      </c>
      <c r="D827" s="17" t="inlineStr">
        <is>
          <t xml:space="preserve">        Faja de garantía válvula-cuello</t>
        </is>
      </c>
      <c r="E827" s="33" t="n">
        <v>1</v>
      </c>
      <c r="F827" s="33" t="inlineStr">
        <is>
          <t>u</t>
        </is>
      </c>
      <c r="G827" s="34" t="n">
        <v>0.0003</v>
      </c>
      <c r="H827" s="34">
        <f>E827*G827</f>
        <v/>
      </c>
      <c r="I827" s="33" t="inlineStr">
        <is>
          <t>Vinilo destructible rayado rojo/blanco</t>
        </is>
      </c>
      <c r="J827" s="17" t="inlineStr">
        <is>
          <t>30 × 40</t>
        </is>
      </c>
      <c r="K827" s="33" t="inlineStr">
        <is>
          <t>Compra</t>
        </is>
      </c>
      <c r="L827" s="33" t="inlineStr">
        <is>
          <t>Sí</t>
        </is>
      </c>
      <c r="M827" s="17" t="inlineStr">
        <is>
          <t>Astuprint</t>
        </is>
      </c>
      <c r="N827" s="17" t="inlineStr">
        <is>
          <t>Multilabel Argentina S.A.</t>
        </is>
      </c>
      <c r="O827" s="17" t="inlineStr">
        <is>
          <t>22 Etiquetado (T07)</t>
        </is>
      </c>
      <c r="P827" s="17" t="inlineStr">
        <is>
          <t>Sin norma: práctica de mercado (garantía de fábrica)</t>
        </is>
      </c>
      <c r="Q827" s="33" t="inlineStr">
        <is>
          <t>P</t>
        </is>
      </c>
      <c r="R827" s="33" t="inlineStr">
        <is>
          <t>FL_DES_ABC_70kg</t>
        </is>
      </c>
      <c r="S827" s="17" t="inlineStr">
        <is>
          <t>nuevo sin abrir</t>
        </is>
      </c>
    </row>
    <row r="828">
      <c r="A828" s="33" t="inlineStr">
        <is>
          <t>FL_MAT_ABC_70kg</t>
        </is>
      </c>
      <c r="B828" s="33" t="n">
        <v>2</v>
      </c>
      <c r="C828" s="33" t="inlineStr">
        <is>
          <t>ABC70-35</t>
        </is>
      </c>
      <c r="D828" s="17" t="inlineStr">
        <is>
          <t xml:space="preserve">        Precinto de fábrica</t>
        </is>
      </c>
      <c r="E828" s="33" t="n">
        <v>1</v>
      </c>
      <c r="F828" s="33" t="inlineStr">
        <is>
          <t>u</t>
        </is>
      </c>
      <c r="G828" s="34" t="n">
        <v>0.0002</v>
      </c>
      <c r="H828" s="34">
        <f>E828*G828</f>
        <v/>
      </c>
      <c r="I828" s="33" t="inlineStr">
        <is>
          <t>Polipropileno color</t>
        </is>
      </c>
      <c r="J828" s="17" t="inlineStr">
        <is>
          <t>Ø5 × 10, numerado, rotura 30-50 N</t>
        </is>
      </c>
      <c r="K828" s="33" t="inlineStr">
        <is>
          <t>Compra</t>
        </is>
      </c>
      <c r="L828" s="33" t="inlineStr">
        <is>
          <t>Sí</t>
        </is>
      </c>
      <c r="M828" s="17" t="inlineStr">
        <is>
          <t>SonFuertes (vía Papelera Damián)</t>
        </is>
      </c>
      <c r="N828" s="17" t="inlineStr">
        <is>
          <t>Precinter S.R.L.</t>
        </is>
      </c>
      <c r="O828" s="17" t="inlineStr">
        <is>
          <t>20 Presurización (T05)</t>
        </is>
      </c>
      <c r="P828" s="17" t="inlineStr">
        <is>
          <t>IRAM 3523 3.3.2 · IRAM 3517-2:2020 9.4.13</t>
        </is>
      </c>
      <c r="Q828" s="33" t="inlineStr">
        <is>
          <t>P</t>
        </is>
      </c>
      <c r="R828" s="33" t="inlineStr">
        <is>
          <t>FL_DES_ABC_70kg</t>
        </is>
      </c>
      <c r="S828" s="17" t="inlineStr">
        <is>
          <t>id. FLAMA y lote</t>
        </is>
      </c>
    </row>
    <row r="829">
      <c r="A829" s="30" t="inlineStr">
        <is>
          <t>FL_MAT_ABC_70kg</t>
        </is>
      </c>
      <c r="B829" s="30" t="n">
        <v>1</v>
      </c>
      <c r="C829" s="30" t="inlineStr">
        <is>
          <t>ABC70-S7</t>
        </is>
      </c>
      <c r="D829" s="31" t="inlineStr">
        <is>
          <t xml:space="preserve">    Embalaje</t>
        </is>
      </c>
      <c r="E829" s="30" t="n">
        <v>1</v>
      </c>
      <c r="F829" s="30" t="inlineStr">
        <is>
          <t>u</t>
        </is>
      </c>
      <c r="G829" s="32" t="n"/>
      <c r="H829" s="32">
        <f>H832</f>
        <v/>
      </c>
      <c r="I829" s="30" t="n"/>
      <c r="J829" s="31" t="n"/>
      <c r="K829" s="30" t="inlineStr">
        <is>
          <t>Compra</t>
        </is>
      </c>
      <c r="L829" s="30" t="n"/>
      <c r="M829" s="31" t="n"/>
      <c r="N829" s="31" t="n"/>
      <c r="O829" s="31" t="inlineStr">
        <is>
          <t>23 Embalaje -&gt; 24 envolvedora (T11)</t>
        </is>
      </c>
      <c r="P829" s="31" t="n"/>
      <c r="Q829" s="30" t="n"/>
      <c r="R829" s="30" t="n"/>
      <c r="S829" s="31" t="n"/>
    </row>
    <row r="830">
      <c r="A830" s="33" t="inlineStr">
        <is>
          <t>FL_MAT_ABC_70kg</t>
        </is>
      </c>
      <c r="B830" s="33" t="n">
        <v>2</v>
      </c>
      <c r="C830" s="33" t="inlineStr">
        <is>
          <t>ABC70-E1</t>
        </is>
      </c>
      <c r="D830" s="17" t="inlineStr">
        <is>
          <t xml:space="preserve">        Esquineros y funda de polietileno</t>
        </is>
      </c>
      <c r="E830" s="33" t="n">
        <v>1</v>
      </c>
      <c r="F830" s="33" t="inlineStr">
        <is>
          <t>jgo</t>
        </is>
      </c>
      <c r="G830" s="34" t="n"/>
      <c r="H830" s="34" t="n"/>
      <c r="I830" s="33" t="inlineStr">
        <is>
          <t>PE / cartón</t>
        </is>
      </c>
      <c r="J830" s="17" t="inlineStr">
        <is>
          <t>a medida de la envolvente del plano</t>
        </is>
      </c>
      <c r="K830" s="33" t="inlineStr">
        <is>
          <t>Compra</t>
        </is>
      </c>
      <c r="L830" s="33" t="inlineStr">
        <is>
          <t>Sí</t>
        </is>
      </c>
      <c r="M830" s="17" t="inlineStr">
        <is>
          <t>MV Embalajes</t>
        </is>
      </c>
      <c r="N830" s="17" t="inlineStr">
        <is>
          <t>Embalpack</t>
        </is>
      </c>
      <c r="O830" s="17" t="inlineStr">
        <is>
          <t>23 Embalaje</t>
        </is>
      </c>
      <c r="P830" s="17" t="n"/>
      <c r="Q830" s="33" t="inlineStr">
        <is>
          <t>P</t>
        </is>
      </c>
      <c r="R830" s="33" t="n"/>
      <c r="S830" s="17" t="inlineStr">
        <is>
          <t>Medida del plano</t>
        </is>
      </c>
    </row>
    <row r="831">
      <c r="A831" s="33" t="inlineStr">
        <is>
          <t>FL_MAT_ABC_70kg</t>
        </is>
      </c>
      <c r="B831" s="33" t="n">
        <v>2</v>
      </c>
      <c r="C831" s="33" t="inlineStr">
        <is>
          <t>ABC70-E3</t>
        </is>
      </c>
      <c r="D831" s="17" t="inlineStr">
        <is>
          <t xml:space="preserve">        Pallet 1200 × 1000 (fracción)</t>
        </is>
      </c>
      <c r="E831" s="33" t="n">
        <v>0.5</v>
      </c>
      <c r="F831" s="33" t="inlineStr">
        <is>
          <t>u</t>
        </is>
      </c>
      <c r="G831" s="34" t="n"/>
      <c r="H831" s="34" t="n"/>
      <c r="I831" s="33" t="inlineStr">
        <is>
          <t>Madera</t>
        </is>
      </c>
      <c r="J831" s="17" t="inlineStr">
        <is>
          <t>2 u por pallet</t>
        </is>
      </c>
      <c r="K831" s="33" t="inlineStr">
        <is>
          <t>Compra</t>
        </is>
      </c>
      <c r="L831" s="33" t="inlineStr">
        <is>
          <t>Sí</t>
        </is>
      </c>
      <c r="M831" s="17" t="inlineStr">
        <is>
          <t>IndusPallets</t>
        </is>
      </c>
      <c r="N831" s="17" t="inlineStr">
        <is>
          <t>-</t>
        </is>
      </c>
      <c r="O831" s="17" t="inlineStr">
        <is>
          <t>23 Embalaje</t>
        </is>
      </c>
      <c r="P831" s="17" t="n"/>
      <c r="Q831" s="33" t="inlineStr">
        <is>
          <t>C</t>
        </is>
      </c>
      <c r="R831" s="33" t="n"/>
      <c r="S831" s="17" t="inlineStr">
        <is>
          <t>u por pallet = acomodo de la caja (plano) en 1200 × 1000 × 1450 de alto</t>
        </is>
      </c>
    </row>
    <row r="832">
      <c r="A832" s="41" t="inlineStr">
        <is>
          <t>FL_MAT_ABC_70kg</t>
        </is>
      </c>
      <c r="B832" s="41" t="n">
        <v>2</v>
      </c>
      <c r="C832" s="41" t="inlineStr">
        <is>
          <t>ABC70-E4</t>
        </is>
      </c>
      <c r="D832" s="18" t="inlineStr">
        <is>
          <t xml:space="preserve">        Film stretch (fracción del pallet)</t>
        </is>
      </c>
      <c r="E832" s="41" t="n">
        <v>0.06</v>
      </c>
      <c r="F832" s="41" t="inlineStr">
        <is>
          <t>kg</t>
        </is>
      </c>
      <c r="G832" s="42" t="n">
        <v>1</v>
      </c>
      <c r="H832" s="42">
        <f>E832*G832</f>
        <v/>
      </c>
      <c r="I832" s="41" t="inlineStr">
        <is>
          <t>PE lineal 23 µm</t>
        </is>
      </c>
      <c r="J832" s="18" t="inlineStr">
        <is>
          <t>0,12 kg por pallet / 2 u</t>
        </is>
      </c>
      <c r="K832" s="41" t="inlineStr">
        <is>
          <t>Compra</t>
        </is>
      </c>
      <c r="L832" s="41" t="inlineStr">
        <is>
          <t>Sí</t>
        </is>
      </c>
      <c r="M832" s="18" t="inlineStr">
        <is>
          <t>MV Embalajes</t>
        </is>
      </c>
      <c r="N832" s="18" t="inlineStr">
        <is>
          <t>Embalpack</t>
        </is>
      </c>
      <c r="O832" s="18" t="inlineStr">
        <is>
          <t>24 Envolvedora (T11)</t>
        </is>
      </c>
      <c r="P832" s="18" t="n"/>
      <c r="Q832" s="41" t="inlineStr">
        <is>
          <t>C</t>
        </is>
      </c>
      <c r="R832" s="41" t="n"/>
      <c r="S83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33">
      <c r="A833" s="33" t="inlineStr">
        <is>
          <t>FL_MAT_ABC_70kg</t>
        </is>
      </c>
      <c r="B833" s="33" t="n">
        <v>2</v>
      </c>
      <c r="C833" s="33" t="inlineStr">
        <is>
          <t>ABC70-E5</t>
        </is>
      </c>
      <c r="D833" s="17" t="inlineStr">
        <is>
          <t xml:space="preserve">        Etiqueta de pallet (lote y destino, fracción)</t>
        </is>
      </c>
      <c r="E833" s="33" t="n">
        <v>0.5</v>
      </c>
      <c r="F833" s="33" t="inlineStr">
        <is>
          <t>u</t>
        </is>
      </c>
      <c r="G833" s="34" t="n"/>
      <c r="H833" s="34" t="n"/>
      <c r="I833" s="33" t="inlineStr">
        <is>
          <t>Papel térmico</t>
        </is>
      </c>
      <c r="J833" s="17" t="inlineStr">
        <is>
          <t>100 × 150</t>
        </is>
      </c>
      <c r="K833" s="33" t="inlineStr">
        <is>
          <t>Compra</t>
        </is>
      </c>
      <c r="L833" s="33" t="inlineStr">
        <is>
          <t>Sí</t>
        </is>
      </c>
      <c r="M833" s="17" t="inlineStr">
        <is>
          <t>Astuprint</t>
        </is>
      </c>
      <c r="N833" s="17" t="inlineStr">
        <is>
          <t>Multilabel Argentina S.A.</t>
        </is>
      </c>
      <c r="O833" s="17" t="inlineStr">
        <is>
          <t>24 Envolvedora</t>
        </is>
      </c>
      <c r="P833" s="17" t="n"/>
      <c r="Q833" s="33" t="inlineStr">
        <is>
          <t>C</t>
        </is>
      </c>
      <c r="R833" s="33" t="n"/>
      <c r="S833" s="17" t="n"/>
    </row>
    <row r="834">
      <c r="A834" s="27" t="inlineStr">
        <is>
          <t>FL_MAT_ABC_100kg</t>
        </is>
      </c>
      <c r="B834" s="27" t="n">
        <v>0</v>
      </c>
      <c r="C834" s="27" t="inlineStr">
        <is>
          <t>FL_MAT_ABC_100kg</t>
        </is>
      </c>
      <c r="D834" s="28" t="inlineStr">
        <is>
          <t>Extintor ABC 100 kg sobre ruedas</t>
        </is>
      </c>
      <c r="E834" s="27" t="n">
        <v>1</v>
      </c>
      <c r="F834" s="27" t="inlineStr">
        <is>
          <t>u</t>
        </is>
      </c>
      <c r="G834" s="29" t="n"/>
      <c r="H834" s="29" t="n"/>
      <c r="I834" s="27" t="n"/>
      <c r="J834" s="28" t="n"/>
      <c r="K834" s="27" t="n"/>
      <c r="L834" s="27" t="n"/>
      <c r="M834" s="28" t="n"/>
      <c r="N834" s="28" t="n"/>
      <c r="O834" s="28" t="n"/>
      <c r="P834" s="28" t="inlineStr">
        <is>
          <t>IRAM 3550</t>
        </is>
      </c>
      <c r="Q834" s="27" t="inlineStr">
        <is>
          <t>P</t>
        </is>
      </c>
      <c r="R834" s="27" t="inlineStr">
        <is>
          <t>FL_MAT_ABC_100kg</t>
        </is>
      </c>
      <c r="S834" s="28" t="inlineStr">
        <is>
          <t>Fabricación propia</t>
        </is>
      </c>
    </row>
    <row r="835">
      <c r="A835" s="30" t="inlineStr">
        <is>
          <t>FL_MAT_ABC_100kg</t>
        </is>
      </c>
      <c r="B835" s="30" t="n">
        <v>1</v>
      </c>
      <c r="C835" s="30" t="inlineStr">
        <is>
          <t>FL_REC_ABC_100kg</t>
        </is>
      </c>
      <c r="D835" s="31" t="inlineStr">
        <is>
          <t xml:space="preserve">    Recipiente (cilindro)</t>
        </is>
      </c>
      <c r="E835" s="30" t="n">
        <v>1</v>
      </c>
      <c r="F835" s="30" t="inlineStr">
        <is>
          <t>u</t>
        </is>
      </c>
      <c r="G835" s="32" t="n"/>
      <c r="H835" s="32">
        <f>H836+H838+H839+H840+H841+H843</f>
        <v/>
      </c>
      <c r="I835" s="30" t="n"/>
      <c r="J835" s="31" t="n"/>
      <c r="K835" s="30" t="inlineStr">
        <is>
          <t>Fabricación</t>
        </is>
      </c>
      <c r="L835" s="30" t="n"/>
      <c r="M835" s="31" t="n"/>
      <c r="N835" s="31" t="n"/>
      <c r="O835" s="31" t="n"/>
      <c r="P835" s="31" t="inlineStr">
        <is>
          <t>IRAM 3523 / 3550 (recipiente)</t>
        </is>
      </c>
      <c r="Q835" s="30" t="inlineStr">
        <is>
          <t>P</t>
        </is>
      </c>
      <c r="R835" s="30" t="inlineStr">
        <is>
          <t>FL_REC_ABC_100kg</t>
        </is>
      </c>
      <c r="S835" s="31" t="n"/>
    </row>
    <row r="836">
      <c r="A836" s="33" t="inlineStr">
        <is>
          <t>FL_MAT_ABC_100kg</t>
        </is>
      </c>
      <c r="B836" s="33" t="n">
        <v>2</v>
      </c>
      <c r="C836" s="33" t="inlineStr">
        <is>
          <t>ABC100-01</t>
        </is>
      </c>
      <c r="D836" s="17" t="inlineStr">
        <is>
          <t xml:space="preserve">        Cuerpo (virola)</t>
        </is>
      </c>
      <c r="E836" s="33" t="n">
        <v>1</v>
      </c>
      <c r="F836" s="33" t="inlineStr">
        <is>
          <t>u</t>
        </is>
      </c>
      <c r="G836" s="34" t="n">
        <v>35.6113</v>
      </c>
      <c r="H836" s="34">
        <f>E836*G836</f>
        <v/>
      </c>
      <c r="I836" s="33" t="inlineStr">
        <is>
          <t>Chapa LAC IRAM-IAS U 500-04 e=4,75</t>
        </is>
      </c>
      <c r="J836" s="17" t="inlineStr">
        <is>
          <t>Ø390 × e4,75 × 789,1 de alto; desarrollo 1.210,3 × 789,1</t>
        </is>
      </c>
      <c r="K836" s="33" t="inlineStr">
        <is>
          <t>Fabricación</t>
        </is>
      </c>
      <c r="L836" s="33" t="inlineStr">
        <is>
          <t>No</t>
        </is>
      </c>
      <c r="M836" s="17" t="n"/>
      <c r="N836" s="17" t="n"/>
      <c r="O836" s="17" t="inlineStr">
        <is>
          <t>1 Guillotina -&gt; C1 cilindrado -&gt; C2 punteo -&gt; C3 sold. long.</t>
        </is>
      </c>
      <c r="P836" s="17" t="n"/>
      <c r="Q836" s="33" t="inlineStr">
        <is>
          <t>P</t>
        </is>
      </c>
      <c r="R836" s="33" t="inlineStr">
        <is>
          <t>FL_DES_ABC_100kg</t>
        </is>
      </c>
      <c r="S836" s="17" t="inlineStr">
        <is>
          <t>costura long. MAG</t>
        </is>
      </c>
    </row>
    <row r="837">
      <c r="A837" s="35" t="inlineStr">
        <is>
          <t>FL_MAT_ABC_100kg</t>
        </is>
      </c>
      <c r="B837" s="35" t="n">
        <v>3</v>
      </c>
      <c r="C837" s="35" t="inlineStr">
        <is>
          <t>MP-HOJA</t>
        </is>
      </c>
      <c r="D837" s="36" t="inlineStr">
        <is>
          <t xml:space="preserve">            Recorte de hoja LAC 1500 × 3000 e=4,75</t>
        </is>
      </c>
      <c r="E837" s="35" t="n">
        <v>1</v>
      </c>
      <c r="F837" s="35" t="inlineStr">
        <is>
          <t>u</t>
        </is>
      </c>
      <c r="G837" s="37" t="n">
        <v>55.947</v>
      </c>
      <c r="H837" s="37">
        <f>E837*G837</f>
        <v/>
      </c>
      <c r="I837" s="35" t="inlineStr">
        <is>
          <t>Chapa LAC IRAM-IAS U 500-04 LAC</t>
        </is>
      </c>
      <c r="J837" s="36" t="inlineStr">
        <is>
          <t>900 × 1.212 (aprovech. 72,7 %)</t>
        </is>
      </c>
      <c r="K837" s="35" t="inlineStr">
        <is>
          <t>Compra</t>
        </is>
      </c>
      <c r="L837" s="35" t="inlineStr">
        <is>
          <t>Sí</t>
        </is>
      </c>
      <c r="M837" s="36" t="inlineStr">
        <is>
          <t>Pradecon S.A.</t>
        </is>
      </c>
      <c r="N837" s="36" t="inlineStr">
        <is>
          <t>Pacheco Chapas</t>
        </is>
      </c>
      <c r="O837" s="36" t="inlineStr">
        <is>
          <t>AL-1H paquetes de hojas</t>
        </is>
      </c>
      <c r="P837" s="36" t="n"/>
      <c r="Q837" s="35" t="inlineStr">
        <is>
          <t>L</t>
        </is>
      </c>
      <c r="R837" s="35" t="inlineStr">
        <is>
          <t>FL_PI_04 h2</t>
        </is>
      </c>
      <c r="S837" s="36" t="n"/>
    </row>
    <row r="838">
      <c r="A838" s="33" t="inlineStr">
        <is>
          <t>FL_MAT_ABC_100kg</t>
        </is>
      </c>
      <c r="B838" s="33" t="n">
        <v>2</v>
      </c>
      <c r="C838" s="33" t="inlineStr">
        <is>
          <t>ABC100-02</t>
        </is>
      </c>
      <c r="D838" s="17" t="inlineStr">
        <is>
          <t xml:space="preserve">        Cúpula</t>
        </is>
      </c>
      <c r="E838" s="33" t="n">
        <v>1</v>
      </c>
      <c r="F838" s="33" t="inlineStr">
        <is>
          <t>u</t>
        </is>
      </c>
      <c r="G838" s="34" t="n">
        <v>6.4197</v>
      </c>
      <c r="H838" s="34">
        <f>E838*G838</f>
        <v/>
      </c>
      <c r="I838" s="33" t="inlineStr">
        <is>
          <t>Chapa LAC IRAM-IAS U 500-04 e=4,75</t>
        </is>
      </c>
      <c r="J838" s="17" t="inlineStr">
        <is>
          <t>Ø390 × e4,75 × 125,2 de alto; disco Ø482,2</t>
        </is>
      </c>
      <c r="K838" s="33" t="inlineStr">
        <is>
          <t>Compra (tapa embutida tercerizada)</t>
        </is>
      </c>
      <c r="L838" s="33" t="inlineStr">
        <is>
          <t>Sí</t>
        </is>
      </c>
      <c r="M838" s="17" t="inlineStr">
        <is>
          <t>Gockel Ingeniería S.R.L.</t>
        </is>
      </c>
      <c r="N838" s="17" t="inlineStr">
        <is>
          <t>-</t>
        </is>
      </c>
      <c r="O838" s="17" t="inlineStr">
        <is>
          <t>Compra (casquetes de carros, rack RK1)</t>
        </is>
      </c>
      <c r="P838" s="17" t="n"/>
      <c r="Q838" s="33" t="inlineStr">
        <is>
          <t>P</t>
        </is>
      </c>
      <c r="R838" s="33" t="inlineStr">
        <is>
          <t>FL_DES_ABC_100kg</t>
        </is>
      </c>
      <c r="S838" s="17" t="inlineStr">
        <is>
          <t>embutida</t>
        </is>
      </c>
    </row>
    <row r="839">
      <c r="A839" s="33" t="inlineStr">
        <is>
          <t>FL_MAT_ABC_100kg</t>
        </is>
      </c>
      <c r="B839" s="33" t="n">
        <v>2</v>
      </c>
      <c r="C839" s="33" t="inlineStr">
        <is>
          <t>ABC100-03</t>
        </is>
      </c>
      <c r="D839" s="17" t="inlineStr">
        <is>
          <t xml:space="preserve">        Fondo</t>
        </is>
      </c>
      <c r="E839" s="33" t="n">
        <v>1</v>
      </c>
      <c r="F839" s="33" t="inlineStr">
        <is>
          <t>u</t>
        </is>
      </c>
      <c r="G839" s="34" t="n">
        <v>6.7811</v>
      </c>
      <c r="H839" s="34">
        <f>E839*G839</f>
        <v/>
      </c>
      <c r="I839" s="33" t="inlineStr">
        <is>
          <t>Chapa LAC IRAM-IAS U 500-04 e=4,75</t>
        </is>
      </c>
      <c r="J839" s="17" t="inlineStr">
        <is>
          <t>Ø390 × e4,75 × 127,9 de alto; disco Ø495,6</t>
        </is>
      </c>
      <c r="K839" s="33" t="inlineStr">
        <is>
          <t>Compra (tapa embutida tercerizada)</t>
        </is>
      </c>
      <c r="L839" s="33" t="inlineStr">
        <is>
          <t>Sí</t>
        </is>
      </c>
      <c r="M839" s="17" t="inlineStr">
        <is>
          <t>Gockel Ingeniería S.R.L.</t>
        </is>
      </c>
      <c r="N839" s="17" t="inlineStr">
        <is>
          <t>-</t>
        </is>
      </c>
      <c r="O839" s="17" t="inlineStr">
        <is>
          <t>Compra (casquetes de carros, rack RK1)</t>
        </is>
      </c>
      <c r="P839" s="17" t="n"/>
      <c r="Q839" s="33" t="inlineStr">
        <is>
          <t>P</t>
        </is>
      </c>
      <c r="R839" s="33" t="inlineStr">
        <is>
          <t>FL_DES_ABC_100kg</t>
        </is>
      </c>
      <c r="S839" s="17" t="inlineStr">
        <is>
          <t>embutido</t>
        </is>
      </c>
    </row>
    <row r="840">
      <c r="A840" s="33" t="inlineStr">
        <is>
          <t>FL_MAT_ABC_100kg</t>
        </is>
      </c>
      <c r="B840" s="33" t="n">
        <v>2</v>
      </c>
      <c r="C840" s="33" t="inlineStr">
        <is>
          <t>ABC100-04</t>
        </is>
      </c>
      <c r="D840" s="17" t="inlineStr">
        <is>
          <t xml:space="preserve">        Cuello roscado</t>
        </is>
      </c>
      <c r="E840" s="33" t="n">
        <v>1</v>
      </c>
      <c r="F840" s="33" t="inlineStr">
        <is>
          <t>u</t>
        </is>
      </c>
      <c r="G840" s="34" t="n">
        <v>0.6198</v>
      </c>
      <c r="H840" s="34">
        <f>E840*G840</f>
        <v/>
      </c>
      <c r="I840" s="33" t="inlineStr">
        <is>
          <t>Acero SAE 1010</t>
        </is>
      </c>
      <c r="J840" s="17" t="inlineStr">
        <is>
          <t>Ø88 × 37 de alto, rosca RBSP 2 1/2"-11 h, asiento Ø80</t>
        </is>
      </c>
      <c r="K840" s="33" t="inlineStr">
        <is>
          <t>Compra (mecanizado, Eli-Met)</t>
        </is>
      </c>
      <c r="L840" s="33" t="inlineStr">
        <is>
          <t>Sí</t>
        </is>
      </c>
      <c r="M840" s="17" t="inlineStr">
        <is>
          <t>Eli-Met</t>
        </is>
      </c>
      <c r="N840" s="17" t="inlineStr">
        <is>
          <t>-</t>
        </is>
      </c>
      <c r="O840" s="17" t="inlineStr">
        <is>
          <t>Compra -&gt; C2 punteo</t>
        </is>
      </c>
      <c r="P840" s="17" t="n"/>
      <c r="Q840" s="33" t="inlineStr">
        <is>
          <t>P</t>
        </is>
      </c>
      <c r="R840" s="33" t="inlineStr">
        <is>
          <t>FL_DES_ABC_100kg</t>
        </is>
      </c>
      <c r="S840" s="17" t="inlineStr">
        <is>
          <t>RBSP 2 1/2"-11 h</t>
        </is>
      </c>
    </row>
    <row r="841">
      <c r="A841" s="41" t="inlineStr">
        <is>
          <t>FL_MAT_ABC_100kg</t>
        </is>
      </c>
      <c r="B841" s="41" t="n">
        <v>2</v>
      </c>
      <c r="C841" s="41" t="inlineStr">
        <is>
          <t>ABC100-05</t>
        </is>
      </c>
      <c r="D841" s="18" t="inlineStr">
        <is>
          <t xml:space="preserve">        Varilla de refuerzo interior</t>
        </is>
      </c>
      <c r="E841" s="41" t="n">
        <v>1</v>
      </c>
      <c r="F841" s="41" t="inlineStr">
        <is>
          <t>u</t>
        </is>
      </c>
      <c r="G841" s="42" t="n">
        <v>0.2995</v>
      </c>
      <c r="H841" s="42">
        <f>E841*G841</f>
        <v/>
      </c>
      <c r="I841" s="41" t="inlineStr">
        <is>
          <t>Redondo liso SAE 1010 Ø8</t>
        </is>
      </c>
      <c r="J841" s="18" t="inlineStr">
        <is>
          <t>759,1 × 8 × 8</t>
        </is>
      </c>
      <c r="K841" s="41" t="inlineStr">
        <is>
          <t>Fabricación</t>
        </is>
      </c>
      <c r="L841" s="41" t="inlineStr">
        <is>
          <t>No</t>
        </is>
      </c>
      <c r="M841" s="18" t="n"/>
      <c r="N841" s="18" t="n"/>
      <c r="O841" s="18" t="inlineStr">
        <is>
          <t>Corte de barra -&gt; C2 punteo interior antes de C3 soldadura longitudinal</t>
        </is>
      </c>
      <c r="P841" s="18" t="n"/>
      <c r="Q841" s="41" t="inlineStr">
        <is>
          <t>P</t>
        </is>
      </c>
      <c r="R841" s="41" t="inlineStr">
        <is>
          <t>FL_DES_ABC_100kg</t>
        </is>
      </c>
      <c r="S841" s="18" t="inlineStr">
        <is>
          <t>Interior, detrás de la costura longitudinal; se puntea antes de la soldadura longitudinal para mantener la simetría del cilindrado (decisión FLAMA). Ø8 = propuesta de diseño, sin cálculo</t>
        </is>
      </c>
    </row>
    <row r="842">
      <c r="A842" s="47" t="inlineStr">
        <is>
          <t>FL_MAT_ABC_100kg</t>
        </is>
      </c>
      <c r="B842" s="47" t="n">
        <v>3</v>
      </c>
      <c r="C842" s="47" t="inlineStr">
        <is>
          <t>MP-VARILLA</t>
        </is>
      </c>
      <c r="D842" s="48" t="inlineStr">
        <is>
          <t xml:space="preserve">            Redondo liso SAE 1010 Ø8 (tramo de barra de 6 m)</t>
        </is>
      </c>
      <c r="E842" s="47" t="n">
        <v>0.1265</v>
      </c>
      <c r="F842" s="47" t="inlineStr">
        <is>
          <t>barra</t>
        </is>
      </c>
      <c r="G842" s="49" t="n">
        <v>2.37</v>
      </c>
      <c r="H842" s="49">
        <f>E842*G842</f>
        <v/>
      </c>
      <c r="I842" s="47" t="inlineStr">
        <is>
          <t>Redondo liso SAE 1010 Ø8</t>
        </is>
      </c>
      <c r="J842" s="48" t="inlineStr">
        <is>
          <t>759 mm por pieza (kg por barra de 6 m)</t>
        </is>
      </c>
      <c r="K842" s="47" t="inlineStr">
        <is>
          <t>Compra</t>
        </is>
      </c>
      <c r="L842" s="47" t="inlineStr">
        <is>
          <t>Sí</t>
        </is>
      </c>
      <c r="M842" s="48" t="inlineStr">
        <is>
          <t>Hierros Parrotta</t>
        </is>
      </c>
      <c r="N842" s="48" t="inlineStr">
        <is>
          <t>Aceros Inoxidables Caseros</t>
        </is>
      </c>
      <c r="O842" s="48" t="inlineStr">
        <is>
          <t>Corte en sierra</t>
        </is>
      </c>
      <c r="P842" s="48" t="n"/>
      <c r="Q842" s="47" t="inlineStr">
        <is>
          <t>C</t>
        </is>
      </c>
      <c r="R842" s="47" t="n"/>
      <c r="S842" s="48" t="inlineStr">
        <is>
          <t>Ø8 = propuesta de diseño (sin cálculo)</t>
        </is>
      </c>
    </row>
    <row r="843">
      <c r="A843" s="41" t="inlineStr">
        <is>
          <t>FL_MAT_ABC_100kg</t>
        </is>
      </c>
      <c r="B843" s="41" t="n">
        <v>2</v>
      </c>
      <c r="C843" s="41" t="inlineStr">
        <is>
          <t>ABC100-C1</t>
        </is>
      </c>
      <c r="D843" s="18" t="inlineStr">
        <is>
          <t xml:space="preserve">        Alambre MAG ER70S-6 Ø1,2 (AWS A5.18)</t>
        </is>
      </c>
      <c r="E843" s="41" t="n">
        <v>1.0848</v>
      </c>
      <c r="F843" s="41" t="inlineStr">
        <is>
          <t>kg</t>
        </is>
      </c>
      <c r="G843" s="42" t="n">
        <v>0.95</v>
      </c>
      <c r="H843" s="42">
        <f>E843*G843</f>
        <v/>
      </c>
      <c r="I843" s="41" t="inlineStr">
        <is>
          <t>ER70S-6</t>
        </is>
      </c>
      <c r="J843" s="18" t="inlineStr">
        <is>
          <t>metal depositado de los cordones del plano 1.031 g / rendimiento 0,95</t>
        </is>
      </c>
      <c r="K843" s="41" t="inlineStr">
        <is>
          <t>Compra</t>
        </is>
      </c>
      <c r="L843" s="41" t="inlineStr">
        <is>
          <t>Sí</t>
        </is>
      </c>
      <c r="M843" s="18" t="inlineStr">
        <is>
          <t>Conarco (ESAB Argentina)</t>
        </is>
      </c>
      <c r="N843" s="18" t="inlineStr">
        <is>
          <t>-</t>
        </is>
      </c>
      <c r="O843" s="18" t="inlineStr">
        <is>
          <t>4 sold. long. / 8 cuello / 11 circunferencial</t>
        </is>
      </c>
      <c r="P843" s="18" t="inlineStr">
        <is>
          <t>IRAM 3523 3.2.4.2 · IRAM 3550 4.1.2</t>
        </is>
      </c>
      <c r="Q843" s="41" t="inlineStr">
        <is>
          <t>C</t>
        </is>
      </c>
      <c r="R843" s="41" t="n"/>
      <c r="S84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44">
      <c r="A844" s="41" t="inlineStr">
        <is>
          <t>FL_MAT_ABC_100kg</t>
        </is>
      </c>
      <c r="B844" s="41" t="n">
        <v>2</v>
      </c>
      <c r="C844" s="41" t="inlineStr">
        <is>
          <t>ABC100-C2</t>
        </is>
      </c>
      <c r="D844" s="18" t="inlineStr">
        <is>
          <t xml:space="preserve">        Gas de protección MAG Arcal 21 / ARCAL Speed (Ar + 8 % CO₂, M20)</t>
        </is>
      </c>
      <c r="E844" s="41" t="n">
        <v>82</v>
      </c>
      <c r="F844" s="41" t="inlineStr">
        <is>
          <t>L</t>
        </is>
      </c>
      <c r="G844" s="42" t="n"/>
      <c r="H844" s="42" t="n"/>
      <c r="I844" s="41" t="inlineStr">
        <is>
          <t>EN ISO 14175 M20-ArC-8</t>
        </is>
      </c>
      <c r="J844" s="18" t="inlineStr">
        <is>
          <t>14 L/min × 5,86 min de arco (cordones 3.516 mm: long. 789 + circ. 2.450 + cuello 276, a 600 mm/min)</t>
        </is>
      </c>
      <c r="K844" s="41" t="inlineStr">
        <is>
          <t>Compra</t>
        </is>
      </c>
      <c r="L844" s="41" t="inlineStr">
        <is>
          <t>Sí</t>
        </is>
      </c>
      <c r="M844" s="18" t="inlineStr">
        <is>
          <t>Air Liquide Argentina - sucursal Piñeyro</t>
        </is>
      </c>
      <c r="N844" s="18" t="inlineStr">
        <is>
          <t>Gogniat</t>
        </is>
      </c>
      <c r="O844" s="18" t="inlineStr">
        <is>
          <t>Colector SC</t>
        </is>
      </c>
      <c r="P844" s="18" t="inlineStr">
        <is>
          <t>IRAM 3523 3.2.4.2 · IRAM 3550 3.2.2.2</t>
        </is>
      </c>
      <c r="Q844" s="41" t="inlineStr">
        <is>
          <t>C</t>
        </is>
      </c>
      <c r="R844" s="41" t="n"/>
      <c r="S84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45">
      <c r="A845" s="33" t="inlineStr">
        <is>
          <t>FL_MAT_ABC_100kg</t>
        </is>
      </c>
      <c r="B845" s="33" t="n">
        <v>2</v>
      </c>
      <c r="C845" s="33" t="inlineStr">
        <is>
          <t>ABC100-C4</t>
        </is>
      </c>
      <c r="D845" s="17" t="inlineStr">
        <is>
          <t xml:space="preserve">        Servicio de pintura en polvo al horno, rojo 03-1-050 (con preparación por quemado)</t>
        </is>
      </c>
      <c r="E845" s="33" t="n">
        <v>1</v>
      </c>
      <c r="F845" s="33" t="inlineStr">
        <is>
          <t>u</t>
        </is>
      </c>
      <c r="G845" s="34" t="n"/>
      <c r="H845" s="34" t="n"/>
      <c r="I845" s="33" t="inlineStr">
        <is>
          <t>Servicio tercerizado</t>
        </is>
      </c>
      <c r="J845" s="17" t="inlineStr">
        <is>
          <t>superficie exterior 1,309 m²</t>
        </is>
      </c>
      <c r="K845" s="33" t="inlineStr">
        <is>
          <t>Compra (servicio)</t>
        </is>
      </c>
      <c r="L845" s="33" t="inlineStr">
        <is>
          <t>Sí</t>
        </is>
      </c>
      <c r="M845" s="17" t="inlineStr">
        <is>
          <t>Pintor de carros (cotización por mensaje)</t>
        </is>
      </c>
      <c r="N845" s="17" t="inlineStr">
        <is>
          <t>Prymax</t>
        </is>
      </c>
      <c r="O845" s="17" t="inlineStr">
        <is>
          <t>17 Pintura tercerizada</t>
        </is>
      </c>
      <c r="P845" s="17" t="inlineStr">
        <is>
          <t>IRAM 3523 5.3 / IRAM 3550 3.11 · IRAM 121</t>
        </is>
      </c>
      <c r="Q845" s="33" t="inlineStr">
        <is>
          <t>Q</t>
        </is>
      </c>
      <c r="R845" s="33" t="n"/>
      <c r="S845" s="17" t="inlineStr">
        <is>
          <t>Q-CARROS (precio por carro); exigir informe de niebla salina del sistema de pintura; tercerización aceptada por el Ministerio (Res. 349/07 art. 18)</t>
        </is>
      </c>
    </row>
    <row r="846">
      <c r="A846" s="30" t="inlineStr">
        <is>
          <t>FL_MAT_ABC_100kg</t>
        </is>
      </c>
      <c r="B846" s="30" t="n">
        <v>1</v>
      </c>
      <c r="C846" s="30" t="inlineStr">
        <is>
          <t>ABC100-S2</t>
        </is>
      </c>
      <c r="D846" s="31" t="inlineStr">
        <is>
          <t xml:space="preserve">    Conjunto de válvula</t>
        </is>
      </c>
      <c r="E846" s="30" t="n">
        <v>1</v>
      </c>
      <c r="F846" s="30" t="inlineStr">
        <is>
          <t>u</t>
        </is>
      </c>
      <c r="G846" s="32" t="n"/>
      <c r="H846" s="32">
        <f>H847+H848+H849+H851+H852+H853+H854+H855+H856+H857</f>
        <v/>
      </c>
      <c r="I846" s="30" t="n"/>
      <c r="J846" s="31" t="n"/>
      <c r="K846" s="30" t="inlineStr">
        <is>
          <t>Compra / armado</t>
        </is>
      </c>
      <c r="L846" s="30" t="n"/>
      <c r="M846" s="31" t="n"/>
      <c r="N846" s="31" t="n"/>
      <c r="O846" s="31" t="n"/>
      <c r="P846" s="31" t="inlineStr">
        <is>
          <t>Manómetro IRAM 3533</t>
        </is>
      </c>
      <c r="Q846" s="30" t="inlineStr">
        <is>
          <t>P</t>
        </is>
      </c>
      <c r="R846" s="30" t="inlineStr">
        <is>
          <t>FL_DES_ABC_100kg</t>
        </is>
      </c>
      <c r="S846" s="31" t="n"/>
    </row>
    <row r="847">
      <c r="A847" s="33" t="inlineStr">
        <is>
          <t>FL_MAT_ABC_100kg</t>
        </is>
      </c>
      <c r="B847" s="33" t="n">
        <v>2</v>
      </c>
      <c r="C847" s="33" t="inlineStr">
        <is>
          <t>ABC100-12</t>
        </is>
      </c>
      <c r="D847" s="17" t="inlineStr">
        <is>
          <t xml:space="preserve">        Collarín de válvula</t>
        </is>
      </c>
      <c r="E847" s="33" t="n">
        <v>1</v>
      </c>
      <c r="F847" s="33" t="inlineStr">
        <is>
          <t>u</t>
        </is>
      </c>
      <c r="G847" s="34" t="n">
        <v>0.4107</v>
      </c>
      <c r="H847" s="34">
        <f>E847*G847</f>
        <v/>
      </c>
      <c r="I847" s="33" t="inlineStr">
        <is>
          <t>Latón forjado</t>
        </is>
      </c>
      <c r="J847" s="17" t="inlineStr">
        <is>
          <t>96,1 × 96,1 × 13,5</t>
        </is>
      </c>
      <c r="K847" s="33" t="inlineStr">
        <is>
          <t>Incluido en válvula HZ</t>
        </is>
      </c>
      <c r="L847" s="33" t="inlineStr">
        <is>
          <t>No</t>
        </is>
      </c>
      <c r="M847" s="17" t="n"/>
      <c r="N847" s="17" t="n"/>
      <c r="O847" s="17" t="inlineStr">
        <is>
          <t>C9 armado</t>
        </is>
      </c>
      <c r="P847" s="17" t="n"/>
      <c r="Q847" s="33" t="inlineStr">
        <is>
          <t>P</t>
        </is>
      </c>
      <c r="R847" s="33" t="inlineStr">
        <is>
          <t>FL_DES_ABC_100kg</t>
        </is>
      </c>
      <c r="S847" s="17" t="n"/>
    </row>
    <row r="848">
      <c r="A848" s="33" t="inlineStr">
        <is>
          <t>FL_MAT_ABC_100kg</t>
        </is>
      </c>
      <c r="B848" s="33" t="n">
        <v>2</v>
      </c>
      <c r="C848" s="33" t="inlineStr">
        <is>
          <t>ABC100-13</t>
        </is>
      </c>
      <c r="D848" s="17" t="inlineStr">
        <is>
          <t xml:space="preserve">        Espiga roscada</t>
        </is>
      </c>
      <c r="E848" s="33" t="n">
        <v>1</v>
      </c>
      <c r="F848" s="33" t="inlineStr">
        <is>
          <t>u</t>
        </is>
      </c>
      <c r="G848" s="34" t="n">
        <v>0.1187</v>
      </c>
      <c r="H848" s="34">
        <f>E848*G848</f>
        <v/>
      </c>
      <c r="I848" s="33" t="inlineStr">
        <is>
          <t>Latón forjado</t>
        </is>
      </c>
      <c r="J848" s="17" t="inlineStr">
        <is>
          <t>72,2 × 72,2 × 16,2</t>
        </is>
      </c>
      <c r="K848" s="33" t="inlineStr">
        <is>
          <t>Incluido en válvula HZ</t>
        </is>
      </c>
      <c r="L848" s="33" t="inlineStr">
        <is>
          <t>No</t>
        </is>
      </c>
      <c r="M848" s="17" t="n"/>
      <c r="N848" s="17" t="n"/>
      <c r="O848" s="17" t="inlineStr">
        <is>
          <t>C9 armado</t>
        </is>
      </c>
      <c r="P848" s="17" t="n"/>
      <c r="Q848" s="33" t="inlineStr">
        <is>
          <t>P</t>
        </is>
      </c>
      <c r="R848" s="33" t="inlineStr">
        <is>
          <t>FL_DES_ABC_100kg</t>
        </is>
      </c>
      <c r="S848" s="17" t="n"/>
    </row>
    <row r="849">
      <c r="A849" s="33" t="inlineStr">
        <is>
          <t>FL_MAT_ABC_100kg</t>
        </is>
      </c>
      <c r="B849" s="33" t="n">
        <v>2</v>
      </c>
      <c r="C849" s="33" t="inlineStr">
        <is>
          <t>ABC100-14</t>
        </is>
      </c>
      <c r="D849" s="17" t="inlineStr">
        <is>
          <t xml:space="preserve">        Cuerpo de válvula</t>
        </is>
      </c>
      <c r="E849" s="33" t="n">
        <v>1</v>
      </c>
      <c r="F849" s="33" t="inlineStr">
        <is>
          <t>u</t>
        </is>
      </c>
      <c r="G849" s="34" t="n">
        <v>0.7378</v>
      </c>
      <c r="H849" s="34">
        <f>E849*G849</f>
        <v/>
      </c>
      <c r="I849" s="33" t="inlineStr">
        <is>
          <t>Latón forjado</t>
        </is>
      </c>
      <c r="J849" s="17" t="inlineStr">
        <is>
          <t>58,4 × 54 × 46,3</t>
        </is>
      </c>
      <c r="K849" s="33" t="inlineStr">
        <is>
          <t>Incluido en válvula HZ</t>
        </is>
      </c>
      <c r="L849" s="33" t="inlineStr">
        <is>
          <t>No</t>
        </is>
      </c>
      <c r="M849" s="17" t="n"/>
      <c r="N849" s="17" t="n"/>
      <c r="O849" s="17" t="inlineStr">
        <is>
          <t>C9 armado</t>
        </is>
      </c>
      <c r="P849" s="17" t="n"/>
      <c r="Q849" s="33" t="inlineStr">
        <is>
          <t>P</t>
        </is>
      </c>
      <c r="R849" s="33" t="inlineStr">
        <is>
          <t>FL_DES_ABC_100kg</t>
        </is>
      </c>
      <c r="S849" s="17" t="n"/>
    </row>
    <row r="850">
      <c r="A850" s="45" t="inlineStr">
        <is>
          <t>FL_MAT_ABC_100kg</t>
        </is>
      </c>
      <c r="B850" s="45" t="n">
        <v>2</v>
      </c>
      <c r="C850" s="45" t="inlineStr">
        <is>
          <t>ABC100-15</t>
        </is>
      </c>
      <c r="D850" s="19" t="inlineStr">
        <is>
          <t xml:space="preserve">        Manómetro</t>
        </is>
      </c>
      <c r="E850" s="45" t="n">
        <v>1</v>
      </c>
      <c r="F850" s="45" t="inlineStr">
        <is>
          <t>u</t>
        </is>
      </c>
      <c r="G850" s="46" t="n"/>
      <c r="H850" s="46" t="n"/>
      <c r="I850" s="45" t="inlineStr">
        <is>
          <t>Comercial</t>
        </is>
      </c>
      <c r="J850" s="19" t="inlineStr">
        <is>
          <t>Ø50 esfera, rango 0-3,5 MPa, sector verde en 1,4</t>
        </is>
      </c>
      <c r="K850" s="45" t="inlineStr">
        <is>
          <t>Compra</t>
        </is>
      </c>
      <c r="L850" s="45" t="inlineStr">
        <is>
          <t>Sí</t>
        </is>
      </c>
      <c r="M850" s="19" t="inlineStr">
        <is>
          <t>Yukon / MatafuegosYa S.R.L.</t>
        </is>
      </c>
      <c r="N850" s="19" t="inlineStr">
        <is>
          <t>Matafuegos Iglesias</t>
        </is>
      </c>
      <c r="O850" s="19" t="inlineStr">
        <is>
          <t>C9 armado</t>
        </is>
      </c>
      <c r="P850" s="19" t="inlineStr">
        <is>
          <t>IRAM 3533</t>
        </is>
      </c>
      <c r="Q850" s="45" t="inlineStr">
        <is>
          <t>P</t>
        </is>
      </c>
      <c r="R850" s="45" t="inlineStr">
        <is>
          <t>FL_DES_ABC_100kg</t>
        </is>
      </c>
      <c r="S850" s="19" t="inlineStr">
        <is>
          <t>Pieza comercial; sello IRAM 3533; peso: completar con la ficha del proveedor (no afecta el MRP)</t>
        </is>
      </c>
    </row>
    <row r="851">
      <c r="A851" s="33" t="inlineStr">
        <is>
          <t>FL_MAT_ABC_100kg</t>
        </is>
      </c>
      <c r="B851" s="33" t="n">
        <v>2</v>
      </c>
      <c r="C851" s="33" t="inlineStr">
        <is>
          <t>ABC100-16</t>
        </is>
      </c>
      <c r="D851" s="17" t="inlineStr">
        <is>
          <t xml:space="preserve">        Manija de transporte</t>
        </is>
      </c>
      <c r="E851" s="33" t="n">
        <v>1</v>
      </c>
      <c r="F851" s="33" t="inlineStr">
        <is>
          <t>u</t>
        </is>
      </c>
      <c r="G851" s="34" t="n">
        <v>0.1302</v>
      </c>
      <c r="H851" s="34">
        <f>E851*G851</f>
        <v/>
      </c>
      <c r="I851" s="33" t="inlineStr">
        <is>
          <t>Chapa acero SAE 1010 pintada</t>
        </is>
      </c>
      <c r="J851" s="17" t="inlineStr">
        <is>
          <t>113,7 × 27 × 17,3</t>
        </is>
      </c>
      <c r="K851" s="33" t="inlineStr">
        <is>
          <t>Incluido en válvula HZ</t>
        </is>
      </c>
      <c r="L851" s="33" t="inlineStr">
        <is>
          <t>No</t>
        </is>
      </c>
      <c r="M851" s="17" t="n"/>
      <c r="N851" s="17" t="n"/>
      <c r="O851" s="17" t="inlineStr">
        <is>
          <t>C9 armado</t>
        </is>
      </c>
      <c r="P851" s="17" t="n"/>
      <c r="Q851" s="33" t="inlineStr">
        <is>
          <t>P</t>
        </is>
      </c>
      <c r="R851" s="33" t="inlineStr">
        <is>
          <t>FL_DES_ABC_100kg</t>
        </is>
      </c>
      <c r="S851" s="17" t="n"/>
    </row>
    <row r="852">
      <c r="A852" s="33" t="inlineStr">
        <is>
          <t>FL_MAT_ABC_100kg</t>
        </is>
      </c>
      <c r="B852" s="33" t="n">
        <v>2</v>
      </c>
      <c r="C852" s="33" t="inlineStr">
        <is>
          <t>ABC100-17</t>
        </is>
      </c>
      <c r="D852" s="17" t="inlineStr">
        <is>
          <t xml:space="preserve">        Manija de accionamiento</t>
        </is>
      </c>
      <c r="E852" s="33" t="n">
        <v>1</v>
      </c>
      <c r="F852" s="33" t="inlineStr">
        <is>
          <t>u</t>
        </is>
      </c>
      <c r="G852" s="34" t="n">
        <v>0.1983</v>
      </c>
      <c r="H852" s="34">
        <f>E852*G852</f>
        <v/>
      </c>
      <c r="I852" s="33" t="inlineStr">
        <is>
          <t>Chapa acero SAE 1010 pintada</t>
        </is>
      </c>
      <c r="J852" s="17" t="inlineStr">
        <is>
          <t>172,6 × 27 × 26,5</t>
        </is>
      </c>
      <c r="K852" s="33" t="inlineStr">
        <is>
          <t>Incluido en válvula HZ</t>
        </is>
      </c>
      <c r="L852" s="33" t="inlineStr">
        <is>
          <t>No</t>
        </is>
      </c>
      <c r="M852" s="17" t="n"/>
      <c r="N852" s="17" t="n"/>
      <c r="O852" s="17" t="inlineStr">
        <is>
          <t>C9 armado</t>
        </is>
      </c>
      <c r="P852" s="17" t="n"/>
      <c r="Q852" s="33" t="inlineStr">
        <is>
          <t>P</t>
        </is>
      </c>
      <c r="R852" s="33" t="inlineStr">
        <is>
          <t>FL_DES_ABC_100kg</t>
        </is>
      </c>
      <c r="S852" s="17" t="n"/>
    </row>
    <row r="853">
      <c r="A853" s="33" t="inlineStr">
        <is>
          <t>FL_MAT_ABC_100kg</t>
        </is>
      </c>
      <c r="B853" s="33" t="n">
        <v>2</v>
      </c>
      <c r="C853" s="33" t="inlineStr">
        <is>
          <t>ABC100-18</t>
        </is>
      </c>
      <c r="D853" s="17" t="inlineStr">
        <is>
          <t xml:space="preserve">        Eje de palanca</t>
        </is>
      </c>
      <c r="E853" s="33" t="n">
        <v>1</v>
      </c>
      <c r="F853" s="33" t="inlineStr">
        <is>
          <t>u</t>
        </is>
      </c>
      <c r="G853" s="34" t="n">
        <v>0.0199</v>
      </c>
      <c r="H853" s="34">
        <f>E853*G853</f>
        <v/>
      </c>
      <c r="I853" s="33" t="inlineStr">
        <is>
          <t>Acero inox. AISI 304</t>
        </is>
      </c>
      <c r="J853" s="17" t="inlineStr">
        <is>
          <t>48,6 × 8,1 × 8,1</t>
        </is>
      </c>
      <c r="K853" s="33" t="inlineStr">
        <is>
          <t>Incluido en válvula HZ</t>
        </is>
      </c>
      <c r="L853" s="33" t="inlineStr">
        <is>
          <t>No</t>
        </is>
      </c>
      <c r="M853" s="17" t="n"/>
      <c r="N853" s="17" t="n"/>
      <c r="O853" s="17" t="inlineStr">
        <is>
          <t>C9 armado</t>
        </is>
      </c>
      <c r="P853" s="17" t="n"/>
      <c r="Q853" s="33" t="inlineStr">
        <is>
          <t>P</t>
        </is>
      </c>
      <c r="R853" s="33" t="inlineStr">
        <is>
          <t>FL_DES_ABC_100kg</t>
        </is>
      </c>
      <c r="S853" s="17" t="n"/>
    </row>
    <row r="854">
      <c r="A854" s="33" t="inlineStr">
        <is>
          <t>FL_MAT_ABC_100kg</t>
        </is>
      </c>
      <c r="B854" s="33" t="n">
        <v>2</v>
      </c>
      <c r="C854" s="33" t="inlineStr">
        <is>
          <t>ABC100-19</t>
        </is>
      </c>
      <c r="D854" s="17" t="inlineStr">
        <is>
          <t xml:space="preserve">        Vástago</t>
        </is>
      </c>
      <c r="E854" s="33" t="n">
        <v>1</v>
      </c>
      <c r="F854" s="33" t="inlineStr">
        <is>
          <t>u</t>
        </is>
      </c>
      <c r="G854" s="34" t="n">
        <v>0.0039</v>
      </c>
      <c r="H854" s="34">
        <f>E854*G854</f>
        <v/>
      </c>
      <c r="I854" s="33" t="inlineStr">
        <is>
          <t>Latón</t>
        </is>
      </c>
      <c r="J854" s="17" t="inlineStr">
        <is>
          <t>10,8 × 10,8 × 5</t>
        </is>
      </c>
      <c r="K854" s="33" t="inlineStr">
        <is>
          <t>Incluido en válvula HZ</t>
        </is>
      </c>
      <c r="L854" s="33" t="inlineStr">
        <is>
          <t>No</t>
        </is>
      </c>
      <c r="M854" s="17" t="n"/>
      <c r="N854" s="17" t="n"/>
      <c r="O854" s="17" t="inlineStr">
        <is>
          <t>C9 armado</t>
        </is>
      </c>
      <c r="P854" s="17" t="n"/>
      <c r="Q854" s="33" t="inlineStr">
        <is>
          <t>P</t>
        </is>
      </c>
      <c r="R854" s="33" t="inlineStr">
        <is>
          <t>FL_DES_ABC_100kg</t>
        </is>
      </c>
      <c r="S854" s="17" t="inlineStr">
        <is>
          <t>con junta tórica</t>
        </is>
      </c>
    </row>
    <row r="855">
      <c r="A855" s="33" t="inlineStr">
        <is>
          <t>FL_MAT_ABC_100kg</t>
        </is>
      </c>
      <c r="B855" s="33" t="n">
        <v>2</v>
      </c>
      <c r="C855" s="33" t="inlineStr">
        <is>
          <t>ABC100-20</t>
        </is>
      </c>
      <c r="D855" s="17" t="inlineStr">
        <is>
          <t xml:space="preserve">        Pasador de seguridad</t>
        </is>
      </c>
      <c r="E855" s="33" t="n">
        <v>1</v>
      </c>
      <c r="F855" s="33" t="inlineStr">
        <is>
          <t>u</t>
        </is>
      </c>
      <c r="G855" s="34" t="n">
        <v>0.0135</v>
      </c>
      <c r="H855" s="34">
        <f>E855*G855</f>
        <v/>
      </c>
      <c r="I855" s="33" t="inlineStr">
        <is>
          <t>Alambre acero inox. AISI 304</t>
        </is>
      </c>
      <c r="J855" s="17" t="inlineStr">
        <is>
          <t>61,3 × 28,4 × 28,1</t>
        </is>
      </c>
      <c r="K855" s="33" t="inlineStr">
        <is>
          <t>Incluido en válvula HZ</t>
        </is>
      </c>
      <c r="L855" s="33" t="inlineStr">
        <is>
          <t>No</t>
        </is>
      </c>
      <c r="M855" s="17" t="n"/>
      <c r="N855" s="17" t="n"/>
      <c r="O855" s="17" t="inlineStr">
        <is>
          <t>C9 armado</t>
        </is>
      </c>
      <c r="P855" s="17" t="n"/>
      <c r="Q855" s="33" t="inlineStr">
        <is>
          <t>P</t>
        </is>
      </c>
      <c r="R855" s="33" t="inlineStr">
        <is>
          <t>FL_DES_ABC_100kg</t>
        </is>
      </c>
      <c r="S855" s="17" t="inlineStr">
        <is>
          <t>con precinto</t>
        </is>
      </c>
    </row>
    <row r="856">
      <c r="A856" s="33" t="inlineStr">
        <is>
          <t>FL_MAT_ABC_100kg</t>
        </is>
      </c>
      <c r="B856" s="33" t="n">
        <v>2</v>
      </c>
      <c r="C856" s="33" t="inlineStr">
        <is>
          <t>ABC100-21</t>
        </is>
      </c>
      <c r="D856" s="17" t="inlineStr">
        <is>
          <t xml:space="preserve">        Caño de pesca (sifón)</t>
        </is>
      </c>
      <c r="E856" s="33" t="n">
        <v>1</v>
      </c>
      <c r="F856" s="33" t="inlineStr">
        <is>
          <t>u</t>
        </is>
      </c>
      <c r="G856" s="34" t="n">
        <v>0.2443</v>
      </c>
      <c r="H856" s="34">
        <f>E856*G856</f>
        <v/>
      </c>
      <c r="I856" s="33" t="inlineStr">
        <is>
          <t>Tubo PVC rígido</t>
        </is>
      </c>
      <c r="J856" s="17" t="inlineStr">
        <is>
          <t>Ø24 × 1.033,2 de largo</t>
        </is>
      </c>
      <c r="K856" s="33" t="inlineStr">
        <is>
          <t>Incluido en válvula HZ</t>
        </is>
      </c>
      <c r="L856" s="33" t="inlineStr">
        <is>
          <t>No</t>
        </is>
      </c>
      <c r="M856" s="17" t="n"/>
      <c r="N856" s="17" t="n"/>
      <c r="O856" s="17" t="inlineStr">
        <is>
          <t>C9 armado</t>
        </is>
      </c>
      <c r="P856" s="17" t="n"/>
      <c r="Q856" s="33" t="inlineStr">
        <is>
          <t>P</t>
        </is>
      </c>
      <c r="R856" s="33" t="inlineStr">
        <is>
          <t>FL_DES_ABC_100kg</t>
        </is>
      </c>
      <c r="S856" s="17" t="n"/>
    </row>
    <row r="857">
      <c r="A857" s="33" t="inlineStr">
        <is>
          <t>FL_MAT_ABC_100kg</t>
        </is>
      </c>
      <c r="B857" s="33" t="n">
        <v>2</v>
      </c>
      <c r="C857" s="33" t="inlineStr">
        <is>
          <t>ABC100-33</t>
        </is>
      </c>
      <c r="D857" s="17" t="inlineStr">
        <is>
          <t xml:space="preserve">        Junta tórica de asiento</t>
        </is>
      </c>
      <c r="E857" s="33" t="n">
        <v>1</v>
      </c>
      <c r="F857" s="33" t="inlineStr">
        <is>
          <t>u</t>
        </is>
      </c>
      <c r="G857" s="34" t="n">
        <v>0.0024</v>
      </c>
      <c r="H857" s="34">
        <f>E857*G857</f>
        <v/>
      </c>
      <c r="I857" s="33" t="inlineStr">
        <is>
          <t>NBR 70 Shore A</t>
        </is>
      </c>
      <c r="J857" s="17" t="inlineStr">
        <is>
          <t>Ø75,2 ext. × cordón 3</t>
        </is>
      </c>
      <c r="K857" s="33" t="inlineStr">
        <is>
          <t>Compra</t>
        </is>
      </c>
      <c r="L857" s="33" t="inlineStr">
        <is>
          <t>Sí</t>
        </is>
      </c>
      <c r="M857" s="17" t="inlineStr">
        <is>
          <t>Argensold</t>
        </is>
      </c>
      <c r="N857" s="17" t="inlineStr">
        <is>
          <t>Matafuegos Iglesias</t>
        </is>
      </c>
      <c r="O857" s="17" t="inlineStr">
        <is>
          <t>C9 armado</t>
        </is>
      </c>
      <c r="P857" s="17" t="n"/>
      <c r="Q857" s="33" t="inlineStr">
        <is>
          <t>P</t>
        </is>
      </c>
      <c r="R857" s="33" t="inlineStr">
        <is>
          <t>FL_DES_ABC_100kg</t>
        </is>
      </c>
      <c r="S857" s="17" t="inlineStr">
        <is>
          <t>cambio c/recarga</t>
        </is>
      </c>
    </row>
    <row r="858">
      <c r="A858" s="33" t="inlineStr">
        <is>
          <t>FL_MAT_ABC_100kg</t>
        </is>
      </c>
      <c r="B858" s="33" t="n">
        <v>2</v>
      </c>
      <c r="C858" s="33" t="inlineStr">
        <is>
          <t>ABC100-K2</t>
        </is>
      </c>
      <c r="D858" s="17" t="inlineStr">
        <is>
          <t xml:space="preserve">        Válvula HZ armada de carro 50-70-100 kg</t>
        </is>
      </c>
      <c r="E858" s="33" t="n">
        <v>1</v>
      </c>
      <c r="F858" s="33" t="inlineStr">
        <is>
          <t>u</t>
        </is>
      </c>
      <c r="G858" s="34" t="n"/>
      <c r="H858" s="34" t="n"/>
      <c r="I858" s="33" t="inlineStr">
        <is>
          <t>Latón forjado (HZ)</t>
        </is>
      </c>
      <c r="J858" s="17" t="inlineStr">
        <is>
          <t>rosca RBSP 2 1/2"-11 h</t>
        </is>
      </c>
      <c r="K858" s="33" t="inlineStr">
        <is>
          <t>Compra</t>
        </is>
      </c>
      <c r="L858" s="33" t="inlineStr">
        <is>
          <t>Sí</t>
        </is>
      </c>
      <c r="M858" s="17" t="inlineStr">
        <is>
          <t>Polvex S.R.L. / Sancibrao</t>
        </is>
      </c>
      <c r="N858" s="17" t="inlineStr">
        <is>
          <t>Mozart S.R.L.</t>
        </is>
      </c>
      <c r="O858" s="17" t="inlineStr">
        <is>
          <t>19 Ensamblaje de válvula</t>
        </is>
      </c>
      <c r="P858" s="17" t="inlineStr">
        <is>
          <t>IRAM 3523 3.3</t>
        </is>
      </c>
      <c r="Q858" s="33" t="inlineStr">
        <is>
          <t>Q</t>
        </is>
      </c>
      <c r="R858" s="33" t="inlineStr">
        <is>
          <t>FL_DES_ABC_100kg</t>
        </is>
      </c>
      <c r="S858" s="17" t="inlineStr">
        <is>
          <t>Lista de precios HZ (Q-AGENTES); plano Fadesa usa válvula HZ (R-FADESA). Trae las piezas marcadas «Incluido en válvula HZ»</t>
        </is>
      </c>
    </row>
    <row r="859">
      <c r="A859" s="33" t="inlineStr">
        <is>
          <t>FL_MAT_ABC_100kg</t>
        </is>
      </c>
      <c r="B859" s="33" t="n">
        <v>2</v>
      </c>
      <c r="C859" s="33" t="inlineStr">
        <is>
          <t>ABC100-V2</t>
        </is>
      </c>
      <c r="D859" s="17" t="inlineStr">
        <is>
          <t xml:space="preserve">        Resorte de retorno del vástago</t>
        </is>
      </c>
      <c r="E859" s="33" t="n">
        <v>1</v>
      </c>
      <c r="F859" s="33" t="inlineStr">
        <is>
          <t>u</t>
        </is>
      </c>
      <c r="G859" s="34" t="n"/>
      <c r="H859" s="34" t="n"/>
      <c r="I859" s="33" t="inlineStr">
        <is>
          <t>Acero para resortes</t>
        </is>
      </c>
      <c r="J859" s="17" t="inlineStr">
        <is>
          <t>incluido en la válvula</t>
        </is>
      </c>
      <c r="K859" s="33" t="inlineStr">
        <is>
          <t>Incluido en válvula HZ</t>
        </is>
      </c>
      <c r="L859" s="33" t="inlineStr">
        <is>
          <t>No</t>
        </is>
      </c>
      <c r="M859" s="17" t="n"/>
      <c r="N859" s="17" t="n"/>
      <c r="O859" s="17" t="inlineStr">
        <is>
          <t>19 Ensamblaje</t>
        </is>
      </c>
      <c r="P859" s="17" t="n"/>
      <c r="Q859" s="33" t="inlineStr">
        <is>
          <t>Q</t>
        </is>
      </c>
      <c r="R859" s="33" t="n"/>
      <c r="S859" s="17" t="inlineStr">
        <is>
          <t>Lista de precios HZ: válvula «c/resorte» (Q-AGENTES)</t>
        </is>
      </c>
    </row>
    <row r="860">
      <c r="A860" s="33" t="inlineStr">
        <is>
          <t>FL_MAT_ABC_100kg</t>
        </is>
      </c>
      <c r="B860" s="33" t="n">
        <v>2</v>
      </c>
      <c r="C860" s="33" t="inlineStr">
        <is>
          <t>ABC100-V3</t>
        </is>
      </c>
      <c r="D860" s="17" t="inlineStr">
        <is>
          <t xml:space="preserve">        Junta tórica del vástago</t>
        </is>
      </c>
      <c r="E860" s="33" t="n">
        <v>1</v>
      </c>
      <c r="F860" s="33" t="inlineStr">
        <is>
          <t>u</t>
        </is>
      </c>
      <c r="G860" s="34" t="n"/>
      <c r="H860" s="34" t="n"/>
      <c r="I860" s="33" t="inlineStr">
        <is>
          <t>NBR 70 Shore A</t>
        </is>
      </c>
      <c r="J860" s="17" t="inlineStr">
        <is>
          <t>incluida en la válvula</t>
        </is>
      </c>
      <c r="K860" s="33" t="inlineStr">
        <is>
          <t>Incluido en válvula HZ</t>
        </is>
      </c>
      <c r="L860" s="33" t="inlineStr">
        <is>
          <t>No</t>
        </is>
      </c>
      <c r="M860" s="17" t="n"/>
      <c r="N860" s="17" t="n"/>
      <c r="O860" s="17" t="inlineStr">
        <is>
          <t>19 Ensamblaje</t>
        </is>
      </c>
      <c r="P860" s="17" t="n"/>
      <c r="Q860" s="33" t="inlineStr">
        <is>
          <t>P</t>
        </is>
      </c>
      <c r="R860" s="33" t="n"/>
      <c r="S860" s="17" t="inlineStr">
        <is>
          <t>Figura en el plano como «vástago con junta tórica»</t>
        </is>
      </c>
    </row>
    <row r="861">
      <c r="A861" s="30" t="inlineStr">
        <is>
          <t>FL_MAT_ABC_100kg</t>
        </is>
      </c>
      <c r="B861" s="30" t="n">
        <v>1</v>
      </c>
      <c r="C861" s="30" t="inlineStr">
        <is>
          <t>ABC100-S3</t>
        </is>
      </c>
      <c r="D861" s="31" t="inlineStr">
        <is>
          <t xml:space="preserve">    Dispositivo de descarga</t>
        </is>
      </c>
      <c r="E861" s="30" t="n">
        <v>1</v>
      </c>
      <c r="F861" s="30" t="inlineStr">
        <is>
          <t>u</t>
        </is>
      </c>
      <c r="G861" s="32" t="n"/>
      <c r="H861" s="32">
        <f>H862+H863+H864+H865+H866+H867</f>
        <v/>
      </c>
      <c r="I861" s="30" t="n"/>
      <c r="J861" s="31" t="n"/>
      <c r="K861" s="30" t="inlineStr">
        <is>
          <t>Compra / armado</t>
        </is>
      </c>
      <c r="L861" s="30" t="n"/>
      <c r="M861" s="31" t="n"/>
      <c r="N861" s="31" t="n"/>
      <c r="O861" s="31" t="n"/>
      <c r="P861" s="31" t="n"/>
      <c r="Q861" s="30" t="inlineStr">
        <is>
          <t>P</t>
        </is>
      </c>
      <c r="R861" s="30" t="inlineStr">
        <is>
          <t>FL_DES_ABC_100kg</t>
        </is>
      </c>
      <c r="S861" s="31" t="n"/>
    </row>
    <row r="862">
      <c r="A862" s="33" t="inlineStr">
        <is>
          <t>FL_MAT_ABC_100kg</t>
        </is>
      </c>
      <c r="B862" s="33" t="n">
        <v>2</v>
      </c>
      <c r="C862" s="33" t="inlineStr">
        <is>
          <t>ABC100-22</t>
        </is>
      </c>
      <c r="D862" s="17" t="inlineStr">
        <is>
          <t xml:space="preserve">        Manguera (tramo enrollado)</t>
        </is>
      </c>
      <c r="E862" s="33" t="n">
        <v>1</v>
      </c>
      <c r="F862" s="33" t="inlineStr">
        <is>
          <t>u</t>
        </is>
      </c>
      <c r="G862" s="34" t="n">
        <v>0.6662</v>
      </c>
      <c r="H862" s="34">
        <f>E862*G862</f>
        <v/>
      </c>
      <c r="I862" s="33" t="inlineStr">
        <is>
          <t>Caucho sintético</t>
        </is>
      </c>
      <c r="J862" s="17" t="inlineStr">
        <is>
          <t>Ø25 × 1.767 de largo desarrollado</t>
        </is>
      </c>
      <c r="K862" s="33" t="inlineStr">
        <is>
          <t>Compra</t>
        </is>
      </c>
      <c r="L862" s="33" t="inlineStr">
        <is>
          <t>Sí</t>
        </is>
      </c>
      <c r="M862" s="17" t="inlineStr">
        <is>
          <t>Yukon / MatafuegosYa S.R.L.</t>
        </is>
      </c>
      <c r="N862" s="17" t="inlineStr">
        <is>
          <t>Matafuegos Iglesias</t>
        </is>
      </c>
      <c r="O862" s="17" t="inlineStr">
        <is>
          <t>C9 armado de ruedas y manguera</t>
        </is>
      </c>
      <c r="P862" s="17" t="n"/>
      <c r="Q862" s="33" t="inlineStr">
        <is>
          <t>P</t>
        </is>
      </c>
      <c r="R862" s="33" t="inlineStr">
        <is>
          <t>FL_DES_ABC_100kg</t>
        </is>
      </c>
      <c r="S862" s="17" t="n"/>
    </row>
    <row r="863">
      <c r="A863" s="33" t="inlineStr">
        <is>
          <t>FL_MAT_ABC_100kg</t>
        </is>
      </c>
      <c r="B863" s="33" t="n">
        <v>2</v>
      </c>
      <c r="C863" s="33" t="inlineStr">
        <is>
          <t>ABC100-23</t>
        </is>
      </c>
      <c r="D863" s="17" t="inlineStr">
        <is>
          <t xml:space="preserve">        Soporte de manguera</t>
        </is>
      </c>
      <c r="E863" s="33" t="n">
        <v>1</v>
      </c>
      <c r="F863" s="33" t="inlineStr">
        <is>
          <t>u</t>
        </is>
      </c>
      <c r="G863" s="34" t="n">
        <v>1.9033</v>
      </c>
      <c r="H863" s="34">
        <f>E863*G863</f>
        <v/>
      </c>
      <c r="I863" s="33" t="inlineStr">
        <is>
          <t>Planchuela acero SAE 1010</t>
        </is>
      </c>
      <c r="J863" s="17" t="inlineStr">
        <is>
          <t>705,3 × 255,5 × 40,5</t>
        </is>
      </c>
      <c r="K863" s="33" t="inlineStr">
        <is>
          <t>Compra (estructura)</t>
        </is>
      </c>
      <c r="L863" s="33" t="inlineStr">
        <is>
          <t>Sí</t>
        </is>
      </c>
      <c r="M863" s="17" t="inlineStr">
        <is>
          <t>Yukon / MatafuegosYa S.R.L.</t>
        </is>
      </c>
      <c r="N863" s="17" t="inlineStr">
        <is>
          <t>Matafuegos Iglesias</t>
        </is>
      </c>
      <c r="O863" s="17" t="inlineStr">
        <is>
          <t>C9 armado de ruedas y manguera</t>
        </is>
      </c>
      <c r="P863" s="17" t="n"/>
      <c r="Q863" s="33" t="inlineStr">
        <is>
          <t>P</t>
        </is>
      </c>
      <c r="R863" s="33" t="inlineStr">
        <is>
          <t>FL_DES_ABC_100kg</t>
        </is>
      </c>
      <c r="S863" s="17" t="n"/>
    </row>
    <row r="864">
      <c r="A864" s="33" t="inlineStr">
        <is>
          <t>FL_MAT_ABC_100kg</t>
        </is>
      </c>
      <c r="B864" s="33" t="n">
        <v>2</v>
      </c>
      <c r="C864" s="33" t="inlineStr">
        <is>
          <t>ABC100-24</t>
        </is>
      </c>
      <c r="D864" s="17" t="inlineStr">
        <is>
          <t xml:space="preserve">        Racor de manguera</t>
        </is>
      </c>
      <c r="E864" s="33" t="n">
        <v>1</v>
      </c>
      <c r="F864" s="33" t="inlineStr">
        <is>
          <t>u</t>
        </is>
      </c>
      <c r="G864" s="34" t="n">
        <v>0.0612</v>
      </c>
      <c r="H864" s="34">
        <f>E864*G864</f>
        <v/>
      </c>
      <c r="I864" s="33" t="inlineStr">
        <is>
          <t>Latón</t>
        </is>
      </c>
      <c r="J864" s="17" t="inlineStr">
        <is>
          <t>24 × 24 × 16</t>
        </is>
      </c>
      <c r="K864" s="33" t="inlineStr">
        <is>
          <t>Compra</t>
        </is>
      </c>
      <c r="L864" s="33" t="inlineStr">
        <is>
          <t>Sí</t>
        </is>
      </c>
      <c r="M864" s="17" t="inlineStr">
        <is>
          <t>Yukon / MatafuegosYa S.R.L.</t>
        </is>
      </c>
      <c r="N864" s="17" t="inlineStr">
        <is>
          <t>Matafuegos Iglesias</t>
        </is>
      </c>
      <c r="O864" s="17" t="inlineStr">
        <is>
          <t>C9 armado de ruedas y manguera</t>
        </is>
      </c>
      <c r="P864" s="17" t="n"/>
      <c r="Q864" s="33" t="inlineStr">
        <is>
          <t>P</t>
        </is>
      </c>
      <c r="R864" s="33" t="inlineStr">
        <is>
          <t>FL_DES_ABC_100kg</t>
        </is>
      </c>
      <c r="S864" s="17" t="n"/>
    </row>
    <row r="865">
      <c r="A865" s="33" t="inlineStr">
        <is>
          <t>FL_MAT_ABC_100kg</t>
        </is>
      </c>
      <c r="B865" s="33" t="n">
        <v>2</v>
      </c>
      <c r="C865" s="33" t="inlineStr">
        <is>
          <t>ABC100-25</t>
        </is>
      </c>
      <c r="D865" s="17" t="inlineStr">
        <is>
          <t xml:space="preserve">        Manguera</t>
        </is>
      </c>
      <c r="E865" s="33" t="n">
        <v>1</v>
      </c>
      <c r="F865" s="33" t="inlineStr">
        <is>
          <t>u</t>
        </is>
      </c>
      <c r="G865" s="34" t="n">
        <v>0.2475</v>
      </c>
      <c r="H865" s="34">
        <f>E865*G865</f>
        <v/>
      </c>
      <c r="I865" s="33" t="inlineStr">
        <is>
          <t>Caucho sintético</t>
        </is>
      </c>
      <c r="J865" s="17" t="inlineStr">
        <is>
          <t>Ø16 × 1.603 de largo desarrollado</t>
        </is>
      </c>
      <c r="K865" s="33" t="inlineStr">
        <is>
          <t>Compra</t>
        </is>
      </c>
      <c r="L865" s="33" t="inlineStr">
        <is>
          <t>Sí</t>
        </is>
      </c>
      <c r="M865" s="17" t="inlineStr">
        <is>
          <t>Yukon / MatafuegosYa S.R.L.</t>
        </is>
      </c>
      <c r="N865" s="17" t="inlineStr">
        <is>
          <t>Matafuegos Iglesias</t>
        </is>
      </c>
      <c r="O865" s="17" t="inlineStr">
        <is>
          <t>C9 armado de ruedas y manguera</t>
        </is>
      </c>
      <c r="P865" s="17" t="n"/>
      <c r="Q865" s="33" t="inlineStr">
        <is>
          <t>P</t>
        </is>
      </c>
      <c r="R865" s="33" t="inlineStr">
        <is>
          <t>FL_DES_ABC_100kg</t>
        </is>
      </c>
      <c r="S865" s="17" t="n"/>
    </row>
    <row r="866">
      <c r="A866" s="33" t="inlineStr">
        <is>
          <t>FL_MAT_ABC_100kg</t>
        </is>
      </c>
      <c r="B866" s="33" t="n">
        <v>2</v>
      </c>
      <c r="C866" s="33" t="inlineStr">
        <is>
          <t>ABC100-26</t>
        </is>
      </c>
      <c r="D866" s="17" t="inlineStr">
        <is>
          <t xml:space="preserve">        Válvula esférica</t>
        </is>
      </c>
      <c r="E866" s="33" t="n">
        <v>1</v>
      </c>
      <c r="F866" s="33" t="inlineStr">
        <is>
          <t>u</t>
        </is>
      </c>
      <c r="G866" s="34" t="n">
        <v>0.4225</v>
      </c>
      <c r="H866" s="34">
        <f>E866*G866</f>
        <v/>
      </c>
      <c r="I866" s="33" t="inlineStr">
        <is>
          <t>Latón cromado</t>
        </is>
      </c>
      <c r="J866" s="17" t="inlineStr">
        <is>
          <t>130 × 60 × 40</t>
        </is>
      </c>
      <c r="K866" s="33" t="inlineStr">
        <is>
          <t>Compra</t>
        </is>
      </c>
      <c r="L866" s="33" t="inlineStr">
        <is>
          <t>Sí</t>
        </is>
      </c>
      <c r="M866" s="17" t="inlineStr">
        <is>
          <t>Yukon / MatafuegosYa S.R.L.</t>
        </is>
      </c>
      <c r="N866" s="17" t="inlineStr">
        <is>
          <t>Matafuegos Iglesias</t>
        </is>
      </c>
      <c r="O866" s="17" t="inlineStr">
        <is>
          <t>C9 armado de ruedas y manguera</t>
        </is>
      </c>
      <c r="P866" s="17" t="n"/>
      <c r="Q866" s="33" t="inlineStr">
        <is>
          <t>P</t>
        </is>
      </c>
      <c r="R866" s="33" t="inlineStr">
        <is>
          <t>FL_DES_ABC_100kg</t>
        </is>
      </c>
      <c r="S866" s="17" t="n"/>
    </row>
    <row r="867">
      <c r="A867" s="33" t="inlineStr">
        <is>
          <t>FL_MAT_ABC_100kg</t>
        </is>
      </c>
      <c r="B867" s="33" t="n">
        <v>2</v>
      </c>
      <c r="C867" s="33" t="inlineStr">
        <is>
          <t>ABC100-27</t>
        </is>
      </c>
      <c r="D867" s="17" t="inlineStr">
        <is>
          <t xml:space="preserve">        Tobera campana</t>
        </is>
      </c>
      <c r="E867" s="33" t="n">
        <v>1</v>
      </c>
      <c r="F867" s="33" t="inlineStr">
        <is>
          <t>u</t>
        </is>
      </c>
      <c r="G867" s="34" t="n">
        <v>0.07969999999999999</v>
      </c>
      <c r="H867" s="34">
        <f>E867*G867</f>
        <v/>
      </c>
      <c r="I867" s="33" t="inlineStr">
        <is>
          <t>Polipropileno</t>
        </is>
      </c>
      <c r="J867" s="17" t="inlineStr">
        <is>
          <t>200 × 68 × 68</t>
        </is>
      </c>
      <c r="K867" s="33" t="inlineStr">
        <is>
          <t>Compra</t>
        </is>
      </c>
      <c r="L867" s="33" t="inlineStr">
        <is>
          <t>Sí</t>
        </is>
      </c>
      <c r="M867" s="17" t="inlineStr">
        <is>
          <t>Yukon / MatafuegosYa S.R.L.</t>
        </is>
      </c>
      <c r="N867" s="17" t="inlineStr">
        <is>
          <t>Matafuegos Iglesias</t>
        </is>
      </c>
      <c r="O867" s="17" t="inlineStr">
        <is>
          <t>C9 armado de ruedas y manguera</t>
        </is>
      </c>
      <c r="P867" s="17" t="n"/>
      <c r="Q867" s="33" t="inlineStr">
        <is>
          <t>P</t>
        </is>
      </c>
      <c r="R867" s="33" t="inlineStr">
        <is>
          <t>FL_DES_ABC_100kg</t>
        </is>
      </c>
      <c r="S867" s="17" t="n"/>
    </row>
    <row r="868">
      <c r="A868" s="30" t="inlineStr">
        <is>
          <t>FL_MAT_ABC_100kg</t>
        </is>
      </c>
      <c r="B868" s="30" t="n">
        <v>1</v>
      </c>
      <c r="C868" s="30" t="inlineStr">
        <is>
          <t>ABC100-S4</t>
        </is>
      </c>
      <c r="D868" s="31" t="inlineStr">
        <is>
          <t xml:space="preserve">    Carro (bastidor y ruedas)</t>
        </is>
      </c>
      <c r="E868" s="30" t="n">
        <v>1</v>
      </c>
      <c r="F868" s="30" t="inlineStr">
        <is>
          <t>u</t>
        </is>
      </c>
      <c r="G868" s="32" t="n"/>
      <c r="H868" s="32">
        <f>H869+H870+H871+H873+H875+H877</f>
        <v/>
      </c>
      <c r="I868" s="30" t="n"/>
      <c r="J868" s="31" t="n"/>
      <c r="K868" s="30" t="inlineStr">
        <is>
          <t>Fabricación</t>
        </is>
      </c>
      <c r="L868" s="30" t="n"/>
      <c r="M868" s="31" t="n"/>
      <c r="N868" s="31" t="n"/>
      <c r="O868" s="31" t="n"/>
      <c r="P868" s="31" t="inlineStr">
        <is>
          <t>IRAM 3550 3.12 y 4.8 (ruedas ≥ Ø300 × 50)</t>
        </is>
      </c>
      <c r="Q868" s="30" t="inlineStr">
        <is>
          <t>P</t>
        </is>
      </c>
      <c r="R868" s="30" t="inlineStr">
        <is>
          <t>FL_DES_ABC_100kg</t>
        </is>
      </c>
      <c r="S868" s="31" t="n"/>
    </row>
    <row r="869">
      <c r="A869" s="43" t="inlineStr">
        <is>
          <t>FL_MAT_ABC_100kg</t>
        </is>
      </c>
      <c r="B869" s="43" t="n">
        <v>2</v>
      </c>
      <c r="C869" s="43" t="inlineStr">
        <is>
          <t>ABC100-06</t>
        </is>
      </c>
      <c r="D869" s="20" t="inlineStr">
        <is>
          <t xml:space="preserve">        Neumático macizo</t>
        </is>
      </c>
      <c r="E869" s="43" t="n">
        <v>2</v>
      </c>
      <c r="F869" s="43" t="inlineStr">
        <is>
          <t>u</t>
        </is>
      </c>
      <c r="G869" s="44" t="n">
        <v>5.8099</v>
      </c>
      <c r="H869" s="44">
        <f>E869*G869</f>
        <v/>
      </c>
      <c r="I869" s="43" t="inlineStr">
        <is>
          <t>Caucho</t>
        </is>
      </c>
      <c r="J869" s="20" t="inlineStr">
        <is>
          <t>Ø400 × 80 de ancho</t>
        </is>
      </c>
      <c r="K869" s="43" t="inlineStr">
        <is>
          <t>Compra</t>
        </is>
      </c>
      <c r="L869" s="43" t="inlineStr">
        <is>
          <t>Sí</t>
        </is>
      </c>
      <c r="M869" s="20" t="inlineStr">
        <is>
          <t>Ruedar</t>
        </is>
      </c>
      <c r="N869" s="20" t="inlineStr">
        <is>
          <t>Escanort S.A.</t>
        </is>
      </c>
      <c r="O869" s="20" t="inlineStr">
        <is>
          <t>C9 armado de ruedas (S-TC)</t>
        </is>
      </c>
      <c r="P869" s="20" t="n"/>
      <c r="Q869" s="43" t="inlineStr">
        <is>
          <t>P</t>
        </is>
      </c>
      <c r="R869" s="43" t="inlineStr">
        <is>
          <t>FL_DES_ABC_100kg</t>
        </is>
      </c>
      <c r="S869" s="20" t="inlineStr">
        <is>
          <t>IRAM 3550 4.8: Ø ≥ 300 y ancho ≥ 50</t>
        </is>
      </c>
    </row>
    <row r="870">
      <c r="A870" s="33" t="inlineStr">
        <is>
          <t>FL_MAT_ABC_100kg</t>
        </is>
      </c>
      <c r="B870" s="33" t="n">
        <v>2</v>
      </c>
      <c r="C870" s="33" t="inlineStr">
        <is>
          <t>ABC100-07</t>
        </is>
      </c>
      <c r="D870" s="17" t="inlineStr">
        <is>
          <t xml:space="preserve">        Llanta con cubo</t>
        </is>
      </c>
      <c r="E870" s="33" t="n">
        <v>2</v>
      </c>
      <c r="F870" s="33" t="inlineStr">
        <is>
          <t>u</t>
        </is>
      </c>
      <c r="G870" s="34" t="n">
        <v>5.0719</v>
      </c>
      <c r="H870" s="34">
        <f>E870*G870</f>
        <v/>
      </c>
      <c r="I870" s="33" t="inlineStr">
        <is>
          <t>Chapa acero SAE 1010</t>
        </is>
      </c>
      <c r="J870" s="17" t="inlineStr">
        <is>
          <t>Ø288 × 90 de ancho</t>
        </is>
      </c>
      <c r="K870" s="33" t="inlineStr">
        <is>
          <t>Incluido en rueda</t>
        </is>
      </c>
      <c r="L870" s="33" t="inlineStr">
        <is>
          <t>No</t>
        </is>
      </c>
      <c r="M870" s="17" t="n"/>
      <c r="N870" s="17" t="n"/>
      <c r="O870" s="17" t="inlineStr">
        <is>
          <t>C9 armado de ruedas (S-TC)</t>
        </is>
      </c>
      <c r="P870" s="17" t="n"/>
      <c r="Q870" s="33" t="inlineStr">
        <is>
          <t>P</t>
        </is>
      </c>
      <c r="R870" s="33" t="inlineStr">
        <is>
          <t>FL_DES_ABC_100kg</t>
        </is>
      </c>
      <c r="S870" s="17" t="n"/>
    </row>
    <row r="871">
      <c r="A871" s="33" t="inlineStr">
        <is>
          <t>FL_MAT_ABC_100kg</t>
        </is>
      </c>
      <c r="B871" s="33" t="n">
        <v>2</v>
      </c>
      <c r="C871" s="33" t="inlineStr">
        <is>
          <t>ABC100-08</t>
        </is>
      </c>
      <c r="D871" s="17" t="inlineStr">
        <is>
          <t xml:space="preserve">        Eje de ruedas</t>
        </is>
      </c>
      <c r="E871" s="33" t="n">
        <v>1</v>
      </c>
      <c r="F871" s="33" t="inlineStr">
        <is>
          <t>u</t>
        </is>
      </c>
      <c r="G871" s="34" t="n">
        <v>1.8881</v>
      </c>
      <c r="H871" s="34">
        <f>E871*G871</f>
        <v/>
      </c>
      <c r="I871" s="33" t="inlineStr">
        <is>
          <t>Acero SAE 1045</t>
        </is>
      </c>
      <c r="J871" s="17" t="inlineStr">
        <is>
          <t>Ø25 × 490 de largo</t>
        </is>
      </c>
      <c r="K871" s="33" t="inlineStr">
        <is>
          <t>Fabricación</t>
        </is>
      </c>
      <c r="L871" s="33" t="inlineStr">
        <is>
          <t>No</t>
        </is>
      </c>
      <c r="M871" s="17" t="n"/>
      <c r="N871" s="17" t="n"/>
      <c r="O871" s="17" t="inlineStr">
        <is>
          <t>Corte en sierra -&gt; curvado / plegado -&gt; soldadura MAG del carro -&gt; C9 armado (S-TC); puesto de soldadura de carros a incorporar al layout</t>
        </is>
      </c>
      <c r="P871" s="17" t="n"/>
      <c r="Q871" s="33" t="inlineStr">
        <is>
          <t>P</t>
        </is>
      </c>
      <c r="R871" s="33" t="inlineStr">
        <is>
          <t>FL_DES_ABC_100kg</t>
        </is>
      </c>
      <c r="S871" s="17" t="n"/>
    </row>
    <row r="872">
      <c r="A872" s="35" t="inlineStr">
        <is>
          <t>FL_MAT_ABC_100kg</t>
        </is>
      </c>
      <c r="B872" s="35" t="n">
        <v>3</v>
      </c>
      <c r="C872" s="35" t="inlineStr">
        <is>
          <t>MP-EJE</t>
        </is>
      </c>
      <c r="D872" s="36" t="inlineStr">
        <is>
          <t xml:space="preserve">            Redondo SAE 1045 Ø25 (tramo de barra de 6 m)</t>
        </is>
      </c>
      <c r="E872" s="35" t="n">
        <v>0.08169999999999999</v>
      </c>
      <c r="F872" s="35" t="inlineStr">
        <is>
          <t>barra</t>
        </is>
      </c>
      <c r="G872" s="37" t="n">
        <v>23.12</v>
      </c>
      <c r="H872" s="37">
        <f>E872*G872</f>
        <v/>
      </c>
      <c r="I872" s="35" t="inlineStr">
        <is>
          <t>Redondo SAE 1045 Ø25</t>
        </is>
      </c>
      <c r="J872" s="36" t="inlineStr">
        <is>
          <t>490 mm por pieza (kg por barra de 6 m)</t>
        </is>
      </c>
      <c r="K872" s="35" t="inlineStr">
        <is>
          <t>Compra</t>
        </is>
      </c>
      <c r="L872" s="35" t="inlineStr">
        <is>
          <t>Sí</t>
        </is>
      </c>
      <c r="M872" s="36" t="inlineStr">
        <is>
          <t>Hierros Parrotta</t>
        </is>
      </c>
      <c r="N872" s="36" t="inlineStr">
        <is>
          <t>-</t>
        </is>
      </c>
      <c r="O872" s="36" t="inlineStr">
        <is>
          <t>Corte en sierra</t>
        </is>
      </c>
      <c r="P872" s="36" t="n"/>
      <c r="Q872" s="35" t="inlineStr">
        <is>
          <t>C</t>
        </is>
      </c>
      <c r="R872" s="35" t="n"/>
      <c r="S872" s="36" t="n"/>
    </row>
    <row r="873">
      <c r="A873" s="33" t="inlineStr">
        <is>
          <t>FL_MAT_ABC_100kg</t>
        </is>
      </c>
      <c r="B873" s="33" t="n">
        <v>2</v>
      </c>
      <c r="C873" s="33" t="inlineStr">
        <is>
          <t>ABC100-09</t>
        </is>
      </c>
      <c r="D873" s="17" t="inlineStr">
        <is>
          <t xml:space="preserve">        Bastidor</t>
        </is>
      </c>
      <c r="E873" s="33" t="n">
        <v>1</v>
      </c>
      <c r="F873" s="33" t="inlineStr">
        <is>
          <t>u</t>
        </is>
      </c>
      <c r="G873" s="34" t="n">
        <v>2.4439</v>
      </c>
      <c r="H873" s="34">
        <f>E873*G873</f>
        <v/>
      </c>
      <c r="I873" s="33" t="inlineStr">
        <is>
          <t>Caño acero SAE 1010 Ø25,4×1,6</t>
        </is>
      </c>
      <c r="J873" s="17" t="inlineStr">
        <is>
          <t>caño Ø25,4 × 1,6 × 2.560 de largo desarrollado</t>
        </is>
      </c>
      <c r="K873" s="33" t="inlineStr">
        <is>
          <t>Fabricación</t>
        </is>
      </c>
      <c r="L873" s="33" t="inlineStr">
        <is>
          <t>No</t>
        </is>
      </c>
      <c r="M873" s="17" t="n"/>
      <c r="N873" s="17" t="n"/>
      <c r="O873" s="17" t="inlineStr">
        <is>
          <t>Corte en sierra -&gt; curvado / plegado -&gt; soldadura MAG del carro -&gt; C9 armado (S-TC); puesto de soldadura de carros a incorporar al layout</t>
        </is>
      </c>
      <c r="P873" s="17" t="n"/>
      <c r="Q873" s="33" t="inlineStr">
        <is>
          <t>P</t>
        </is>
      </c>
      <c r="R873" s="33" t="inlineStr">
        <is>
          <t>FL_DES_ABC_100kg</t>
        </is>
      </c>
      <c r="S873" s="17" t="n"/>
    </row>
    <row r="874">
      <c r="A874" s="35" t="inlineStr">
        <is>
          <t>FL_MAT_ABC_100kg</t>
        </is>
      </c>
      <c r="B874" s="35" t="n">
        <v>3</v>
      </c>
      <c r="C874" s="35" t="inlineStr">
        <is>
          <t>MP-CANO-CARRO</t>
        </is>
      </c>
      <c r="D874" s="36" t="inlineStr">
        <is>
          <t xml:space="preserve">            Caño SAE 1010 Ø25,4 × 1,6 (tramo de barra de 6 m)</t>
        </is>
      </c>
      <c r="E874" s="35" t="n">
        <v>0.4267</v>
      </c>
      <c r="F874" s="35" t="inlineStr">
        <is>
          <t>barra</t>
        </is>
      </c>
      <c r="G874" s="37" t="n">
        <v>5.635</v>
      </c>
      <c r="H874" s="37">
        <f>E874*G874</f>
        <v/>
      </c>
      <c r="I874" s="35" t="inlineStr">
        <is>
          <t>Caño acero SAE 1010 Ø25,4 × 1,6</t>
        </is>
      </c>
      <c r="J874" s="36" t="inlineStr">
        <is>
          <t>2.560 mm por pieza (kg por barra de 6 m)</t>
        </is>
      </c>
      <c r="K874" s="35" t="inlineStr">
        <is>
          <t>Compra</t>
        </is>
      </c>
      <c r="L874" s="35" t="inlineStr">
        <is>
          <t>Sí</t>
        </is>
      </c>
      <c r="M874" s="36" t="inlineStr">
        <is>
          <t>Metalpri / Prilux</t>
        </is>
      </c>
      <c r="N874" s="36" t="inlineStr">
        <is>
          <t>Comercial MID</t>
        </is>
      </c>
      <c r="O874" s="36" t="inlineStr">
        <is>
          <t>Corte en sierra</t>
        </is>
      </c>
      <c r="P874" s="36" t="n"/>
      <c r="Q874" s="35" t="inlineStr">
        <is>
          <t>C</t>
        </is>
      </c>
      <c r="R874" s="35" t="n"/>
      <c r="S874" s="36" t="inlineStr">
        <is>
          <t>Largo desarrollado del plano + curvado</t>
        </is>
      </c>
    </row>
    <row r="875">
      <c r="A875" s="33" t="inlineStr">
        <is>
          <t>FL_MAT_ABC_100kg</t>
        </is>
      </c>
      <c r="B875" s="33" t="n">
        <v>2</v>
      </c>
      <c r="C875" s="33" t="inlineStr">
        <is>
          <t>ABC100-10</t>
        </is>
      </c>
      <c r="D875" s="17" t="inlineStr">
        <is>
          <t xml:space="preserve">        Sunchos de fijación</t>
        </is>
      </c>
      <c r="E875" s="33" t="n">
        <v>1</v>
      </c>
      <c r="F875" s="33" t="inlineStr">
        <is>
          <t>u</t>
        </is>
      </c>
      <c r="G875" s="34" t="n">
        <v>7.8218</v>
      </c>
      <c r="H875" s="34">
        <f>E875*G875</f>
        <v/>
      </c>
      <c r="I875" s="33" t="inlineStr">
        <is>
          <t>Planchuela acero SAE 1010</t>
        </is>
      </c>
      <c r="J875" s="17" t="inlineStr">
        <is>
          <t>604 × 590,2 × 440</t>
        </is>
      </c>
      <c r="K875" s="33" t="inlineStr">
        <is>
          <t>Fabricación</t>
        </is>
      </c>
      <c r="L875" s="33" t="inlineStr">
        <is>
          <t>No</t>
        </is>
      </c>
      <c r="M875" s="17" t="n"/>
      <c r="N875" s="17" t="n"/>
      <c r="O875" s="17" t="inlineStr">
        <is>
          <t>Corte en sierra -&gt; curvado / plegado -&gt; soldadura MAG del carro -&gt; C9 armado (S-TC); puesto de soldadura de carros a incorporar al layout</t>
        </is>
      </c>
      <c r="P875" s="17" t="n"/>
      <c r="Q875" s="33" t="inlineStr">
        <is>
          <t>P</t>
        </is>
      </c>
      <c r="R875" s="33" t="inlineStr">
        <is>
          <t>FL_DES_ABC_100kg</t>
        </is>
      </c>
      <c r="S875" s="17" t="n"/>
    </row>
    <row r="876">
      <c r="A876" s="35" t="inlineStr">
        <is>
          <t>FL_MAT_ABC_100kg</t>
        </is>
      </c>
      <c r="B876" s="35" t="n">
        <v>3</v>
      </c>
      <c r="C876" s="35" t="inlineStr">
        <is>
          <t>MP-PLANCHUELA</t>
        </is>
      </c>
      <c r="D876" s="36" t="inlineStr">
        <is>
          <t xml:space="preserve">            Planchuela SAE 1010 40 × 6 (tramo de barra de 6 m)</t>
        </is>
      </c>
      <c r="E876" s="35" t="n">
        <v>0.6919</v>
      </c>
      <c r="F876" s="35" t="inlineStr">
        <is>
          <t>barra</t>
        </is>
      </c>
      <c r="G876" s="37" t="n">
        <v>11.304</v>
      </c>
      <c r="H876" s="37">
        <f>E876*G876</f>
        <v/>
      </c>
      <c r="I876" s="35" t="inlineStr">
        <is>
          <t>Planchuela SAE 1010 40 × 6</t>
        </is>
      </c>
      <c r="J876" s="36" t="inlineStr">
        <is>
          <t>4.152 mm por pieza (kg por barra de 6 m)</t>
        </is>
      </c>
      <c r="K876" s="35" t="inlineStr">
        <is>
          <t>Compra</t>
        </is>
      </c>
      <c r="L876" s="35" t="inlineStr">
        <is>
          <t>Sí</t>
        </is>
      </c>
      <c r="M876" s="36" t="inlineStr">
        <is>
          <t>Hierros Parrotta</t>
        </is>
      </c>
      <c r="N876" s="36" t="inlineStr">
        <is>
          <t>-</t>
        </is>
      </c>
      <c r="O876" s="36" t="inlineStr">
        <is>
          <t>Corte en sierra</t>
        </is>
      </c>
      <c r="P876" s="36" t="n"/>
      <c r="Q876" s="35" t="inlineStr">
        <is>
          <t>C</t>
        </is>
      </c>
      <c r="R876" s="35" t="n"/>
      <c r="S876" s="36" t="inlineStr">
        <is>
          <t>Largo = volumen del plano / sección 40 × 6</t>
        </is>
      </c>
    </row>
    <row r="877">
      <c r="A877" s="33" t="inlineStr">
        <is>
          <t>FL_MAT_ABC_100kg</t>
        </is>
      </c>
      <c r="B877" s="33" t="n">
        <v>2</v>
      </c>
      <c r="C877" s="33" t="inlineStr">
        <is>
          <t>ABC100-11</t>
        </is>
      </c>
      <c r="D877" s="17" t="inlineStr">
        <is>
          <t xml:space="preserve">        Apoyo delantero</t>
        </is>
      </c>
      <c r="E877" s="33" t="n">
        <v>1</v>
      </c>
      <c r="F877" s="33" t="inlineStr">
        <is>
          <t>u</t>
        </is>
      </c>
      <c r="G877" s="34" t="n">
        <v>0.3022</v>
      </c>
      <c r="H877" s="34">
        <f>E877*G877</f>
        <v/>
      </c>
      <c r="I877" s="33" t="inlineStr">
        <is>
          <t>Chapa acero SAE 1010 plegada</t>
        </is>
      </c>
      <c r="J877" s="17" t="inlineStr">
        <is>
          <t>70 × 55 × 50</t>
        </is>
      </c>
      <c r="K877" s="33" t="inlineStr">
        <is>
          <t>Fabricación</t>
        </is>
      </c>
      <c r="L877" s="33" t="inlineStr">
        <is>
          <t>No</t>
        </is>
      </c>
      <c r="M877" s="17" t="n"/>
      <c r="N877" s="17" t="n"/>
      <c r="O877" s="17" t="inlineStr">
        <is>
          <t>Corte en sierra -&gt; curvado / plegado -&gt; soldadura MAG del carro -&gt; C9 armado (S-TC); puesto de soldadura de carros a incorporar al layout</t>
        </is>
      </c>
      <c r="P877" s="17" t="n"/>
      <c r="Q877" s="33" t="inlineStr">
        <is>
          <t>P</t>
        </is>
      </c>
      <c r="R877" s="33" t="inlineStr">
        <is>
          <t>FL_DES_ABC_100kg</t>
        </is>
      </c>
      <c r="S877" s="17" t="n"/>
    </row>
    <row r="878">
      <c r="A878" s="47" t="inlineStr">
        <is>
          <t>FL_MAT_ABC_100kg</t>
        </is>
      </c>
      <c r="B878" s="47" t="n">
        <v>3</v>
      </c>
      <c r="C878" s="47" t="inlineStr">
        <is>
          <t>MP-CHAPA-APOYO</t>
        </is>
      </c>
      <c r="D878" s="48" t="inlineStr">
        <is>
          <t xml:space="preserve">            Recorte de chapa LAC e=3,2 para el apoyo plegado</t>
        </is>
      </c>
      <c r="E878" s="47" t="n">
        <v>1</v>
      </c>
      <c r="F878" s="47" t="inlineStr">
        <is>
          <t>u</t>
        </is>
      </c>
      <c r="G878" s="49" t="n">
        <v>0.348</v>
      </c>
      <c r="H878" s="49">
        <f>E878*G878</f>
        <v/>
      </c>
      <c r="I878" s="47" t="inlineStr">
        <is>
          <t>Chapa LAC SAE 1010</t>
        </is>
      </c>
      <c r="J878" s="48" t="inlineStr">
        <is>
          <t>desarrollo del apoyo + 15 % de recorte</t>
        </is>
      </c>
      <c r="K878" s="47" t="inlineStr">
        <is>
          <t>Compra</t>
        </is>
      </c>
      <c r="L878" s="47" t="inlineStr">
        <is>
          <t>Sí</t>
        </is>
      </c>
      <c r="M878" s="48" t="inlineStr">
        <is>
          <t>Pradecon S.A.</t>
        </is>
      </c>
      <c r="N878" s="48" t="inlineStr">
        <is>
          <t>Pacheco Chapas</t>
        </is>
      </c>
      <c r="O878" s="48" t="inlineStr">
        <is>
          <t>Corte y plegado</t>
        </is>
      </c>
      <c r="P878" s="48" t="n"/>
      <c r="Q878" s="47" t="inlineStr">
        <is>
          <t>C</t>
        </is>
      </c>
      <c r="R878" s="47" t="n"/>
      <c r="S878" s="48" t="inlineStr">
        <is>
          <t>15 % de recorte: valor de taller sin medir</t>
        </is>
      </c>
    </row>
    <row r="879">
      <c r="A879" s="30" t="inlineStr">
        <is>
          <t>FL_MAT_ABC_100kg</t>
        </is>
      </c>
      <c r="B879" s="30" t="n">
        <v>1</v>
      </c>
      <c r="C879" s="30" t="inlineStr">
        <is>
          <t>ABC100-S5</t>
        </is>
      </c>
      <c r="D879" s="31" t="inlineStr">
        <is>
          <t xml:space="preserve">    Carga: agente extintor y gas impulsor</t>
        </is>
      </c>
      <c r="E879" s="30" t="n">
        <v>1</v>
      </c>
      <c r="F879" s="30" t="inlineStr">
        <is>
          <t>u</t>
        </is>
      </c>
      <c r="G879" s="32" t="n"/>
      <c r="H879" s="32">
        <f>H880+H881</f>
        <v/>
      </c>
      <c r="I879" s="30" t="n"/>
      <c r="J879" s="31" t="n"/>
      <c r="K879" s="30" t="inlineStr">
        <is>
          <t>Carga en planta</t>
        </is>
      </c>
      <c r="L879" s="30" t="n"/>
      <c r="M879" s="31" t="n"/>
      <c r="N879" s="31" t="n"/>
      <c r="O879" s="31" t="inlineStr">
        <is>
          <t>18 Carga de polvo (T01) / C8 (T02)</t>
        </is>
      </c>
      <c r="P879" s="31" t="n"/>
      <c r="Q879" s="30" t="n"/>
      <c r="R879" s="30" t="n"/>
      <c r="S879" s="31" t="n"/>
    </row>
    <row r="880">
      <c r="A880" s="33" t="inlineStr">
        <is>
          <t>FL_MAT_ABC_100kg</t>
        </is>
      </c>
      <c r="B880" s="33" t="n">
        <v>2</v>
      </c>
      <c r="C880" s="33" t="inlineStr">
        <is>
          <t>ABC100-A1</t>
        </is>
      </c>
      <c r="D880" s="17" t="inlineStr">
        <is>
          <t xml:space="preserve">        Polvo químico seco ABC 90 (Sello IRAM 3569)</t>
        </is>
      </c>
      <c r="E880" s="33" t="n">
        <v>100</v>
      </c>
      <c r="F880" s="33" t="inlineStr">
        <is>
          <t>kg</t>
        </is>
      </c>
      <c r="G880" s="34" t="n">
        <v>1</v>
      </c>
      <c r="H880" s="34">
        <f>E880*G880</f>
        <v/>
      </c>
      <c r="I880" s="33" t="inlineStr">
        <is>
          <t>Polvo químico seco ABC 90 (Sello IRAM 3569)</t>
        </is>
      </c>
      <c r="J880" s="17" t="inlineStr">
        <is>
          <t>nominal 100 kg; tolerancia ± 3 % (IRAM 3517-2:2020 tabla 3)</t>
        </is>
      </c>
      <c r="K880" s="33" t="inlineStr">
        <is>
          <t>Compra</t>
        </is>
      </c>
      <c r="L880" s="33" t="inlineStr">
        <is>
          <t>Sí</t>
        </is>
      </c>
      <c r="M880" s="17" t="inlineStr">
        <is>
          <t>DEM S.A. (DEMSA)</t>
        </is>
      </c>
      <c r="N880" s="17" t="inlineStr">
        <is>
          <t>Polvex S.R.L. / Sancibrao</t>
        </is>
      </c>
      <c r="O880" s="17" t="inlineStr">
        <is>
          <t>SP-1 almacén previo a la carga</t>
        </is>
      </c>
      <c r="P880" s="17" t="inlineStr">
        <is>
          <t>IRAM 3569</t>
        </is>
      </c>
      <c r="Q880" s="33" t="inlineStr">
        <is>
          <t>N</t>
        </is>
      </c>
      <c r="R880" s="33" t="n"/>
      <c r="S880"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81">
      <c r="A881" s="41" t="inlineStr">
        <is>
          <t>FL_MAT_ABC_100kg</t>
        </is>
      </c>
      <c r="B881" s="41" t="n">
        <v>2</v>
      </c>
      <c r="C881" s="41" t="inlineStr">
        <is>
          <t>ABC100-A2</t>
        </is>
      </c>
      <c r="D881" s="18" t="inlineStr">
        <is>
          <t xml:space="preserve">        Gas impulsor: N₂</t>
        </is>
      </c>
      <c r="E881" s="41" t="n">
        <v>0.5534</v>
      </c>
      <c r="F881" s="41" t="inlineStr">
        <is>
          <t>kg</t>
        </is>
      </c>
      <c r="G881" s="42" t="n">
        <v>1</v>
      </c>
      <c r="H881" s="42">
        <f>E881*G881</f>
        <v/>
      </c>
      <c r="I881" s="41" t="inlineStr">
        <is>
          <t>N₂</t>
        </is>
      </c>
      <c r="J881" s="18" t="inlineStr">
        <is>
          <t>443 L normales para 1,4 MPa a 20 °C en 32,09 dm³ libres</t>
        </is>
      </c>
      <c r="K881" s="41" t="inlineStr">
        <is>
          <t>Compra</t>
        </is>
      </c>
      <c r="L881" s="41" t="inlineStr">
        <is>
          <t>Sí</t>
        </is>
      </c>
      <c r="M881" s="18" t="inlineStr">
        <is>
          <t>Air Liquide Argentina - sucursal Piñeyro</t>
        </is>
      </c>
      <c r="N881" s="18" t="inlineStr">
        <is>
          <t>Gogniat</t>
        </is>
      </c>
      <c r="O881" s="18" t="inlineStr">
        <is>
          <t>20 Presurización (T05) / C10</t>
        </is>
      </c>
      <c r="P881" s="18" t="inlineStr">
        <is>
          <t>IRAM 3517-2 9.4.9 (tabla 2) · IRAM 3523 2.3 y 3.10</t>
        </is>
      </c>
      <c r="Q881" s="41" t="inlineStr">
        <is>
          <t>C</t>
        </is>
      </c>
      <c r="R881" s="41" t="n"/>
      <c r="S881" s="18" t="inlineStr">
        <is>
          <t>N₂ ≥ 99,8 %, H₂O ≤ 40 ppm (Q-N2, Air Liquide) · volumen libre con ρ empacada mínima 1,1 kg/dm³ (NOM-104-STPS-2001); confirmar con descarga ≥ 85 % (IRAM 3523 4.9.1)</t>
        </is>
      </c>
    </row>
    <row r="882">
      <c r="A882" s="30" t="inlineStr">
        <is>
          <t>FL_MAT_ABC_100kg</t>
        </is>
      </c>
      <c r="B882" s="30" t="n">
        <v>1</v>
      </c>
      <c r="C882" s="30" t="inlineStr">
        <is>
          <t>ABC100-S6</t>
        </is>
      </c>
      <c r="D882" s="31" t="inlineStr">
        <is>
          <t xml:space="preserve">    Identificación y precinto</t>
        </is>
      </c>
      <c r="E882" s="30" t="n">
        <v>1</v>
      </c>
      <c r="F882" s="30" t="inlineStr">
        <is>
          <t>u</t>
        </is>
      </c>
      <c r="G882" s="32" t="n"/>
      <c r="H882" s="32">
        <f>H883+H884+H885+H886+H887+H888+H889</f>
        <v/>
      </c>
      <c r="I882" s="30" t="n"/>
      <c r="J882" s="31" t="n"/>
      <c r="K882" s="30" t="inlineStr">
        <is>
          <t>Compra</t>
        </is>
      </c>
      <c r="L882" s="30" t="n"/>
      <c r="M882" s="31" t="n"/>
      <c r="N882" s="31" t="n"/>
      <c r="O882" s="31" t="inlineStr">
        <is>
          <t>22 Etiquetado (T07)</t>
        </is>
      </c>
      <c r="P882" s="31" t="n"/>
      <c r="Q882" s="30" t="n"/>
      <c r="R882" s="30" t="n"/>
      <c r="S882" s="31" t="n"/>
    </row>
    <row r="883">
      <c r="A883" s="33" t="inlineStr">
        <is>
          <t>FL_MAT_ABC_100kg</t>
        </is>
      </c>
      <c r="B883" s="33" t="n">
        <v>2</v>
      </c>
      <c r="C883" s="33" t="inlineStr">
        <is>
          <t>ABC100-28</t>
        </is>
      </c>
      <c r="D883" s="17" t="inlineStr">
        <is>
          <t xml:space="preserve">        Etiqueta / placa de características</t>
        </is>
      </c>
      <c r="E883" s="33" t="n">
        <v>1</v>
      </c>
      <c r="F883" s="33" t="inlineStr">
        <is>
          <t>u</t>
        </is>
      </c>
      <c r="G883" s="34" t="n">
        <v>0.06519999999999999</v>
      </c>
      <c r="H883" s="34">
        <f>E883*G883</f>
        <v/>
      </c>
      <c r="I883" s="33" t="inlineStr">
        <is>
          <t>Vinilo autoadhesivo laminado</t>
        </is>
      </c>
      <c r="J883" s="17" t="inlineStr">
        <is>
          <t>736 × 211 (desarrollo × alto: panel central 108° + 2 alas laterales), e ≈ 0,3, laminado UV</t>
        </is>
      </c>
      <c r="K883" s="33" t="inlineStr">
        <is>
          <t>Compra</t>
        </is>
      </c>
      <c r="L883" s="33" t="inlineStr">
        <is>
          <t>Sí</t>
        </is>
      </c>
      <c r="M883" s="17" t="inlineStr">
        <is>
          <t>Astuprint</t>
        </is>
      </c>
      <c r="N883" s="17" t="inlineStr">
        <is>
          <t>Multilabel Argentina S.A.</t>
        </is>
      </c>
      <c r="O883" s="17" t="inlineStr">
        <is>
          <t>22 Etiquetado (T07)</t>
        </is>
      </c>
      <c r="P883" s="17" t="inlineStr">
        <is>
          <t>IRAM 3534 · IRAM 3550 cap. 5 · relevamiento de mercado</t>
        </is>
      </c>
      <c r="Q883" s="33" t="inlineStr">
        <is>
          <t>P</t>
        </is>
      </c>
      <c r="R883" s="33" t="inlineStr">
        <is>
          <t>FL_DES_ABC_100kg</t>
        </is>
      </c>
      <c r="S883" s="17" t="inlineStr">
        <is>
          <t>IRAM 3534</t>
        </is>
      </c>
    </row>
    <row r="884">
      <c r="A884" s="33" t="inlineStr">
        <is>
          <t>FL_MAT_ABC_100kg</t>
        </is>
      </c>
      <c r="B884" s="33" t="n">
        <v>2</v>
      </c>
      <c r="C884" s="33" t="inlineStr">
        <is>
          <t>ABC100-29</t>
        </is>
      </c>
      <c r="D884" s="17" t="inlineStr">
        <is>
          <t xml:space="preserve">        Oblea de fabricación (PBA)</t>
        </is>
      </c>
      <c r="E884" s="33" t="n">
        <v>1</v>
      </c>
      <c r="F884" s="33" t="inlineStr">
        <is>
          <t>u</t>
        </is>
      </c>
      <c r="G884" s="34" t="n">
        <v>0.0009</v>
      </c>
      <c r="H884" s="34">
        <f>E884*G884</f>
        <v/>
      </c>
      <c r="I884" s="33" t="inlineStr">
        <is>
          <t>Papel de seguridad autodestructible</t>
        </is>
      </c>
      <c r="J884" s="17" t="inlineStr">
        <is>
          <t>Ø46 (Res. OPDS 522/07), numerada, autodestructible</t>
        </is>
      </c>
      <c r="K884" s="33" t="inlineStr">
        <is>
          <t>Compra</t>
        </is>
      </c>
      <c r="L884" s="33" t="inlineStr">
        <is>
          <t>Sí</t>
        </is>
      </c>
      <c r="M884" s="17" t="inlineStr">
        <is>
          <t>Ministerio de Ambiente PBA (ex OPDS)</t>
        </is>
      </c>
      <c r="N884" s="17" t="inlineStr">
        <is>
          <t>-</t>
        </is>
      </c>
      <c r="O884" s="17" t="inlineStr">
        <is>
          <t>22 Etiquetado (T07)</t>
        </is>
      </c>
      <c r="P884" s="17" t="inlineStr">
        <is>
          <t>Res. OPDS 522/07 anexos 1, 2 y 6</t>
        </is>
      </c>
      <c r="Q884" s="33" t="inlineStr">
        <is>
          <t>P</t>
        </is>
      </c>
      <c r="R884" s="33" t="inlineStr">
        <is>
          <t>FL_DES_ABC_100kg</t>
        </is>
      </c>
      <c r="S884" s="17" t="inlineStr">
        <is>
          <t>Res. 522/07</t>
        </is>
      </c>
    </row>
    <row r="885">
      <c r="A885" s="33" t="inlineStr">
        <is>
          <t>FL_MAT_ABC_100kg</t>
        </is>
      </c>
      <c r="B885" s="33" t="n">
        <v>2</v>
      </c>
      <c r="C885" s="33" t="inlineStr">
        <is>
          <t>ABC100-30</t>
        </is>
      </c>
      <c r="D885" s="17" t="inlineStr">
        <is>
          <t xml:space="preserve">        Estampilla IRAM de conformidad</t>
        </is>
      </c>
      <c r="E885" s="33" t="n">
        <v>1</v>
      </c>
      <c r="F885" s="33" t="inlineStr">
        <is>
          <t>u</t>
        </is>
      </c>
      <c r="G885" s="34" t="n">
        <v>0.001</v>
      </c>
      <c r="H885" s="34">
        <f>E885*G885</f>
        <v/>
      </c>
      <c r="I885" s="33" t="inlineStr">
        <is>
          <t>Provista por IRAM (Anexo R)</t>
        </is>
      </c>
      <c r="J885" s="17" t="inlineStr">
        <is>
          <t>60 × 40</t>
        </is>
      </c>
      <c r="K885" s="33" t="inlineStr">
        <is>
          <t>Compra</t>
        </is>
      </c>
      <c r="L885" s="33" t="inlineStr">
        <is>
          <t>Sí</t>
        </is>
      </c>
      <c r="M885" s="17" t="inlineStr">
        <is>
          <t>IRAM - Instituto Argentino de Normalización</t>
        </is>
      </c>
      <c r="N885" s="17" t="inlineStr">
        <is>
          <t>-</t>
        </is>
      </c>
      <c r="O885" s="17" t="inlineStr">
        <is>
          <t>22 Etiquetado (T07)</t>
        </is>
      </c>
      <c r="P885" s="17" t="inlineStr">
        <is>
          <t>IRAM Anexo R (DC-PG-129)</t>
        </is>
      </c>
      <c r="Q885" s="33" t="inlineStr">
        <is>
          <t>P</t>
        </is>
      </c>
      <c r="R885" s="33" t="inlineStr">
        <is>
          <t>FL_DES_ABC_100kg</t>
        </is>
      </c>
      <c r="S885" s="17" t="inlineStr">
        <is>
          <t>numerada</t>
        </is>
      </c>
    </row>
    <row r="886">
      <c r="A886" s="33" t="inlineStr">
        <is>
          <t>FL_MAT_ABC_100kg</t>
        </is>
      </c>
      <c r="B886" s="33" t="n">
        <v>2</v>
      </c>
      <c r="C886" s="33" t="inlineStr">
        <is>
          <t>ABC100-31</t>
        </is>
      </c>
      <c r="D886" s="17" t="inlineStr">
        <is>
          <t xml:space="preserve">        Tarjeta de identificación AGC (CABA)</t>
        </is>
      </c>
      <c r="E886" s="33" t="n">
        <v>1</v>
      </c>
      <c r="F886" s="33" t="inlineStr">
        <is>
          <t>u</t>
        </is>
      </c>
      <c r="G886" s="34" t="n">
        <v>0.0032</v>
      </c>
      <c r="H886" s="34">
        <f>E886*G886</f>
        <v/>
      </c>
      <c r="I886" s="33" t="inlineStr">
        <is>
          <t>Etiqueta autoadhesiva emitida por la AGC</t>
        </is>
      </c>
      <c r="J886" s="17" t="inlineStr">
        <is>
          <t>140 × 55</t>
        </is>
      </c>
      <c r="K886" s="33" t="inlineStr">
        <is>
          <t>Compra</t>
        </is>
      </c>
      <c r="L886" s="33" t="inlineStr">
        <is>
          <t>Sí</t>
        </is>
      </c>
      <c r="M886" s="17" t="inlineStr">
        <is>
          <t>Agencia Gubernamental de Control (CABA)</t>
        </is>
      </c>
      <c r="N886" s="17" t="inlineStr">
        <is>
          <t>-</t>
        </is>
      </c>
      <c r="O886" s="17" t="inlineStr">
        <is>
          <t>22 Etiquetado (T07)</t>
        </is>
      </c>
      <c r="P886" s="17" t="inlineStr">
        <is>
          <t>Ordenanza 40.473 art. 6 · Res. AGC 32/15</t>
        </is>
      </c>
      <c r="Q886" s="33" t="inlineStr">
        <is>
          <t>P</t>
        </is>
      </c>
      <c r="R886" s="33" t="inlineStr">
        <is>
          <t>FL_DES_ABC_100kg</t>
        </is>
      </c>
      <c r="S886" s="17" t="inlineStr">
        <is>
          <t>sólo destino CABA</t>
        </is>
      </c>
    </row>
    <row r="887">
      <c r="A887" s="33" t="inlineStr">
        <is>
          <t>FL_MAT_ABC_100kg</t>
        </is>
      </c>
      <c r="B887" s="33" t="n">
        <v>2</v>
      </c>
      <c r="C887" s="33" t="inlineStr">
        <is>
          <t>ABC100-32</t>
        </is>
      </c>
      <c r="D887" s="17" t="inlineStr">
        <is>
          <t xml:space="preserve">        Etiqueta de n° de serie GS1</t>
        </is>
      </c>
      <c r="E887" s="33" t="n">
        <v>1</v>
      </c>
      <c r="F887" s="33" t="inlineStr">
        <is>
          <t>u</t>
        </is>
      </c>
      <c r="G887" s="34" t="n">
        <v>0.0005</v>
      </c>
      <c r="H887" s="34">
        <f>E887*G887</f>
        <v/>
      </c>
      <c r="I887" s="33" t="inlineStr">
        <is>
          <t>Poliéster autoadhesivo impreso térmico</t>
        </is>
      </c>
      <c r="J887" s="17" t="inlineStr">
        <is>
          <t>45 × 25</t>
        </is>
      </c>
      <c r="K887" s="33" t="inlineStr">
        <is>
          <t>Compra</t>
        </is>
      </c>
      <c r="L887" s="33" t="inlineStr">
        <is>
          <t>Sí</t>
        </is>
      </c>
      <c r="M887" s="17" t="inlineStr">
        <is>
          <t>Astuprint</t>
        </is>
      </c>
      <c r="N887" s="17" t="inlineStr">
        <is>
          <t>GS1 Argentina</t>
        </is>
      </c>
      <c r="O887" s="17" t="inlineStr">
        <is>
          <t>22 Etiquetado (T07)</t>
        </is>
      </c>
      <c r="P887" s="17" t="inlineStr">
        <is>
          <t>GS1 Argentina (GTIN 779) · trazabilidad IRAM 3523 5.1</t>
        </is>
      </c>
      <c r="Q887" s="33" t="inlineStr">
        <is>
          <t>P</t>
        </is>
      </c>
      <c r="R887" s="33" t="inlineStr">
        <is>
          <t>FL_DES_ABC_100kg</t>
        </is>
      </c>
      <c r="S887" s="17" t="inlineStr">
        <is>
          <t>QR GTIN + serie</t>
        </is>
      </c>
    </row>
    <row r="888">
      <c r="A888" s="33" t="inlineStr">
        <is>
          <t>FL_MAT_ABC_100kg</t>
        </is>
      </c>
      <c r="B888" s="33" t="n">
        <v>2</v>
      </c>
      <c r="C888" s="33" t="inlineStr">
        <is>
          <t>ABC100-34</t>
        </is>
      </c>
      <c r="D888" s="17" t="inlineStr">
        <is>
          <t xml:space="preserve">        Faja de garantía válvula-cuello</t>
        </is>
      </c>
      <c r="E888" s="33" t="n">
        <v>1</v>
      </c>
      <c r="F888" s="33" t="inlineStr">
        <is>
          <t>u</t>
        </is>
      </c>
      <c r="G888" s="34" t="n">
        <v>0.0003</v>
      </c>
      <c r="H888" s="34">
        <f>E888*G888</f>
        <v/>
      </c>
      <c r="I888" s="33" t="inlineStr">
        <is>
          <t>Vinilo destructible rayado rojo/blanco</t>
        </is>
      </c>
      <c r="J888" s="17" t="inlineStr">
        <is>
          <t>30 × 40</t>
        </is>
      </c>
      <c r="K888" s="33" t="inlineStr">
        <is>
          <t>Compra</t>
        </is>
      </c>
      <c r="L888" s="33" t="inlineStr">
        <is>
          <t>Sí</t>
        </is>
      </c>
      <c r="M888" s="17" t="inlineStr">
        <is>
          <t>Astuprint</t>
        </is>
      </c>
      <c r="N888" s="17" t="inlineStr">
        <is>
          <t>Multilabel Argentina S.A.</t>
        </is>
      </c>
      <c r="O888" s="17" t="inlineStr">
        <is>
          <t>22 Etiquetado (T07)</t>
        </is>
      </c>
      <c r="P888" s="17" t="inlineStr">
        <is>
          <t>Sin norma: práctica de mercado (garantía de fábrica)</t>
        </is>
      </c>
      <c r="Q888" s="33" t="inlineStr">
        <is>
          <t>P</t>
        </is>
      </c>
      <c r="R888" s="33" t="inlineStr">
        <is>
          <t>FL_DES_ABC_100kg</t>
        </is>
      </c>
      <c r="S888" s="17" t="inlineStr">
        <is>
          <t>nuevo sin abrir</t>
        </is>
      </c>
    </row>
    <row r="889">
      <c r="A889" s="33" t="inlineStr">
        <is>
          <t>FL_MAT_ABC_100kg</t>
        </is>
      </c>
      <c r="B889" s="33" t="n">
        <v>2</v>
      </c>
      <c r="C889" s="33" t="inlineStr">
        <is>
          <t>ABC100-35</t>
        </is>
      </c>
      <c r="D889" s="17" t="inlineStr">
        <is>
          <t xml:space="preserve">        Precinto de fábrica</t>
        </is>
      </c>
      <c r="E889" s="33" t="n">
        <v>1</v>
      </c>
      <c r="F889" s="33" t="inlineStr">
        <is>
          <t>u</t>
        </is>
      </c>
      <c r="G889" s="34" t="n">
        <v>0.0002</v>
      </c>
      <c r="H889" s="34">
        <f>E889*G889</f>
        <v/>
      </c>
      <c r="I889" s="33" t="inlineStr">
        <is>
          <t>Polipropileno color</t>
        </is>
      </c>
      <c r="J889" s="17" t="inlineStr">
        <is>
          <t>Ø5 × 10, numerado, rotura 30-50 N</t>
        </is>
      </c>
      <c r="K889" s="33" t="inlineStr">
        <is>
          <t>Compra</t>
        </is>
      </c>
      <c r="L889" s="33" t="inlineStr">
        <is>
          <t>Sí</t>
        </is>
      </c>
      <c r="M889" s="17" t="inlineStr">
        <is>
          <t>SonFuertes (vía Papelera Damián)</t>
        </is>
      </c>
      <c r="N889" s="17" t="inlineStr">
        <is>
          <t>Precinter S.R.L.</t>
        </is>
      </c>
      <c r="O889" s="17" t="inlineStr">
        <is>
          <t>20 Presurización (T05)</t>
        </is>
      </c>
      <c r="P889" s="17" t="inlineStr">
        <is>
          <t>IRAM 3523 3.3.2 · IRAM 3517-2:2020 9.4.13</t>
        </is>
      </c>
      <c r="Q889" s="33" t="inlineStr">
        <is>
          <t>P</t>
        </is>
      </c>
      <c r="R889" s="33" t="inlineStr">
        <is>
          <t>FL_DES_ABC_100kg</t>
        </is>
      </c>
      <c r="S889" s="17" t="inlineStr">
        <is>
          <t>id. FLAMA y lote</t>
        </is>
      </c>
    </row>
    <row r="890">
      <c r="A890" s="30" t="inlineStr">
        <is>
          <t>FL_MAT_ABC_100kg</t>
        </is>
      </c>
      <c r="B890" s="30" t="n">
        <v>1</v>
      </c>
      <c r="C890" s="30" t="inlineStr">
        <is>
          <t>ABC100-S7</t>
        </is>
      </c>
      <c r="D890" s="31" t="inlineStr">
        <is>
          <t xml:space="preserve">    Embalaje</t>
        </is>
      </c>
      <c r="E890" s="30" t="n">
        <v>1</v>
      </c>
      <c r="F890" s="30" t="inlineStr">
        <is>
          <t>u</t>
        </is>
      </c>
      <c r="G890" s="32" t="n"/>
      <c r="H890" s="32">
        <f>H893</f>
        <v/>
      </c>
      <c r="I890" s="30" t="n"/>
      <c r="J890" s="31" t="n"/>
      <c r="K890" s="30" t="inlineStr">
        <is>
          <t>Compra</t>
        </is>
      </c>
      <c r="L890" s="30" t="n"/>
      <c r="M890" s="31" t="n"/>
      <c r="N890" s="31" t="n"/>
      <c r="O890" s="31" t="inlineStr">
        <is>
          <t>23 Embalaje -&gt; 24 envolvedora (T11)</t>
        </is>
      </c>
      <c r="P890" s="31" t="n"/>
      <c r="Q890" s="30" t="n"/>
      <c r="R890" s="30" t="n"/>
      <c r="S890" s="31" t="n"/>
    </row>
    <row r="891">
      <c r="A891" s="33" t="inlineStr">
        <is>
          <t>FL_MAT_ABC_100kg</t>
        </is>
      </c>
      <c r="B891" s="33" t="n">
        <v>2</v>
      </c>
      <c r="C891" s="33" t="inlineStr">
        <is>
          <t>ABC100-E1</t>
        </is>
      </c>
      <c r="D891" s="17" t="inlineStr">
        <is>
          <t xml:space="preserve">        Esquineros y funda de polietileno</t>
        </is>
      </c>
      <c r="E891" s="33" t="n">
        <v>1</v>
      </c>
      <c r="F891" s="33" t="inlineStr">
        <is>
          <t>jgo</t>
        </is>
      </c>
      <c r="G891" s="34" t="n"/>
      <c r="H891" s="34" t="n"/>
      <c r="I891" s="33" t="inlineStr">
        <is>
          <t>PE / cartón</t>
        </is>
      </c>
      <c r="J891" s="17" t="inlineStr">
        <is>
          <t>a medida de la envolvente del plano</t>
        </is>
      </c>
      <c r="K891" s="33" t="inlineStr">
        <is>
          <t>Compra</t>
        </is>
      </c>
      <c r="L891" s="33" t="inlineStr">
        <is>
          <t>Sí</t>
        </is>
      </c>
      <c r="M891" s="17" t="inlineStr">
        <is>
          <t>MV Embalajes</t>
        </is>
      </c>
      <c r="N891" s="17" t="inlineStr">
        <is>
          <t>Embalpack</t>
        </is>
      </c>
      <c r="O891" s="17" t="inlineStr">
        <is>
          <t>23 Embalaje</t>
        </is>
      </c>
      <c r="P891" s="17" t="n"/>
      <c r="Q891" s="33" t="inlineStr">
        <is>
          <t>P</t>
        </is>
      </c>
      <c r="R891" s="33" t="n"/>
      <c r="S891" s="17" t="inlineStr">
        <is>
          <t>Medida del plano</t>
        </is>
      </c>
    </row>
    <row r="892">
      <c r="A892" s="33" t="inlineStr">
        <is>
          <t>FL_MAT_ABC_100kg</t>
        </is>
      </c>
      <c r="B892" s="33" t="n">
        <v>2</v>
      </c>
      <c r="C892" s="33" t="inlineStr">
        <is>
          <t>ABC100-E3</t>
        </is>
      </c>
      <c r="D892" s="17" t="inlineStr">
        <is>
          <t xml:space="preserve">        Pallet 1200 × 1000 (fracción)</t>
        </is>
      </c>
      <c r="E892" s="33" t="n">
        <v>1</v>
      </c>
      <c r="F892" s="33" t="inlineStr">
        <is>
          <t>u</t>
        </is>
      </c>
      <c r="G892" s="34" t="n"/>
      <c r="H892" s="34" t="n"/>
      <c r="I892" s="33" t="inlineStr">
        <is>
          <t>Madera</t>
        </is>
      </c>
      <c r="J892" s="17" t="inlineStr">
        <is>
          <t>1 u por pallet</t>
        </is>
      </c>
      <c r="K892" s="33" t="inlineStr">
        <is>
          <t>Compra</t>
        </is>
      </c>
      <c r="L892" s="33" t="inlineStr">
        <is>
          <t>Sí</t>
        </is>
      </c>
      <c r="M892" s="17" t="inlineStr">
        <is>
          <t>IndusPallets</t>
        </is>
      </c>
      <c r="N892" s="17" t="inlineStr">
        <is>
          <t>-</t>
        </is>
      </c>
      <c r="O892" s="17" t="inlineStr">
        <is>
          <t>23 Embalaje</t>
        </is>
      </c>
      <c r="P892" s="17" t="n"/>
      <c r="Q892" s="33" t="inlineStr">
        <is>
          <t>C</t>
        </is>
      </c>
      <c r="R892" s="33" t="n"/>
      <c r="S892" s="17" t="inlineStr">
        <is>
          <t>u por pallet = acomodo de la caja (plano) en 1200 × 1000 × 1450 de alto</t>
        </is>
      </c>
    </row>
    <row r="893">
      <c r="A893" s="41" t="inlineStr">
        <is>
          <t>FL_MAT_ABC_100kg</t>
        </is>
      </c>
      <c r="B893" s="41" t="n">
        <v>2</v>
      </c>
      <c r="C893" s="41" t="inlineStr">
        <is>
          <t>ABC100-E4</t>
        </is>
      </c>
      <c r="D893" s="18" t="inlineStr">
        <is>
          <t xml:space="preserve">        Film stretch (fracción del pallet)</t>
        </is>
      </c>
      <c r="E893" s="41" t="n">
        <v>0.12</v>
      </c>
      <c r="F893" s="41" t="inlineStr">
        <is>
          <t>kg</t>
        </is>
      </c>
      <c r="G893" s="42" t="n">
        <v>1</v>
      </c>
      <c r="H893" s="42">
        <f>E893*G893</f>
        <v/>
      </c>
      <c r="I893" s="41" t="inlineStr">
        <is>
          <t>PE lineal 23 µm</t>
        </is>
      </c>
      <c r="J893" s="18" t="inlineStr">
        <is>
          <t>0,12 kg por pallet / 1 u</t>
        </is>
      </c>
      <c r="K893" s="41" t="inlineStr">
        <is>
          <t>Compra</t>
        </is>
      </c>
      <c r="L893" s="41" t="inlineStr">
        <is>
          <t>Sí</t>
        </is>
      </c>
      <c r="M893" s="18" t="inlineStr">
        <is>
          <t>MV Embalajes</t>
        </is>
      </c>
      <c r="N893" s="18" t="inlineStr">
        <is>
          <t>Embalpack</t>
        </is>
      </c>
      <c r="O893" s="18" t="inlineStr">
        <is>
          <t>24 Envolvedora (T11)</t>
        </is>
      </c>
      <c r="P893" s="18" t="n"/>
      <c r="Q893" s="41" t="inlineStr">
        <is>
          <t>C</t>
        </is>
      </c>
      <c r="R893" s="41" t="n"/>
      <c r="S89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94">
      <c r="A894" s="33" t="inlineStr">
        <is>
          <t>FL_MAT_ABC_100kg</t>
        </is>
      </c>
      <c r="B894" s="33" t="n">
        <v>2</v>
      </c>
      <c r="C894" s="33" t="inlineStr">
        <is>
          <t>ABC100-E5</t>
        </is>
      </c>
      <c r="D894" s="17" t="inlineStr">
        <is>
          <t xml:space="preserve">        Etiqueta de pallet (lote y destino, fracción)</t>
        </is>
      </c>
      <c r="E894" s="33" t="n">
        <v>1</v>
      </c>
      <c r="F894" s="33" t="inlineStr">
        <is>
          <t>u</t>
        </is>
      </c>
      <c r="G894" s="34" t="n"/>
      <c r="H894" s="34" t="n"/>
      <c r="I894" s="33" t="inlineStr">
        <is>
          <t>Papel térmico</t>
        </is>
      </c>
      <c r="J894" s="17" t="inlineStr">
        <is>
          <t>100 × 150</t>
        </is>
      </c>
      <c r="K894" s="33" t="inlineStr">
        <is>
          <t>Compra</t>
        </is>
      </c>
      <c r="L894" s="33" t="inlineStr">
        <is>
          <t>Sí</t>
        </is>
      </c>
      <c r="M894" s="17" t="inlineStr">
        <is>
          <t>Astuprint</t>
        </is>
      </c>
      <c r="N894" s="17" t="inlineStr">
        <is>
          <t>Multilabel Argentina S.A.</t>
        </is>
      </c>
      <c r="O894" s="17" t="inlineStr">
        <is>
          <t>24 Envolvedora</t>
        </is>
      </c>
      <c r="P894" s="17" t="n"/>
      <c r="Q894" s="33" t="inlineStr">
        <is>
          <t>C</t>
        </is>
      </c>
      <c r="R894" s="33" t="n"/>
      <c r="S894" s="17" t="n"/>
    </row>
  </sheetData>
  <autoFilter ref="A4:S894"/>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FL_REC_ABC_1kg</t>
        </is>
      </c>
      <c r="B5" s="27" t="n">
        <v>0</v>
      </c>
      <c r="C5" s="27" t="inlineStr">
        <is>
          <t>FL_REC_ABC_1kg</t>
        </is>
      </c>
      <c r="D5" s="28" t="inlineStr">
        <is>
          <t>Cilindro (recipiente) ABC 1 kg - repuesto vacío sin válvula</t>
        </is>
      </c>
      <c r="E5" s="27" t="n">
        <v>1</v>
      </c>
      <c r="F5" s="27" t="inlineStr">
        <is>
          <t>u</t>
        </is>
      </c>
      <c r="G5" s="29" t="n"/>
      <c r="H5" s="29" t="n"/>
      <c r="I5" s="27" t="n"/>
      <c r="J5" s="28" t="n"/>
      <c r="K5" s="27" t="n"/>
      <c r="L5" s="27" t="n"/>
      <c r="M5" s="28" t="n"/>
      <c r="N5" s="28" t="n"/>
      <c r="O5" s="28" t="n"/>
      <c r="P5" s="28" t="inlineStr">
        <is>
          <t>IRAM 3523</t>
        </is>
      </c>
      <c r="Q5" s="27" t="inlineStr">
        <is>
          <t>P</t>
        </is>
      </c>
      <c r="R5" s="27" t="inlineStr">
        <is>
          <t>FL_REC_ABC_1kg</t>
        </is>
      </c>
      <c r="S5" s="28" t="inlineStr">
        <is>
          <t>Fabricación propia</t>
        </is>
      </c>
    </row>
    <row r="6">
      <c r="A6" s="30" t="inlineStr">
        <is>
          <t>FL_REC_ABC_1kg</t>
        </is>
      </c>
      <c r="B6" s="30" t="n">
        <v>1</v>
      </c>
      <c r="C6" s="30" t="inlineStr">
        <is>
          <t>ABC1-S1</t>
        </is>
      </c>
      <c r="D6" s="31" t="inlineStr">
        <is>
          <t xml:space="preserve">    Recipiente (cilindro)</t>
        </is>
      </c>
      <c r="E6" s="30" t="n">
        <v>1</v>
      </c>
      <c r="F6" s="30" t="inlineStr">
        <is>
          <t>u</t>
        </is>
      </c>
      <c r="G6" s="32" t="n"/>
      <c r="H6" s="32">
        <f>H7+H9+H11+H13+H14+H21</f>
        <v/>
      </c>
      <c r="I6" s="30" t="n"/>
      <c r="J6" s="31" t="n"/>
      <c r="K6" s="30" t="inlineStr">
        <is>
          <t>Fabricación</t>
        </is>
      </c>
      <c r="L6" s="30" t="n"/>
      <c r="M6" s="31" t="n"/>
      <c r="N6" s="31" t="n"/>
      <c r="O6" s="31" t="n"/>
      <c r="P6" s="31" t="inlineStr">
        <is>
          <t>IRAM 3523 / 3550 (recipiente)</t>
        </is>
      </c>
      <c r="Q6" s="30" t="inlineStr">
        <is>
          <t>P</t>
        </is>
      </c>
      <c r="R6" s="30" t="inlineStr">
        <is>
          <t>FL_DES_ABC_1kg</t>
        </is>
      </c>
      <c r="S6" s="31" t="n"/>
    </row>
    <row r="7">
      <c r="A7" s="33" t="inlineStr">
        <is>
          <t>FL_REC_ABC_1kg</t>
        </is>
      </c>
      <c r="B7" s="33" t="n">
        <v>2</v>
      </c>
      <c r="C7" s="33" t="inlineStr">
        <is>
          <t>ABC1-01</t>
        </is>
      </c>
      <c r="D7" s="17" t="inlineStr">
        <is>
          <t xml:space="preserve">        Cuerpo (virola)</t>
        </is>
      </c>
      <c r="E7" s="33" t="n">
        <v>1</v>
      </c>
      <c r="F7" s="33" t="inlineStr">
        <is>
          <t>u</t>
        </is>
      </c>
      <c r="G7" s="34" t="n">
        <v>0.5817</v>
      </c>
      <c r="H7" s="34">
        <f>E7*G7</f>
        <v/>
      </c>
      <c r="I7" s="33" t="inlineStr">
        <is>
          <t>Caño c-c LF Ø76,2 e=1,25 (SAE 1010)</t>
        </is>
      </c>
      <c r="J7" s="17" t="inlineStr">
        <is>
          <t>Ø76,2 × e1,25 × 251,8 de alto; desarrollo 235,5 × 251,8</t>
        </is>
      </c>
      <c r="K7" s="33" t="inlineStr">
        <is>
          <t>Fabricación</t>
        </is>
      </c>
      <c r="L7" s="33" t="inlineStr">
        <is>
          <t>No</t>
        </is>
      </c>
      <c r="M7" s="17" t="n"/>
      <c r="N7" s="17" t="n"/>
      <c r="O7" s="17" t="inlineStr">
        <is>
          <t>5 Corte láser de caño (M15/M16) -&gt; 9 encastre</t>
        </is>
      </c>
      <c r="P7" s="17" t="n"/>
      <c r="Q7" s="33" t="inlineStr">
        <is>
          <t>P</t>
        </is>
      </c>
      <c r="R7" s="33" t="inlineStr">
        <is>
          <t>FL_DES_ABC_1kg</t>
        </is>
      </c>
      <c r="S7" s="17" t="inlineStr">
        <is>
          <t>costura long. MAG</t>
        </is>
      </c>
    </row>
    <row r="8">
      <c r="A8" s="35" t="inlineStr">
        <is>
          <t>FL_REC_ABC_1kg</t>
        </is>
      </c>
      <c r="B8" s="35" t="n">
        <v>3</v>
      </c>
      <c r="C8" s="35" t="inlineStr">
        <is>
          <t>MP-CANO</t>
        </is>
      </c>
      <c r="D8" s="36" t="inlineStr">
        <is>
          <t xml:space="preserve">            Caño Ø76,2 × 1,25 (tramo de barra de 6 m)</t>
        </is>
      </c>
      <c r="E8" s="35" t="n">
        <v>0.0435</v>
      </c>
      <c r="F8" s="35" t="inlineStr">
        <is>
          <t>barra</t>
        </is>
      </c>
      <c r="G8" s="37" t="n">
        <v>13.686</v>
      </c>
      <c r="H8" s="37">
        <f>E8*G8</f>
        <v/>
      </c>
      <c r="I8" s="35" t="inlineStr">
        <is>
          <t>Caño acero SAE 1010 con costura</t>
        </is>
      </c>
      <c r="J8" s="36" t="inlineStr">
        <is>
          <t>255 mm por cuerpo; 23 cuerpos por barra (kg por barra)</t>
        </is>
      </c>
      <c r="K8" s="35" t="inlineStr">
        <is>
          <t>Compra</t>
        </is>
      </c>
      <c r="L8" s="35" t="inlineStr">
        <is>
          <t>Sí</t>
        </is>
      </c>
      <c r="M8" s="36" t="inlineStr">
        <is>
          <t>Metalpri / Prilux</t>
        </is>
      </c>
      <c r="N8" s="36" t="inlineStr">
        <is>
          <t>Comercial MID</t>
        </is>
      </c>
      <c r="O8" s="36" t="inlineStr">
        <is>
          <t>AL-1T cantiléver</t>
        </is>
      </c>
      <c r="P8" s="36" t="n"/>
      <c r="Q8" s="35" t="inlineStr">
        <is>
          <t>L</t>
        </is>
      </c>
      <c r="R8" s="35" t="inlineStr">
        <is>
          <t>FL_PI_04 h2</t>
        </is>
      </c>
      <c r="S8" s="36" t="n"/>
    </row>
    <row r="9">
      <c r="A9" s="33" t="inlineStr">
        <is>
          <t>FL_REC_ABC_1kg</t>
        </is>
      </c>
      <c r="B9" s="33" t="n">
        <v>2</v>
      </c>
      <c r="C9" s="33" t="inlineStr">
        <is>
          <t>ABC1-02</t>
        </is>
      </c>
      <c r="D9" s="17" t="inlineStr">
        <is>
          <t xml:space="preserve">        Cúpula</t>
        </is>
      </c>
      <c r="E9" s="33" t="n">
        <v>1</v>
      </c>
      <c r="F9" s="33" t="inlineStr">
        <is>
          <t>u</t>
        </is>
      </c>
      <c r="G9" s="34" t="n">
        <v>0.0309</v>
      </c>
      <c r="H9" s="34">
        <f>E9*G9</f>
        <v/>
      </c>
      <c r="I9" s="33" t="inlineStr">
        <is>
          <t>Chapa LAF IRAM-IAS U 500-05 e=0,9</t>
        </is>
      </c>
      <c r="J9" s="17" t="inlineStr">
        <is>
          <t>Ø76,2 × e0,9 × 11,7 de alto; disco Ø108</t>
        </is>
      </c>
      <c r="K9" s="33" t="inlineStr">
        <is>
          <t>Fabricación</t>
        </is>
      </c>
      <c r="L9" s="33" t="inlineStr">
        <is>
          <t>No</t>
        </is>
      </c>
      <c r="M9" s="17" t="n"/>
      <c r="N9" s="17" t="n"/>
      <c r="O9" s="17" t="inlineStr">
        <is>
          <t>6 Desbobinado + embutido (M06-M08)</t>
        </is>
      </c>
      <c r="P9" s="17" t="n"/>
      <c r="Q9" s="33" t="inlineStr">
        <is>
          <t>P</t>
        </is>
      </c>
      <c r="R9" s="33" t="inlineStr">
        <is>
          <t>FL_DES_ABC_1kg</t>
        </is>
      </c>
      <c r="S9" s="17" t="inlineStr">
        <is>
          <t>embutida</t>
        </is>
      </c>
    </row>
    <row r="10">
      <c r="A10" s="35" t="inlineStr">
        <is>
          <t>FL_REC_ABC_1kg</t>
        </is>
      </c>
      <c r="B10" s="35" t="n">
        <v>3</v>
      </c>
      <c r="C10" s="35" t="inlineStr">
        <is>
          <t>MP-FLEJE</t>
        </is>
      </c>
      <c r="D10" s="36" t="inlineStr">
        <is>
          <t xml:space="preserve">            Fleje e=0,9 × 114 (paso 111)</t>
        </is>
      </c>
      <c r="E10" s="35" t="n">
        <v>0.111</v>
      </c>
      <c r="F10" s="35" t="inlineStr">
        <is>
          <t>m</t>
        </is>
      </c>
      <c r="G10" s="37" t="n">
        <v>0.805</v>
      </c>
      <c r="H10" s="37">
        <f>E10*G10</f>
        <v/>
      </c>
      <c r="I10" s="35" t="inlineStr">
        <is>
          <t>Fleje SAE 1010</t>
        </is>
      </c>
      <c r="J10" s="36" t="inlineStr">
        <is>
          <t>disco Ø108 (kg por m de fleje)</t>
        </is>
      </c>
      <c r="K10" s="35" t="inlineStr">
        <is>
          <t>Compra</t>
        </is>
      </c>
      <c r="L10" s="35" t="inlineStr">
        <is>
          <t>Sí</t>
        </is>
      </c>
      <c r="M10" s="36" t="inlineStr">
        <is>
          <t>Pacheco Chapas</t>
        </is>
      </c>
      <c r="N10" s="36" t="inlineStr">
        <is>
          <t>Pradecon S.A.</t>
        </is>
      </c>
      <c r="O10" s="36" t="inlineStr">
        <is>
          <t>AL-1F porta-flejes</t>
        </is>
      </c>
      <c r="P10" s="36" t="n"/>
      <c r="Q10" s="35" t="inlineStr">
        <is>
          <t>L</t>
        </is>
      </c>
      <c r="R10" s="35" t="inlineStr">
        <is>
          <t>FL_PI_04 h2</t>
        </is>
      </c>
      <c r="S10" s="36" t="n"/>
    </row>
    <row r="11">
      <c r="A11" s="33" t="inlineStr">
        <is>
          <t>FL_REC_ABC_1kg</t>
        </is>
      </c>
      <c r="B11" s="33" t="n">
        <v>2</v>
      </c>
      <c r="C11" s="33" t="inlineStr">
        <is>
          <t>ABC1-03</t>
        </is>
      </c>
      <c r="D11" s="17" t="inlineStr">
        <is>
          <t xml:space="preserve">        Fondo</t>
        </is>
      </c>
      <c r="E11" s="33" t="n">
        <v>1</v>
      </c>
      <c r="F11" s="33" t="inlineStr">
        <is>
          <t>u</t>
        </is>
      </c>
      <c r="G11" s="34" t="n">
        <v>0.0622</v>
      </c>
      <c r="H11" s="34">
        <f>E11*G11</f>
        <v/>
      </c>
      <c r="I11" s="33" t="inlineStr">
        <is>
          <t>Chapa LAF IRAM-IAS U 500-05 e=1,25</t>
        </is>
      </c>
      <c r="J11" s="17" t="inlineStr">
        <is>
          <t>Ø76,2 × e1,25 × 22 de alto; disco Ø100</t>
        </is>
      </c>
      <c r="K11" s="33" t="inlineStr">
        <is>
          <t>Fabricación</t>
        </is>
      </c>
      <c r="L11" s="33" t="inlineStr">
        <is>
          <t>No</t>
        </is>
      </c>
      <c r="M11" s="17" t="n"/>
      <c r="N11" s="17" t="n"/>
      <c r="O11" s="17" t="inlineStr">
        <is>
          <t>6 Desbobinado + embutido (M06-M08)</t>
        </is>
      </c>
      <c r="P11" s="17" t="n"/>
      <c r="Q11" s="33" t="inlineStr">
        <is>
          <t>P</t>
        </is>
      </c>
      <c r="R11" s="33" t="inlineStr">
        <is>
          <t>FL_DES_ABC_1kg</t>
        </is>
      </c>
      <c r="S11" s="17" t="inlineStr">
        <is>
          <t>embutido</t>
        </is>
      </c>
    </row>
    <row r="12">
      <c r="A12" s="38" t="inlineStr">
        <is>
          <t>FL_REC_ABC_1kg</t>
        </is>
      </c>
      <c r="B12" s="38" t="n">
        <v>3</v>
      </c>
      <c r="C12" s="38" t="inlineStr">
        <is>
          <t>MP-FLEJE</t>
        </is>
      </c>
      <c r="D12" s="39" t="inlineStr">
        <is>
          <t xml:space="preserve">            Fleje e=0,9 × 106 (paso 103)</t>
        </is>
      </c>
      <c r="E12" s="38" t="n">
        <v>0.103</v>
      </c>
      <c r="F12" s="38" t="inlineStr">
        <is>
          <t>m</t>
        </is>
      </c>
      <c r="G12" s="40" t="n">
        <v>0.749</v>
      </c>
      <c r="H12" s="40">
        <f>E12*G12</f>
        <v/>
      </c>
      <c r="I12" s="38" t="inlineStr">
        <is>
          <t>Fleje SAE 1010</t>
        </is>
      </c>
      <c r="J12" s="39" t="inlineStr">
        <is>
          <t>disco Ø100 (kg por m de fleje)</t>
        </is>
      </c>
      <c r="K12" s="38" t="inlineStr">
        <is>
          <t>Compra</t>
        </is>
      </c>
      <c r="L12" s="38" t="inlineStr">
        <is>
          <t>Sí</t>
        </is>
      </c>
      <c r="M12" s="39" t="inlineStr">
        <is>
          <t>Pacheco Chapas</t>
        </is>
      </c>
      <c r="N12" s="39" t="inlineStr">
        <is>
          <t>Pradecon S.A.</t>
        </is>
      </c>
      <c r="O12" s="39" t="inlineStr">
        <is>
          <t>AL-1F porta-flejes</t>
        </is>
      </c>
      <c r="P12" s="39" t="n"/>
      <c r="Q12" s="38" t="inlineStr">
        <is>
          <t>L</t>
        </is>
      </c>
      <c r="R12" s="38" t="inlineStr">
        <is>
          <t>FL_PI_04 h2</t>
        </is>
      </c>
      <c r="S12" s="39" t="inlineStr">
        <is>
          <t>OJO: el fleje es e=0,9 y el plano e=1,25</t>
        </is>
      </c>
    </row>
    <row r="13">
      <c r="A13" s="33" t="inlineStr">
        <is>
          <t>FL_REC_ABC_1kg</t>
        </is>
      </c>
      <c r="B13" s="33" t="n">
        <v>2</v>
      </c>
      <c r="C13" s="33" t="inlineStr">
        <is>
          <t>ABC1-04</t>
        </is>
      </c>
      <c r="D13" s="17" t="inlineStr">
        <is>
          <t xml:space="preserve">        Cuello roscado</t>
        </is>
      </c>
      <c r="E13" s="33" t="n">
        <v>1</v>
      </c>
      <c r="F13" s="33" t="inlineStr">
        <is>
          <t>u</t>
        </is>
      </c>
      <c r="G13" s="34" t="n">
        <v>0.0359</v>
      </c>
      <c r="H13" s="34">
        <f>E13*G13</f>
        <v/>
      </c>
      <c r="I13" s="33" t="inlineStr">
        <is>
          <t>Acero SAE 1010</t>
        </is>
      </c>
      <c r="J13" s="17" t="inlineStr">
        <is>
          <t>Ø29 × 12,5 de alto, rosca M22x1,5, asiento Ø26</t>
        </is>
      </c>
      <c r="K13" s="33" t="inlineStr">
        <is>
          <t>Compra (mecanizado, Eli-Met)</t>
        </is>
      </c>
      <c r="L13" s="33" t="inlineStr">
        <is>
          <t>Sí</t>
        </is>
      </c>
      <c r="M13" s="17" t="inlineStr">
        <is>
          <t>Eli-Met</t>
        </is>
      </c>
      <c r="N13" s="17" t="inlineStr">
        <is>
          <t>-</t>
        </is>
      </c>
      <c r="O13" s="17" t="inlineStr">
        <is>
          <t>Compra -&gt; 8 soldadura de cuello</t>
        </is>
      </c>
      <c r="P13" s="17" t="n"/>
      <c r="Q13" s="33" t="inlineStr">
        <is>
          <t>P</t>
        </is>
      </c>
      <c r="R13" s="33" t="inlineStr">
        <is>
          <t>FL_DES_ABC_1kg</t>
        </is>
      </c>
      <c r="S13" s="17" t="inlineStr">
        <is>
          <t>M22x1,5</t>
        </is>
      </c>
    </row>
    <row r="14">
      <c r="A14" s="41" t="inlineStr">
        <is>
          <t>FL_REC_ABC_1kg</t>
        </is>
      </c>
      <c r="B14" s="41" t="n">
        <v>2</v>
      </c>
      <c r="C14" s="41" t="inlineStr">
        <is>
          <t>ABC1-C1</t>
        </is>
      </c>
      <c r="D14" s="18" t="inlineStr">
        <is>
          <t xml:space="preserve">        Alambre MAG ER70S-6 Ø0,9 (AWS A5.18)</t>
        </is>
      </c>
      <c r="E14" s="41" t="n">
        <v>0.0208</v>
      </c>
      <c r="F14" s="41" t="inlineStr">
        <is>
          <t>kg</t>
        </is>
      </c>
      <c r="G14" s="42" t="n">
        <v>0.95</v>
      </c>
      <c r="H14" s="42">
        <f>E14*G14</f>
        <v/>
      </c>
      <c r="I14" s="41" t="inlineStr">
        <is>
          <t>ER70S-6</t>
        </is>
      </c>
      <c r="J14" s="18" t="inlineStr">
        <is>
          <t>metal depositado de los cordones del plano 20 g / rendimiento 0,95</t>
        </is>
      </c>
      <c r="K14" s="41" t="inlineStr">
        <is>
          <t>Compra</t>
        </is>
      </c>
      <c r="L14" s="41" t="inlineStr">
        <is>
          <t>Sí</t>
        </is>
      </c>
      <c r="M14" s="18" t="inlineStr">
        <is>
          <t>Conarco (ESAB Argentina)</t>
        </is>
      </c>
      <c r="N14" s="18" t="inlineStr">
        <is>
          <t>-</t>
        </is>
      </c>
      <c r="O14" s="18" t="inlineStr">
        <is>
          <t>4 sold. long. / 8 cuello / 11 circunferencial</t>
        </is>
      </c>
      <c r="P14" s="18" t="inlineStr">
        <is>
          <t>IRAM 3523 3.2.4.2 · IRAM 3550 4.1.2</t>
        </is>
      </c>
      <c r="Q14" s="41" t="inlineStr">
        <is>
          <t>C</t>
        </is>
      </c>
      <c r="R14" s="41"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41" t="inlineStr">
        <is>
          <t>FL_REC_ABC_1kg</t>
        </is>
      </c>
      <c r="B15" s="41" t="n">
        <v>2</v>
      </c>
      <c r="C15" s="41" t="inlineStr">
        <is>
          <t>ABC1-C2</t>
        </is>
      </c>
      <c r="D15" s="18" t="inlineStr">
        <is>
          <t xml:space="preserve">        Gas de protección MAG Arcal 21 / ARCAL Speed (Ar + 8 % CO₂, M20)</t>
        </is>
      </c>
      <c r="E15" s="41" t="n">
        <v>13.3</v>
      </c>
      <c r="F15" s="41" t="inlineStr">
        <is>
          <t>L</t>
        </is>
      </c>
      <c r="G15" s="42" t="n"/>
      <c r="H15" s="42" t="n"/>
      <c r="I15" s="41" t="inlineStr">
        <is>
          <t>EN ISO 14175 M20-ArC-8</t>
        </is>
      </c>
      <c r="J15" s="18" t="inlineStr">
        <is>
          <t>14 L/min × 0,95 min de arco (cordones 570 mm: long. 0 + circ. 479 + cuello 91, a 600 mm/min)</t>
        </is>
      </c>
      <c r="K15" s="41" t="inlineStr">
        <is>
          <t>Compra</t>
        </is>
      </c>
      <c r="L15" s="41" t="inlineStr">
        <is>
          <t>Sí</t>
        </is>
      </c>
      <c r="M15" s="18" t="inlineStr">
        <is>
          <t>Air Liquide Argentina - sucursal Piñeyro</t>
        </is>
      </c>
      <c r="N15" s="18" t="inlineStr">
        <is>
          <t>Gogniat</t>
        </is>
      </c>
      <c r="O15" s="18" t="inlineStr">
        <is>
          <t>Colector SC</t>
        </is>
      </c>
      <c r="P15" s="18" t="inlineStr">
        <is>
          <t>IRAM 3523 3.2.4.2 · IRAM 3550 3.2.2.2</t>
        </is>
      </c>
      <c r="Q15" s="41" t="inlineStr">
        <is>
          <t>C</t>
        </is>
      </c>
      <c r="R15" s="41"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43" t="inlineStr">
        <is>
          <t>FL_REC_ABC_1kg</t>
        </is>
      </c>
      <c r="B16" s="43" t="n">
        <v>2</v>
      </c>
      <c r="C16" s="43" t="inlineStr">
        <is>
          <t>ABC1-C3</t>
        </is>
      </c>
      <c r="D16" s="20" t="inlineStr">
        <is>
          <t xml:space="preserve">        Granalla de acero S330 / S390 (ISO 11124-3, SAE J444)</t>
        </is>
      </c>
      <c r="E16" s="43" t="n">
        <v>0.08</v>
      </c>
      <c r="F16" s="43" t="inlineStr">
        <is>
          <t>kg</t>
        </is>
      </c>
      <c r="G16" s="44" t="n"/>
      <c r="H16" s="44" t="n"/>
      <c r="I16" s="43" t="inlineStr">
        <is>
          <t>Granalla esférica alto C</t>
        </is>
      </c>
      <c r="J16" s="20" t="inlineStr">
        <is>
          <t>0,07 m² a Sa 2½ (ISO 8501-1); 3,4 kg/h ÷ 42,5 u/h</t>
        </is>
      </c>
      <c r="K16" s="43" t="inlineStr">
        <is>
          <t>Compra</t>
        </is>
      </c>
      <c r="L16" s="43" t="inlineStr">
        <is>
          <t>Sí</t>
        </is>
      </c>
      <c r="M16" s="20" t="inlineStr">
        <is>
          <t>CyM Materiales</t>
        </is>
      </c>
      <c r="N16" s="20" t="inlineStr">
        <is>
          <t>Roca Ingeniería</t>
        </is>
      </c>
      <c r="O16" s="20" t="inlineStr">
        <is>
          <t>14 Granallado (B08)</t>
        </is>
      </c>
      <c r="P16" s="20" t="inlineStr">
        <is>
          <t>DOC-01</t>
        </is>
      </c>
      <c r="Q16" s="43" t="inlineStr">
        <is>
          <t>C</t>
        </is>
      </c>
      <c r="R16" s="43" t="n"/>
      <c r="S16"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3" t="inlineStr">
        <is>
          <t>FL_REC_ABC_1kg</t>
        </is>
      </c>
      <c r="B17" s="33" t="n">
        <v>2</v>
      </c>
      <c r="C17" s="33" t="inlineStr">
        <is>
          <t>ABC1-C4</t>
        </is>
      </c>
      <c r="D17" s="17" t="inlineStr">
        <is>
          <t xml:space="preserve">        Servicio de pintura en polvo al horno, rojo 03-1-050</t>
        </is>
      </c>
      <c r="E17" s="33" t="n">
        <v>1</v>
      </c>
      <c r="F17" s="33" t="inlineStr">
        <is>
          <t>u</t>
        </is>
      </c>
      <c r="G17" s="34" t="n"/>
      <c r="H17" s="34" t="n"/>
      <c r="I17" s="33" t="inlineStr">
        <is>
          <t>Servicio tercerizado</t>
        </is>
      </c>
      <c r="J17" s="17" t="inlineStr">
        <is>
          <t>superficie exterior 0,07 m²</t>
        </is>
      </c>
      <c r="K17" s="33" t="inlineStr">
        <is>
          <t>Compra (servicio)</t>
        </is>
      </c>
      <c r="L17" s="33" t="inlineStr">
        <is>
          <t>Sí</t>
        </is>
      </c>
      <c r="M17" s="17" t="inlineStr">
        <is>
          <t>Prymax</t>
        </is>
      </c>
      <c r="N17" s="17" t="inlineStr">
        <is>
          <t>Pintor de carros (cotización por mensaje)</t>
        </is>
      </c>
      <c r="O17" s="17" t="inlineStr">
        <is>
          <t>17 Pintura tercerizada</t>
        </is>
      </c>
      <c r="P17" s="17" t="inlineStr">
        <is>
          <t>IRAM 3523 5.3 / IRAM 3550 3.11 · IRAM 121</t>
        </is>
      </c>
      <c r="Q17" s="33" t="inlineStr">
        <is>
          <t>Q</t>
        </is>
      </c>
      <c r="R17" s="33" t="n"/>
      <c r="S17" s="17" t="inlineStr">
        <is>
          <t>Q-PRYMAX (precio por cilindro); exigir informe de niebla salina del sistema de pintura; tercerización aceptada por el Ministerio (Res. 349/07 art. 18)</t>
        </is>
      </c>
    </row>
    <row r="18">
      <c r="A18" s="43" t="inlineStr">
        <is>
          <t>FL_REC_ABC_1kg</t>
        </is>
      </c>
      <c r="B18" s="43" t="n">
        <v>2</v>
      </c>
      <c r="C18" s="43" t="inlineStr">
        <is>
          <t>ABC1-T1</t>
        </is>
      </c>
      <c r="D18" s="20" t="inlineStr">
        <is>
          <t xml:space="preserve">        Tapón protector de rosca del cuello</t>
        </is>
      </c>
      <c r="E18" s="43" t="n">
        <v>1</v>
      </c>
      <c r="F18" s="43" t="inlineStr">
        <is>
          <t>u</t>
        </is>
      </c>
      <c r="G18" s="44" t="n"/>
      <c r="H18" s="44" t="n"/>
      <c r="I18" s="43" t="inlineStr">
        <is>
          <t>Polietileno</t>
        </is>
      </c>
      <c r="J18" s="20" t="inlineStr">
        <is>
          <t>para rosca M22x1,5 (plano FL_REC_ABC_1kg hoja 3, R4)</t>
        </is>
      </c>
      <c r="K18" s="43" t="inlineStr">
        <is>
          <t>Compra</t>
        </is>
      </c>
      <c r="L18" s="43" t="inlineStr">
        <is>
          <t>Sí</t>
        </is>
      </c>
      <c r="M18" s="20" t="inlineStr">
        <is>
          <t>-</t>
        </is>
      </c>
      <c r="N18" s="20" t="inlineStr">
        <is>
          <t>-</t>
        </is>
      </c>
      <c r="O18" s="20" t="inlineStr">
        <is>
          <t>Embalaje</t>
        </is>
      </c>
      <c r="P18" s="20" t="n"/>
      <c r="Q18" s="43" t="inlineStr">
        <is>
          <t>P</t>
        </is>
      </c>
      <c r="R18" s="43" t="n"/>
      <c r="S18" s="20" t="n"/>
    </row>
    <row r="19">
      <c r="A19" s="33" t="inlineStr">
        <is>
          <t>FL_REC_ABC_1kg</t>
        </is>
      </c>
      <c r="B19" s="33" t="n">
        <v>2</v>
      </c>
      <c r="C19" s="33" t="inlineStr">
        <is>
          <t>ABC1-T2</t>
        </is>
      </c>
      <c r="D19" s="17" t="inlineStr">
        <is>
          <t xml:space="preserve">        Marcado del recipiente (estampado)</t>
        </is>
      </c>
      <c r="E19" s="33" t="n">
        <v>1</v>
      </c>
      <c r="F19" s="33" t="inlineStr">
        <is>
          <t>u</t>
        </is>
      </c>
      <c r="G19" s="34" t="n"/>
      <c r="H19" s="34" t="n"/>
      <c r="I19" s="33" t="inlineStr">
        <is>
          <t>-</t>
        </is>
      </c>
      <c r="J19" s="17" t="inlineStr">
        <is>
          <t>Fabricante, n° de serie, año; cuño DPS 15 × 7 junto al n°</t>
        </is>
      </c>
      <c r="K19" s="33" t="inlineStr">
        <is>
          <t>Proceso</t>
        </is>
      </c>
      <c r="L19" s="33" t="inlineStr">
        <is>
          <t>No</t>
        </is>
      </c>
      <c r="M19" s="17" t="n"/>
      <c r="N19" s="17" t="n"/>
      <c r="O19" s="17" t="inlineStr">
        <is>
          <t>Marcado</t>
        </is>
      </c>
      <c r="P19" s="17" t="inlineStr">
        <is>
          <t>IRAM 3523 5.1 · Res. 349/07 anexo IV</t>
        </is>
      </c>
      <c r="Q19" s="33" t="inlineStr">
        <is>
          <t>N</t>
        </is>
      </c>
      <c r="R19" s="33" t="n"/>
      <c r="S19" s="17" t="n"/>
    </row>
    <row r="20">
      <c r="A20" s="33" t="inlineStr">
        <is>
          <t>FL_REC_ABC_1kg</t>
        </is>
      </c>
      <c r="B20" s="33" t="n">
        <v>2</v>
      </c>
      <c r="C20" s="33" t="inlineStr">
        <is>
          <t>ABC1-T3</t>
        </is>
      </c>
      <c r="D20" s="17" t="inlineStr">
        <is>
          <t xml:space="preserve">        Etiqueta de identificación del cilindro suelto</t>
        </is>
      </c>
      <c r="E20" s="33" t="n">
        <v>1</v>
      </c>
      <c r="F20" s="33" t="inlineStr">
        <is>
          <t>u</t>
        </is>
      </c>
      <c r="G20" s="34" t="n"/>
      <c r="H20" s="34" t="n"/>
      <c r="I20" s="33" t="inlineStr">
        <is>
          <t>Poliéster autoadhesivo removible</t>
        </is>
      </c>
      <c r="J20" s="17" t="inlineStr">
        <is>
          <t>100 × 60, impresión térmica, QR GS1</t>
        </is>
      </c>
      <c r="K20" s="33" t="inlineStr">
        <is>
          <t>Compra</t>
        </is>
      </c>
      <c r="L20" s="33" t="inlineStr">
        <is>
          <t>Sí</t>
        </is>
      </c>
      <c r="M20" s="17" t="inlineStr">
        <is>
          <t>Astuprint</t>
        </is>
      </c>
      <c r="N20" s="17" t="inlineStr">
        <is>
          <t>GS1 Argentina</t>
        </is>
      </c>
      <c r="O20" s="17" t="inlineStr">
        <is>
          <t>Etiquetado</t>
        </is>
      </c>
      <c r="P20" s="17" t="n"/>
      <c r="Q20" s="33" t="inlineStr">
        <is>
          <t>P</t>
        </is>
      </c>
      <c r="R20" s="33" t="inlineStr">
        <is>
          <t>FL_REC_ABC_1kg hoja 3</t>
        </is>
      </c>
      <c r="S20" s="17" t="n"/>
    </row>
    <row r="21">
      <c r="A21" s="33" t="inlineStr">
        <is>
          <t>FL_REC_ABC_1kg</t>
        </is>
      </c>
      <c r="B21" s="33" t="n">
        <v>2</v>
      </c>
      <c r="C21" s="33" t="inlineStr">
        <is>
          <t>ABC1-T4</t>
        </is>
      </c>
      <c r="D21" s="17" t="inlineStr">
        <is>
          <t xml:space="preserve">        Protocolo de ensayo hidrostático (certificado que acompaña)</t>
        </is>
      </c>
      <c r="E21" s="33" t="n">
        <v>1</v>
      </c>
      <c r="F21" s="33" t="inlineStr">
        <is>
          <t>u</t>
        </is>
      </c>
      <c r="G21" s="34" t="n">
        <v>0.005</v>
      </c>
      <c r="H21" s="34">
        <f>E21*G21</f>
        <v/>
      </c>
      <c r="I21" s="33" t="inlineStr">
        <is>
          <t>Papel</t>
        </is>
      </c>
      <c r="J21" s="17" t="inlineStr">
        <is>
          <t>A5</t>
        </is>
      </c>
      <c r="K21" s="33" t="inlineStr">
        <is>
          <t>Proceso</t>
        </is>
      </c>
      <c r="L21" s="33" t="inlineStr">
        <is>
          <t>No</t>
        </is>
      </c>
      <c r="M21" s="17" t="n"/>
      <c r="N21" s="17" t="n"/>
      <c r="O21" s="17" t="inlineStr">
        <is>
          <t>Control de calidad</t>
        </is>
      </c>
      <c r="P21" s="17" t="inlineStr">
        <is>
          <t>IRAM 3523 4.1 y cap. 6 · IRAM 2587</t>
        </is>
      </c>
      <c r="Q21" s="33" t="inlineStr">
        <is>
          <t>N</t>
        </is>
      </c>
      <c r="R21" s="33" t="inlineStr">
        <is>
          <t>FL_REC_ABC_1kg hoja 3</t>
        </is>
      </c>
      <c r="S21" s="17" t="n"/>
    </row>
    <row r="22">
      <c r="A22" s="30" t="inlineStr">
        <is>
          <t>FL_REC_ABC_1kg</t>
        </is>
      </c>
      <c r="B22" s="30" t="n">
        <v>1</v>
      </c>
      <c r="C22" s="30" t="inlineStr">
        <is>
          <t>ABC1-S7</t>
        </is>
      </c>
      <c r="D22" s="31" t="inlineStr">
        <is>
          <t xml:space="preserve">    Embalaje</t>
        </is>
      </c>
      <c r="E22" s="30" t="n">
        <v>1</v>
      </c>
      <c r="F22" s="30" t="inlineStr">
        <is>
          <t>u</t>
        </is>
      </c>
      <c r="G22" s="32" t="n"/>
      <c r="H22" s="32">
        <f>H25</f>
        <v/>
      </c>
      <c r="I22" s="30" t="n"/>
      <c r="J22" s="31" t="n"/>
      <c r="K22" s="30" t="inlineStr">
        <is>
          <t>Compra</t>
        </is>
      </c>
      <c r="L22" s="30" t="n"/>
      <c r="M22" s="31" t="n"/>
      <c r="N22" s="31" t="n"/>
      <c r="O22" s="31" t="inlineStr">
        <is>
          <t>23 Embalaje -&gt; 24 envolvedora (T11)</t>
        </is>
      </c>
      <c r="P22" s="31" t="n"/>
      <c r="Q22" s="30" t="n"/>
      <c r="R22" s="30" t="n"/>
      <c r="S22" s="31" t="n"/>
    </row>
    <row r="23">
      <c r="A23" s="33" t="inlineStr">
        <is>
          <t>FL_REC_ABC_1kg</t>
        </is>
      </c>
      <c r="B23" s="33" t="n">
        <v>2</v>
      </c>
      <c r="C23" s="33" t="inlineStr">
        <is>
          <t>ABC1-E1</t>
        </is>
      </c>
      <c r="D23" s="17" t="inlineStr">
        <is>
          <t xml:space="preserve">        Caja de cartón corrugado simple</t>
        </is>
      </c>
      <c r="E23" s="33" t="n">
        <v>1</v>
      </c>
      <c r="F23" s="33" t="inlineStr">
        <is>
          <t>u</t>
        </is>
      </c>
      <c r="G23" s="34" t="n"/>
      <c r="H23" s="34" t="n"/>
      <c r="I23" s="33" t="inlineStr">
        <is>
          <t>Cartón corrugado</t>
        </is>
      </c>
      <c r="J23" s="17" t="inlineStr">
        <is>
          <t>106 × 106 × 318 interior (envolvente del plano + 15 por lado)</t>
        </is>
      </c>
      <c r="K23" s="33" t="inlineStr">
        <is>
          <t>Compra</t>
        </is>
      </c>
      <c r="L23" s="33" t="inlineStr">
        <is>
          <t>Sí</t>
        </is>
      </c>
      <c r="M23" s="17" t="inlineStr">
        <is>
          <t>Maxipack</t>
        </is>
      </c>
      <c r="N23" s="17" t="inlineStr">
        <is>
          <t>Cartocan</t>
        </is>
      </c>
      <c r="O23" s="17" t="inlineStr">
        <is>
          <t>23 Embalaje</t>
        </is>
      </c>
      <c r="P23" s="17" t="n"/>
      <c r="Q23" s="33" t="inlineStr">
        <is>
          <t>P</t>
        </is>
      </c>
      <c r="R23" s="33" t="n"/>
      <c r="S23" s="17" t="inlineStr">
        <is>
          <t>Medida del plano</t>
        </is>
      </c>
    </row>
    <row r="24">
      <c r="A24" s="33" t="inlineStr">
        <is>
          <t>FL_REC_ABC_1kg</t>
        </is>
      </c>
      <c r="B24" s="33" t="n">
        <v>2</v>
      </c>
      <c r="C24" s="33" t="inlineStr">
        <is>
          <t>ABC1-E3</t>
        </is>
      </c>
      <c r="D24" s="17" t="inlineStr">
        <is>
          <t xml:space="preserve">        Pallet 1200 × 1000 (fracción)</t>
        </is>
      </c>
      <c r="E24" s="33" t="n">
        <v>0.0025</v>
      </c>
      <c r="F24" s="33" t="inlineStr">
        <is>
          <t>u</t>
        </is>
      </c>
      <c r="G24" s="34" t="n"/>
      <c r="H24" s="34" t="n"/>
      <c r="I24" s="33" t="inlineStr">
        <is>
          <t>Madera</t>
        </is>
      </c>
      <c r="J24" s="17" t="inlineStr">
        <is>
          <t>396 u por pallet</t>
        </is>
      </c>
      <c r="K24" s="33" t="inlineStr">
        <is>
          <t>Compra</t>
        </is>
      </c>
      <c r="L24" s="33" t="inlineStr">
        <is>
          <t>Sí</t>
        </is>
      </c>
      <c r="M24" s="17" t="inlineStr">
        <is>
          <t>IndusPallets</t>
        </is>
      </c>
      <c r="N24" s="17" t="inlineStr">
        <is>
          <t>-</t>
        </is>
      </c>
      <c r="O24" s="17" t="inlineStr">
        <is>
          <t>23 Embalaje</t>
        </is>
      </c>
      <c r="P24" s="17" t="n"/>
      <c r="Q24" s="33" t="inlineStr">
        <is>
          <t>C</t>
        </is>
      </c>
      <c r="R24" s="33" t="n"/>
      <c r="S24" s="17" t="inlineStr">
        <is>
          <t>u por pallet = acomodo de la caja (plano) en 1200 × 1000 × 1450 de alto</t>
        </is>
      </c>
    </row>
    <row r="25">
      <c r="A25" s="41" t="inlineStr">
        <is>
          <t>FL_REC_ABC_1kg</t>
        </is>
      </c>
      <c r="B25" s="41" t="n">
        <v>2</v>
      </c>
      <c r="C25" s="41" t="inlineStr">
        <is>
          <t>ABC1-E4</t>
        </is>
      </c>
      <c r="D25" s="18" t="inlineStr">
        <is>
          <t xml:space="preserve">        Film stretch (fracción del pallet)</t>
        </is>
      </c>
      <c r="E25" s="41" t="n">
        <v>0.0003</v>
      </c>
      <c r="F25" s="41" t="inlineStr">
        <is>
          <t>kg</t>
        </is>
      </c>
      <c r="G25" s="42" t="n">
        <v>1</v>
      </c>
      <c r="H25" s="42">
        <f>E25*G25</f>
        <v/>
      </c>
      <c r="I25" s="41" t="inlineStr">
        <is>
          <t>PE lineal 23 µm</t>
        </is>
      </c>
      <c r="J25" s="18" t="inlineStr">
        <is>
          <t>0,12 kg por pallet / 396 u</t>
        </is>
      </c>
      <c r="K25" s="41" t="inlineStr">
        <is>
          <t>Compra</t>
        </is>
      </c>
      <c r="L25" s="41" t="inlineStr">
        <is>
          <t>Sí</t>
        </is>
      </c>
      <c r="M25" s="18" t="inlineStr">
        <is>
          <t>MV Embalajes</t>
        </is>
      </c>
      <c r="N25" s="18" t="inlineStr">
        <is>
          <t>Embalpack</t>
        </is>
      </c>
      <c r="O25" s="18" t="inlineStr">
        <is>
          <t>24 Envolvedora (T11)</t>
        </is>
      </c>
      <c r="P25" s="18" t="n"/>
      <c r="Q25" s="41" t="inlineStr">
        <is>
          <t>C</t>
        </is>
      </c>
      <c r="R25" s="41"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3" t="inlineStr">
        <is>
          <t>FL_REC_ABC_1kg</t>
        </is>
      </c>
      <c r="B26" s="33" t="n">
        <v>2</v>
      </c>
      <c r="C26" s="33" t="inlineStr">
        <is>
          <t>ABC1-E5</t>
        </is>
      </c>
      <c r="D26" s="17" t="inlineStr">
        <is>
          <t xml:space="preserve">        Etiqueta de pallet (lote y destino, fracción)</t>
        </is>
      </c>
      <c r="E26" s="33" t="n">
        <v>0.0025</v>
      </c>
      <c r="F26" s="33" t="inlineStr">
        <is>
          <t>u</t>
        </is>
      </c>
      <c r="G26" s="34" t="n"/>
      <c r="H26" s="34" t="n"/>
      <c r="I26" s="33" t="inlineStr">
        <is>
          <t>Papel térmico</t>
        </is>
      </c>
      <c r="J26" s="17" t="inlineStr">
        <is>
          <t>100 × 150</t>
        </is>
      </c>
      <c r="K26" s="33" t="inlineStr">
        <is>
          <t>Compra</t>
        </is>
      </c>
      <c r="L26" s="33" t="inlineStr">
        <is>
          <t>Sí</t>
        </is>
      </c>
      <c r="M26" s="17" t="inlineStr">
        <is>
          <t>Astuprint</t>
        </is>
      </c>
      <c r="N26" s="17" t="inlineStr">
        <is>
          <t>Multilabel Argentina S.A.</t>
        </is>
      </c>
      <c r="O26" s="17" t="inlineStr">
        <is>
          <t>24 Envolvedora</t>
        </is>
      </c>
      <c r="P26" s="17" t="n"/>
      <c r="Q26" s="33" t="inlineStr">
        <is>
          <t>C</t>
        </is>
      </c>
      <c r="R26" s="33" t="n"/>
      <c r="S26" s="17" t="n"/>
    </row>
    <row r="27">
      <c r="A27" s="41" t="inlineStr">
        <is>
          <t>FL_REC_ABC_1kg</t>
        </is>
      </c>
      <c r="B27" s="41" t="n">
        <v>2</v>
      </c>
      <c r="C27" s="41" t="inlineStr">
        <is>
          <t>ABC1-E6</t>
        </is>
      </c>
      <c r="D27" s="18" t="inlineStr">
        <is>
          <t xml:space="preserve">        Cinta de embalaje PP 48 mm (cierre de la caja)</t>
        </is>
      </c>
      <c r="E27" s="41" t="n">
        <v>0.492</v>
      </c>
      <c r="F27" s="41" t="inlineStr">
        <is>
          <t>m</t>
        </is>
      </c>
      <c r="G27" s="42" t="n"/>
      <c r="H27" s="42" t="n"/>
      <c r="I27" s="41" t="inlineStr">
        <is>
          <t>Polipropileno con adhesivo acrílico</t>
        </is>
      </c>
      <c r="J27" s="18" t="inlineStr">
        <is>
          <t>cierre en I arriba y abajo: 2 × (106 + 2 × 70 de solapa)</t>
        </is>
      </c>
      <c r="K27" s="41" t="inlineStr">
        <is>
          <t>Compra</t>
        </is>
      </c>
      <c r="L27" s="41" t="inlineStr">
        <is>
          <t>Sí</t>
        </is>
      </c>
      <c r="M27" s="18" t="inlineStr">
        <is>
          <t>MV Embalajes</t>
        </is>
      </c>
      <c r="N27" s="18" t="inlineStr">
        <is>
          <t>Embalpack</t>
        </is>
      </c>
      <c r="O27" s="18" t="inlineStr">
        <is>
          <t>23 Embalaje</t>
        </is>
      </c>
      <c r="P27" s="18" t="n"/>
      <c r="Q27" s="41" t="inlineStr">
        <is>
          <t>C</t>
        </is>
      </c>
      <c r="R27" s="41" t="n"/>
      <c r="S27" s="18" t="inlineStr">
        <is>
          <t>Solapa de 70 mm por lado: práctica de cierre de cajas (medir en la línea)</t>
        </is>
      </c>
    </row>
    <row r="28">
      <c r="A28" s="33" t="inlineStr">
        <is>
          <t>FL_REC_ABC_1kg</t>
        </is>
      </c>
      <c r="B28" s="33" t="n">
        <v>2</v>
      </c>
      <c r="C28" s="33" t="inlineStr">
        <is>
          <t>ABC1-E7</t>
        </is>
      </c>
      <c r="D28" s="17" t="inlineStr">
        <is>
          <t xml:space="preserve">        Esquineros de cartón 50 × 50 × 1200 (fracción del pallet)</t>
        </is>
      </c>
      <c r="E28" s="33" t="n">
        <v>0.0101</v>
      </c>
      <c r="F28" s="33" t="inlineStr">
        <is>
          <t>u</t>
        </is>
      </c>
      <c r="G28" s="34" t="n"/>
      <c r="H28" s="34" t="n"/>
      <c r="I28" s="33" t="inlineStr">
        <is>
          <t>Cartón</t>
        </is>
      </c>
      <c r="J28" s="17" t="inlineStr">
        <is>
          <t>4 por pallet / 396 u</t>
        </is>
      </c>
      <c r="K28" s="33" t="inlineStr">
        <is>
          <t>Compra</t>
        </is>
      </c>
      <c r="L28" s="33" t="inlineStr">
        <is>
          <t>Sí</t>
        </is>
      </c>
      <c r="M28" s="17" t="inlineStr">
        <is>
          <t>Maxipack</t>
        </is>
      </c>
      <c r="N28" s="17" t="inlineStr">
        <is>
          <t>Cartocan</t>
        </is>
      </c>
      <c r="O28" s="17" t="inlineStr">
        <is>
          <t>24 Envolvedora (T11)</t>
        </is>
      </c>
      <c r="P28" s="17" t="n"/>
      <c r="Q28" s="33" t="inlineStr">
        <is>
          <t>C</t>
        </is>
      </c>
      <c r="R28" s="33" t="n"/>
      <c r="S28" s="17" t="inlineStr">
        <is>
          <t>Planilla MP-64</t>
        </is>
      </c>
    </row>
    <row r="29">
      <c r="A29" s="33" t="inlineStr">
        <is>
          <t>FL_REC_ABC_1kg</t>
        </is>
      </c>
      <c r="B29" s="33" t="n">
        <v>2</v>
      </c>
      <c r="C29" s="33" t="inlineStr">
        <is>
          <t>ABC1-E8</t>
        </is>
      </c>
      <c r="D29" s="17" t="inlineStr">
        <is>
          <t xml:space="preserve">        Separador de capa de cartón 1200 × 1000 (fracción del pallet)</t>
        </is>
      </c>
      <c r="E29" s="33" t="n">
        <v>0.0076</v>
      </c>
      <c r="F29" s="33" t="inlineStr">
        <is>
          <t>u</t>
        </is>
      </c>
      <c r="G29" s="34" t="n"/>
      <c r="H29" s="34" t="n"/>
      <c r="I29" s="33" t="inlineStr">
        <is>
          <t>Cartón</t>
        </is>
      </c>
      <c r="J29" s="17" t="inlineStr">
        <is>
          <t>4 capas → 3 separadores por pallet / 396 u</t>
        </is>
      </c>
      <c r="K29" s="33" t="inlineStr">
        <is>
          <t>Compra</t>
        </is>
      </c>
      <c r="L29" s="33" t="inlineStr">
        <is>
          <t>Sí</t>
        </is>
      </c>
      <c r="M29" s="17" t="inlineStr">
        <is>
          <t>Maxipack</t>
        </is>
      </c>
      <c r="N29" s="17" t="inlineStr">
        <is>
          <t>Cartocan</t>
        </is>
      </c>
      <c r="O29" s="17" t="inlineStr">
        <is>
          <t>23 Embalaje</t>
        </is>
      </c>
      <c r="P29" s="17" t="n"/>
      <c r="Q29" s="33" t="inlineStr">
        <is>
          <t>C</t>
        </is>
      </c>
      <c r="R29" s="33" t="n"/>
      <c r="S29" s="17" t="inlineStr">
        <is>
          <t>Planilla MP-61</t>
        </is>
      </c>
    </row>
    <row r="30">
      <c r="A30" s="27" t="inlineStr">
        <is>
          <t>FL_REC_ABC_2.5kg</t>
        </is>
      </c>
      <c r="B30" s="27" t="n">
        <v>0</v>
      </c>
      <c r="C30" s="27" t="inlineStr">
        <is>
          <t>FL_REC_ABC_2.5kg</t>
        </is>
      </c>
      <c r="D30" s="28" t="inlineStr">
        <is>
          <t>Cilindro (recipiente) ABC 2,5 kg - repuesto vacío sin válvula</t>
        </is>
      </c>
      <c r="E30" s="27" t="n">
        <v>1</v>
      </c>
      <c r="F30" s="27" t="inlineStr">
        <is>
          <t>u</t>
        </is>
      </c>
      <c r="G30" s="29" t="n"/>
      <c r="H30" s="29" t="n"/>
      <c r="I30" s="27" t="n"/>
      <c r="J30" s="28" t="n"/>
      <c r="K30" s="27" t="n"/>
      <c r="L30" s="27" t="n"/>
      <c r="M30" s="28" t="n"/>
      <c r="N30" s="28" t="n"/>
      <c r="O30" s="28" t="n"/>
      <c r="P30" s="28" t="inlineStr">
        <is>
          <t>IRAM 3523</t>
        </is>
      </c>
      <c r="Q30" s="27" t="inlineStr">
        <is>
          <t>P</t>
        </is>
      </c>
      <c r="R30" s="27" t="inlineStr">
        <is>
          <t>FL_REC_ABC_2.5kg</t>
        </is>
      </c>
      <c r="S30" s="28" t="inlineStr">
        <is>
          <t>Fabricación propia</t>
        </is>
      </c>
    </row>
    <row r="31">
      <c r="A31" s="30" t="inlineStr">
        <is>
          <t>FL_REC_ABC_2.5kg</t>
        </is>
      </c>
      <c r="B31" s="30" t="n">
        <v>1</v>
      </c>
      <c r="C31" s="30" t="inlineStr">
        <is>
          <t>ABC2.5-S1</t>
        </is>
      </c>
      <c r="D31" s="31" t="inlineStr">
        <is>
          <t xml:space="preserve">    Recipiente (cilindro)</t>
        </is>
      </c>
      <c r="E31" s="30" t="n">
        <v>1</v>
      </c>
      <c r="F31" s="30" t="inlineStr">
        <is>
          <t>u</t>
        </is>
      </c>
      <c r="G31" s="32" t="n"/>
      <c r="H31" s="32">
        <f>H32+H34+H36+H38+H39+H46</f>
        <v/>
      </c>
      <c r="I31" s="30" t="n"/>
      <c r="J31" s="31" t="n"/>
      <c r="K31" s="30" t="inlineStr">
        <is>
          <t>Fabricación</t>
        </is>
      </c>
      <c r="L31" s="30" t="n"/>
      <c r="M31" s="31" t="n"/>
      <c r="N31" s="31" t="n"/>
      <c r="O31" s="31" t="n"/>
      <c r="P31" s="31" t="inlineStr">
        <is>
          <t>IRAM 3523 / 3550 (recipiente)</t>
        </is>
      </c>
      <c r="Q31" s="30" t="inlineStr">
        <is>
          <t>P</t>
        </is>
      </c>
      <c r="R31" s="30" t="inlineStr">
        <is>
          <t>FL_DES_ABC_2.5kg</t>
        </is>
      </c>
      <c r="S31" s="31" t="n"/>
    </row>
    <row r="32">
      <c r="A32" s="33" t="inlineStr">
        <is>
          <t>FL_REC_ABC_2.5kg</t>
        </is>
      </c>
      <c r="B32" s="33" t="n">
        <v>2</v>
      </c>
      <c r="C32" s="33" t="inlineStr">
        <is>
          <t>ABC2.5-01</t>
        </is>
      </c>
      <c r="D32" s="17" t="inlineStr">
        <is>
          <t xml:space="preserve">        Cuerpo (virola)</t>
        </is>
      </c>
      <c r="E32" s="33" t="n">
        <v>1</v>
      </c>
      <c r="F32" s="33" t="inlineStr">
        <is>
          <t>u</t>
        </is>
      </c>
      <c r="G32" s="34" t="n">
        <v>0.9899</v>
      </c>
      <c r="H32" s="34">
        <f>E32*G32</f>
        <v/>
      </c>
      <c r="I32" s="33" t="inlineStr">
        <is>
          <t>Chapa LAF IRAM-IAS U 500-05 e=1,25</t>
        </is>
      </c>
      <c r="J32" s="17" t="inlineStr">
        <is>
          <t>Ø124 × e1,25 × 261,6 de alto; desarrollo 385,6 × 261,6</t>
        </is>
      </c>
      <c r="K32" s="33" t="inlineStr">
        <is>
          <t>Fabricación</t>
        </is>
      </c>
      <c r="L32" s="33" t="inlineStr">
        <is>
          <t>No</t>
        </is>
      </c>
      <c r="M32" s="17" t="n"/>
      <c r="N32" s="17" t="n"/>
      <c r="O32" s="17" t="inlineStr">
        <is>
          <t>1 Guillotina -&gt; 2 numerado -&gt; 3 cilindrado -&gt; 4 soldadura longitudinal</t>
        </is>
      </c>
      <c r="P32" s="17" t="n"/>
      <c r="Q32" s="33" t="inlineStr">
        <is>
          <t>P</t>
        </is>
      </c>
      <c r="R32" s="33" t="inlineStr">
        <is>
          <t>FL_DES_ABC_2.5kg</t>
        </is>
      </c>
      <c r="S32" s="17" t="inlineStr">
        <is>
          <t>costura long. MAG</t>
        </is>
      </c>
    </row>
    <row r="33">
      <c r="A33" s="35" t="inlineStr">
        <is>
          <t>FL_REC_ABC_2.5kg</t>
        </is>
      </c>
      <c r="B33" s="35" t="n">
        <v>3</v>
      </c>
      <c r="C33" s="35" t="inlineStr">
        <is>
          <t>MP-HOJA</t>
        </is>
      </c>
      <c r="D33" s="36" t="inlineStr">
        <is>
          <t xml:space="preserve">            Recorte de hoja LAF 1220 × 2440 e=1,25</t>
        </is>
      </c>
      <c r="E33" s="35" t="n">
        <v>1</v>
      </c>
      <c r="F33" s="35" t="inlineStr">
        <is>
          <t>u</t>
        </is>
      </c>
      <c r="G33" s="37" t="n">
        <v>1.082</v>
      </c>
      <c r="H33" s="37">
        <f>E33*G33</f>
        <v/>
      </c>
      <c r="I33" s="35" t="inlineStr">
        <is>
          <t>Chapa LAF IRAM-IAS U 500-05 LAF</t>
        </is>
      </c>
      <c r="J33" s="36" t="inlineStr">
        <is>
          <t>385,5 × 269,5 (aprovech. 94,2 %)</t>
        </is>
      </c>
      <c r="K33" s="35" t="inlineStr">
        <is>
          <t>Compra</t>
        </is>
      </c>
      <c r="L33" s="35" t="inlineStr">
        <is>
          <t>Sí</t>
        </is>
      </c>
      <c r="M33" s="36" t="inlineStr">
        <is>
          <t>Pradecon S.A.</t>
        </is>
      </c>
      <c r="N33" s="36" t="inlineStr">
        <is>
          <t>Pacheco Chapas</t>
        </is>
      </c>
      <c r="O33" s="36" t="inlineStr">
        <is>
          <t>AL-1H paquetes de hojas</t>
        </is>
      </c>
      <c r="P33" s="36" t="n"/>
      <c r="Q33" s="35" t="inlineStr">
        <is>
          <t>L</t>
        </is>
      </c>
      <c r="R33" s="35" t="inlineStr">
        <is>
          <t>FL_PI_04 h2</t>
        </is>
      </c>
      <c r="S33" s="36" t="n"/>
    </row>
    <row r="34">
      <c r="A34" s="33" t="inlineStr">
        <is>
          <t>FL_REC_ABC_2.5kg</t>
        </is>
      </c>
      <c r="B34" s="33" t="n">
        <v>2</v>
      </c>
      <c r="C34" s="33" t="inlineStr">
        <is>
          <t>ABC2.5-02</t>
        </is>
      </c>
      <c r="D34" s="17" t="inlineStr">
        <is>
          <t xml:space="preserve">        Cúpula</t>
        </is>
      </c>
      <c r="E34" s="33" t="n">
        <v>1</v>
      </c>
      <c r="F34" s="33" t="inlineStr">
        <is>
          <t>u</t>
        </is>
      </c>
      <c r="G34" s="34" t="n">
        <v>0.1642</v>
      </c>
      <c r="H34" s="34">
        <f>E34*G34</f>
        <v/>
      </c>
      <c r="I34" s="33" t="inlineStr">
        <is>
          <t>Chapa LAF IRAM-IAS U 500-05 e=1,25</t>
        </is>
      </c>
      <c r="J34" s="17" t="inlineStr">
        <is>
          <t>Ø124 × e1,25 × 37,9 de alto; disco Ø179</t>
        </is>
      </c>
      <c r="K34" s="33" t="inlineStr">
        <is>
          <t>Fabricación</t>
        </is>
      </c>
      <c r="L34" s="33" t="inlineStr">
        <is>
          <t>No</t>
        </is>
      </c>
      <c r="M34" s="17" t="n"/>
      <c r="N34" s="17" t="n"/>
      <c r="O34" s="17" t="inlineStr">
        <is>
          <t>6 Desbobinado + embutido (M06-M08)</t>
        </is>
      </c>
      <c r="P34" s="17" t="n"/>
      <c r="Q34" s="33" t="inlineStr">
        <is>
          <t>P</t>
        </is>
      </c>
      <c r="R34" s="33" t="inlineStr">
        <is>
          <t>FL_DES_ABC_2.5kg</t>
        </is>
      </c>
      <c r="S34" s="17" t="inlineStr">
        <is>
          <t>embutida</t>
        </is>
      </c>
    </row>
    <row r="35">
      <c r="A35" s="35" t="inlineStr">
        <is>
          <t>FL_REC_ABC_2.5kg</t>
        </is>
      </c>
      <c r="B35" s="35" t="n">
        <v>3</v>
      </c>
      <c r="C35" s="35" t="inlineStr">
        <is>
          <t>MP-FLEJE</t>
        </is>
      </c>
      <c r="D35" s="36" t="inlineStr">
        <is>
          <t xml:space="preserve">            Fleje e=1,25 × 200 (paso 182)</t>
        </is>
      </c>
      <c r="E35" s="35" t="n">
        <v>0.182</v>
      </c>
      <c r="F35" s="35" t="inlineStr">
        <is>
          <t>m</t>
        </is>
      </c>
      <c r="G35" s="37" t="n">
        <v>1.962</v>
      </c>
      <c r="H35" s="37">
        <f>E35*G35</f>
        <v/>
      </c>
      <c r="I35" s="35" t="inlineStr">
        <is>
          <t>Fleje SAE 1010</t>
        </is>
      </c>
      <c r="J35" s="36" t="inlineStr">
        <is>
          <t>disco Ø179 (kg por m de fleje)</t>
        </is>
      </c>
      <c r="K35" s="35" t="inlineStr">
        <is>
          <t>Compra</t>
        </is>
      </c>
      <c r="L35" s="35" t="inlineStr">
        <is>
          <t>Sí</t>
        </is>
      </c>
      <c r="M35" s="36" t="inlineStr">
        <is>
          <t>Pacheco Chapas</t>
        </is>
      </c>
      <c r="N35" s="36" t="inlineStr">
        <is>
          <t>Pradecon S.A.</t>
        </is>
      </c>
      <c r="O35" s="36" t="inlineStr">
        <is>
          <t>AL-1F porta-flejes</t>
        </is>
      </c>
      <c r="P35" s="36" t="n"/>
      <c r="Q35" s="35" t="inlineStr">
        <is>
          <t>L</t>
        </is>
      </c>
      <c r="R35" s="35" t="inlineStr">
        <is>
          <t>FL_PI_04 h2</t>
        </is>
      </c>
      <c r="S35" s="36" t="n"/>
    </row>
    <row r="36">
      <c r="A36" s="33" t="inlineStr">
        <is>
          <t>FL_REC_ABC_2.5kg</t>
        </is>
      </c>
      <c r="B36" s="33" t="n">
        <v>2</v>
      </c>
      <c r="C36" s="33" t="inlineStr">
        <is>
          <t>ABC2.5-03</t>
        </is>
      </c>
      <c r="D36" s="17" t="inlineStr">
        <is>
          <t xml:space="preserve">        Fondo</t>
        </is>
      </c>
      <c r="E36" s="33" t="n">
        <v>1</v>
      </c>
      <c r="F36" s="33" t="inlineStr">
        <is>
          <t>u</t>
        </is>
      </c>
      <c r="G36" s="34" t="n">
        <v>0.1138</v>
      </c>
      <c r="H36" s="34">
        <f>E36*G36</f>
        <v/>
      </c>
      <c r="I36" s="33" t="inlineStr">
        <is>
          <t>Chapa LAF IRAM-IAS U 500-05 e=1,25</t>
        </is>
      </c>
      <c r="J36" s="17" t="inlineStr">
        <is>
          <t>Ø124 × e1,25 × 11,8 de alto; disco Ø148</t>
        </is>
      </c>
      <c r="K36" s="33" t="inlineStr">
        <is>
          <t>Fabricación</t>
        </is>
      </c>
      <c r="L36" s="33" t="inlineStr">
        <is>
          <t>No</t>
        </is>
      </c>
      <c r="M36" s="17" t="n"/>
      <c r="N36" s="17" t="n"/>
      <c r="O36" s="17" t="inlineStr">
        <is>
          <t>6 Desbobinado + embutido (M06-M08)</t>
        </is>
      </c>
      <c r="P36" s="17" t="n"/>
      <c r="Q36" s="33" t="inlineStr">
        <is>
          <t>P</t>
        </is>
      </c>
      <c r="R36" s="33" t="inlineStr">
        <is>
          <t>FL_DES_ABC_2.5kg</t>
        </is>
      </c>
      <c r="S36" s="17" t="inlineStr">
        <is>
          <t>embutido</t>
        </is>
      </c>
    </row>
    <row r="37">
      <c r="A37" s="35" t="inlineStr">
        <is>
          <t>FL_REC_ABC_2.5kg</t>
        </is>
      </c>
      <c r="B37" s="35" t="n">
        <v>3</v>
      </c>
      <c r="C37" s="35" t="inlineStr">
        <is>
          <t>MP-FLEJE</t>
        </is>
      </c>
      <c r="D37" s="36" t="inlineStr">
        <is>
          <t xml:space="preserve">            Fleje e=1,25 × 200 (paso 151)</t>
        </is>
      </c>
      <c r="E37" s="35" t="n">
        <v>0.151</v>
      </c>
      <c r="F37" s="35" t="inlineStr">
        <is>
          <t>m</t>
        </is>
      </c>
      <c r="G37" s="37" t="n">
        <v>1.962</v>
      </c>
      <c r="H37" s="37">
        <f>E37*G37</f>
        <v/>
      </c>
      <c r="I37" s="35" t="inlineStr">
        <is>
          <t>Fleje SAE 1010</t>
        </is>
      </c>
      <c r="J37" s="36" t="inlineStr">
        <is>
          <t>disco Ø148 (kg por m de fleje)</t>
        </is>
      </c>
      <c r="K37" s="35" t="inlineStr">
        <is>
          <t>Compra</t>
        </is>
      </c>
      <c r="L37" s="35" t="inlineStr">
        <is>
          <t>Sí</t>
        </is>
      </c>
      <c r="M37" s="36" t="inlineStr">
        <is>
          <t>Pacheco Chapas</t>
        </is>
      </c>
      <c r="N37" s="36" t="inlineStr">
        <is>
          <t>Pradecon S.A.</t>
        </is>
      </c>
      <c r="O37" s="36" t="inlineStr">
        <is>
          <t>AL-1F porta-flejes</t>
        </is>
      </c>
      <c r="P37" s="36" t="n"/>
      <c r="Q37" s="35" t="inlineStr">
        <is>
          <t>L</t>
        </is>
      </c>
      <c r="R37" s="35" t="inlineStr">
        <is>
          <t>FL_PI_04 h2</t>
        </is>
      </c>
      <c r="S37" s="36" t="n"/>
    </row>
    <row r="38">
      <c r="A38" s="33" t="inlineStr">
        <is>
          <t>FL_REC_ABC_2.5kg</t>
        </is>
      </c>
      <c r="B38" s="33" t="n">
        <v>2</v>
      </c>
      <c r="C38" s="33" t="inlineStr">
        <is>
          <t>ABC2.5-04</t>
        </is>
      </c>
      <c r="D38" s="17" t="inlineStr">
        <is>
          <t xml:space="preserve">        Cuello roscado</t>
        </is>
      </c>
      <c r="E38" s="33" t="n">
        <v>1</v>
      </c>
      <c r="F38" s="33" t="inlineStr">
        <is>
          <t>u</t>
        </is>
      </c>
      <c r="G38" s="34" t="n">
        <v>0.0545</v>
      </c>
      <c r="H38" s="34">
        <f>E38*G38</f>
        <v/>
      </c>
      <c r="I38" s="33" t="inlineStr">
        <is>
          <t>Acero SAE 1010</t>
        </is>
      </c>
      <c r="J38" s="17" t="inlineStr">
        <is>
          <t>Ø37 × 14 de alto, rosca M30x1,5, asiento Ø35</t>
        </is>
      </c>
      <c r="K38" s="33" t="inlineStr">
        <is>
          <t>Compra (mecanizado, Eli-Met)</t>
        </is>
      </c>
      <c r="L38" s="33" t="inlineStr">
        <is>
          <t>Sí</t>
        </is>
      </c>
      <c r="M38" s="17" t="inlineStr">
        <is>
          <t>Eli-Met</t>
        </is>
      </c>
      <c r="N38" s="17" t="inlineStr">
        <is>
          <t>-</t>
        </is>
      </c>
      <c r="O38" s="17" t="inlineStr">
        <is>
          <t>Compra -&gt; 8 soldadura de cuello</t>
        </is>
      </c>
      <c r="P38" s="17" t="n"/>
      <c r="Q38" s="33" t="inlineStr">
        <is>
          <t>P</t>
        </is>
      </c>
      <c r="R38" s="33" t="inlineStr">
        <is>
          <t>FL_DES_ABC_2.5kg</t>
        </is>
      </c>
      <c r="S38" s="17" t="inlineStr">
        <is>
          <t>M30x1,5</t>
        </is>
      </c>
    </row>
    <row r="39">
      <c r="A39" s="41" t="inlineStr">
        <is>
          <t>FL_REC_ABC_2.5kg</t>
        </is>
      </c>
      <c r="B39" s="41" t="n">
        <v>2</v>
      </c>
      <c r="C39" s="41" t="inlineStr">
        <is>
          <t>ABC2.5-C1</t>
        </is>
      </c>
      <c r="D39" s="18" t="inlineStr">
        <is>
          <t xml:space="preserve">        Alambre MAG ER70S-6 Ø0,9 (AWS A5.18)</t>
        </is>
      </c>
      <c r="E39" s="41" t="n">
        <v>0.0294</v>
      </c>
      <c r="F39" s="41" t="inlineStr">
        <is>
          <t>kg</t>
        </is>
      </c>
      <c r="G39" s="42" t="n">
        <v>0.95</v>
      </c>
      <c r="H39" s="42">
        <f>E39*G39</f>
        <v/>
      </c>
      <c r="I39" s="41" t="inlineStr">
        <is>
          <t>ER70S-6</t>
        </is>
      </c>
      <c r="J39" s="18" t="inlineStr">
        <is>
          <t>metal depositado de los cordones del plano 28 g / rendimiento 0,95</t>
        </is>
      </c>
      <c r="K39" s="41" t="inlineStr">
        <is>
          <t>Compra</t>
        </is>
      </c>
      <c r="L39" s="41" t="inlineStr">
        <is>
          <t>Sí</t>
        </is>
      </c>
      <c r="M39" s="18" t="inlineStr">
        <is>
          <t>Conarco (ESAB Argentina)</t>
        </is>
      </c>
      <c r="N39" s="18" t="inlineStr">
        <is>
          <t>-</t>
        </is>
      </c>
      <c r="O39" s="18" t="inlineStr">
        <is>
          <t>4 sold. long. / 8 cuello / 11 circunferencial</t>
        </is>
      </c>
      <c r="P39" s="18" t="inlineStr">
        <is>
          <t>IRAM 3523 3.2.4.2 · IRAM 3550 4.1.2</t>
        </is>
      </c>
      <c r="Q39" s="41" t="inlineStr">
        <is>
          <t>C</t>
        </is>
      </c>
      <c r="R39" s="41"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41" t="inlineStr">
        <is>
          <t>FL_REC_ABC_2.5kg</t>
        </is>
      </c>
      <c r="B40" s="41" t="n">
        <v>2</v>
      </c>
      <c r="C40" s="41" t="inlineStr">
        <is>
          <t>ABC2.5-C2</t>
        </is>
      </c>
      <c r="D40" s="18" t="inlineStr">
        <is>
          <t xml:space="preserve">        Gas de protección MAG Arcal 21 / ARCAL Speed (Ar + 8 % CO₂, M20)</t>
        </is>
      </c>
      <c r="E40" s="41" t="n">
        <v>27</v>
      </c>
      <c r="F40" s="41" t="inlineStr">
        <is>
          <t>L</t>
        </is>
      </c>
      <c r="G40" s="42" t="n"/>
      <c r="H40" s="42" t="n"/>
      <c r="I40" s="41" t="inlineStr">
        <is>
          <t>EN ISO 14175 M20-ArC-8</t>
        </is>
      </c>
      <c r="J40" s="18" t="inlineStr">
        <is>
          <t>14 L/min × 1,93 min de arco (cordones 1.157 mm: long. 262 + circ. 779 + cuello 116, a 600 mm/min)</t>
        </is>
      </c>
      <c r="K40" s="41" t="inlineStr">
        <is>
          <t>Compra</t>
        </is>
      </c>
      <c r="L40" s="41" t="inlineStr">
        <is>
          <t>Sí</t>
        </is>
      </c>
      <c r="M40" s="18" t="inlineStr">
        <is>
          <t>Air Liquide Argentina - sucursal Piñeyro</t>
        </is>
      </c>
      <c r="N40" s="18" t="inlineStr">
        <is>
          <t>Gogniat</t>
        </is>
      </c>
      <c r="O40" s="18" t="inlineStr">
        <is>
          <t>Colector SC</t>
        </is>
      </c>
      <c r="P40" s="18" t="inlineStr">
        <is>
          <t>IRAM 3523 3.2.4.2 · IRAM 3550 3.2.2.2</t>
        </is>
      </c>
      <c r="Q40" s="41" t="inlineStr">
        <is>
          <t>C</t>
        </is>
      </c>
      <c r="R40" s="41"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41" t="inlineStr">
        <is>
          <t>FL_REC_ABC_2.5kg</t>
        </is>
      </c>
      <c r="B41" s="41" t="n">
        <v>2</v>
      </c>
      <c r="C41" s="41" t="inlineStr">
        <is>
          <t>ABC2.5-C3</t>
        </is>
      </c>
      <c r="D41" s="18" t="inlineStr">
        <is>
          <t xml:space="preserve">        Granalla de acero S330 / S390 (ISO 11124-3, SAE J444)</t>
        </is>
      </c>
      <c r="E41" s="41" t="n">
        <v>0.08</v>
      </c>
      <c r="F41" s="41" t="inlineStr">
        <is>
          <t>kg</t>
        </is>
      </c>
      <c r="G41" s="42" t="n"/>
      <c r="H41" s="42" t="n"/>
      <c r="I41" s="41" t="inlineStr">
        <is>
          <t>Granalla esférica alto C</t>
        </is>
      </c>
      <c r="J41" s="18" t="inlineStr">
        <is>
          <t>0,129 m² a Sa 2½ (ISO 8501-1); 3,4 kg/h ÷ 42,5 u/h</t>
        </is>
      </c>
      <c r="K41" s="41" t="inlineStr">
        <is>
          <t>Compra</t>
        </is>
      </c>
      <c r="L41" s="41" t="inlineStr">
        <is>
          <t>Sí</t>
        </is>
      </c>
      <c r="M41" s="18" t="inlineStr">
        <is>
          <t>CyM Materiales</t>
        </is>
      </c>
      <c r="N41" s="18" t="inlineStr">
        <is>
          <t>Roca Ingeniería</t>
        </is>
      </c>
      <c r="O41" s="18" t="inlineStr">
        <is>
          <t>14 Granallado (B08)</t>
        </is>
      </c>
      <c r="P41" s="18" t="inlineStr">
        <is>
          <t>DOC-01</t>
        </is>
      </c>
      <c r="Q41" s="41" t="inlineStr">
        <is>
          <t>C</t>
        </is>
      </c>
      <c r="R41" s="41" t="n"/>
      <c r="S41" s="18" t="inlineStr">
        <is>
          <t>Consumo (desgaste) por turbina ≈ HP / 2 lb/h (The Fabricator, «aspectos básicos del granallado por turbina»): G-100 con 2 × 7,5 HP = 7,5 lb/h = 3,4 kg/h; ritmo 340 u por turno (Getweld) = 42,5 u/h.</t>
        </is>
      </c>
    </row>
    <row r="42">
      <c r="A42" s="33" t="inlineStr">
        <is>
          <t>FL_REC_ABC_2.5kg</t>
        </is>
      </c>
      <c r="B42" s="33" t="n">
        <v>2</v>
      </c>
      <c r="C42" s="33" t="inlineStr">
        <is>
          <t>ABC2.5-C4</t>
        </is>
      </c>
      <c r="D42" s="17" t="inlineStr">
        <is>
          <t xml:space="preserve">        Servicio de pintura en polvo al horno, rojo 03-1-050</t>
        </is>
      </c>
      <c r="E42" s="33" t="n">
        <v>1</v>
      </c>
      <c r="F42" s="33" t="inlineStr">
        <is>
          <t>u</t>
        </is>
      </c>
      <c r="G42" s="34" t="n"/>
      <c r="H42" s="34" t="n"/>
      <c r="I42" s="33" t="inlineStr">
        <is>
          <t>Servicio tercerizado</t>
        </is>
      </c>
      <c r="J42" s="17" t="inlineStr">
        <is>
          <t>superficie exterior 0,129 m²</t>
        </is>
      </c>
      <c r="K42" s="33" t="inlineStr">
        <is>
          <t>Compra (servicio)</t>
        </is>
      </c>
      <c r="L42" s="33" t="inlineStr">
        <is>
          <t>Sí</t>
        </is>
      </c>
      <c r="M42" s="17" t="inlineStr">
        <is>
          <t>Prymax</t>
        </is>
      </c>
      <c r="N42" s="17" t="inlineStr">
        <is>
          <t>Pintor de carros (cotización por mensaje)</t>
        </is>
      </c>
      <c r="O42" s="17" t="inlineStr">
        <is>
          <t>17 Pintura tercerizada</t>
        </is>
      </c>
      <c r="P42" s="17" t="inlineStr">
        <is>
          <t>IRAM 3523 5.3 / IRAM 3550 3.11 · IRAM 121</t>
        </is>
      </c>
      <c r="Q42" s="33" t="inlineStr">
        <is>
          <t>Q</t>
        </is>
      </c>
      <c r="R42" s="33" t="n"/>
      <c r="S42" s="17" t="inlineStr">
        <is>
          <t>Q-PRYMAX (precio por cilindro); exigir informe de niebla salina del sistema de pintura; tercerización aceptada por el Ministerio (Res. 349/07 art. 18)</t>
        </is>
      </c>
    </row>
    <row r="43">
      <c r="A43" s="43" t="inlineStr">
        <is>
          <t>FL_REC_ABC_2.5kg</t>
        </is>
      </c>
      <c r="B43" s="43" t="n">
        <v>2</v>
      </c>
      <c r="C43" s="43" t="inlineStr">
        <is>
          <t>ABC2.5-T1</t>
        </is>
      </c>
      <c r="D43" s="20" t="inlineStr">
        <is>
          <t xml:space="preserve">        Tapón protector de rosca del cuello</t>
        </is>
      </c>
      <c r="E43" s="43" t="n">
        <v>1</v>
      </c>
      <c r="F43" s="43" t="inlineStr">
        <is>
          <t>u</t>
        </is>
      </c>
      <c r="G43" s="44" t="n"/>
      <c r="H43" s="44" t="n"/>
      <c r="I43" s="43" t="inlineStr">
        <is>
          <t>Polietileno</t>
        </is>
      </c>
      <c r="J43" s="20" t="inlineStr">
        <is>
          <t>para rosca M30x1,5 (plano FL_REC_ABC_2.5kg hoja 3, R4)</t>
        </is>
      </c>
      <c r="K43" s="43" t="inlineStr">
        <is>
          <t>Compra</t>
        </is>
      </c>
      <c r="L43" s="43" t="inlineStr">
        <is>
          <t>Sí</t>
        </is>
      </c>
      <c r="M43" s="20" t="inlineStr">
        <is>
          <t>-</t>
        </is>
      </c>
      <c r="N43" s="20" t="inlineStr">
        <is>
          <t>-</t>
        </is>
      </c>
      <c r="O43" s="20" t="inlineStr">
        <is>
          <t>Embalaje</t>
        </is>
      </c>
      <c r="P43" s="20" t="n"/>
      <c r="Q43" s="43" t="inlineStr">
        <is>
          <t>P</t>
        </is>
      </c>
      <c r="R43" s="43" t="n"/>
      <c r="S43" s="20" t="n"/>
    </row>
    <row r="44">
      <c r="A44" s="33" t="inlineStr">
        <is>
          <t>FL_REC_ABC_2.5kg</t>
        </is>
      </c>
      <c r="B44" s="33" t="n">
        <v>2</v>
      </c>
      <c r="C44" s="33" t="inlineStr">
        <is>
          <t>ABC2.5-T2</t>
        </is>
      </c>
      <c r="D44" s="17" t="inlineStr">
        <is>
          <t xml:space="preserve">        Marcado del recipiente (estampado)</t>
        </is>
      </c>
      <c r="E44" s="33" t="n">
        <v>1</v>
      </c>
      <c r="F44" s="33" t="inlineStr">
        <is>
          <t>u</t>
        </is>
      </c>
      <c r="G44" s="34" t="n"/>
      <c r="H44" s="34" t="n"/>
      <c r="I44" s="33" t="inlineStr">
        <is>
          <t>-</t>
        </is>
      </c>
      <c r="J44" s="17" t="inlineStr">
        <is>
          <t>Fabricante, n° de serie, año; cuño DPS 15 × 7 junto al n°</t>
        </is>
      </c>
      <c r="K44" s="33" t="inlineStr">
        <is>
          <t>Proceso</t>
        </is>
      </c>
      <c r="L44" s="33" t="inlineStr">
        <is>
          <t>No</t>
        </is>
      </c>
      <c r="M44" s="17" t="n"/>
      <c r="N44" s="17" t="n"/>
      <c r="O44" s="17" t="inlineStr">
        <is>
          <t>Marcado</t>
        </is>
      </c>
      <c r="P44" s="17" t="inlineStr">
        <is>
          <t>IRAM 3523 5.1 · Res. 349/07 anexo IV</t>
        </is>
      </c>
      <c r="Q44" s="33" t="inlineStr">
        <is>
          <t>N</t>
        </is>
      </c>
      <c r="R44" s="33" t="n"/>
      <c r="S44" s="17" t="n"/>
    </row>
    <row r="45">
      <c r="A45" s="33" t="inlineStr">
        <is>
          <t>FL_REC_ABC_2.5kg</t>
        </is>
      </c>
      <c r="B45" s="33" t="n">
        <v>2</v>
      </c>
      <c r="C45" s="33" t="inlineStr">
        <is>
          <t>ABC2.5-T3</t>
        </is>
      </c>
      <c r="D45" s="17" t="inlineStr">
        <is>
          <t xml:space="preserve">        Etiqueta de identificación del cilindro suelto</t>
        </is>
      </c>
      <c r="E45" s="33" t="n">
        <v>1</v>
      </c>
      <c r="F45" s="33" t="inlineStr">
        <is>
          <t>u</t>
        </is>
      </c>
      <c r="G45" s="34" t="n"/>
      <c r="H45" s="34" t="n"/>
      <c r="I45" s="33" t="inlineStr">
        <is>
          <t>Poliéster autoadhesivo removible</t>
        </is>
      </c>
      <c r="J45" s="17" t="inlineStr">
        <is>
          <t>100 × 60, impresión térmica, QR GS1</t>
        </is>
      </c>
      <c r="K45" s="33" t="inlineStr">
        <is>
          <t>Compra</t>
        </is>
      </c>
      <c r="L45" s="33" t="inlineStr">
        <is>
          <t>Sí</t>
        </is>
      </c>
      <c r="M45" s="17" t="inlineStr">
        <is>
          <t>Astuprint</t>
        </is>
      </c>
      <c r="N45" s="17" t="inlineStr">
        <is>
          <t>GS1 Argentina</t>
        </is>
      </c>
      <c r="O45" s="17" t="inlineStr">
        <is>
          <t>Etiquetado</t>
        </is>
      </c>
      <c r="P45" s="17" t="n"/>
      <c r="Q45" s="33" t="inlineStr">
        <is>
          <t>P</t>
        </is>
      </c>
      <c r="R45" s="33" t="inlineStr">
        <is>
          <t>FL_REC_ABC_2.5kg hoja 3</t>
        </is>
      </c>
      <c r="S45" s="17" t="n"/>
    </row>
    <row r="46">
      <c r="A46" s="33" t="inlineStr">
        <is>
          <t>FL_REC_ABC_2.5kg</t>
        </is>
      </c>
      <c r="B46" s="33" t="n">
        <v>2</v>
      </c>
      <c r="C46" s="33" t="inlineStr">
        <is>
          <t>ABC2.5-T4</t>
        </is>
      </c>
      <c r="D46" s="17" t="inlineStr">
        <is>
          <t xml:space="preserve">        Protocolo de ensayo hidrostático (certificado que acompaña)</t>
        </is>
      </c>
      <c r="E46" s="33" t="n">
        <v>1</v>
      </c>
      <c r="F46" s="33" t="inlineStr">
        <is>
          <t>u</t>
        </is>
      </c>
      <c r="G46" s="34" t="n">
        <v>0.005</v>
      </c>
      <c r="H46" s="34">
        <f>E46*G46</f>
        <v/>
      </c>
      <c r="I46" s="33" t="inlineStr">
        <is>
          <t>Papel</t>
        </is>
      </c>
      <c r="J46" s="17" t="inlineStr">
        <is>
          <t>A5</t>
        </is>
      </c>
      <c r="K46" s="33" t="inlineStr">
        <is>
          <t>Proceso</t>
        </is>
      </c>
      <c r="L46" s="33" t="inlineStr">
        <is>
          <t>No</t>
        </is>
      </c>
      <c r="M46" s="17" t="n"/>
      <c r="N46" s="17" t="n"/>
      <c r="O46" s="17" t="inlineStr">
        <is>
          <t>Control de calidad</t>
        </is>
      </c>
      <c r="P46" s="17" t="inlineStr">
        <is>
          <t>IRAM 3523 4.1 y cap. 6 · IRAM 2587</t>
        </is>
      </c>
      <c r="Q46" s="33" t="inlineStr">
        <is>
          <t>N</t>
        </is>
      </c>
      <c r="R46" s="33" t="inlineStr">
        <is>
          <t>FL_REC_ABC_2.5kg hoja 3</t>
        </is>
      </c>
      <c r="S46" s="17" t="n"/>
    </row>
    <row r="47">
      <c r="A47" s="30" t="inlineStr">
        <is>
          <t>FL_REC_ABC_2.5kg</t>
        </is>
      </c>
      <c r="B47" s="30" t="n">
        <v>1</v>
      </c>
      <c r="C47" s="30" t="inlineStr">
        <is>
          <t>ABC2.5-S7</t>
        </is>
      </c>
      <c r="D47" s="31" t="inlineStr">
        <is>
          <t xml:space="preserve">    Embalaje</t>
        </is>
      </c>
      <c r="E47" s="30" t="n">
        <v>1</v>
      </c>
      <c r="F47" s="30" t="inlineStr">
        <is>
          <t>u</t>
        </is>
      </c>
      <c r="G47" s="32" t="n"/>
      <c r="H47" s="32">
        <f>H50</f>
        <v/>
      </c>
      <c r="I47" s="30" t="n"/>
      <c r="J47" s="31" t="n"/>
      <c r="K47" s="30" t="inlineStr">
        <is>
          <t>Compra</t>
        </is>
      </c>
      <c r="L47" s="30" t="n"/>
      <c r="M47" s="31" t="n"/>
      <c r="N47" s="31" t="n"/>
      <c r="O47" s="31" t="inlineStr">
        <is>
          <t>23 Embalaje -&gt; 24 envolvedora (T11)</t>
        </is>
      </c>
      <c r="P47" s="31" t="n"/>
      <c r="Q47" s="30" t="n"/>
      <c r="R47" s="30" t="n"/>
      <c r="S47" s="31" t="n"/>
    </row>
    <row r="48">
      <c r="A48" s="33" t="inlineStr">
        <is>
          <t>FL_REC_ABC_2.5kg</t>
        </is>
      </c>
      <c r="B48" s="33" t="n">
        <v>2</v>
      </c>
      <c r="C48" s="33" t="inlineStr">
        <is>
          <t>ABC2.5-E1</t>
        </is>
      </c>
      <c r="D48" s="17" t="inlineStr">
        <is>
          <t xml:space="preserve">        Caja de cartón corrugado simple</t>
        </is>
      </c>
      <c r="E48" s="33" t="n">
        <v>1</v>
      </c>
      <c r="F48" s="33" t="inlineStr">
        <is>
          <t>u</t>
        </is>
      </c>
      <c r="G48" s="34" t="n"/>
      <c r="H48" s="34" t="n"/>
      <c r="I48" s="33" t="inlineStr">
        <is>
          <t>Cartón corrugado</t>
        </is>
      </c>
      <c r="J48" s="17" t="inlineStr">
        <is>
          <t>154 × 154 × 334 interior (envolvente del plano + 15 por lado)</t>
        </is>
      </c>
      <c r="K48" s="33" t="inlineStr">
        <is>
          <t>Compra</t>
        </is>
      </c>
      <c r="L48" s="33" t="inlineStr">
        <is>
          <t>Sí</t>
        </is>
      </c>
      <c r="M48" s="17" t="inlineStr">
        <is>
          <t>Maxipack</t>
        </is>
      </c>
      <c r="N48" s="17" t="inlineStr">
        <is>
          <t>Cartocan</t>
        </is>
      </c>
      <c r="O48" s="17" t="inlineStr">
        <is>
          <t>23 Embalaje</t>
        </is>
      </c>
      <c r="P48" s="17" t="n"/>
      <c r="Q48" s="33" t="inlineStr">
        <is>
          <t>P</t>
        </is>
      </c>
      <c r="R48" s="33" t="n"/>
      <c r="S48" s="17" t="inlineStr">
        <is>
          <t>Medida del plano</t>
        </is>
      </c>
    </row>
    <row r="49">
      <c r="A49" s="33" t="inlineStr">
        <is>
          <t>FL_REC_ABC_2.5kg</t>
        </is>
      </c>
      <c r="B49" s="33" t="n">
        <v>2</v>
      </c>
      <c r="C49" s="33" t="inlineStr">
        <is>
          <t>ABC2.5-E3</t>
        </is>
      </c>
      <c r="D49" s="17" t="inlineStr">
        <is>
          <t xml:space="preserve">        Pallet 1200 × 1000 (fracción)</t>
        </is>
      </c>
      <c r="E49" s="33" t="n">
        <v>0.006</v>
      </c>
      <c r="F49" s="33" t="inlineStr">
        <is>
          <t>u</t>
        </is>
      </c>
      <c r="G49" s="34" t="n"/>
      <c r="H49" s="34" t="n"/>
      <c r="I49" s="33" t="inlineStr">
        <is>
          <t>Madera</t>
        </is>
      </c>
      <c r="J49" s="17" t="inlineStr">
        <is>
          <t>168 u por pallet</t>
        </is>
      </c>
      <c r="K49" s="33" t="inlineStr">
        <is>
          <t>Compra</t>
        </is>
      </c>
      <c r="L49" s="33" t="inlineStr">
        <is>
          <t>Sí</t>
        </is>
      </c>
      <c r="M49" s="17" t="inlineStr">
        <is>
          <t>IndusPallets</t>
        </is>
      </c>
      <c r="N49" s="17" t="inlineStr">
        <is>
          <t>-</t>
        </is>
      </c>
      <c r="O49" s="17" t="inlineStr">
        <is>
          <t>23 Embalaje</t>
        </is>
      </c>
      <c r="P49" s="17" t="n"/>
      <c r="Q49" s="33" t="inlineStr">
        <is>
          <t>C</t>
        </is>
      </c>
      <c r="R49" s="33" t="n"/>
      <c r="S49" s="17" t="inlineStr">
        <is>
          <t>u por pallet = acomodo de la caja (plano) en 1200 × 1000 × 1450 de alto</t>
        </is>
      </c>
    </row>
    <row r="50">
      <c r="A50" s="41" t="inlineStr">
        <is>
          <t>FL_REC_ABC_2.5kg</t>
        </is>
      </c>
      <c r="B50" s="41" t="n">
        <v>2</v>
      </c>
      <c r="C50" s="41" t="inlineStr">
        <is>
          <t>ABC2.5-E4</t>
        </is>
      </c>
      <c r="D50" s="18" t="inlineStr">
        <is>
          <t xml:space="preserve">        Film stretch (fracción del pallet)</t>
        </is>
      </c>
      <c r="E50" s="41" t="n">
        <v>0.0007</v>
      </c>
      <c r="F50" s="41" t="inlineStr">
        <is>
          <t>kg</t>
        </is>
      </c>
      <c r="G50" s="42" t="n">
        <v>1</v>
      </c>
      <c r="H50" s="42">
        <f>E50*G50</f>
        <v/>
      </c>
      <c r="I50" s="41" t="inlineStr">
        <is>
          <t>PE lineal 23 µm</t>
        </is>
      </c>
      <c r="J50" s="18" t="inlineStr">
        <is>
          <t>0,12 kg por pallet / 168 u</t>
        </is>
      </c>
      <c r="K50" s="41" t="inlineStr">
        <is>
          <t>Compra</t>
        </is>
      </c>
      <c r="L50" s="41" t="inlineStr">
        <is>
          <t>Sí</t>
        </is>
      </c>
      <c r="M50" s="18" t="inlineStr">
        <is>
          <t>MV Embalajes</t>
        </is>
      </c>
      <c r="N50" s="18" t="inlineStr">
        <is>
          <t>Embalpack</t>
        </is>
      </c>
      <c r="O50" s="18" t="inlineStr">
        <is>
          <t>24 Envolvedora (T11)</t>
        </is>
      </c>
      <c r="P50" s="18" t="n"/>
      <c r="Q50" s="41" t="inlineStr">
        <is>
          <t>C</t>
        </is>
      </c>
      <c r="R50" s="41"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3" t="inlineStr">
        <is>
          <t>FL_REC_ABC_2.5kg</t>
        </is>
      </c>
      <c r="B51" s="33" t="n">
        <v>2</v>
      </c>
      <c r="C51" s="33" t="inlineStr">
        <is>
          <t>ABC2.5-E5</t>
        </is>
      </c>
      <c r="D51" s="17" t="inlineStr">
        <is>
          <t xml:space="preserve">        Etiqueta de pallet (lote y destino, fracción)</t>
        </is>
      </c>
      <c r="E51" s="33" t="n">
        <v>0.006</v>
      </c>
      <c r="F51" s="33" t="inlineStr">
        <is>
          <t>u</t>
        </is>
      </c>
      <c r="G51" s="34" t="n"/>
      <c r="H51" s="34" t="n"/>
      <c r="I51" s="33" t="inlineStr">
        <is>
          <t>Papel térmico</t>
        </is>
      </c>
      <c r="J51" s="17" t="inlineStr">
        <is>
          <t>100 × 150</t>
        </is>
      </c>
      <c r="K51" s="33" t="inlineStr">
        <is>
          <t>Compra</t>
        </is>
      </c>
      <c r="L51" s="33" t="inlineStr">
        <is>
          <t>Sí</t>
        </is>
      </c>
      <c r="M51" s="17" t="inlineStr">
        <is>
          <t>Astuprint</t>
        </is>
      </c>
      <c r="N51" s="17" t="inlineStr">
        <is>
          <t>Multilabel Argentina S.A.</t>
        </is>
      </c>
      <c r="O51" s="17" t="inlineStr">
        <is>
          <t>24 Envolvedora</t>
        </is>
      </c>
      <c r="P51" s="17" t="n"/>
      <c r="Q51" s="33" t="inlineStr">
        <is>
          <t>C</t>
        </is>
      </c>
      <c r="R51" s="33" t="n"/>
      <c r="S51" s="17" t="n"/>
    </row>
    <row r="52">
      <c r="A52" s="41" t="inlineStr">
        <is>
          <t>FL_REC_ABC_2.5kg</t>
        </is>
      </c>
      <c r="B52" s="41" t="n">
        <v>2</v>
      </c>
      <c r="C52" s="41" t="inlineStr">
        <is>
          <t>ABC2.5-E6</t>
        </is>
      </c>
      <c r="D52" s="18" t="inlineStr">
        <is>
          <t xml:space="preserve">        Cinta de embalaje PP 48 mm (cierre de la caja)</t>
        </is>
      </c>
      <c r="E52" s="41" t="n">
        <v>0.588</v>
      </c>
      <c r="F52" s="41" t="inlineStr">
        <is>
          <t>m</t>
        </is>
      </c>
      <c r="G52" s="42" t="n"/>
      <c r="H52" s="42" t="n"/>
      <c r="I52" s="41" t="inlineStr">
        <is>
          <t>Polipropileno con adhesivo acrílico</t>
        </is>
      </c>
      <c r="J52" s="18" t="inlineStr">
        <is>
          <t>cierre en I arriba y abajo: 2 × (154 + 2 × 70 de solapa)</t>
        </is>
      </c>
      <c r="K52" s="41" t="inlineStr">
        <is>
          <t>Compra</t>
        </is>
      </c>
      <c r="L52" s="41" t="inlineStr">
        <is>
          <t>Sí</t>
        </is>
      </c>
      <c r="M52" s="18" t="inlineStr">
        <is>
          <t>MV Embalajes</t>
        </is>
      </c>
      <c r="N52" s="18" t="inlineStr">
        <is>
          <t>Embalpack</t>
        </is>
      </c>
      <c r="O52" s="18" t="inlineStr">
        <is>
          <t>23 Embalaje</t>
        </is>
      </c>
      <c r="P52" s="18" t="n"/>
      <c r="Q52" s="41" t="inlineStr">
        <is>
          <t>C</t>
        </is>
      </c>
      <c r="R52" s="41" t="n"/>
      <c r="S52" s="18" t="inlineStr">
        <is>
          <t>Solapa de 70 mm por lado: práctica de cierre de cajas (medir en la línea)</t>
        </is>
      </c>
    </row>
    <row r="53">
      <c r="A53" s="33" t="inlineStr">
        <is>
          <t>FL_REC_ABC_2.5kg</t>
        </is>
      </c>
      <c r="B53" s="33" t="n">
        <v>2</v>
      </c>
      <c r="C53" s="33" t="inlineStr">
        <is>
          <t>ABC2.5-E7</t>
        </is>
      </c>
      <c r="D53" s="17" t="inlineStr">
        <is>
          <t xml:space="preserve">        Esquineros de cartón 50 × 50 × 1200 (fracción del pallet)</t>
        </is>
      </c>
      <c r="E53" s="33" t="n">
        <v>0.0238</v>
      </c>
      <c r="F53" s="33" t="inlineStr">
        <is>
          <t>u</t>
        </is>
      </c>
      <c r="G53" s="34" t="n"/>
      <c r="H53" s="34" t="n"/>
      <c r="I53" s="33" t="inlineStr">
        <is>
          <t>Cartón</t>
        </is>
      </c>
      <c r="J53" s="17" t="inlineStr">
        <is>
          <t>4 por pallet / 168 u</t>
        </is>
      </c>
      <c r="K53" s="33" t="inlineStr">
        <is>
          <t>Compra</t>
        </is>
      </c>
      <c r="L53" s="33" t="inlineStr">
        <is>
          <t>Sí</t>
        </is>
      </c>
      <c r="M53" s="17" t="inlineStr">
        <is>
          <t>Maxipack</t>
        </is>
      </c>
      <c r="N53" s="17" t="inlineStr">
        <is>
          <t>Cartocan</t>
        </is>
      </c>
      <c r="O53" s="17" t="inlineStr">
        <is>
          <t>24 Envolvedora (T11)</t>
        </is>
      </c>
      <c r="P53" s="17" t="n"/>
      <c r="Q53" s="33" t="inlineStr">
        <is>
          <t>C</t>
        </is>
      </c>
      <c r="R53" s="33" t="n"/>
      <c r="S53" s="17" t="inlineStr">
        <is>
          <t>Planilla MP-64</t>
        </is>
      </c>
    </row>
    <row r="54">
      <c r="A54" s="33" t="inlineStr">
        <is>
          <t>FL_REC_ABC_2.5kg</t>
        </is>
      </c>
      <c r="B54" s="33" t="n">
        <v>2</v>
      </c>
      <c r="C54" s="33" t="inlineStr">
        <is>
          <t>ABC2.5-E8</t>
        </is>
      </c>
      <c r="D54" s="17" t="inlineStr">
        <is>
          <t xml:space="preserve">        Separador de capa de cartón 1200 × 1000 (fracción del pallet)</t>
        </is>
      </c>
      <c r="E54" s="33" t="n">
        <v>0.0179</v>
      </c>
      <c r="F54" s="33" t="inlineStr">
        <is>
          <t>u</t>
        </is>
      </c>
      <c r="G54" s="34" t="n"/>
      <c r="H54" s="34" t="n"/>
      <c r="I54" s="33" t="inlineStr">
        <is>
          <t>Cartón</t>
        </is>
      </c>
      <c r="J54" s="17" t="inlineStr">
        <is>
          <t>4 capas → 3 separadores por pallet / 168 u</t>
        </is>
      </c>
      <c r="K54" s="33" t="inlineStr">
        <is>
          <t>Compra</t>
        </is>
      </c>
      <c r="L54" s="33" t="inlineStr">
        <is>
          <t>Sí</t>
        </is>
      </c>
      <c r="M54" s="17" t="inlineStr">
        <is>
          <t>Maxipack</t>
        </is>
      </c>
      <c r="N54" s="17" t="inlineStr">
        <is>
          <t>Cartocan</t>
        </is>
      </c>
      <c r="O54" s="17" t="inlineStr">
        <is>
          <t>23 Embalaje</t>
        </is>
      </c>
      <c r="P54" s="17" t="n"/>
      <c r="Q54" s="33" t="inlineStr">
        <is>
          <t>C</t>
        </is>
      </c>
      <c r="R54" s="33" t="n"/>
      <c r="S54" s="17" t="inlineStr">
        <is>
          <t>Planilla MP-61</t>
        </is>
      </c>
    </row>
    <row r="55">
      <c r="A55" s="27" t="inlineStr">
        <is>
          <t>FL_REC_ABC_5kg</t>
        </is>
      </c>
      <c r="B55" s="27" t="n">
        <v>0</v>
      </c>
      <c r="C55" s="27" t="inlineStr">
        <is>
          <t>FL_REC_ABC_5kg</t>
        </is>
      </c>
      <c r="D55" s="28" t="inlineStr">
        <is>
          <t>Cilindro (recipiente) ABC 5 kg - repuesto vacío sin válvula</t>
        </is>
      </c>
      <c r="E55" s="27" t="n">
        <v>1</v>
      </c>
      <c r="F55" s="27" t="inlineStr">
        <is>
          <t>u</t>
        </is>
      </c>
      <c r="G55" s="29" t="n"/>
      <c r="H55" s="29" t="n"/>
      <c r="I55" s="27" t="n"/>
      <c r="J55" s="28" t="n"/>
      <c r="K55" s="27" t="n"/>
      <c r="L55" s="27" t="n"/>
      <c r="M55" s="28" t="n"/>
      <c r="N55" s="28" t="n"/>
      <c r="O55" s="28" t="n"/>
      <c r="P55" s="28" t="inlineStr">
        <is>
          <t>IRAM 3523</t>
        </is>
      </c>
      <c r="Q55" s="27" t="inlineStr">
        <is>
          <t>P</t>
        </is>
      </c>
      <c r="R55" s="27" t="inlineStr">
        <is>
          <t>FL_REC_ABC_5kg</t>
        </is>
      </c>
      <c r="S55" s="28" t="inlineStr">
        <is>
          <t>Fabricación propia</t>
        </is>
      </c>
    </row>
    <row r="56">
      <c r="A56" s="30" t="inlineStr">
        <is>
          <t>FL_REC_ABC_5kg</t>
        </is>
      </c>
      <c r="B56" s="30" t="n">
        <v>1</v>
      </c>
      <c r="C56" s="30" t="inlineStr">
        <is>
          <t>ABC5-S1</t>
        </is>
      </c>
      <c r="D56" s="31" t="inlineStr">
        <is>
          <t xml:space="preserve">    Recipiente (cilindro)</t>
        </is>
      </c>
      <c r="E56" s="30" t="n">
        <v>1</v>
      </c>
      <c r="F56" s="30" t="inlineStr">
        <is>
          <t>u</t>
        </is>
      </c>
      <c r="G56" s="32" t="n"/>
      <c r="H56" s="32">
        <f>H57+H59+H61+H63+H64+H71</f>
        <v/>
      </c>
      <c r="I56" s="30" t="n"/>
      <c r="J56" s="31" t="n"/>
      <c r="K56" s="30" t="inlineStr">
        <is>
          <t>Fabricación</t>
        </is>
      </c>
      <c r="L56" s="30" t="n"/>
      <c r="M56" s="31" t="n"/>
      <c r="N56" s="31" t="n"/>
      <c r="O56" s="31" t="n"/>
      <c r="P56" s="31" t="inlineStr">
        <is>
          <t>IRAM 3523 / 3550 (recipiente)</t>
        </is>
      </c>
      <c r="Q56" s="30" t="inlineStr">
        <is>
          <t>P</t>
        </is>
      </c>
      <c r="R56" s="30" t="inlineStr">
        <is>
          <t>FL_DES_ABC_5kg</t>
        </is>
      </c>
      <c r="S56" s="31" t="n"/>
    </row>
    <row r="57">
      <c r="A57" s="33" t="inlineStr">
        <is>
          <t>FL_REC_ABC_5kg</t>
        </is>
      </c>
      <c r="B57" s="33" t="n">
        <v>2</v>
      </c>
      <c r="C57" s="33" t="inlineStr">
        <is>
          <t>ABC5-01</t>
        </is>
      </c>
      <c r="D57" s="17" t="inlineStr">
        <is>
          <t xml:space="preserve">        Cuerpo (virola)</t>
        </is>
      </c>
      <c r="E57" s="33" t="n">
        <v>1</v>
      </c>
      <c r="F57" s="33" t="inlineStr">
        <is>
          <t>u</t>
        </is>
      </c>
      <c r="G57" s="34" t="n">
        <v>1.9203</v>
      </c>
      <c r="H57" s="34">
        <f>E57*G57</f>
        <v/>
      </c>
      <c r="I57" s="33" t="inlineStr">
        <is>
          <t>Chapa LAF IRAM-IAS U 500-05 e=1,6</t>
        </is>
      </c>
      <c r="J57" s="17" t="inlineStr">
        <is>
          <t>Ø153 × e1,6 × 321,4 de alto; desarrollo 475,6 × 321,4</t>
        </is>
      </c>
      <c r="K57" s="33" t="inlineStr">
        <is>
          <t>Fabricación</t>
        </is>
      </c>
      <c r="L57" s="33" t="inlineStr">
        <is>
          <t>No</t>
        </is>
      </c>
      <c r="M57" s="17" t="n"/>
      <c r="N57" s="17" t="n"/>
      <c r="O57" s="17" t="inlineStr">
        <is>
          <t>1 Guillotina -&gt; 2 numerado -&gt; 3 cilindrado -&gt; 4 soldadura longitudinal</t>
        </is>
      </c>
      <c r="P57" s="17" t="n"/>
      <c r="Q57" s="33" t="inlineStr">
        <is>
          <t>P</t>
        </is>
      </c>
      <c r="R57" s="33" t="inlineStr">
        <is>
          <t>FL_DES_ABC_5kg</t>
        </is>
      </c>
      <c r="S57" s="17" t="inlineStr">
        <is>
          <t>costura long. MAG</t>
        </is>
      </c>
    </row>
    <row r="58">
      <c r="A58" s="35" t="inlineStr">
        <is>
          <t>FL_REC_ABC_5kg</t>
        </is>
      </c>
      <c r="B58" s="35" t="n">
        <v>3</v>
      </c>
      <c r="C58" s="35" t="inlineStr">
        <is>
          <t>MP-HOJA</t>
        </is>
      </c>
      <c r="D58" s="36" t="inlineStr">
        <is>
          <t xml:space="preserve">            Recorte de hoja LAF 1000 × 2000 e=1,6</t>
        </is>
      </c>
      <c r="E58" s="35" t="n">
        <v>1</v>
      </c>
      <c r="F58" s="35" t="inlineStr">
        <is>
          <t>u</t>
        </is>
      </c>
      <c r="G58" s="37" t="n">
        <v>2.092</v>
      </c>
      <c r="H58" s="37">
        <f>E58*G58</f>
        <v/>
      </c>
      <c r="I58" s="35" t="inlineStr">
        <is>
          <t>Chapa LAF IRAM-IAS U 500-05 LAF</t>
        </is>
      </c>
      <c r="J58" s="36" t="inlineStr">
        <is>
          <t>330 × 474,5 (aprovech. 94 %)</t>
        </is>
      </c>
      <c r="K58" s="35" t="inlineStr">
        <is>
          <t>Compra</t>
        </is>
      </c>
      <c r="L58" s="35" t="inlineStr">
        <is>
          <t>Sí</t>
        </is>
      </c>
      <c r="M58" s="36" t="inlineStr">
        <is>
          <t>Pradecon S.A.</t>
        </is>
      </c>
      <c r="N58" s="36" t="inlineStr">
        <is>
          <t>Pacheco Chapas</t>
        </is>
      </c>
      <c r="O58" s="36" t="inlineStr">
        <is>
          <t>AL-1H paquetes de hojas</t>
        </is>
      </c>
      <c r="P58" s="36" t="n"/>
      <c r="Q58" s="35" t="inlineStr">
        <is>
          <t>L</t>
        </is>
      </c>
      <c r="R58" s="35" t="inlineStr">
        <is>
          <t>FL_PI_04 h2</t>
        </is>
      </c>
      <c r="S58" s="36" t="n"/>
    </row>
    <row r="59">
      <c r="A59" s="33" t="inlineStr">
        <is>
          <t>FL_REC_ABC_5kg</t>
        </is>
      </c>
      <c r="B59" s="33" t="n">
        <v>2</v>
      </c>
      <c r="C59" s="33" t="inlineStr">
        <is>
          <t>ABC5-02</t>
        </is>
      </c>
      <c r="D59" s="17" t="inlineStr">
        <is>
          <t xml:space="preserve">        Cúpula</t>
        </is>
      </c>
      <c r="E59" s="33" t="n">
        <v>1</v>
      </c>
      <c r="F59" s="33" t="inlineStr">
        <is>
          <t>u</t>
        </is>
      </c>
      <c r="G59" s="34" t="n">
        <v>0.3505</v>
      </c>
      <c r="H59" s="34">
        <f>E59*G59</f>
        <v/>
      </c>
      <c r="I59" s="33" t="inlineStr">
        <is>
          <t>Chapa LAF IRAM-IAS U 500-05 e=1,6</t>
        </is>
      </c>
      <c r="J59" s="17" t="inlineStr">
        <is>
          <t>Ø153 × e1,6 × 53,1 de alto; disco Ø221</t>
        </is>
      </c>
      <c r="K59" s="33" t="inlineStr">
        <is>
          <t>Fabricación</t>
        </is>
      </c>
      <c r="L59" s="33" t="inlineStr">
        <is>
          <t>No</t>
        </is>
      </c>
      <c r="M59" s="17" t="n"/>
      <c r="N59" s="17" t="n"/>
      <c r="O59" s="17" t="inlineStr">
        <is>
          <t>6 Desbobinado + embutido (M06-M08)</t>
        </is>
      </c>
      <c r="P59" s="17" t="n"/>
      <c r="Q59" s="33" t="inlineStr">
        <is>
          <t>P</t>
        </is>
      </c>
      <c r="R59" s="33" t="inlineStr">
        <is>
          <t>FL_DES_ABC_5kg</t>
        </is>
      </c>
      <c r="S59" s="17" t="inlineStr">
        <is>
          <t>embutida</t>
        </is>
      </c>
    </row>
    <row r="60">
      <c r="A60" s="35" t="inlineStr">
        <is>
          <t>FL_REC_ABC_5kg</t>
        </is>
      </c>
      <c r="B60" s="35" t="n">
        <v>3</v>
      </c>
      <c r="C60" s="35" t="inlineStr">
        <is>
          <t>MP-FLEJE</t>
        </is>
      </c>
      <c r="D60" s="36" t="inlineStr">
        <is>
          <t xml:space="preserve">            Fleje e=1,6 × 250 (paso 224)</t>
        </is>
      </c>
      <c r="E60" s="35" t="n">
        <v>0.224</v>
      </c>
      <c r="F60" s="35" t="inlineStr">
        <is>
          <t>m</t>
        </is>
      </c>
      <c r="G60" s="37" t="n">
        <v>3.14</v>
      </c>
      <c r="H60" s="37">
        <f>E60*G60</f>
        <v/>
      </c>
      <c r="I60" s="35" t="inlineStr">
        <is>
          <t>Fleje SAE 1010</t>
        </is>
      </c>
      <c r="J60" s="36" t="inlineStr">
        <is>
          <t>disco Ø221 (kg por m de fleje)</t>
        </is>
      </c>
      <c r="K60" s="35" t="inlineStr">
        <is>
          <t>Compra</t>
        </is>
      </c>
      <c r="L60" s="35" t="inlineStr">
        <is>
          <t>Sí</t>
        </is>
      </c>
      <c r="M60" s="36" t="inlineStr">
        <is>
          <t>Pacheco Chapas</t>
        </is>
      </c>
      <c r="N60" s="36" t="inlineStr">
        <is>
          <t>Pradecon S.A.</t>
        </is>
      </c>
      <c r="O60" s="36" t="inlineStr">
        <is>
          <t>AL-1F porta-flejes</t>
        </is>
      </c>
      <c r="P60" s="36" t="n"/>
      <c r="Q60" s="35" t="inlineStr">
        <is>
          <t>L</t>
        </is>
      </c>
      <c r="R60" s="35" t="inlineStr">
        <is>
          <t>FL_PI_04 h2</t>
        </is>
      </c>
      <c r="S60" s="36" t="n"/>
    </row>
    <row r="61">
      <c r="A61" s="33" t="inlineStr">
        <is>
          <t>FL_REC_ABC_5kg</t>
        </is>
      </c>
      <c r="B61" s="33" t="n">
        <v>2</v>
      </c>
      <c r="C61" s="33" t="inlineStr">
        <is>
          <t>ABC5-03</t>
        </is>
      </c>
      <c r="D61" s="17" t="inlineStr">
        <is>
          <t xml:space="preserve">        Fondo</t>
        </is>
      </c>
      <c r="E61" s="33" t="n">
        <v>1</v>
      </c>
      <c r="F61" s="33" t="inlineStr">
        <is>
          <t>u</t>
        </is>
      </c>
      <c r="G61" s="34" t="n">
        <v>0.2214</v>
      </c>
      <c r="H61" s="34">
        <f>E61*G61</f>
        <v/>
      </c>
      <c r="I61" s="33" t="inlineStr">
        <is>
          <t>Chapa LAF IRAM-IAS U 500-05 e=1,6</t>
        </is>
      </c>
      <c r="J61" s="17" t="inlineStr">
        <is>
          <t>Ø153 × e1,6 × 17,6 de alto; disco Ø177</t>
        </is>
      </c>
      <c r="K61" s="33" t="inlineStr">
        <is>
          <t>Fabricación</t>
        </is>
      </c>
      <c r="L61" s="33" t="inlineStr">
        <is>
          <t>No</t>
        </is>
      </c>
      <c r="M61" s="17" t="n"/>
      <c r="N61" s="17" t="n"/>
      <c r="O61" s="17" t="inlineStr">
        <is>
          <t>6 Desbobinado + embutido (M06-M08)</t>
        </is>
      </c>
      <c r="P61" s="17" t="n"/>
      <c r="Q61" s="33" t="inlineStr">
        <is>
          <t>P</t>
        </is>
      </c>
      <c r="R61" s="33" t="inlineStr">
        <is>
          <t>FL_DES_ABC_5kg</t>
        </is>
      </c>
      <c r="S61" s="17" t="inlineStr">
        <is>
          <t>embutido</t>
        </is>
      </c>
    </row>
    <row r="62">
      <c r="A62" s="35" t="inlineStr">
        <is>
          <t>FL_REC_ABC_5kg</t>
        </is>
      </c>
      <c r="B62" s="35" t="n">
        <v>3</v>
      </c>
      <c r="C62" s="35" t="inlineStr">
        <is>
          <t>MP-FLEJE</t>
        </is>
      </c>
      <c r="D62" s="36" t="inlineStr">
        <is>
          <t xml:space="preserve">            Fleje e=1,6 × 200 (paso 180)</t>
        </is>
      </c>
      <c r="E62" s="35" t="n">
        <v>0.18</v>
      </c>
      <c r="F62" s="35" t="inlineStr">
        <is>
          <t>m</t>
        </is>
      </c>
      <c r="G62" s="37" t="n">
        <v>2.512</v>
      </c>
      <c r="H62" s="37">
        <f>E62*G62</f>
        <v/>
      </c>
      <c r="I62" s="35" t="inlineStr">
        <is>
          <t>Fleje SAE 1010</t>
        </is>
      </c>
      <c r="J62" s="36" t="inlineStr">
        <is>
          <t>disco Ø177 (kg por m de fleje)</t>
        </is>
      </c>
      <c r="K62" s="35" t="inlineStr">
        <is>
          <t>Compra</t>
        </is>
      </c>
      <c r="L62" s="35" t="inlineStr">
        <is>
          <t>Sí</t>
        </is>
      </c>
      <c r="M62" s="36" t="inlineStr">
        <is>
          <t>Pacheco Chapas</t>
        </is>
      </c>
      <c r="N62" s="36" t="inlineStr">
        <is>
          <t>Pradecon S.A.</t>
        </is>
      </c>
      <c r="O62" s="36" t="inlineStr">
        <is>
          <t>AL-1F porta-flejes</t>
        </is>
      </c>
      <c r="P62" s="36" t="n"/>
      <c r="Q62" s="35" t="inlineStr">
        <is>
          <t>L</t>
        </is>
      </c>
      <c r="R62" s="35" t="inlineStr">
        <is>
          <t>FL_PI_04 h2</t>
        </is>
      </c>
      <c r="S62" s="36" t="n"/>
    </row>
    <row r="63">
      <c r="A63" s="33" t="inlineStr">
        <is>
          <t>FL_REC_ABC_5kg</t>
        </is>
      </c>
      <c r="B63" s="33" t="n">
        <v>2</v>
      </c>
      <c r="C63" s="33" t="inlineStr">
        <is>
          <t>ABC5-04</t>
        </is>
      </c>
      <c r="D63" s="17" t="inlineStr">
        <is>
          <t xml:space="preserve">        Cuello roscado</t>
        </is>
      </c>
      <c r="E63" s="33" t="n">
        <v>1</v>
      </c>
      <c r="F63" s="33" t="inlineStr">
        <is>
          <t>u</t>
        </is>
      </c>
      <c r="G63" s="34" t="n">
        <v>0.0589</v>
      </c>
      <c r="H63" s="34">
        <f>E63*G63</f>
        <v/>
      </c>
      <c r="I63" s="33" t="inlineStr">
        <is>
          <t>Acero SAE 1010</t>
        </is>
      </c>
      <c r="J63" s="17" t="inlineStr">
        <is>
          <t>Ø37 × 15 de alto, rosca M30x1,5, asiento Ø35</t>
        </is>
      </c>
      <c r="K63" s="33" t="inlineStr">
        <is>
          <t>Compra (mecanizado, Eli-Met)</t>
        </is>
      </c>
      <c r="L63" s="33" t="inlineStr">
        <is>
          <t>Sí</t>
        </is>
      </c>
      <c r="M63" s="17" t="inlineStr">
        <is>
          <t>Eli-Met</t>
        </is>
      </c>
      <c r="N63" s="17" t="inlineStr">
        <is>
          <t>-</t>
        </is>
      </c>
      <c r="O63" s="17" t="inlineStr">
        <is>
          <t>Compra -&gt; 8 soldadura de cuello</t>
        </is>
      </c>
      <c r="P63" s="17" t="n"/>
      <c r="Q63" s="33" t="inlineStr">
        <is>
          <t>P</t>
        </is>
      </c>
      <c r="R63" s="33" t="inlineStr">
        <is>
          <t>FL_DES_ABC_5kg</t>
        </is>
      </c>
      <c r="S63" s="17" t="inlineStr">
        <is>
          <t>M30x1,5</t>
        </is>
      </c>
    </row>
    <row r="64">
      <c r="A64" s="41" t="inlineStr">
        <is>
          <t>FL_REC_ABC_5kg</t>
        </is>
      </c>
      <c r="B64" s="41" t="n">
        <v>2</v>
      </c>
      <c r="C64" s="41" t="inlineStr">
        <is>
          <t>ABC5-C1</t>
        </is>
      </c>
      <c r="D64" s="18" t="inlineStr">
        <is>
          <t xml:space="preserve">        Alambre MAG ER70S-6 Ø0,9 (AWS A5.18)</t>
        </is>
      </c>
      <c r="E64" s="41" t="n">
        <v>0.0553</v>
      </c>
      <c r="F64" s="41" t="inlineStr">
        <is>
          <t>kg</t>
        </is>
      </c>
      <c r="G64" s="42" t="n">
        <v>0.95</v>
      </c>
      <c r="H64" s="42">
        <f>E64*G64</f>
        <v/>
      </c>
      <c r="I64" s="41" t="inlineStr">
        <is>
          <t>ER70S-6</t>
        </is>
      </c>
      <c r="J64" s="18" t="inlineStr">
        <is>
          <t>metal depositado de los cordones del plano 53 g / rendimiento 0,95</t>
        </is>
      </c>
      <c r="K64" s="41" t="inlineStr">
        <is>
          <t>Compra</t>
        </is>
      </c>
      <c r="L64" s="41" t="inlineStr">
        <is>
          <t>Sí</t>
        </is>
      </c>
      <c r="M64" s="18" t="inlineStr">
        <is>
          <t>Conarco (ESAB Argentina)</t>
        </is>
      </c>
      <c r="N64" s="18" t="inlineStr">
        <is>
          <t>-</t>
        </is>
      </c>
      <c r="O64" s="18" t="inlineStr">
        <is>
          <t>4 sold. long. / 8 cuello / 11 circunferencial</t>
        </is>
      </c>
      <c r="P64" s="18" t="inlineStr">
        <is>
          <t>IRAM 3523 3.2.4.2 · IRAM 3550 4.1.2</t>
        </is>
      </c>
      <c r="Q64" s="41" t="inlineStr">
        <is>
          <t>C</t>
        </is>
      </c>
      <c r="R64" s="41"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41" t="inlineStr">
        <is>
          <t>FL_REC_ABC_5kg</t>
        </is>
      </c>
      <c r="B65" s="41" t="n">
        <v>2</v>
      </c>
      <c r="C65" s="41" t="inlineStr">
        <is>
          <t>ABC5-C2</t>
        </is>
      </c>
      <c r="D65" s="18" t="inlineStr">
        <is>
          <t xml:space="preserve">        Gas de protección MAG Arcal 21 / ARCAL Speed (Ar + 8 % CO₂, M20)</t>
        </is>
      </c>
      <c r="E65" s="41" t="n">
        <v>32.6</v>
      </c>
      <c r="F65" s="41" t="inlineStr">
        <is>
          <t>L</t>
        </is>
      </c>
      <c r="G65" s="42" t="n"/>
      <c r="H65" s="42" t="n"/>
      <c r="I65" s="41" t="inlineStr">
        <is>
          <t>EN ISO 14175 M20-ArC-8</t>
        </is>
      </c>
      <c r="J65" s="18" t="inlineStr">
        <is>
          <t>14 L/min × 2,33 min de arco (cordones 1.399 mm: long. 321 + circ. 961 + cuello 116, a 600 mm/min)</t>
        </is>
      </c>
      <c r="K65" s="41" t="inlineStr">
        <is>
          <t>Compra</t>
        </is>
      </c>
      <c r="L65" s="41" t="inlineStr">
        <is>
          <t>Sí</t>
        </is>
      </c>
      <c r="M65" s="18" t="inlineStr">
        <is>
          <t>Air Liquide Argentina - sucursal Piñeyro</t>
        </is>
      </c>
      <c r="N65" s="18" t="inlineStr">
        <is>
          <t>Gogniat</t>
        </is>
      </c>
      <c r="O65" s="18" t="inlineStr">
        <is>
          <t>Colector SC</t>
        </is>
      </c>
      <c r="P65" s="18" t="inlineStr">
        <is>
          <t>IRAM 3523 3.2.4.2 · IRAM 3550 3.2.2.2</t>
        </is>
      </c>
      <c r="Q65" s="41" t="inlineStr">
        <is>
          <t>C</t>
        </is>
      </c>
      <c r="R65" s="41"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41" t="inlineStr">
        <is>
          <t>FL_REC_ABC_5kg</t>
        </is>
      </c>
      <c r="B66" s="41" t="n">
        <v>2</v>
      </c>
      <c r="C66" s="41" t="inlineStr">
        <is>
          <t>ABC5-C3</t>
        </is>
      </c>
      <c r="D66" s="18" t="inlineStr">
        <is>
          <t xml:space="preserve">        Granalla de acero S330 / S390 (ISO 11124-3, SAE J444)</t>
        </is>
      </c>
      <c r="E66" s="41" t="n">
        <v>0.08</v>
      </c>
      <c r="F66" s="41" t="inlineStr">
        <is>
          <t>kg</t>
        </is>
      </c>
      <c r="G66" s="42" t="n"/>
      <c r="H66" s="42" t="n"/>
      <c r="I66" s="41" t="inlineStr">
        <is>
          <t>Granalla esférica alto C</t>
        </is>
      </c>
      <c r="J66" s="18" t="inlineStr">
        <is>
          <t>0,198 m² a Sa 2½ (ISO 8501-1); 3,4 kg/h ÷ 42,5 u/h</t>
        </is>
      </c>
      <c r="K66" s="41" t="inlineStr">
        <is>
          <t>Compra</t>
        </is>
      </c>
      <c r="L66" s="41" t="inlineStr">
        <is>
          <t>Sí</t>
        </is>
      </c>
      <c r="M66" s="18" t="inlineStr">
        <is>
          <t>CyM Materiales</t>
        </is>
      </c>
      <c r="N66" s="18" t="inlineStr">
        <is>
          <t>Roca Ingeniería</t>
        </is>
      </c>
      <c r="O66" s="18" t="inlineStr">
        <is>
          <t>14 Granallado (B08)</t>
        </is>
      </c>
      <c r="P66" s="18" t="inlineStr">
        <is>
          <t>DOC-01</t>
        </is>
      </c>
      <c r="Q66" s="41" t="inlineStr">
        <is>
          <t>C</t>
        </is>
      </c>
      <c r="R66" s="41" t="n"/>
      <c r="S66" s="18" t="inlineStr">
        <is>
          <t>Consumo (desgaste) por turbina ≈ HP / 2 lb/h (The Fabricator, «aspectos básicos del granallado por turbina»): G-100 con 2 × 7,5 HP = 7,5 lb/h = 3,4 kg/h; ritmo 340 u por turno (Getweld) = 42,5 u/h.</t>
        </is>
      </c>
    </row>
    <row r="67">
      <c r="A67" s="33" t="inlineStr">
        <is>
          <t>FL_REC_ABC_5kg</t>
        </is>
      </c>
      <c r="B67" s="33" t="n">
        <v>2</v>
      </c>
      <c r="C67" s="33" t="inlineStr">
        <is>
          <t>ABC5-C4</t>
        </is>
      </c>
      <c r="D67" s="17" t="inlineStr">
        <is>
          <t xml:space="preserve">        Servicio de pintura en polvo al horno, rojo 03-1-050</t>
        </is>
      </c>
      <c r="E67" s="33" t="n">
        <v>1</v>
      </c>
      <c r="F67" s="33" t="inlineStr">
        <is>
          <t>u</t>
        </is>
      </c>
      <c r="G67" s="34" t="n"/>
      <c r="H67" s="34" t="n"/>
      <c r="I67" s="33" t="inlineStr">
        <is>
          <t>Servicio tercerizado</t>
        </is>
      </c>
      <c r="J67" s="17" t="inlineStr">
        <is>
          <t>superficie exterior 0,198 m²</t>
        </is>
      </c>
      <c r="K67" s="33" t="inlineStr">
        <is>
          <t>Compra (servicio)</t>
        </is>
      </c>
      <c r="L67" s="33" t="inlineStr">
        <is>
          <t>Sí</t>
        </is>
      </c>
      <c r="M67" s="17" t="inlineStr">
        <is>
          <t>Prymax</t>
        </is>
      </c>
      <c r="N67" s="17" t="inlineStr">
        <is>
          <t>Pintor de carros (cotización por mensaje)</t>
        </is>
      </c>
      <c r="O67" s="17" t="inlineStr">
        <is>
          <t>17 Pintura tercerizada</t>
        </is>
      </c>
      <c r="P67" s="17" t="inlineStr">
        <is>
          <t>IRAM 3523 5.3 / IRAM 3550 3.11 · IRAM 121</t>
        </is>
      </c>
      <c r="Q67" s="33" t="inlineStr">
        <is>
          <t>Q</t>
        </is>
      </c>
      <c r="R67" s="33" t="n"/>
      <c r="S67" s="17" t="inlineStr">
        <is>
          <t>Q-PRYMAX (precio por cilindro); exigir informe de niebla salina del sistema de pintura; tercerización aceptada por el Ministerio (Res. 349/07 art. 18)</t>
        </is>
      </c>
    </row>
    <row r="68">
      <c r="A68" s="43" t="inlineStr">
        <is>
          <t>FL_REC_ABC_5kg</t>
        </is>
      </c>
      <c r="B68" s="43" t="n">
        <v>2</v>
      </c>
      <c r="C68" s="43" t="inlineStr">
        <is>
          <t>ABC5-T1</t>
        </is>
      </c>
      <c r="D68" s="20" t="inlineStr">
        <is>
          <t xml:space="preserve">        Tapón protector de rosca del cuello</t>
        </is>
      </c>
      <c r="E68" s="43" t="n">
        <v>1</v>
      </c>
      <c r="F68" s="43" t="inlineStr">
        <is>
          <t>u</t>
        </is>
      </c>
      <c r="G68" s="44" t="n"/>
      <c r="H68" s="44" t="n"/>
      <c r="I68" s="43" t="inlineStr">
        <is>
          <t>Polietileno</t>
        </is>
      </c>
      <c r="J68" s="20" t="inlineStr">
        <is>
          <t>para rosca M30x1,5 (plano FL_REC_ABC_5kg hoja 3, R4)</t>
        </is>
      </c>
      <c r="K68" s="43" t="inlineStr">
        <is>
          <t>Compra</t>
        </is>
      </c>
      <c r="L68" s="43" t="inlineStr">
        <is>
          <t>Sí</t>
        </is>
      </c>
      <c r="M68" s="20" t="inlineStr">
        <is>
          <t>-</t>
        </is>
      </c>
      <c r="N68" s="20" t="inlineStr">
        <is>
          <t>-</t>
        </is>
      </c>
      <c r="O68" s="20" t="inlineStr">
        <is>
          <t>Embalaje</t>
        </is>
      </c>
      <c r="P68" s="20" t="n"/>
      <c r="Q68" s="43" t="inlineStr">
        <is>
          <t>P</t>
        </is>
      </c>
      <c r="R68" s="43" t="n"/>
      <c r="S68" s="20" t="n"/>
    </row>
    <row r="69">
      <c r="A69" s="33" t="inlineStr">
        <is>
          <t>FL_REC_ABC_5kg</t>
        </is>
      </c>
      <c r="B69" s="33" t="n">
        <v>2</v>
      </c>
      <c r="C69" s="33" t="inlineStr">
        <is>
          <t>ABC5-T2</t>
        </is>
      </c>
      <c r="D69" s="17" t="inlineStr">
        <is>
          <t xml:space="preserve">        Marcado del recipiente (estampado)</t>
        </is>
      </c>
      <c r="E69" s="33" t="n">
        <v>1</v>
      </c>
      <c r="F69" s="33" t="inlineStr">
        <is>
          <t>u</t>
        </is>
      </c>
      <c r="G69" s="34" t="n"/>
      <c r="H69" s="34" t="n"/>
      <c r="I69" s="33" t="inlineStr">
        <is>
          <t>-</t>
        </is>
      </c>
      <c r="J69" s="17" t="inlineStr">
        <is>
          <t>Fabricante, n° de serie, año; cuño DPS 15 × 7 junto al n°</t>
        </is>
      </c>
      <c r="K69" s="33" t="inlineStr">
        <is>
          <t>Proceso</t>
        </is>
      </c>
      <c r="L69" s="33" t="inlineStr">
        <is>
          <t>No</t>
        </is>
      </c>
      <c r="M69" s="17" t="n"/>
      <c r="N69" s="17" t="n"/>
      <c r="O69" s="17" t="inlineStr">
        <is>
          <t>Marcado</t>
        </is>
      </c>
      <c r="P69" s="17" t="inlineStr">
        <is>
          <t>IRAM 3523 5.1 · Res. 349/07 anexo IV</t>
        </is>
      </c>
      <c r="Q69" s="33" t="inlineStr">
        <is>
          <t>N</t>
        </is>
      </c>
      <c r="R69" s="33" t="n"/>
      <c r="S69" s="17" t="n"/>
    </row>
    <row r="70">
      <c r="A70" s="33" t="inlineStr">
        <is>
          <t>FL_REC_ABC_5kg</t>
        </is>
      </c>
      <c r="B70" s="33" t="n">
        <v>2</v>
      </c>
      <c r="C70" s="33" t="inlineStr">
        <is>
          <t>ABC5-T3</t>
        </is>
      </c>
      <c r="D70" s="17" t="inlineStr">
        <is>
          <t xml:space="preserve">        Etiqueta de identificación del cilindro suelto</t>
        </is>
      </c>
      <c r="E70" s="33" t="n">
        <v>1</v>
      </c>
      <c r="F70" s="33" t="inlineStr">
        <is>
          <t>u</t>
        </is>
      </c>
      <c r="G70" s="34" t="n"/>
      <c r="H70" s="34" t="n"/>
      <c r="I70" s="33" t="inlineStr">
        <is>
          <t>Poliéster autoadhesivo removible</t>
        </is>
      </c>
      <c r="J70" s="17" t="inlineStr">
        <is>
          <t>100 × 60, impresión térmica, QR GS1</t>
        </is>
      </c>
      <c r="K70" s="33" t="inlineStr">
        <is>
          <t>Compra</t>
        </is>
      </c>
      <c r="L70" s="33" t="inlineStr">
        <is>
          <t>Sí</t>
        </is>
      </c>
      <c r="M70" s="17" t="inlineStr">
        <is>
          <t>Astuprint</t>
        </is>
      </c>
      <c r="N70" s="17" t="inlineStr">
        <is>
          <t>GS1 Argentina</t>
        </is>
      </c>
      <c r="O70" s="17" t="inlineStr">
        <is>
          <t>Etiquetado</t>
        </is>
      </c>
      <c r="P70" s="17" t="n"/>
      <c r="Q70" s="33" t="inlineStr">
        <is>
          <t>P</t>
        </is>
      </c>
      <c r="R70" s="33" t="inlineStr">
        <is>
          <t>FL_REC_ABC_5kg hoja 3</t>
        </is>
      </c>
      <c r="S70" s="17" t="n"/>
    </row>
    <row r="71">
      <c r="A71" s="33" t="inlineStr">
        <is>
          <t>FL_REC_ABC_5kg</t>
        </is>
      </c>
      <c r="B71" s="33" t="n">
        <v>2</v>
      </c>
      <c r="C71" s="33" t="inlineStr">
        <is>
          <t>ABC5-T4</t>
        </is>
      </c>
      <c r="D71" s="17" t="inlineStr">
        <is>
          <t xml:space="preserve">        Protocolo de ensayo hidrostático (certificado que acompaña)</t>
        </is>
      </c>
      <c r="E71" s="33" t="n">
        <v>1</v>
      </c>
      <c r="F71" s="33" t="inlineStr">
        <is>
          <t>u</t>
        </is>
      </c>
      <c r="G71" s="34" t="n">
        <v>0.005</v>
      </c>
      <c r="H71" s="34">
        <f>E71*G71</f>
        <v/>
      </c>
      <c r="I71" s="33" t="inlineStr">
        <is>
          <t>Papel</t>
        </is>
      </c>
      <c r="J71" s="17" t="inlineStr">
        <is>
          <t>A5</t>
        </is>
      </c>
      <c r="K71" s="33" t="inlineStr">
        <is>
          <t>Proceso</t>
        </is>
      </c>
      <c r="L71" s="33" t="inlineStr">
        <is>
          <t>No</t>
        </is>
      </c>
      <c r="M71" s="17" t="n"/>
      <c r="N71" s="17" t="n"/>
      <c r="O71" s="17" t="inlineStr">
        <is>
          <t>Control de calidad</t>
        </is>
      </c>
      <c r="P71" s="17" t="inlineStr">
        <is>
          <t>IRAM 3523 4.1 y cap. 6 · IRAM 2587</t>
        </is>
      </c>
      <c r="Q71" s="33" t="inlineStr">
        <is>
          <t>N</t>
        </is>
      </c>
      <c r="R71" s="33" t="inlineStr">
        <is>
          <t>FL_REC_ABC_5kg hoja 3</t>
        </is>
      </c>
      <c r="S71" s="17" t="n"/>
    </row>
    <row r="72">
      <c r="A72" s="30" t="inlineStr">
        <is>
          <t>FL_REC_ABC_5kg</t>
        </is>
      </c>
      <c r="B72" s="30" t="n">
        <v>1</v>
      </c>
      <c r="C72" s="30" t="inlineStr">
        <is>
          <t>ABC5-S7</t>
        </is>
      </c>
      <c r="D72" s="31" t="inlineStr">
        <is>
          <t xml:space="preserve">    Embalaje</t>
        </is>
      </c>
      <c r="E72" s="30" t="n">
        <v>1</v>
      </c>
      <c r="F72" s="30" t="inlineStr">
        <is>
          <t>u</t>
        </is>
      </c>
      <c r="G72" s="32" t="n"/>
      <c r="H72" s="32">
        <f>H75</f>
        <v/>
      </c>
      <c r="I72" s="30" t="n"/>
      <c r="J72" s="31" t="n"/>
      <c r="K72" s="30" t="inlineStr">
        <is>
          <t>Compra</t>
        </is>
      </c>
      <c r="L72" s="30" t="n"/>
      <c r="M72" s="31" t="n"/>
      <c r="N72" s="31" t="n"/>
      <c r="O72" s="31" t="inlineStr">
        <is>
          <t>23 Embalaje -&gt; 24 envolvedora (T11)</t>
        </is>
      </c>
      <c r="P72" s="31" t="n"/>
      <c r="Q72" s="30" t="n"/>
      <c r="R72" s="30" t="n"/>
      <c r="S72" s="31" t="n"/>
    </row>
    <row r="73">
      <c r="A73" s="33" t="inlineStr">
        <is>
          <t>FL_REC_ABC_5kg</t>
        </is>
      </c>
      <c r="B73" s="33" t="n">
        <v>2</v>
      </c>
      <c r="C73" s="33" t="inlineStr">
        <is>
          <t>ABC5-E1</t>
        </is>
      </c>
      <c r="D73" s="17" t="inlineStr">
        <is>
          <t xml:space="preserve">        Caja de cartón corrugado simple</t>
        </is>
      </c>
      <c r="E73" s="33" t="n">
        <v>1</v>
      </c>
      <c r="F73" s="33" t="inlineStr">
        <is>
          <t>u</t>
        </is>
      </c>
      <c r="G73" s="34" t="n"/>
      <c r="H73" s="34" t="n"/>
      <c r="I73" s="33" t="inlineStr">
        <is>
          <t>Cartón corrugado</t>
        </is>
      </c>
      <c r="J73" s="17" t="inlineStr">
        <is>
          <t>183 × 183 × 410 interior (envolvente del plano + 15 por lado)</t>
        </is>
      </c>
      <c r="K73" s="33" t="inlineStr">
        <is>
          <t>Compra</t>
        </is>
      </c>
      <c r="L73" s="33" t="inlineStr">
        <is>
          <t>Sí</t>
        </is>
      </c>
      <c r="M73" s="17" t="inlineStr">
        <is>
          <t>Maxipack</t>
        </is>
      </c>
      <c r="N73" s="17" t="inlineStr">
        <is>
          <t>Cartocan</t>
        </is>
      </c>
      <c r="O73" s="17" t="inlineStr">
        <is>
          <t>23 Embalaje</t>
        </is>
      </c>
      <c r="P73" s="17" t="n"/>
      <c r="Q73" s="33" t="inlineStr">
        <is>
          <t>P</t>
        </is>
      </c>
      <c r="R73" s="33" t="n"/>
      <c r="S73" s="17" t="inlineStr">
        <is>
          <t>Medida del plano</t>
        </is>
      </c>
    </row>
    <row r="74">
      <c r="A74" s="33" t="inlineStr">
        <is>
          <t>FL_REC_ABC_5kg</t>
        </is>
      </c>
      <c r="B74" s="33" t="n">
        <v>2</v>
      </c>
      <c r="C74" s="33" t="inlineStr">
        <is>
          <t>ABC5-E3</t>
        </is>
      </c>
      <c r="D74" s="17" t="inlineStr">
        <is>
          <t xml:space="preserve">        Pallet 1200 × 1000 (fracción)</t>
        </is>
      </c>
      <c r="E74" s="33" t="n">
        <v>0.0111</v>
      </c>
      <c r="F74" s="33" t="inlineStr">
        <is>
          <t>u</t>
        </is>
      </c>
      <c r="G74" s="34" t="n"/>
      <c r="H74" s="34" t="n"/>
      <c r="I74" s="33" t="inlineStr">
        <is>
          <t>Madera</t>
        </is>
      </c>
      <c r="J74" s="17" t="inlineStr">
        <is>
          <t>90 u por pallet</t>
        </is>
      </c>
      <c r="K74" s="33" t="inlineStr">
        <is>
          <t>Compra</t>
        </is>
      </c>
      <c r="L74" s="33" t="inlineStr">
        <is>
          <t>Sí</t>
        </is>
      </c>
      <c r="M74" s="17" t="inlineStr">
        <is>
          <t>IndusPallets</t>
        </is>
      </c>
      <c r="N74" s="17" t="inlineStr">
        <is>
          <t>-</t>
        </is>
      </c>
      <c r="O74" s="17" t="inlineStr">
        <is>
          <t>23 Embalaje</t>
        </is>
      </c>
      <c r="P74" s="17" t="n"/>
      <c r="Q74" s="33" t="inlineStr">
        <is>
          <t>C</t>
        </is>
      </c>
      <c r="R74" s="33" t="n"/>
      <c r="S74" s="17" t="inlineStr">
        <is>
          <t>u por pallet = acomodo de la caja (plano) en 1200 × 1000 × 1450 de alto</t>
        </is>
      </c>
    </row>
    <row r="75">
      <c r="A75" s="41" t="inlineStr">
        <is>
          <t>FL_REC_ABC_5kg</t>
        </is>
      </c>
      <c r="B75" s="41" t="n">
        <v>2</v>
      </c>
      <c r="C75" s="41" t="inlineStr">
        <is>
          <t>ABC5-E4</t>
        </is>
      </c>
      <c r="D75" s="18" t="inlineStr">
        <is>
          <t xml:space="preserve">        Film stretch (fracción del pallet)</t>
        </is>
      </c>
      <c r="E75" s="41" t="n">
        <v>0.0013</v>
      </c>
      <c r="F75" s="41" t="inlineStr">
        <is>
          <t>kg</t>
        </is>
      </c>
      <c r="G75" s="42" t="n">
        <v>1</v>
      </c>
      <c r="H75" s="42">
        <f>E75*G75</f>
        <v/>
      </c>
      <c r="I75" s="41" t="inlineStr">
        <is>
          <t>PE lineal 23 µm</t>
        </is>
      </c>
      <c r="J75" s="18" t="inlineStr">
        <is>
          <t>0,12 kg por pallet / 90 u</t>
        </is>
      </c>
      <c r="K75" s="41" t="inlineStr">
        <is>
          <t>Compra</t>
        </is>
      </c>
      <c r="L75" s="41" t="inlineStr">
        <is>
          <t>Sí</t>
        </is>
      </c>
      <c r="M75" s="18" t="inlineStr">
        <is>
          <t>MV Embalajes</t>
        </is>
      </c>
      <c r="N75" s="18" t="inlineStr">
        <is>
          <t>Embalpack</t>
        </is>
      </c>
      <c r="O75" s="18" t="inlineStr">
        <is>
          <t>24 Envolvedora (T11)</t>
        </is>
      </c>
      <c r="P75" s="18" t="n"/>
      <c r="Q75" s="41" t="inlineStr">
        <is>
          <t>C</t>
        </is>
      </c>
      <c r="R75" s="41"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3" t="inlineStr">
        <is>
          <t>FL_REC_ABC_5kg</t>
        </is>
      </c>
      <c r="B76" s="33" t="n">
        <v>2</v>
      </c>
      <c r="C76" s="33" t="inlineStr">
        <is>
          <t>ABC5-E5</t>
        </is>
      </c>
      <c r="D76" s="17" t="inlineStr">
        <is>
          <t xml:space="preserve">        Etiqueta de pallet (lote y destino, fracción)</t>
        </is>
      </c>
      <c r="E76" s="33" t="n">
        <v>0.0111</v>
      </c>
      <c r="F76" s="33" t="inlineStr">
        <is>
          <t>u</t>
        </is>
      </c>
      <c r="G76" s="34" t="n"/>
      <c r="H76" s="34" t="n"/>
      <c r="I76" s="33" t="inlineStr">
        <is>
          <t>Papel térmico</t>
        </is>
      </c>
      <c r="J76" s="17" t="inlineStr">
        <is>
          <t>100 × 150</t>
        </is>
      </c>
      <c r="K76" s="33" t="inlineStr">
        <is>
          <t>Compra</t>
        </is>
      </c>
      <c r="L76" s="33" t="inlineStr">
        <is>
          <t>Sí</t>
        </is>
      </c>
      <c r="M76" s="17" t="inlineStr">
        <is>
          <t>Astuprint</t>
        </is>
      </c>
      <c r="N76" s="17" t="inlineStr">
        <is>
          <t>Multilabel Argentina S.A.</t>
        </is>
      </c>
      <c r="O76" s="17" t="inlineStr">
        <is>
          <t>24 Envolvedora</t>
        </is>
      </c>
      <c r="P76" s="17" t="n"/>
      <c r="Q76" s="33" t="inlineStr">
        <is>
          <t>C</t>
        </is>
      </c>
      <c r="R76" s="33" t="n"/>
      <c r="S76" s="17" t="n"/>
    </row>
    <row r="77">
      <c r="A77" s="41" t="inlineStr">
        <is>
          <t>FL_REC_ABC_5kg</t>
        </is>
      </c>
      <c r="B77" s="41" t="n">
        <v>2</v>
      </c>
      <c r="C77" s="41" t="inlineStr">
        <is>
          <t>ABC5-E6</t>
        </is>
      </c>
      <c r="D77" s="18" t="inlineStr">
        <is>
          <t xml:space="preserve">        Cinta de embalaje PP 48 mm (cierre de la caja)</t>
        </is>
      </c>
      <c r="E77" s="41" t="n">
        <v>0.646</v>
      </c>
      <c r="F77" s="41" t="inlineStr">
        <is>
          <t>m</t>
        </is>
      </c>
      <c r="G77" s="42" t="n"/>
      <c r="H77" s="42" t="n"/>
      <c r="I77" s="41" t="inlineStr">
        <is>
          <t>Polipropileno con adhesivo acrílico</t>
        </is>
      </c>
      <c r="J77" s="18" t="inlineStr">
        <is>
          <t>cierre en I arriba y abajo: 2 × (183 + 2 × 70 de solapa)</t>
        </is>
      </c>
      <c r="K77" s="41" t="inlineStr">
        <is>
          <t>Compra</t>
        </is>
      </c>
      <c r="L77" s="41" t="inlineStr">
        <is>
          <t>Sí</t>
        </is>
      </c>
      <c r="M77" s="18" t="inlineStr">
        <is>
          <t>MV Embalajes</t>
        </is>
      </c>
      <c r="N77" s="18" t="inlineStr">
        <is>
          <t>Embalpack</t>
        </is>
      </c>
      <c r="O77" s="18" t="inlineStr">
        <is>
          <t>23 Embalaje</t>
        </is>
      </c>
      <c r="P77" s="18" t="n"/>
      <c r="Q77" s="41" t="inlineStr">
        <is>
          <t>C</t>
        </is>
      </c>
      <c r="R77" s="41" t="n"/>
      <c r="S77" s="18" t="inlineStr">
        <is>
          <t>Solapa de 70 mm por lado: práctica de cierre de cajas (medir en la línea)</t>
        </is>
      </c>
    </row>
    <row r="78">
      <c r="A78" s="33" t="inlineStr">
        <is>
          <t>FL_REC_ABC_5kg</t>
        </is>
      </c>
      <c r="B78" s="33" t="n">
        <v>2</v>
      </c>
      <c r="C78" s="33" t="inlineStr">
        <is>
          <t>ABC5-E7</t>
        </is>
      </c>
      <c r="D78" s="17" t="inlineStr">
        <is>
          <t xml:space="preserve">        Esquineros de cartón 50 × 50 × 1200 (fracción del pallet)</t>
        </is>
      </c>
      <c r="E78" s="33" t="n">
        <v>0.0444</v>
      </c>
      <c r="F78" s="33" t="inlineStr">
        <is>
          <t>u</t>
        </is>
      </c>
      <c r="G78" s="34" t="n"/>
      <c r="H78" s="34" t="n"/>
      <c r="I78" s="33" t="inlineStr">
        <is>
          <t>Cartón</t>
        </is>
      </c>
      <c r="J78" s="17" t="inlineStr">
        <is>
          <t>4 por pallet / 90 u</t>
        </is>
      </c>
      <c r="K78" s="33" t="inlineStr">
        <is>
          <t>Compra</t>
        </is>
      </c>
      <c r="L78" s="33" t="inlineStr">
        <is>
          <t>Sí</t>
        </is>
      </c>
      <c r="M78" s="17" t="inlineStr">
        <is>
          <t>Maxipack</t>
        </is>
      </c>
      <c r="N78" s="17" t="inlineStr">
        <is>
          <t>Cartocan</t>
        </is>
      </c>
      <c r="O78" s="17" t="inlineStr">
        <is>
          <t>24 Envolvedora (T11)</t>
        </is>
      </c>
      <c r="P78" s="17" t="n"/>
      <c r="Q78" s="33" t="inlineStr">
        <is>
          <t>C</t>
        </is>
      </c>
      <c r="R78" s="33" t="n"/>
      <c r="S78" s="17" t="inlineStr">
        <is>
          <t>Planilla MP-64</t>
        </is>
      </c>
    </row>
    <row r="79">
      <c r="A79" s="33" t="inlineStr">
        <is>
          <t>FL_REC_ABC_5kg</t>
        </is>
      </c>
      <c r="B79" s="33" t="n">
        <v>2</v>
      </c>
      <c r="C79" s="33" t="inlineStr">
        <is>
          <t>ABC5-E8</t>
        </is>
      </c>
      <c r="D79" s="17" t="inlineStr">
        <is>
          <t xml:space="preserve">        Separador de capa de cartón 1200 × 1000 (fracción del pallet)</t>
        </is>
      </c>
      <c r="E79" s="33" t="n">
        <v>0.0222</v>
      </c>
      <c r="F79" s="33" t="inlineStr">
        <is>
          <t>u</t>
        </is>
      </c>
      <c r="G79" s="34" t="n"/>
      <c r="H79" s="34" t="n"/>
      <c r="I79" s="33" t="inlineStr">
        <is>
          <t>Cartón</t>
        </is>
      </c>
      <c r="J79" s="17" t="inlineStr">
        <is>
          <t>3 capas → 2 separadores por pallet / 90 u</t>
        </is>
      </c>
      <c r="K79" s="33" t="inlineStr">
        <is>
          <t>Compra</t>
        </is>
      </c>
      <c r="L79" s="33" t="inlineStr">
        <is>
          <t>Sí</t>
        </is>
      </c>
      <c r="M79" s="17" t="inlineStr">
        <is>
          <t>Maxipack</t>
        </is>
      </c>
      <c r="N79" s="17" t="inlineStr">
        <is>
          <t>Cartocan</t>
        </is>
      </c>
      <c r="O79" s="17" t="inlineStr">
        <is>
          <t>23 Embalaje</t>
        </is>
      </c>
      <c r="P79" s="17" t="n"/>
      <c r="Q79" s="33" t="inlineStr">
        <is>
          <t>C</t>
        </is>
      </c>
      <c r="R79" s="33" t="n"/>
      <c r="S79" s="17" t="inlineStr">
        <is>
          <t>Planilla MP-61</t>
        </is>
      </c>
    </row>
    <row r="80">
      <c r="A80" s="27" t="inlineStr">
        <is>
          <t>FL_REC_ABC_10kg</t>
        </is>
      </c>
      <c r="B80" s="27" t="n">
        <v>0</v>
      </c>
      <c r="C80" s="27" t="inlineStr">
        <is>
          <t>FL_REC_ABC_10kg</t>
        </is>
      </c>
      <c r="D80" s="28" t="inlineStr">
        <is>
          <t>Cilindro (recipiente) ABC 10 kg - repuesto vacío sin válvula</t>
        </is>
      </c>
      <c r="E80" s="27" t="n">
        <v>1</v>
      </c>
      <c r="F80" s="27" t="inlineStr">
        <is>
          <t>u</t>
        </is>
      </c>
      <c r="G80" s="29" t="n"/>
      <c r="H80" s="29" t="n"/>
      <c r="I80" s="27" t="n"/>
      <c r="J80" s="28" t="n"/>
      <c r="K80" s="27" t="n"/>
      <c r="L80" s="27" t="n"/>
      <c r="M80" s="28" t="n"/>
      <c r="N80" s="28" t="n"/>
      <c r="O80" s="28" t="n"/>
      <c r="P80" s="28" t="inlineStr">
        <is>
          <t>IRAM 3523</t>
        </is>
      </c>
      <c r="Q80" s="27" t="inlineStr">
        <is>
          <t>P</t>
        </is>
      </c>
      <c r="R80" s="27" t="inlineStr">
        <is>
          <t>FL_REC_ABC_10kg</t>
        </is>
      </c>
      <c r="S80" s="28" t="inlineStr">
        <is>
          <t>Fabricación propia</t>
        </is>
      </c>
    </row>
    <row r="81">
      <c r="A81" s="30" t="inlineStr">
        <is>
          <t>FL_REC_ABC_10kg</t>
        </is>
      </c>
      <c r="B81" s="30" t="n">
        <v>1</v>
      </c>
      <c r="C81" s="30" t="inlineStr">
        <is>
          <t>ABC10-S1</t>
        </is>
      </c>
      <c r="D81" s="31" t="inlineStr">
        <is>
          <t xml:space="preserve">    Recipiente (cilindro)</t>
        </is>
      </c>
      <c r="E81" s="30" t="n">
        <v>1</v>
      </c>
      <c r="F81" s="30" t="inlineStr">
        <is>
          <t>u</t>
        </is>
      </c>
      <c r="G81" s="32" t="n"/>
      <c r="H81" s="32">
        <f>H82+H84+H86+H88+H89+H96</f>
        <v/>
      </c>
      <c r="I81" s="30" t="n"/>
      <c r="J81" s="31" t="n"/>
      <c r="K81" s="30" t="inlineStr">
        <is>
          <t>Fabricación</t>
        </is>
      </c>
      <c r="L81" s="30" t="n"/>
      <c r="M81" s="31" t="n"/>
      <c r="N81" s="31" t="n"/>
      <c r="O81" s="31" t="n"/>
      <c r="P81" s="31" t="inlineStr">
        <is>
          <t>IRAM 3523 / 3550 (recipiente)</t>
        </is>
      </c>
      <c r="Q81" s="30" t="inlineStr">
        <is>
          <t>P</t>
        </is>
      </c>
      <c r="R81" s="30" t="inlineStr">
        <is>
          <t>FL_DES_ABC_10kg</t>
        </is>
      </c>
      <c r="S81" s="31" t="n"/>
    </row>
    <row r="82">
      <c r="A82" s="33" t="inlineStr">
        <is>
          <t>FL_REC_ABC_10kg</t>
        </is>
      </c>
      <c r="B82" s="33" t="n">
        <v>2</v>
      </c>
      <c r="C82" s="33" t="inlineStr">
        <is>
          <t>ABC10-01</t>
        </is>
      </c>
      <c r="D82" s="17" t="inlineStr">
        <is>
          <t xml:space="preserve">        Cuerpo (virola)</t>
        </is>
      </c>
      <c r="E82" s="33" t="n">
        <v>1</v>
      </c>
      <c r="F82" s="33" t="inlineStr">
        <is>
          <t>u</t>
        </is>
      </c>
      <c r="G82" s="34" t="n">
        <v>4.3132</v>
      </c>
      <c r="H82" s="34">
        <f>E82*G82</f>
        <v/>
      </c>
      <c r="I82" s="33" t="inlineStr">
        <is>
          <t>Chapa LAF IRAM-IAS U 500-05 e=2</t>
        </is>
      </c>
      <c r="J82" s="17" t="inlineStr">
        <is>
          <t>Ø181,5 × e2 × 487,2 de alto; desarrollo 563,9 × 487,2</t>
        </is>
      </c>
      <c r="K82" s="33" t="inlineStr">
        <is>
          <t>Fabricación</t>
        </is>
      </c>
      <c r="L82" s="33" t="inlineStr">
        <is>
          <t>No</t>
        </is>
      </c>
      <c r="M82" s="17" t="n"/>
      <c r="N82" s="17" t="n"/>
      <c r="O82" s="17" t="inlineStr">
        <is>
          <t>1 Guillotina -&gt; 2 numerado -&gt; 3 cilindrado -&gt; 4 soldadura longitudinal</t>
        </is>
      </c>
      <c r="P82" s="17" t="n"/>
      <c r="Q82" s="33" t="inlineStr">
        <is>
          <t>P</t>
        </is>
      </c>
      <c r="R82" s="33" t="inlineStr">
        <is>
          <t>FL_DES_ABC_10kg</t>
        </is>
      </c>
      <c r="S82" s="17" t="inlineStr">
        <is>
          <t>costura long. MAG</t>
        </is>
      </c>
    </row>
    <row r="83">
      <c r="A83" s="35" t="inlineStr">
        <is>
          <t>FL_REC_ABC_10kg</t>
        </is>
      </c>
      <c r="B83" s="35" t="n">
        <v>3</v>
      </c>
      <c r="C83" s="35" t="inlineStr">
        <is>
          <t>MP-HOJA</t>
        </is>
      </c>
      <c r="D83" s="36" t="inlineStr">
        <is>
          <t xml:space="preserve">            Recorte de hoja LAF 1500 × 3000 e=2</t>
        </is>
      </c>
      <c r="E83" s="35" t="n">
        <v>1</v>
      </c>
      <c r="F83" s="35" t="inlineStr">
        <is>
          <t>u</t>
        </is>
      </c>
      <c r="G83" s="37" t="n">
        <v>4.71</v>
      </c>
      <c r="H83" s="37">
        <f>E83*G83</f>
        <v/>
      </c>
      <c r="I83" s="35" t="inlineStr">
        <is>
          <t>Chapa LAF IRAM-IAS U 500-05 LAF</t>
        </is>
      </c>
      <c r="J83" s="36" t="inlineStr">
        <is>
          <t>495 × 563 (aprovech. 92,9 %)</t>
        </is>
      </c>
      <c r="K83" s="35" t="inlineStr">
        <is>
          <t>Compra</t>
        </is>
      </c>
      <c r="L83" s="35" t="inlineStr">
        <is>
          <t>Sí</t>
        </is>
      </c>
      <c r="M83" s="36" t="inlineStr">
        <is>
          <t>Pradecon S.A.</t>
        </is>
      </c>
      <c r="N83" s="36" t="inlineStr">
        <is>
          <t>Pacheco Chapas</t>
        </is>
      </c>
      <c r="O83" s="36" t="inlineStr">
        <is>
          <t>AL-1H paquetes de hojas</t>
        </is>
      </c>
      <c r="P83" s="36" t="n"/>
      <c r="Q83" s="35" t="inlineStr">
        <is>
          <t>L</t>
        </is>
      </c>
      <c r="R83" s="35" t="inlineStr">
        <is>
          <t>FL_PI_04 h2</t>
        </is>
      </c>
      <c r="S83" s="36" t="n"/>
    </row>
    <row r="84">
      <c r="A84" s="33" t="inlineStr">
        <is>
          <t>FL_REC_ABC_10kg</t>
        </is>
      </c>
      <c r="B84" s="33" t="n">
        <v>2</v>
      </c>
      <c r="C84" s="33" t="inlineStr">
        <is>
          <t>ABC10-02</t>
        </is>
      </c>
      <c r="D84" s="17" t="inlineStr">
        <is>
          <t xml:space="preserve">        Cúpula</t>
        </is>
      </c>
      <c r="E84" s="33" t="n">
        <v>1</v>
      </c>
      <c r="F84" s="33" t="inlineStr">
        <is>
          <t>u</t>
        </is>
      </c>
      <c r="G84" s="34" t="n">
        <v>0.4871</v>
      </c>
      <c r="H84" s="34">
        <f>E84*G84</f>
        <v/>
      </c>
      <c r="I84" s="33" t="inlineStr">
        <is>
          <t>Chapa LAF IRAM-IAS U 500-05 e=1,6</t>
        </is>
      </c>
      <c r="J84" s="17" t="inlineStr">
        <is>
          <t>Ø181,5 × e1,6 × 61,3 de alto; disco Ø258</t>
        </is>
      </c>
      <c r="K84" s="33" t="inlineStr">
        <is>
          <t>Fabricación</t>
        </is>
      </c>
      <c r="L84" s="33" t="inlineStr">
        <is>
          <t>No</t>
        </is>
      </c>
      <c r="M84" s="17" t="n"/>
      <c r="N84" s="17" t="n"/>
      <c r="O84" s="17" t="inlineStr">
        <is>
          <t>6 Desbobinado + embutido (M06-M08)</t>
        </is>
      </c>
      <c r="P84" s="17" t="n"/>
      <c r="Q84" s="33" t="inlineStr">
        <is>
          <t>P</t>
        </is>
      </c>
      <c r="R84" s="33" t="inlineStr">
        <is>
          <t>FL_DES_ABC_10kg</t>
        </is>
      </c>
      <c r="S84" s="17" t="inlineStr">
        <is>
          <t>embutida</t>
        </is>
      </c>
    </row>
    <row r="85">
      <c r="A85" s="38" t="inlineStr">
        <is>
          <t>FL_REC_ABC_10kg</t>
        </is>
      </c>
      <c r="B85" s="38" t="n">
        <v>3</v>
      </c>
      <c r="C85" s="38" t="inlineStr">
        <is>
          <t>MP-FLEJE</t>
        </is>
      </c>
      <c r="D85" s="39" t="inlineStr">
        <is>
          <t xml:space="preserve">            Fleje e=2 × 300 (paso 261)</t>
        </is>
      </c>
      <c r="E85" s="38" t="n">
        <v>0.261</v>
      </c>
      <c r="F85" s="38" t="inlineStr">
        <is>
          <t>m</t>
        </is>
      </c>
      <c r="G85" s="40" t="n">
        <v>4.71</v>
      </c>
      <c r="H85" s="40">
        <f>E85*G85</f>
        <v/>
      </c>
      <c r="I85" s="38" t="inlineStr">
        <is>
          <t>Fleje SAE 1010</t>
        </is>
      </c>
      <c r="J85" s="39" t="inlineStr">
        <is>
          <t>disco Ø258 (kg por m de fleje)</t>
        </is>
      </c>
      <c r="K85" s="38" t="inlineStr">
        <is>
          <t>Compra</t>
        </is>
      </c>
      <c r="L85" s="38" t="inlineStr">
        <is>
          <t>Sí</t>
        </is>
      </c>
      <c r="M85" s="39" t="inlineStr">
        <is>
          <t>Pacheco Chapas</t>
        </is>
      </c>
      <c r="N85" s="39" t="inlineStr">
        <is>
          <t>Pradecon S.A.</t>
        </is>
      </c>
      <c r="O85" s="39" t="inlineStr">
        <is>
          <t>AL-1F porta-flejes</t>
        </is>
      </c>
      <c r="P85" s="39" t="n"/>
      <c r="Q85" s="38" t="inlineStr">
        <is>
          <t>L</t>
        </is>
      </c>
      <c r="R85" s="38" t="inlineStr">
        <is>
          <t>FL_PI_04 h2</t>
        </is>
      </c>
      <c r="S85" s="39" t="inlineStr">
        <is>
          <t>OJO: el fleje es e=2 y el plano e=1,6</t>
        </is>
      </c>
    </row>
    <row r="86">
      <c r="A86" s="33" t="inlineStr">
        <is>
          <t>FL_REC_ABC_10kg</t>
        </is>
      </c>
      <c r="B86" s="33" t="n">
        <v>2</v>
      </c>
      <c r="C86" s="33" t="inlineStr">
        <is>
          <t>ABC10-03</t>
        </is>
      </c>
      <c r="D86" s="17" t="inlineStr">
        <is>
          <t xml:space="preserve">        Fondo</t>
        </is>
      </c>
      <c r="E86" s="33" t="n">
        <v>1</v>
      </c>
      <c r="F86" s="33" t="inlineStr">
        <is>
          <t>u</t>
        </is>
      </c>
      <c r="G86" s="34" t="n">
        <v>0.3885</v>
      </c>
      <c r="H86" s="34">
        <f>E86*G86</f>
        <v/>
      </c>
      <c r="I86" s="33" t="inlineStr">
        <is>
          <t>Chapa LAF IRAM-IAS U 500-05 e=2</t>
        </is>
      </c>
      <c r="J86" s="17" t="inlineStr">
        <is>
          <t>Ø181,5 × e2 × 13,7 de alto; disco Ø205</t>
        </is>
      </c>
      <c r="K86" s="33" t="inlineStr">
        <is>
          <t>Fabricación</t>
        </is>
      </c>
      <c r="L86" s="33" t="inlineStr">
        <is>
          <t>No</t>
        </is>
      </c>
      <c r="M86" s="17" t="n"/>
      <c r="N86" s="17" t="n"/>
      <c r="O86" s="17" t="inlineStr">
        <is>
          <t>6 Desbobinado + embutido (M06-M08)</t>
        </is>
      </c>
      <c r="P86" s="17" t="n"/>
      <c r="Q86" s="33" t="inlineStr">
        <is>
          <t>P</t>
        </is>
      </c>
      <c r="R86" s="33" t="inlineStr">
        <is>
          <t>FL_DES_ABC_10kg</t>
        </is>
      </c>
      <c r="S86" s="17" t="inlineStr">
        <is>
          <t>embutido</t>
        </is>
      </c>
    </row>
    <row r="87">
      <c r="A87" s="35" t="inlineStr">
        <is>
          <t>FL_REC_ABC_10kg</t>
        </is>
      </c>
      <c r="B87" s="35" t="n">
        <v>3</v>
      </c>
      <c r="C87" s="35" t="inlineStr">
        <is>
          <t>MP-FLEJE</t>
        </is>
      </c>
      <c r="D87" s="36" t="inlineStr">
        <is>
          <t xml:space="preserve">            Fleje e=2 × 249 (paso 208)</t>
        </is>
      </c>
      <c r="E87" s="35" t="n">
        <v>0.208</v>
      </c>
      <c r="F87" s="35" t="inlineStr">
        <is>
          <t>m</t>
        </is>
      </c>
      <c r="G87" s="37" t="n">
        <v>3.909</v>
      </c>
      <c r="H87" s="37">
        <f>E87*G87</f>
        <v/>
      </c>
      <c r="I87" s="35" t="inlineStr">
        <is>
          <t>Fleje SAE 1010</t>
        </is>
      </c>
      <c r="J87" s="36" t="inlineStr">
        <is>
          <t>disco Ø205 (kg por m de fleje)</t>
        </is>
      </c>
      <c r="K87" s="35" t="inlineStr">
        <is>
          <t>Compra</t>
        </is>
      </c>
      <c r="L87" s="35" t="inlineStr">
        <is>
          <t>Sí</t>
        </is>
      </c>
      <c r="M87" s="36" t="inlineStr">
        <is>
          <t>Pacheco Chapas</t>
        </is>
      </c>
      <c r="N87" s="36" t="inlineStr">
        <is>
          <t>Pradecon S.A.</t>
        </is>
      </c>
      <c r="O87" s="36" t="inlineStr">
        <is>
          <t>AL-1F porta-flejes</t>
        </is>
      </c>
      <c r="P87" s="36" t="n"/>
      <c r="Q87" s="35" t="inlineStr">
        <is>
          <t>L</t>
        </is>
      </c>
      <c r="R87" s="35" t="inlineStr">
        <is>
          <t>FL_PI_04 h2</t>
        </is>
      </c>
      <c r="S87" s="36" t="n"/>
    </row>
    <row r="88">
      <c r="A88" s="33" t="inlineStr">
        <is>
          <t>FL_REC_ABC_10kg</t>
        </is>
      </c>
      <c r="B88" s="33" t="n">
        <v>2</v>
      </c>
      <c r="C88" s="33" t="inlineStr">
        <is>
          <t>ABC10-04</t>
        </is>
      </c>
      <c r="D88" s="17" t="inlineStr">
        <is>
          <t xml:space="preserve">        Cuello roscado</t>
        </is>
      </c>
      <c r="E88" s="33" t="n">
        <v>1</v>
      </c>
      <c r="F88" s="33" t="inlineStr">
        <is>
          <t>u</t>
        </is>
      </c>
      <c r="G88" s="34" t="n">
        <v>0.0542</v>
      </c>
      <c r="H88" s="34">
        <f>E88*G88</f>
        <v/>
      </c>
      <c r="I88" s="33" t="inlineStr">
        <is>
          <t>Acero SAE 1010</t>
        </is>
      </c>
      <c r="J88" s="17" t="inlineStr">
        <is>
          <t>Ø36,8 × 14 de alto, rosca M30x1,5, asiento Ø35</t>
        </is>
      </c>
      <c r="K88" s="33" t="inlineStr">
        <is>
          <t>Compra (mecanizado, Eli-Met)</t>
        </is>
      </c>
      <c r="L88" s="33" t="inlineStr">
        <is>
          <t>Sí</t>
        </is>
      </c>
      <c r="M88" s="17" t="inlineStr">
        <is>
          <t>Eli-Met</t>
        </is>
      </c>
      <c r="N88" s="17" t="inlineStr">
        <is>
          <t>-</t>
        </is>
      </c>
      <c r="O88" s="17" t="inlineStr">
        <is>
          <t>Compra -&gt; 8 soldadura de cuello</t>
        </is>
      </c>
      <c r="P88" s="17" t="n"/>
      <c r="Q88" s="33" t="inlineStr">
        <is>
          <t>P</t>
        </is>
      </c>
      <c r="R88" s="33" t="inlineStr">
        <is>
          <t>FL_DES_ABC_10kg</t>
        </is>
      </c>
      <c r="S88" s="17" t="inlineStr">
        <is>
          <t>M30x1,5</t>
        </is>
      </c>
    </row>
    <row r="89">
      <c r="A89" s="41" t="inlineStr">
        <is>
          <t>FL_REC_ABC_10kg</t>
        </is>
      </c>
      <c r="B89" s="41" t="n">
        <v>2</v>
      </c>
      <c r="C89" s="41" t="inlineStr">
        <is>
          <t>ABC10-C1</t>
        </is>
      </c>
      <c r="D89" s="18" t="inlineStr">
        <is>
          <t xml:space="preserve">        Alambre MAG ER70S-6 Ø0,9 (AWS A5.18)</t>
        </is>
      </c>
      <c r="E89" s="41" t="n">
        <v>0.0987</v>
      </c>
      <c r="F89" s="41" t="inlineStr">
        <is>
          <t>kg</t>
        </is>
      </c>
      <c r="G89" s="42" t="n">
        <v>0.95</v>
      </c>
      <c r="H89" s="42">
        <f>E89*G89</f>
        <v/>
      </c>
      <c r="I89" s="41" t="inlineStr">
        <is>
          <t>ER70S-6</t>
        </is>
      </c>
      <c r="J89" s="18" t="inlineStr">
        <is>
          <t>metal depositado de los cordones del plano 94 g / rendimiento 0,95</t>
        </is>
      </c>
      <c r="K89" s="41" t="inlineStr">
        <is>
          <t>Compra</t>
        </is>
      </c>
      <c r="L89" s="41" t="inlineStr">
        <is>
          <t>Sí</t>
        </is>
      </c>
      <c r="M89" s="18" t="inlineStr">
        <is>
          <t>Conarco (ESAB Argentina)</t>
        </is>
      </c>
      <c r="N89" s="18" t="inlineStr">
        <is>
          <t>-</t>
        </is>
      </c>
      <c r="O89" s="18" t="inlineStr">
        <is>
          <t>4 sold. long. / 8 cuello / 11 circunferencial</t>
        </is>
      </c>
      <c r="P89" s="18" t="inlineStr">
        <is>
          <t>IRAM 3523 3.2.4.2 · IRAM 3550 4.1.2</t>
        </is>
      </c>
      <c r="Q89" s="41" t="inlineStr">
        <is>
          <t>C</t>
        </is>
      </c>
      <c r="R89" s="41"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41" t="inlineStr">
        <is>
          <t>FL_REC_ABC_10kg</t>
        </is>
      </c>
      <c r="B90" s="41" t="n">
        <v>2</v>
      </c>
      <c r="C90" s="41" t="inlineStr">
        <is>
          <t>ABC10-C2</t>
        </is>
      </c>
      <c r="D90" s="18" t="inlineStr">
        <is>
          <t xml:space="preserve">        Gas de protección MAG Arcal 21 / ARCAL Speed (Ar + 8 % CO₂, M20)</t>
        </is>
      </c>
      <c r="E90" s="41" t="n">
        <v>40.7</v>
      </c>
      <c r="F90" s="41" t="inlineStr">
        <is>
          <t>L</t>
        </is>
      </c>
      <c r="G90" s="42" t="n"/>
      <c r="H90" s="42" t="n"/>
      <c r="I90" s="41" t="inlineStr">
        <is>
          <t>EN ISO 14175 M20-ArC-8</t>
        </is>
      </c>
      <c r="J90" s="18" t="inlineStr">
        <is>
          <t>14 L/min × 2,91 min de arco (cordones 1.743 mm: long. 487 + circ. 1.140 + cuello 116, a 600 mm/min)</t>
        </is>
      </c>
      <c r="K90" s="41" t="inlineStr">
        <is>
          <t>Compra</t>
        </is>
      </c>
      <c r="L90" s="41" t="inlineStr">
        <is>
          <t>Sí</t>
        </is>
      </c>
      <c r="M90" s="18" t="inlineStr">
        <is>
          <t>Air Liquide Argentina - sucursal Piñeyro</t>
        </is>
      </c>
      <c r="N90" s="18" t="inlineStr">
        <is>
          <t>Gogniat</t>
        </is>
      </c>
      <c r="O90" s="18" t="inlineStr">
        <is>
          <t>Colector SC</t>
        </is>
      </c>
      <c r="P90" s="18" t="inlineStr">
        <is>
          <t>IRAM 3523 3.2.4.2 · IRAM 3550 3.2.2.2</t>
        </is>
      </c>
      <c r="Q90" s="41" t="inlineStr">
        <is>
          <t>C</t>
        </is>
      </c>
      <c r="R90" s="41"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41" t="inlineStr">
        <is>
          <t>FL_REC_ABC_10kg</t>
        </is>
      </c>
      <c r="B91" s="41" t="n">
        <v>2</v>
      </c>
      <c r="C91" s="41" t="inlineStr">
        <is>
          <t>ABC10-C3</t>
        </is>
      </c>
      <c r="D91" s="18" t="inlineStr">
        <is>
          <t xml:space="preserve">        Granalla de acero S330 / S390 (ISO 11124-3, SAE J444)</t>
        </is>
      </c>
      <c r="E91" s="41" t="n">
        <v>0.08</v>
      </c>
      <c r="F91" s="41" t="inlineStr">
        <is>
          <t>kg</t>
        </is>
      </c>
      <c r="G91" s="42" t="n"/>
      <c r="H91" s="42" t="n"/>
      <c r="I91" s="41" t="inlineStr">
        <is>
          <t>Granalla esférica alto C</t>
        </is>
      </c>
      <c r="J91" s="18" t="inlineStr">
        <is>
          <t>0,338 m² a Sa 2½ (ISO 8501-1); 3,4 kg/h ÷ 42,5 u/h</t>
        </is>
      </c>
      <c r="K91" s="41" t="inlineStr">
        <is>
          <t>Compra</t>
        </is>
      </c>
      <c r="L91" s="41" t="inlineStr">
        <is>
          <t>Sí</t>
        </is>
      </c>
      <c r="M91" s="18" t="inlineStr">
        <is>
          <t>CyM Materiales</t>
        </is>
      </c>
      <c r="N91" s="18" t="inlineStr">
        <is>
          <t>Roca Ingeniería</t>
        </is>
      </c>
      <c r="O91" s="18" t="inlineStr">
        <is>
          <t>14 Granallado (B08)</t>
        </is>
      </c>
      <c r="P91" s="18" t="inlineStr">
        <is>
          <t>DOC-01</t>
        </is>
      </c>
      <c r="Q91" s="41" t="inlineStr">
        <is>
          <t>C</t>
        </is>
      </c>
      <c r="R91" s="41" t="n"/>
      <c r="S91" s="18" t="inlineStr">
        <is>
          <t>Consumo (desgaste) por turbina ≈ HP / 2 lb/h (The Fabricator, «aspectos básicos del granallado por turbina»): G-100 con 2 × 7,5 HP = 7,5 lb/h = 3,4 kg/h; ritmo 340 u por turno (Getweld) = 42,5 u/h.</t>
        </is>
      </c>
    </row>
    <row r="92">
      <c r="A92" s="33" t="inlineStr">
        <is>
          <t>FL_REC_ABC_10kg</t>
        </is>
      </c>
      <c r="B92" s="33" t="n">
        <v>2</v>
      </c>
      <c r="C92" s="33" t="inlineStr">
        <is>
          <t>ABC10-C4</t>
        </is>
      </c>
      <c r="D92" s="17" t="inlineStr">
        <is>
          <t xml:space="preserve">        Servicio de pintura en polvo al horno, rojo 03-1-050</t>
        </is>
      </c>
      <c r="E92" s="33" t="n">
        <v>1</v>
      </c>
      <c r="F92" s="33" t="inlineStr">
        <is>
          <t>u</t>
        </is>
      </c>
      <c r="G92" s="34" t="n"/>
      <c r="H92" s="34" t="n"/>
      <c r="I92" s="33" t="inlineStr">
        <is>
          <t>Servicio tercerizado</t>
        </is>
      </c>
      <c r="J92" s="17" t="inlineStr">
        <is>
          <t>superficie exterior 0,338 m²</t>
        </is>
      </c>
      <c r="K92" s="33" t="inlineStr">
        <is>
          <t>Compra (servicio)</t>
        </is>
      </c>
      <c r="L92" s="33" t="inlineStr">
        <is>
          <t>Sí</t>
        </is>
      </c>
      <c r="M92" s="17" t="inlineStr">
        <is>
          <t>Prymax</t>
        </is>
      </c>
      <c r="N92" s="17" t="inlineStr">
        <is>
          <t>Pintor de carros (cotización por mensaje)</t>
        </is>
      </c>
      <c r="O92" s="17" t="inlineStr">
        <is>
          <t>17 Pintura tercerizada</t>
        </is>
      </c>
      <c r="P92" s="17" t="inlineStr">
        <is>
          <t>IRAM 3523 5.3 / IRAM 3550 3.11 · IRAM 121</t>
        </is>
      </c>
      <c r="Q92" s="33" t="inlineStr">
        <is>
          <t>Q</t>
        </is>
      </c>
      <c r="R92" s="33" t="n"/>
      <c r="S92" s="17" t="inlineStr">
        <is>
          <t>Q-PRYMAX (precio por cilindro); exigir informe de niebla salina del sistema de pintura; tercerización aceptada por el Ministerio (Res. 349/07 art. 18)</t>
        </is>
      </c>
    </row>
    <row r="93">
      <c r="A93" s="43" t="inlineStr">
        <is>
          <t>FL_REC_ABC_10kg</t>
        </is>
      </c>
      <c r="B93" s="43" t="n">
        <v>2</v>
      </c>
      <c r="C93" s="43" t="inlineStr">
        <is>
          <t>ABC10-T1</t>
        </is>
      </c>
      <c r="D93" s="20" t="inlineStr">
        <is>
          <t xml:space="preserve">        Tapón protector de rosca del cuello</t>
        </is>
      </c>
      <c r="E93" s="43" t="n">
        <v>1</v>
      </c>
      <c r="F93" s="43" t="inlineStr">
        <is>
          <t>u</t>
        </is>
      </c>
      <c r="G93" s="44" t="n"/>
      <c r="H93" s="44" t="n"/>
      <c r="I93" s="43" t="inlineStr">
        <is>
          <t>Polietileno</t>
        </is>
      </c>
      <c r="J93" s="20" t="inlineStr">
        <is>
          <t>para rosca M30x1,5 (plano FL_REC_ABC_10kg hoja 3, R4)</t>
        </is>
      </c>
      <c r="K93" s="43" t="inlineStr">
        <is>
          <t>Compra</t>
        </is>
      </c>
      <c r="L93" s="43" t="inlineStr">
        <is>
          <t>Sí</t>
        </is>
      </c>
      <c r="M93" s="20" t="inlineStr">
        <is>
          <t>-</t>
        </is>
      </c>
      <c r="N93" s="20" t="inlineStr">
        <is>
          <t>-</t>
        </is>
      </c>
      <c r="O93" s="20" t="inlineStr">
        <is>
          <t>Embalaje</t>
        </is>
      </c>
      <c r="P93" s="20" t="n"/>
      <c r="Q93" s="43" t="inlineStr">
        <is>
          <t>P</t>
        </is>
      </c>
      <c r="R93" s="43" t="n"/>
      <c r="S93" s="20" t="n"/>
    </row>
    <row r="94">
      <c r="A94" s="33" t="inlineStr">
        <is>
          <t>FL_REC_ABC_10kg</t>
        </is>
      </c>
      <c r="B94" s="33" t="n">
        <v>2</v>
      </c>
      <c r="C94" s="33" t="inlineStr">
        <is>
          <t>ABC10-T2</t>
        </is>
      </c>
      <c r="D94" s="17" t="inlineStr">
        <is>
          <t xml:space="preserve">        Marcado del recipiente (estampado)</t>
        </is>
      </c>
      <c r="E94" s="33" t="n">
        <v>1</v>
      </c>
      <c r="F94" s="33" t="inlineStr">
        <is>
          <t>u</t>
        </is>
      </c>
      <c r="G94" s="34" t="n"/>
      <c r="H94" s="34" t="n"/>
      <c r="I94" s="33" t="inlineStr">
        <is>
          <t>-</t>
        </is>
      </c>
      <c r="J94" s="17" t="inlineStr">
        <is>
          <t>Fabricante, n° de serie, año; cuño DPS 15 × 7 junto al n°</t>
        </is>
      </c>
      <c r="K94" s="33" t="inlineStr">
        <is>
          <t>Proceso</t>
        </is>
      </c>
      <c r="L94" s="33" t="inlineStr">
        <is>
          <t>No</t>
        </is>
      </c>
      <c r="M94" s="17" t="n"/>
      <c r="N94" s="17" t="n"/>
      <c r="O94" s="17" t="inlineStr">
        <is>
          <t>Marcado</t>
        </is>
      </c>
      <c r="P94" s="17" t="inlineStr">
        <is>
          <t>IRAM 3523 5.1 · Res. 349/07 anexo IV</t>
        </is>
      </c>
      <c r="Q94" s="33" t="inlineStr">
        <is>
          <t>N</t>
        </is>
      </c>
      <c r="R94" s="33" t="n"/>
      <c r="S94" s="17" t="n"/>
    </row>
    <row r="95">
      <c r="A95" s="33" t="inlineStr">
        <is>
          <t>FL_REC_ABC_10kg</t>
        </is>
      </c>
      <c r="B95" s="33" t="n">
        <v>2</v>
      </c>
      <c r="C95" s="33" t="inlineStr">
        <is>
          <t>ABC10-T3</t>
        </is>
      </c>
      <c r="D95" s="17" t="inlineStr">
        <is>
          <t xml:space="preserve">        Etiqueta de identificación del cilindro suelto</t>
        </is>
      </c>
      <c r="E95" s="33" t="n">
        <v>1</v>
      </c>
      <c r="F95" s="33" t="inlineStr">
        <is>
          <t>u</t>
        </is>
      </c>
      <c r="G95" s="34" t="n"/>
      <c r="H95" s="34" t="n"/>
      <c r="I95" s="33" t="inlineStr">
        <is>
          <t>Poliéster autoadhesivo removible</t>
        </is>
      </c>
      <c r="J95" s="17" t="inlineStr">
        <is>
          <t>100 × 60, impresión térmica, QR GS1</t>
        </is>
      </c>
      <c r="K95" s="33" t="inlineStr">
        <is>
          <t>Compra</t>
        </is>
      </c>
      <c r="L95" s="33" t="inlineStr">
        <is>
          <t>Sí</t>
        </is>
      </c>
      <c r="M95" s="17" t="inlineStr">
        <is>
          <t>Astuprint</t>
        </is>
      </c>
      <c r="N95" s="17" t="inlineStr">
        <is>
          <t>GS1 Argentina</t>
        </is>
      </c>
      <c r="O95" s="17" t="inlineStr">
        <is>
          <t>Etiquetado</t>
        </is>
      </c>
      <c r="P95" s="17" t="n"/>
      <c r="Q95" s="33" t="inlineStr">
        <is>
          <t>P</t>
        </is>
      </c>
      <c r="R95" s="33" t="inlineStr">
        <is>
          <t>FL_REC_ABC_10kg hoja 3</t>
        </is>
      </c>
      <c r="S95" s="17" t="n"/>
    </row>
    <row r="96">
      <c r="A96" s="33" t="inlineStr">
        <is>
          <t>FL_REC_ABC_10kg</t>
        </is>
      </c>
      <c r="B96" s="33" t="n">
        <v>2</v>
      </c>
      <c r="C96" s="33" t="inlineStr">
        <is>
          <t>ABC10-T4</t>
        </is>
      </c>
      <c r="D96" s="17" t="inlineStr">
        <is>
          <t xml:space="preserve">        Protocolo de ensayo hidrostático (certificado que acompaña)</t>
        </is>
      </c>
      <c r="E96" s="33" t="n">
        <v>1</v>
      </c>
      <c r="F96" s="33" t="inlineStr">
        <is>
          <t>u</t>
        </is>
      </c>
      <c r="G96" s="34" t="n">
        <v>0.005</v>
      </c>
      <c r="H96" s="34">
        <f>E96*G96</f>
        <v/>
      </c>
      <c r="I96" s="33" t="inlineStr">
        <is>
          <t>Papel</t>
        </is>
      </c>
      <c r="J96" s="17" t="inlineStr">
        <is>
          <t>A5</t>
        </is>
      </c>
      <c r="K96" s="33" t="inlineStr">
        <is>
          <t>Proceso</t>
        </is>
      </c>
      <c r="L96" s="33" t="inlineStr">
        <is>
          <t>No</t>
        </is>
      </c>
      <c r="M96" s="17" t="n"/>
      <c r="N96" s="17" t="n"/>
      <c r="O96" s="17" t="inlineStr">
        <is>
          <t>Control de calidad</t>
        </is>
      </c>
      <c r="P96" s="17" t="inlineStr">
        <is>
          <t>IRAM 3523 4.1 y cap. 6 · IRAM 2587</t>
        </is>
      </c>
      <c r="Q96" s="33" t="inlineStr">
        <is>
          <t>N</t>
        </is>
      </c>
      <c r="R96" s="33" t="inlineStr">
        <is>
          <t>FL_REC_ABC_10kg hoja 3</t>
        </is>
      </c>
      <c r="S96" s="17" t="n"/>
    </row>
    <row r="97">
      <c r="A97" s="30" t="inlineStr">
        <is>
          <t>FL_REC_ABC_10kg</t>
        </is>
      </c>
      <c r="B97" s="30" t="n">
        <v>1</v>
      </c>
      <c r="C97" s="30" t="inlineStr">
        <is>
          <t>ABC10-S7</t>
        </is>
      </c>
      <c r="D97" s="31" t="inlineStr">
        <is>
          <t xml:space="preserve">    Embalaje</t>
        </is>
      </c>
      <c r="E97" s="30" t="n">
        <v>1</v>
      </c>
      <c r="F97" s="30" t="inlineStr">
        <is>
          <t>u</t>
        </is>
      </c>
      <c r="G97" s="32" t="n"/>
      <c r="H97" s="32">
        <f>H100</f>
        <v/>
      </c>
      <c r="I97" s="30" t="n"/>
      <c r="J97" s="31" t="n"/>
      <c r="K97" s="30" t="inlineStr">
        <is>
          <t>Compra</t>
        </is>
      </c>
      <c r="L97" s="30" t="n"/>
      <c r="M97" s="31" t="n"/>
      <c r="N97" s="31" t="n"/>
      <c r="O97" s="31" t="inlineStr">
        <is>
          <t>23 Embalaje -&gt; 24 envolvedora (T11)</t>
        </is>
      </c>
      <c r="P97" s="31" t="n"/>
      <c r="Q97" s="30" t="n"/>
      <c r="R97" s="30" t="n"/>
      <c r="S97" s="31" t="n"/>
    </row>
    <row r="98">
      <c r="A98" s="33" t="inlineStr">
        <is>
          <t>FL_REC_ABC_10kg</t>
        </is>
      </c>
      <c r="B98" s="33" t="n">
        <v>2</v>
      </c>
      <c r="C98" s="33" t="inlineStr">
        <is>
          <t>ABC10-E1</t>
        </is>
      </c>
      <c r="D98" s="17" t="inlineStr">
        <is>
          <t xml:space="preserve">        Caja de cartón corrugado doble</t>
        </is>
      </c>
      <c r="E98" s="33" t="n">
        <v>1</v>
      </c>
      <c r="F98" s="33" t="inlineStr">
        <is>
          <t>u</t>
        </is>
      </c>
      <c r="G98" s="34" t="n"/>
      <c r="H98" s="34" t="n"/>
      <c r="I98" s="33" t="inlineStr">
        <is>
          <t>Cartón corrugado</t>
        </is>
      </c>
      <c r="J98" s="17" t="inlineStr">
        <is>
          <t>212 × 212 × 582 interior (envolvente del plano + 15 por lado)</t>
        </is>
      </c>
      <c r="K98" s="33" t="inlineStr">
        <is>
          <t>Compra</t>
        </is>
      </c>
      <c r="L98" s="33" t="inlineStr">
        <is>
          <t>Sí</t>
        </is>
      </c>
      <c r="M98" s="17" t="inlineStr">
        <is>
          <t>Maxipack</t>
        </is>
      </c>
      <c r="N98" s="17" t="inlineStr">
        <is>
          <t>Cartocan</t>
        </is>
      </c>
      <c r="O98" s="17" t="inlineStr">
        <is>
          <t>23 Embalaje</t>
        </is>
      </c>
      <c r="P98" s="17" t="n"/>
      <c r="Q98" s="33" t="inlineStr">
        <is>
          <t>P</t>
        </is>
      </c>
      <c r="R98" s="33" t="n"/>
      <c r="S98" s="17" t="inlineStr">
        <is>
          <t>Medida del plano</t>
        </is>
      </c>
    </row>
    <row r="99">
      <c r="A99" s="33" t="inlineStr">
        <is>
          <t>FL_REC_ABC_10kg</t>
        </is>
      </c>
      <c r="B99" s="33" t="n">
        <v>2</v>
      </c>
      <c r="C99" s="33" t="inlineStr">
        <is>
          <t>ABC10-E3</t>
        </is>
      </c>
      <c r="D99" s="17" t="inlineStr">
        <is>
          <t xml:space="preserve">        Pallet 1200 × 1000 (fracción)</t>
        </is>
      </c>
      <c r="E99" s="33" t="n">
        <v>0.025</v>
      </c>
      <c r="F99" s="33" t="inlineStr">
        <is>
          <t>u</t>
        </is>
      </c>
      <c r="G99" s="34" t="n"/>
      <c r="H99" s="34" t="n"/>
      <c r="I99" s="33" t="inlineStr">
        <is>
          <t>Madera</t>
        </is>
      </c>
      <c r="J99" s="17" t="inlineStr">
        <is>
          <t>40 u por pallet</t>
        </is>
      </c>
      <c r="K99" s="33" t="inlineStr">
        <is>
          <t>Compra</t>
        </is>
      </c>
      <c r="L99" s="33" t="inlineStr">
        <is>
          <t>Sí</t>
        </is>
      </c>
      <c r="M99" s="17" t="inlineStr">
        <is>
          <t>IndusPallets</t>
        </is>
      </c>
      <c r="N99" s="17" t="inlineStr">
        <is>
          <t>-</t>
        </is>
      </c>
      <c r="O99" s="17" t="inlineStr">
        <is>
          <t>23 Embalaje</t>
        </is>
      </c>
      <c r="P99" s="17" t="n"/>
      <c r="Q99" s="33" t="inlineStr">
        <is>
          <t>C</t>
        </is>
      </c>
      <c r="R99" s="33" t="n"/>
      <c r="S99" s="17" t="inlineStr">
        <is>
          <t>u por pallet = acomodo de la caja (plano) en 1200 × 1000 × 1450 de alto</t>
        </is>
      </c>
    </row>
    <row r="100">
      <c r="A100" s="41" t="inlineStr">
        <is>
          <t>FL_REC_ABC_10kg</t>
        </is>
      </c>
      <c r="B100" s="41" t="n">
        <v>2</v>
      </c>
      <c r="C100" s="41" t="inlineStr">
        <is>
          <t>ABC10-E4</t>
        </is>
      </c>
      <c r="D100" s="18" t="inlineStr">
        <is>
          <t xml:space="preserve">        Film stretch (fracción del pallet)</t>
        </is>
      </c>
      <c r="E100" s="41" t="n">
        <v>0.003</v>
      </c>
      <c r="F100" s="41" t="inlineStr">
        <is>
          <t>kg</t>
        </is>
      </c>
      <c r="G100" s="42" t="n">
        <v>1</v>
      </c>
      <c r="H100" s="42">
        <f>E100*G100</f>
        <v/>
      </c>
      <c r="I100" s="41" t="inlineStr">
        <is>
          <t>PE lineal 23 µm</t>
        </is>
      </c>
      <c r="J100" s="18" t="inlineStr">
        <is>
          <t>0,12 kg por pallet / 40 u</t>
        </is>
      </c>
      <c r="K100" s="41" t="inlineStr">
        <is>
          <t>Compra</t>
        </is>
      </c>
      <c r="L100" s="41" t="inlineStr">
        <is>
          <t>Sí</t>
        </is>
      </c>
      <c r="M100" s="18" t="inlineStr">
        <is>
          <t>MV Embalajes</t>
        </is>
      </c>
      <c r="N100" s="18" t="inlineStr">
        <is>
          <t>Embalpack</t>
        </is>
      </c>
      <c r="O100" s="18" t="inlineStr">
        <is>
          <t>24 Envolvedora (T11)</t>
        </is>
      </c>
      <c r="P100" s="18" t="n"/>
      <c r="Q100" s="41" t="inlineStr">
        <is>
          <t>C</t>
        </is>
      </c>
      <c r="R100" s="41"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3" t="inlineStr">
        <is>
          <t>FL_REC_ABC_10kg</t>
        </is>
      </c>
      <c r="B101" s="33" t="n">
        <v>2</v>
      </c>
      <c r="C101" s="33" t="inlineStr">
        <is>
          <t>ABC10-E5</t>
        </is>
      </c>
      <c r="D101" s="17" t="inlineStr">
        <is>
          <t xml:space="preserve">        Etiqueta de pallet (lote y destino, fracción)</t>
        </is>
      </c>
      <c r="E101" s="33" t="n">
        <v>0.025</v>
      </c>
      <c r="F101" s="33" t="inlineStr">
        <is>
          <t>u</t>
        </is>
      </c>
      <c r="G101" s="34" t="n"/>
      <c r="H101" s="34" t="n"/>
      <c r="I101" s="33" t="inlineStr">
        <is>
          <t>Papel térmico</t>
        </is>
      </c>
      <c r="J101" s="17" t="inlineStr">
        <is>
          <t>100 × 150</t>
        </is>
      </c>
      <c r="K101" s="33" t="inlineStr">
        <is>
          <t>Compra</t>
        </is>
      </c>
      <c r="L101" s="33" t="inlineStr">
        <is>
          <t>Sí</t>
        </is>
      </c>
      <c r="M101" s="17" t="inlineStr">
        <is>
          <t>Astuprint</t>
        </is>
      </c>
      <c r="N101" s="17" t="inlineStr">
        <is>
          <t>Multilabel Argentina S.A.</t>
        </is>
      </c>
      <c r="O101" s="17" t="inlineStr">
        <is>
          <t>24 Envolvedora</t>
        </is>
      </c>
      <c r="P101" s="17" t="n"/>
      <c r="Q101" s="33" t="inlineStr">
        <is>
          <t>C</t>
        </is>
      </c>
      <c r="R101" s="33" t="n"/>
      <c r="S101" s="17" t="n"/>
    </row>
    <row r="102">
      <c r="A102" s="41" t="inlineStr">
        <is>
          <t>FL_REC_ABC_10kg</t>
        </is>
      </c>
      <c r="B102" s="41" t="n">
        <v>2</v>
      </c>
      <c r="C102" s="41" t="inlineStr">
        <is>
          <t>ABC10-E6</t>
        </is>
      </c>
      <c r="D102" s="18" t="inlineStr">
        <is>
          <t xml:space="preserve">        Cinta de embalaje PP 48 mm (cierre de la caja)</t>
        </is>
      </c>
      <c r="E102" s="41" t="n">
        <v>0.703</v>
      </c>
      <c r="F102" s="41" t="inlineStr">
        <is>
          <t>m</t>
        </is>
      </c>
      <c r="G102" s="42" t="n"/>
      <c r="H102" s="42" t="n"/>
      <c r="I102" s="41" t="inlineStr">
        <is>
          <t>Polipropileno con adhesivo acrílico</t>
        </is>
      </c>
      <c r="J102" s="18" t="inlineStr">
        <is>
          <t>cierre en I arriba y abajo: 2 × (212 + 2 × 70 de solapa)</t>
        </is>
      </c>
      <c r="K102" s="41" t="inlineStr">
        <is>
          <t>Compra</t>
        </is>
      </c>
      <c r="L102" s="41" t="inlineStr">
        <is>
          <t>Sí</t>
        </is>
      </c>
      <c r="M102" s="18" t="inlineStr">
        <is>
          <t>MV Embalajes</t>
        </is>
      </c>
      <c r="N102" s="18" t="inlineStr">
        <is>
          <t>Embalpack</t>
        </is>
      </c>
      <c r="O102" s="18" t="inlineStr">
        <is>
          <t>23 Embalaje</t>
        </is>
      </c>
      <c r="P102" s="18" t="n"/>
      <c r="Q102" s="41" t="inlineStr">
        <is>
          <t>C</t>
        </is>
      </c>
      <c r="R102" s="41" t="n"/>
      <c r="S102" s="18" t="inlineStr">
        <is>
          <t>Solapa de 70 mm por lado: práctica de cierre de cajas (medir en la línea)</t>
        </is>
      </c>
    </row>
    <row r="103">
      <c r="A103" s="33" t="inlineStr">
        <is>
          <t>FL_REC_ABC_10kg</t>
        </is>
      </c>
      <c r="B103" s="33" t="n">
        <v>2</v>
      </c>
      <c r="C103" s="33" t="inlineStr">
        <is>
          <t>ABC10-E7</t>
        </is>
      </c>
      <c r="D103" s="17" t="inlineStr">
        <is>
          <t xml:space="preserve">        Esquineros de cartón 50 × 50 × 1200 (fracción del pallet)</t>
        </is>
      </c>
      <c r="E103" s="33" t="n">
        <v>0.1</v>
      </c>
      <c r="F103" s="33" t="inlineStr">
        <is>
          <t>u</t>
        </is>
      </c>
      <c r="G103" s="34" t="n"/>
      <c r="H103" s="34" t="n"/>
      <c r="I103" s="33" t="inlineStr">
        <is>
          <t>Cartón</t>
        </is>
      </c>
      <c r="J103" s="17" t="inlineStr">
        <is>
          <t>4 por pallet / 40 u</t>
        </is>
      </c>
      <c r="K103" s="33" t="inlineStr">
        <is>
          <t>Compra</t>
        </is>
      </c>
      <c r="L103" s="33" t="inlineStr">
        <is>
          <t>Sí</t>
        </is>
      </c>
      <c r="M103" s="17" t="inlineStr">
        <is>
          <t>Maxipack</t>
        </is>
      </c>
      <c r="N103" s="17" t="inlineStr">
        <is>
          <t>Cartocan</t>
        </is>
      </c>
      <c r="O103" s="17" t="inlineStr">
        <is>
          <t>24 Envolvedora (T11)</t>
        </is>
      </c>
      <c r="P103" s="17" t="n"/>
      <c r="Q103" s="33" t="inlineStr">
        <is>
          <t>C</t>
        </is>
      </c>
      <c r="R103" s="33" t="n"/>
      <c r="S103" s="17" t="inlineStr">
        <is>
          <t>Planilla MP-64</t>
        </is>
      </c>
    </row>
    <row r="104">
      <c r="A104" s="33" t="inlineStr">
        <is>
          <t>FL_REC_ABC_10kg</t>
        </is>
      </c>
      <c r="B104" s="33" t="n">
        <v>2</v>
      </c>
      <c r="C104" s="33" t="inlineStr">
        <is>
          <t>ABC10-E8</t>
        </is>
      </c>
      <c r="D104" s="17" t="inlineStr">
        <is>
          <t xml:space="preserve">        Separador de capa de cartón 1200 × 1000 (fracción del pallet)</t>
        </is>
      </c>
      <c r="E104" s="33" t="n">
        <v>0.025</v>
      </c>
      <c r="F104" s="33" t="inlineStr">
        <is>
          <t>u</t>
        </is>
      </c>
      <c r="G104" s="34" t="n"/>
      <c r="H104" s="34" t="n"/>
      <c r="I104" s="33" t="inlineStr">
        <is>
          <t>Cartón</t>
        </is>
      </c>
      <c r="J104" s="17" t="inlineStr">
        <is>
          <t>2 capas → 1 separadores por pallet / 40 u</t>
        </is>
      </c>
      <c r="K104" s="33" t="inlineStr">
        <is>
          <t>Compra</t>
        </is>
      </c>
      <c r="L104" s="33" t="inlineStr">
        <is>
          <t>Sí</t>
        </is>
      </c>
      <c r="M104" s="17" t="inlineStr">
        <is>
          <t>Maxipack</t>
        </is>
      </c>
      <c r="N104" s="17" t="inlineStr">
        <is>
          <t>Cartocan</t>
        </is>
      </c>
      <c r="O104" s="17" t="inlineStr">
        <is>
          <t>23 Embalaje</t>
        </is>
      </c>
      <c r="P104" s="17" t="n"/>
      <c r="Q104" s="33" t="inlineStr">
        <is>
          <t>C</t>
        </is>
      </c>
      <c r="R104" s="33" t="n"/>
      <c r="S104" s="17" t="inlineStr">
        <is>
          <t>Planilla MP-61</t>
        </is>
      </c>
    </row>
    <row r="105">
      <c r="A105" s="27" t="inlineStr">
        <is>
          <t>FL_REC_ABC_25kg</t>
        </is>
      </c>
      <c r="B105" s="27" t="n">
        <v>0</v>
      </c>
      <c r="C105" s="27" t="inlineStr">
        <is>
          <t>FL_REC_ABC_25kg</t>
        </is>
      </c>
      <c r="D105" s="28" t="inlineStr">
        <is>
          <t>Cilindro (recipiente) ABC 25 kg rodante - repuesto vacío sin válvula</t>
        </is>
      </c>
      <c r="E105" s="27" t="n">
        <v>1</v>
      </c>
      <c r="F105" s="27" t="inlineStr">
        <is>
          <t>u</t>
        </is>
      </c>
      <c r="G105" s="29" t="n"/>
      <c r="H105" s="29" t="n"/>
      <c r="I105" s="27" t="n"/>
      <c r="J105" s="28" t="n"/>
      <c r="K105" s="27" t="n"/>
      <c r="L105" s="27" t="n"/>
      <c r="M105" s="28" t="n"/>
      <c r="N105" s="28" t="n"/>
      <c r="O105" s="28" t="n"/>
      <c r="P105" s="28" t="inlineStr">
        <is>
          <t>IRAM 3550</t>
        </is>
      </c>
      <c r="Q105" s="27" t="inlineStr">
        <is>
          <t>P</t>
        </is>
      </c>
      <c r="R105" s="27" t="inlineStr">
        <is>
          <t>FL_REC_ABC_25kg</t>
        </is>
      </c>
      <c r="S105" s="28" t="inlineStr">
        <is>
          <t>Fabricación propia</t>
        </is>
      </c>
    </row>
    <row r="106">
      <c r="A106" s="30" t="inlineStr">
        <is>
          <t>FL_REC_ABC_25kg</t>
        </is>
      </c>
      <c r="B106" s="30" t="n">
        <v>1</v>
      </c>
      <c r="C106" s="30" t="inlineStr">
        <is>
          <t>ABC25-S1</t>
        </is>
      </c>
      <c r="D106" s="31" t="inlineStr">
        <is>
          <t xml:space="preserve">    Recipiente (cilindro)</t>
        </is>
      </c>
      <c r="E106" s="30" t="n">
        <v>1</v>
      </c>
      <c r="F106" s="30" t="inlineStr">
        <is>
          <t>u</t>
        </is>
      </c>
      <c r="G106" s="32" t="n"/>
      <c r="H106" s="32">
        <f>H107+H109+H110+H111+H112+H118</f>
        <v/>
      </c>
      <c r="I106" s="30" t="n"/>
      <c r="J106" s="31" t="n"/>
      <c r="K106" s="30" t="inlineStr">
        <is>
          <t>Fabricación</t>
        </is>
      </c>
      <c r="L106" s="30" t="n"/>
      <c r="M106" s="31" t="n"/>
      <c r="N106" s="31" t="n"/>
      <c r="O106" s="31" t="n"/>
      <c r="P106" s="31" t="inlineStr">
        <is>
          <t>IRAM 3523 / 3550 (recipiente)</t>
        </is>
      </c>
      <c r="Q106" s="30" t="inlineStr">
        <is>
          <t>P</t>
        </is>
      </c>
      <c r="R106" s="30" t="inlineStr">
        <is>
          <t>FL_DES_ABC_25kg</t>
        </is>
      </c>
      <c r="S106" s="31" t="n"/>
    </row>
    <row r="107">
      <c r="A107" s="33" t="inlineStr">
        <is>
          <t>FL_REC_ABC_25kg</t>
        </is>
      </c>
      <c r="B107" s="33" t="n">
        <v>2</v>
      </c>
      <c r="C107" s="33" t="inlineStr">
        <is>
          <t>ABC25-01</t>
        </is>
      </c>
      <c r="D107" s="17" t="inlineStr">
        <is>
          <t xml:space="preserve">        Cuerpo (virola)</t>
        </is>
      </c>
      <c r="E107" s="33" t="n">
        <v>1</v>
      </c>
      <c r="F107" s="33" t="inlineStr">
        <is>
          <t>u</t>
        </is>
      </c>
      <c r="G107" s="34" t="n">
        <v>8.756600000000001</v>
      </c>
      <c r="H107" s="34">
        <f>E107*G107</f>
        <v/>
      </c>
      <c r="I107" s="33" t="inlineStr">
        <is>
          <t>Chapa LAC IRAM-IAS U 500-04 e=3,2</t>
        </is>
      </c>
      <c r="J107" s="17" t="inlineStr">
        <is>
          <t>Ø276,5 × e3,2 × 406 de alto; desarrollo 858,6 × 406</t>
        </is>
      </c>
      <c r="K107" s="33" t="inlineStr">
        <is>
          <t>Fabricación</t>
        </is>
      </c>
      <c r="L107" s="33" t="inlineStr">
        <is>
          <t>No</t>
        </is>
      </c>
      <c r="M107" s="17" t="n"/>
      <c r="N107" s="17" t="n"/>
      <c r="O107" s="17" t="inlineStr">
        <is>
          <t>1 Guillotina -&gt; C1 cilindrado -&gt; C2 punteo -&gt; C3 sold. long.</t>
        </is>
      </c>
      <c r="P107" s="17" t="n"/>
      <c r="Q107" s="33" t="inlineStr">
        <is>
          <t>P</t>
        </is>
      </c>
      <c r="R107" s="33" t="inlineStr">
        <is>
          <t>FL_DES_ABC_25kg</t>
        </is>
      </c>
      <c r="S107" s="17" t="inlineStr">
        <is>
          <t>costura long. MAG</t>
        </is>
      </c>
    </row>
    <row r="108">
      <c r="A108" s="35" t="inlineStr">
        <is>
          <t>FL_REC_ABC_25kg</t>
        </is>
      </c>
      <c r="B108" s="35" t="n">
        <v>3</v>
      </c>
      <c r="C108" s="35" t="inlineStr">
        <is>
          <t>MP-HOJA</t>
        </is>
      </c>
      <c r="D108" s="36" t="inlineStr">
        <is>
          <t xml:space="preserve">            Recorte de hoja LAC 1500 × 3000 e=3,2</t>
        </is>
      </c>
      <c r="E108" s="35" t="n">
        <v>1</v>
      </c>
      <c r="F108" s="35" t="inlineStr">
        <is>
          <t>u</t>
        </is>
      </c>
      <c r="G108" s="37" t="n">
        <v>12.558</v>
      </c>
      <c r="H108" s="37">
        <f>E108*G108</f>
        <v/>
      </c>
      <c r="I108" s="35" t="inlineStr">
        <is>
          <t>Chapa LAC IRAM-IAS U 500-04 LAC</t>
        </is>
      </c>
      <c r="J108" s="36" t="inlineStr">
        <is>
          <t>490 × 858 (aprovech. 84,1 %)</t>
        </is>
      </c>
      <c r="K108" s="35" t="inlineStr">
        <is>
          <t>Compra</t>
        </is>
      </c>
      <c r="L108" s="35" t="inlineStr">
        <is>
          <t>Sí</t>
        </is>
      </c>
      <c r="M108" s="36" t="inlineStr">
        <is>
          <t>Pradecon S.A.</t>
        </is>
      </c>
      <c r="N108" s="36" t="inlineStr">
        <is>
          <t>Pacheco Chapas</t>
        </is>
      </c>
      <c r="O108" s="36" t="inlineStr">
        <is>
          <t>AL-1H paquetes de hojas</t>
        </is>
      </c>
      <c r="P108" s="36" t="n"/>
      <c r="Q108" s="35" t="inlineStr">
        <is>
          <t>L</t>
        </is>
      </c>
      <c r="R108" s="35" t="inlineStr">
        <is>
          <t>FL_PI_04 h2</t>
        </is>
      </c>
      <c r="S108" s="36" t="n"/>
    </row>
    <row r="109">
      <c r="A109" s="33" t="inlineStr">
        <is>
          <t>FL_REC_ABC_25kg</t>
        </is>
      </c>
      <c r="B109" s="33" t="n">
        <v>2</v>
      </c>
      <c r="C109" s="33" t="inlineStr">
        <is>
          <t>ABC25-02</t>
        </is>
      </c>
      <c r="D109" s="17" t="inlineStr">
        <is>
          <t xml:space="preserve">        Cúpula</t>
        </is>
      </c>
      <c r="E109" s="33" t="n">
        <v>1</v>
      </c>
      <c r="F109" s="33" t="inlineStr">
        <is>
          <t>u</t>
        </is>
      </c>
      <c r="G109" s="34" t="n">
        <v>2.162</v>
      </c>
      <c r="H109" s="34">
        <f>E109*G109</f>
        <v/>
      </c>
      <c r="I109" s="33" t="inlineStr">
        <is>
          <t>Chapa LAC IRAM-IAS U 500-04 e=3,2</t>
        </is>
      </c>
      <c r="J109" s="17" t="inlineStr">
        <is>
          <t>Ø276,5 × e3,2 × 86,3 de alto; disco Ø341</t>
        </is>
      </c>
      <c r="K109" s="33" t="inlineStr">
        <is>
          <t>Compra (tapa embutida tercerizada)</t>
        </is>
      </c>
      <c r="L109" s="33" t="inlineStr">
        <is>
          <t>Sí</t>
        </is>
      </c>
      <c r="M109" s="17" t="inlineStr">
        <is>
          <t>Gockel Ingeniería S.R.L.</t>
        </is>
      </c>
      <c r="N109" s="17" t="inlineStr">
        <is>
          <t>-</t>
        </is>
      </c>
      <c r="O109" s="17" t="inlineStr">
        <is>
          <t>Compra (casquetes de carros, rack RK1)</t>
        </is>
      </c>
      <c r="P109" s="17" t="n"/>
      <c r="Q109" s="33" t="inlineStr">
        <is>
          <t>P</t>
        </is>
      </c>
      <c r="R109" s="33" t="inlineStr">
        <is>
          <t>FL_DES_ABC_25kg</t>
        </is>
      </c>
      <c r="S109" s="17" t="inlineStr">
        <is>
          <t>embutida</t>
        </is>
      </c>
    </row>
    <row r="110">
      <c r="A110" s="33" t="inlineStr">
        <is>
          <t>FL_REC_ABC_25kg</t>
        </is>
      </c>
      <c r="B110" s="33" t="n">
        <v>2</v>
      </c>
      <c r="C110" s="33" t="inlineStr">
        <is>
          <t>ABC25-03</t>
        </is>
      </c>
      <c r="D110" s="17" t="inlineStr">
        <is>
          <t xml:space="preserve">        Fondo</t>
        </is>
      </c>
      <c r="E110" s="33" t="n">
        <v>1</v>
      </c>
      <c r="F110" s="33" t="inlineStr">
        <is>
          <t>u</t>
        </is>
      </c>
      <c r="G110" s="34" t="n">
        <v>2.2425</v>
      </c>
      <c r="H110" s="34">
        <f>E110*G110</f>
        <v/>
      </c>
      <c r="I110" s="33" t="inlineStr">
        <is>
          <t>Chapa LAC IRAM-IAS U 500-04 e=3,2</t>
        </is>
      </c>
      <c r="J110" s="17" t="inlineStr">
        <is>
          <t>Ø276,5 × e3,2 × 87 de alto; disco Ø347,3</t>
        </is>
      </c>
      <c r="K110" s="33" t="inlineStr">
        <is>
          <t>Compra (tapa embutida tercerizada)</t>
        </is>
      </c>
      <c r="L110" s="33" t="inlineStr">
        <is>
          <t>Sí</t>
        </is>
      </c>
      <c r="M110" s="17" t="inlineStr">
        <is>
          <t>Gockel Ingeniería S.R.L.</t>
        </is>
      </c>
      <c r="N110" s="17" t="inlineStr">
        <is>
          <t>-</t>
        </is>
      </c>
      <c r="O110" s="17" t="inlineStr">
        <is>
          <t>Compra (casquetes de carros, rack RK1)</t>
        </is>
      </c>
      <c r="P110" s="17" t="n"/>
      <c r="Q110" s="33" t="inlineStr">
        <is>
          <t>P</t>
        </is>
      </c>
      <c r="R110" s="33" t="inlineStr">
        <is>
          <t>FL_DES_ABC_25kg</t>
        </is>
      </c>
      <c r="S110" s="17" t="inlineStr">
        <is>
          <t>embutido</t>
        </is>
      </c>
    </row>
    <row r="111">
      <c r="A111" s="33" t="inlineStr">
        <is>
          <t>FL_REC_ABC_25kg</t>
        </is>
      </c>
      <c r="B111" s="33" t="n">
        <v>2</v>
      </c>
      <c r="C111" s="33" t="inlineStr">
        <is>
          <t>ABC25-04</t>
        </is>
      </c>
      <c r="D111" s="17" t="inlineStr">
        <is>
          <t xml:space="preserve">        Cuello roscado</t>
        </is>
      </c>
      <c r="E111" s="33" t="n">
        <v>1</v>
      </c>
      <c r="F111" s="33" t="inlineStr">
        <is>
          <t>u</t>
        </is>
      </c>
      <c r="G111" s="34" t="n">
        <v>0.1326</v>
      </c>
      <c r="H111" s="34">
        <f>E111*G111</f>
        <v/>
      </c>
      <c r="I111" s="33" t="inlineStr">
        <is>
          <t>Acero SAE 1010</t>
        </is>
      </c>
      <c r="J111" s="17" t="inlineStr">
        <is>
          <t>Ø37 × 35 de alto, rosca M30x1,5, asiento Ø35</t>
        </is>
      </c>
      <c r="K111" s="33" t="inlineStr">
        <is>
          <t>Compra (mecanizado, Eli-Met)</t>
        </is>
      </c>
      <c r="L111" s="33" t="inlineStr">
        <is>
          <t>Sí</t>
        </is>
      </c>
      <c r="M111" s="17" t="inlineStr">
        <is>
          <t>Eli-Met</t>
        </is>
      </c>
      <c r="N111" s="17" t="inlineStr">
        <is>
          <t>-</t>
        </is>
      </c>
      <c r="O111" s="17" t="inlineStr">
        <is>
          <t>Compra -&gt; C2 punteo</t>
        </is>
      </c>
      <c r="P111" s="17" t="n"/>
      <c r="Q111" s="33" t="inlineStr">
        <is>
          <t>P</t>
        </is>
      </c>
      <c r="R111" s="33" t="inlineStr">
        <is>
          <t>FL_DES_ABC_25kg</t>
        </is>
      </c>
      <c r="S111" s="17" t="inlineStr">
        <is>
          <t>M30x1,5</t>
        </is>
      </c>
    </row>
    <row r="112">
      <c r="A112" s="41" t="inlineStr">
        <is>
          <t>FL_REC_ABC_25kg</t>
        </is>
      </c>
      <c r="B112" s="41" t="n">
        <v>2</v>
      </c>
      <c r="C112" s="41" t="inlineStr">
        <is>
          <t>ABC25-C1</t>
        </is>
      </c>
      <c r="D112" s="18" t="inlineStr">
        <is>
          <t xml:space="preserve">        Alambre MAG ER70S-6 Ø1,2 (AWS A5.18)</t>
        </is>
      </c>
      <c r="E112" s="41" t="n">
        <v>0.3374</v>
      </c>
      <c r="F112" s="41" t="inlineStr">
        <is>
          <t>kg</t>
        </is>
      </c>
      <c r="G112" s="42" t="n">
        <v>0.95</v>
      </c>
      <c r="H112" s="42">
        <f>E112*G112</f>
        <v/>
      </c>
      <c r="I112" s="41" t="inlineStr">
        <is>
          <t>ER70S-6</t>
        </is>
      </c>
      <c r="J112" s="18" t="inlineStr">
        <is>
          <t>metal depositado de los cordones del plano 321 g / rendimiento 0,95</t>
        </is>
      </c>
      <c r="K112" s="41" t="inlineStr">
        <is>
          <t>Compra</t>
        </is>
      </c>
      <c r="L112" s="41" t="inlineStr">
        <is>
          <t>Sí</t>
        </is>
      </c>
      <c r="M112" s="18" t="inlineStr">
        <is>
          <t>Conarco (ESAB Argentina)</t>
        </is>
      </c>
      <c r="N112" s="18" t="inlineStr">
        <is>
          <t>-</t>
        </is>
      </c>
      <c r="O112" s="18" t="inlineStr">
        <is>
          <t>4 sold. long. / 8 cuello / 11 circunferencial</t>
        </is>
      </c>
      <c r="P112" s="18" t="inlineStr">
        <is>
          <t>IRAM 3523 3.2.4.2 · IRAM 3550 4.1.2</t>
        </is>
      </c>
      <c r="Q112" s="41" t="inlineStr">
        <is>
          <t>C</t>
        </is>
      </c>
      <c r="R112" s="41"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41" t="inlineStr">
        <is>
          <t>FL_REC_ABC_25kg</t>
        </is>
      </c>
      <c r="B113" s="41" t="n">
        <v>2</v>
      </c>
      <c r="C113" s="41" t="inlineStr">
        <is>
          <t>ABC25-C2</t>
        </is>
      </c>
      <c r="D113" s="18" t="inlineStr">
        <is>
          <t xml:space="preserve">        Gas de protección MAG Arcal 21 / ARCAL Speed (Ar + 8 % CO₂, M20)</t>
        </is>
      </c>
      <c r="E113" s="41" t="n">
        <v>52.7</v>
      </c>
      <c r="F113" s="41" t="inlineStr">
        <is>
          <t>L</t>
        </is>
      </c>
      <c r="G113" s="42" t="n"/>
      <c r="H113" s="42" t="n"/>
      <c r="I113" s="41" t="inlineStr">
        <is>
          <t>EN ISO 14175 M20-ArC-8</t>
        </is>
      </c>
      <c r="J113" s="18" t="inlineStr">
        <is>
          <t>14 L/min × 3,77 min de arco (cordones 2.260 mm: long. 406 + circ. 1.737 + cuello 116, a 600 mm/min)</t>
        </is>
      </c>
      <c r="K113" s="41" t="inlineStr">
        <is>
          <t>Compra</t>
        </is>
      </c>
      <c r="L113" s="41" t="inlineStr">
        <is>
          <t>Sí</t>
        </is>
      </c>
      <c r="M113" s="18" t="inlineStr">
        <is>
          <t>Air Liquide Argentina - sucursal Piñeyro</t>
        </is>
      </c>
      <c r="N113" s="18" t="inlineStr">
        <is>
          <t>Gogniat</t>
        </is>
      </c>
      <c r="O113" s="18" t="inlineStr">
        <is>
          <t>Colector SC</t>
        </is>
      </c>
      <c r="P113" s="18" t="inlineStr">
        <is>
          <t>IRAM 3523 3.2.4.2 · IRAM 3550 3.2.2.2</t>
        </is>
      </c>
      <c r="Q113" s="41" t="inlineStr">
        <is>
          <t>C</t>
        </is>
      </c>
      <c r="R113" s="41"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3" t="inlineStr">
        <is>
          <t>FL_REC_ABC_25kg</t>
        </is>
      </c>
      <c r="B114" s="33" t="n">
        <v>2</v>
      </c>
      <c r="C114" s="33" t="inlineStr">
        <is>
          <t>ABC25-C4</t>
        </is>
      </c>
      <c r="D114" s="17" t="inlineStr">
        <is>
          <t xml:space="preserve">        Servicio de pintura en polvo al horno, rojo 03-1-050 (con preparación por quemado)</t>
        </is>
      </c>
      <c r="E114" s="33" t="n">
        <v>1</v>
      </c>
      <c r="F114" s="33" t="inlineStr">
        <is>
          <t>u</t>
        </is>
      </c>
      <c r="G114" s="34" t="n"/>
      <c r="H114" s="34" t="n"/>
      <c r="I114" s="33" t="inlineStr">
        <is>
          <t>Servicio tercerizado</t>
        </is>
      </c>
      <c r="J114" s="17" t="inlineStr">
        <is>
          <t>superficie exterior 0,524 m²</t>
        </is>
      </c>
      <c r="K114" s="33" t="inlineStr">
        <is>
          <t>Compra (servicio)</t>
        </is>
      </c>
      <c r="L114" s="33" t="inlineStr">
        <is>
          <t>Sí</t>
        </is>
      </c>
      <c r="M114" s="17" t="inlineStr">
        <is>
          <t>Pintor de carros (cotización por mensaje)</t>
        </is>
      </c>
      <c r="N114" s="17" t="inlineStr">
        <is>
          <t>Prymax</t>
        </is>
      </c>
      <c r="O114" s="17" t="inlineStr">
        <is>
          <t>17 Pintura tercerizada</t>
        </is>
      </c>
      <c r="P114" s="17" t="inlineStr">
        <is>
          <t>IRAM 3523 5.3 / IRAM 3550 3.11 · IRAM 121</t>
        </is>
      </c>
      <c r="Q114" s="33" t="inlineStr">
        <is>
          <t>Q</t>
        </is>
      </c>
      <c r="R114" s="33" t="n"/>
      <c r="S114" s="17" t="inlineStr">
        <is>
          <t>Q-CARROS (precio por carro); exigir informe de niebla salina del sistema de pintura; tercerización aceptada por el Ministerio (Res. 349/07 art. 18)</t>
        </is>
      </c>
    </row>
    <row r="115">
      <c r="A115" s="43" t="inlineStr">
        <is>
          <t>FL_REC_ABC_25kg</t>
        </is>
      </c>
      <c r="B115" s="43" t="n">
        <v>2</v>
      </c>
      <c r="C115" s="43" t="inlineStr">
        <is>
          <t>ABC25-T1</t>
        </is>
      </c>
      <c r="D115" s="20" t="inlineStr">
        <is>
          <t xml:space="preserve">        Tapón protector de rosca del cuello</t>
        </is>
      </c>
      <c r="E115" s="43" t="n">
        <v>1</v>
      </c>
      <c r="F115" s="43" t="inlineStr">
        <is>
          <t>u</t>
        </is>
      </c>
      <c r="G115" s="44" t="n"/>
      <c r="H115" s="44" t="n"/>
      <c r="I115" s="43" t="inlineStr">
        <is>
          <t>Polietileno</t>
        </is>
      </c>
      <c r="J115" s="20" t="inlineStr">
        <is>
          <t>para rosca M30x1,5 (plano FL_REC_ABC_25kg hoja 3, R4)</t>
        </is>
      </c>
      <c r="K115" s="43" t="inlineStr">
        <is>
          <t>Compra</t>
        </is>
      </c>
      <c r="L115" s="43" t="inlineStr">
        <is>
          <t>Sí</t>
        </is>
      </c>
      <c r="M115" s="20" t="inlineStr">
        <is>
          <t>-</t>
        </is>
      </c>
      <c r="N115" s="20" t="inlineStr">
        <is>
          <t>-</t>
        </is>
      </c>
      <c r="O115" s="20" t="inlineStr">
        <is>
          <t>Embalaje</t>
        </is>
      </c>
      <c r="P115" s="20" t="n"/>
      <c r="Q115" s="43" t="inlineStr">
        <is>
          <t>P</t>
        </is>
      </c>
      <c r="R115" s="43" t="n"/>
      <c r="S115" s="20" t="n"/>
    </row>
    <row r="116">
      <c r="A116" s="33" t="inlineStr">
        <is>
          <t>FL_REC_ABC_25kg</t>
        </is>
      </c>
      <c r="B116" s="33" t="n">
        <v>2</v>
      </c>
      <c r="C116" s="33" t="inlineStr">
        <is>
          <t>ABC25-T2</t>
        </is>
      </c>
      <c r="D116" s="17" t="inlineStr">
        <is>
          <t xml:space="preserve">        Marcado del recipiente (estampado)</t>
        </is>
      </c>
      <c r="E116" s="33" t="n">
        <v>1</v>
      </c>
      <c r="F116" s="33" t="inlineStr">
        <is>
          <t>u</t>
        </is>
      </c>
      <c r="G116" s="34" t="n"/>
      <c r="H116" s="34" t="n"/>
      <c r="I116" s="33" t="inlineStr">
        <is>
          <t>-</t>
        </is>
      </c>
      <c r="J116" s="17" t="inlineStr">
        <is>
          <t>Fabricante, n° de serie, año, presión de ensayo; cuño DPS 15 × 7 junto al n°</t>
        </is>
      </c>
      <c r="K116" s="33" t="inlineStr">
        <is>
          <t>Proceso</t>
        </is>
      </c>
      <c r="L116" s="33" t="inlineStr">
        <is>
          <t>No</t>
        </is>
      </c>
      <c r="M116" s="17" t="n"/>
      <c r="N116" s="17" t="n"/>
      <c r="O116" s="17" t="inlineStr">
        <is>
          <t>Marcado</t>
        </is>
      </c>
      <c r="P116" s="17" t="inlineStr">
        <is>
          <t>IRAM 3550 5.1 · Res. 349/07 anexo IV</t>
        </is>
      </c>
      <c r="Q116" s="33" t="inlineStr">
        <is>
          <t>N</t>
        </is>
      </c>
      <c r="R116" s="33" t="n"/>
      <c r="S116" s="17" t="n"/>
    </row>
    <row r="117">
      <c r="A117" s="33" t="inlineStr">
        <is>
          <t>FL_REC_ABC_25kg</t>
        </is>
      </c>
      <c r="B117" s="33" t="n">
        <v>2</v>
      </c>
      <c r="C117" s="33" t="inlineStr">
        <is>
          <t>ABC25-T3</t>
        </is>
      </c>
      <c r="D117" s="17" t="inlineStr">
        <is>
          <t xml:space="preserve">        Etiqueta de identificación del cilindro suelto</t>
        </is>
      </c>
      <c r="E117" s="33" t="n">
        <v>1</v>
      </c>
      <c r="F117" s="33" t="inlineStr">
        <is>
          <t>u</t>
        </is>
      </c>
      <c r="G117" s="34" t="n"/>
      <c r="H117" s="34" t="n"/>
      <c r="I117" s="33" t="inlineStr">
        <is>
          <t>Poliéster autoadhesivo removible</t>
        </is>
      </c>
      <c r="J117" s="17" t="inlineStr">
        <is>
          <t>100 × 60, impresión térmica, QR GS1</t>
        </is>
      </c>
      <c r="K117" s="33" t="inlineStr">
        <is>
          <t>Compra</t>
        </is>
      </c>
      <c r="L117" s="33" t="inlineStr">
        <is>
          <t>Sí</t>
        </is>
      </c>
      <c r="M117" s="17" t="inlineStr">
        <is>
          <t>Astuprint</t>
        </is>
      </c>
      <c r="N117" s="17" t="inlineStr">
        <is>
          <t>GS1 Argentina</t>
        </is>
      </c>
      <c r="O117" s="17" t="inlineStr">
        <is>
          <t>Etiquetado</t>
        </is>
      </c>
      <c r="P117" s="17" t="n"/>
      <c r="Q117" s="33" t="inlineStr">
        <is>
          <t>P</t>
        </is>
      </c>
      <c r="R117" s="33" t="inlineStr">
        <is>
          <t>FL_REC_ABC_25kg hoja 3</t>
        </is>
      </c>
      <c r="S117" s="17" t="n"/>
    </row>
    <row r="118">
      <c r="A118" s="33" t="inlineStr">
        <is>
          <t>FL_REC_ABC_25kg</t>
        </is>
      </c>
      <c r="B118" s="33" t="n">
        <v>2</v>
      </c>
      <c r="C118" s="33" t="inlineStr">
        <is>
          <t>ABC25-T4</t>
        </is>
      </c>
      <c r="D118" s="17" t="inlineStr">
        <is>
          <t xml:space="preserve">        Protocolo de ensayo hidrostático (certificado que acompaña)</t>
        </is>
      </c>
      <c r="E118" s="33" t="n">
        <v>1</v>
      </c>
      <c r="F118" s="33" t="inlineStr">
        <is>
          <t>u</t>
        </is>
      </c>
      <c r="G118" s="34" t="n">
        <v>0.005</v>
      </c>
      <c r="H118" s="34">
        <f>E118*G118</f>
        <v/>
      </c>
      <c r="I118" s="33" t="inlineStr">
        <is>
          <t>Papel</t>
        </is>
      </c>
      <c r="J118" s="17" t="inlineStr">
        <is>
          <t>A5</t>
        </is>
      </c>
      <c r="K118" s="33" t="inlineStr">
        <is>
          <t>Proceso</t>
        </is>
      </c>
      <c r="L118" s="33" t="inlineStr">
        <is>
          <t>No</t>
        </is>
      </c>
      <c r="M118" s="17" t="n"/>
      <c r="N118" s="17" t="n"/>
      <c r="O118" s="17" t="inlineStr">
        <is>
          <t>Control de calidad</t>
        </is>
      </c>
      <c r="P118" s="17" t="inlineStr">
        <is>
          <t>IRAM 3550 4.1 y cap. 6 · IRAM 2587</t>
        </is>
      </c>
      <c r="Q118" s="33" t="inlineStr">
        <is>
          <t>N</t>
        </is>
      </c>
      <c r="R118" s="33" t="inlineStr">
        <is>
          <t>FL_REC_ABC_25kg hoja 3</t>
        </is>
      </c>
      <c r="S118" s="17" t="n"/>
    </row>
    <row r="119">
      <c r="A119" s="30" t="inlineStr">
        <is>
          <t>FL_REC_ABC_25kg</t>
        </is>
      </c>
      <c r="B119" s="30" t="n">
        <v>1</v>
      </c>
      <c r="C119" s="30" t="inlineStr">
        <is>
          <t>ABC25-S7</t>
        </is>
      </c>
      <c r="D119" s="31" t="inlineStr">
        <is>
          <t xml:space="preserve">    Embalaje</t>
        </is>
      </c>
      <c r="E119" s="30" t="n">
        <v>1</v>
      </c>
      <c r="F119" s="30" t="inlineStr">
        <is>
          <t>u</t>
        </is>
      </c>
      <c r="G119" s="32" t="n"/>
      <c r="H119" s="32">
        <f>H122</f>
        <v/>
      </c>
      <c r="I119" s="30" t="n"/>
      <c r="J119" s="31" t="n"/>
      <c r="K119" s="30" t="inlineStr">
        <is>
          <t>Compra</t>
        </is>
      </c>
      <c r="L119" s="30" t="n"/>
      <c r="M119" s="31" t="n"/>
      <c r="N119" s="31" t="n"/>
      <c r="O119" s="31" t="inlineStr">
        <is>
          <t>23 Embalaje -&gt; 24 envolvedora (T11)</t>
        </is>
      </c>
      <c r="P119" s="31" t="n"/>
      <c r="Q119" s="30" t="n"/>
      <c r="R119" s="30" t="n"/>
      <c r="S119" s="31" t="n"/>
    </row>
    <row r="120">
      <c r="A120" s="33" t="inlineStr">
        <is>
          <t>FL_REC_ABC_25kg</t>
        </is>
      </c>
      <c r="B120" s="33" t="n">
        <v>2</v>
      </c>
      <c r="C120" s="33" t="inlineStr">
        <is>
          <t>ABC25-E1</t>
        </is>
      </c>
      <c r="D120" s="17" t="inlineStr">
        <is>
          <t xml:space="preserve">        Esquineros y funda de polietileno</t>
        </is>
      </c>
      <c r="E120" s="33" t="n">
        <v>1</v>
      </c>
      <c r="F120" s="33" t="inlineStr">
        <is>
          <t>jgo</t>
        </is>
      </c>
      <c r="G120" s="34" t="n"/>
      <c r="H120" s="34" t="n"/>
      <c r="I120" s="33" t="inlineStr">
        <is>
          <t>PE / cartón</t>
        </is>
      </c>
      <c r="J120" s="17" t="inlineStr">
        <is>
          <t>a medida de la envolvente del plano</t>
        </is>
      </c>
      <c r="K120" s="33" t="inlineStr">
        <is>
          <t>Compra</t>
        </is>
      </c>
      <c r="L120" s="33" t="inlineStr">
        <is>
          <t>Sí</t>
        </is>
      </c>
      <c r="M120" s="17" t="inlineStr">
        <is>
          <t>MV Embalajes</t>
        </is>
      </c>
      <c r="N120" s="17" t="inlineStr">
        <is>
          <t>Embalpack</t>
        </is>
      </c>
      <c r="O120" s="17" t="inlineStr">
        <is>
          <t>23 Embalaje</t>
        </is>
      </c>
      <c r="P120" s="17" t="n"/>
      <c r="Q120" s="33" t="inlineStr">
        <is>
          <t>P</t>
        </is>
      </c>
      <c r="R120" s="33" t="n"/>
      <c r="S120" s="17" t="inlineStr">
        <is>
          <t>Medida del plano</t>
        </is>
      </c>
    </row>
    <row r="121">
      <c r="A121" s="33" t="inlineStr">
        <is>
          <t>FL_REC_ABC_25kg</t>
        </is>
      </c>
      <c r="B121" s="33" t="n">
        <v>2</v>
      </c>
      <c r="C121" s="33" t="inlineStr">
        <is>
          <t>ABC25-E3</t>
        </is>
      </c>
      <c r="D121" s="17" t="inlineStr">
        <is>
          <t xml:space="preserve">        Pallet 1200 × 1000 (fracción)</t>
        </is>
      </c>
      <c r="E121" s="33" t="n">
        <v>0.0833</v>
      </c>
      <c r="F121" s="33" t="inlineStr">
        <is>
          <t>u</t>
        </is>
      </c>
      <c r="G121" s="34" t="n"/>
      <c r="H121" s="34" t="n"/>
      <c r="I121" s="33" t="inlineStr">
        <is>
          <t>Madera</t>
        </is>
      </c>
      <c r="J121" s="17" t="inlineStr">
        <is>
          <t>12 u por pallet</t>
        </is>
      </c>
      <c r="K121" s="33" t="inlineStr">
        <is>
          <t>Compra</t>
        </is>
      </c>
      <c r="L121" s="33" t="inlineStr">
        <is>
          <t>Sí</t>
        </is>
      </c>
      <c r="M121" s="17" t="inlineStr">
        <is>
          <t>IndusPallets</t>
        </is>
      </c>
      <c r="N121" s="17" t="inlineStr">
        <is>
          <t>-</t>
        </is>
      </c>
      <c r="O121" s="17" t="inlineStr">
        <is>
          <t>23 Embalaje</t>
        </is>
      </c>
      <c r="P121" s="17" t="n"/>
      <c r="Q121" s="33" t="inlineStr">
        <is>
          <t>C</t>
        </is>
      </c>
      <c r="R121" s="33" t="n"/>
      <c r="S121" s="17" t="inlineStr">
        <is>
          <t>u por pallet = acomodo de la caja (plano) en 1200 × 1000 × 1450 de alto</t>
        </is>
      </c>
    </row>
    <row r="122">
      <c r="A122" s="41" t="inlineStr">
        <is>
          <t>FL_REC_ABC_25kg</t>
        </is>
      </c>
      <c r="B122" s="41" t="n">
        <v>2</v>
      </c>
      <c r="C122" s="41" t="inlineStr">
        <is>
          <t>ABC25-E4</t>
        </is>
      </c>
      <c r="D122" s="18" t="inlineStr">
        <is>
          <t xml:space="preserve">        Film stretch (fracción del pallet)</t>
        </is>
      </c>
      <c r="E122" s="41" t="n">
        <v>0.01</v>
      </c>
      <c r="F122" s="41" t="inlineStr">
        <is>
          <t>kg</t>
        </is>
      </c>
      <c r="G122" s="42" t="n">
        <v>1</v>
      </c>
      <c r="H122" s="42">
        <f>E122*G122</f>
        <v/>
      </c>
      <c r="I122" s="41" t="inlineStr">
        <is>
          <t>PE lineal 23 µm</t>
        </is>
      </c>
      <c r="J122" s="18" t="inlineStr">
        <is>
          <t>0,12 kg por pallet / 12 u</t>
        </is>
      </c>
      <c r="K122" s="41" t="inlineStr">
        <is>
          <t>Compra</t>
        </is>
      </c>
      <c r="L122" s="41" t="inlineStr">
        <is>
          <t>Sí</t>
        </is>
      </c>
      <c r="M122" s="18" t="inlineStr">
        <is>
          <t>MV Embalajes</t>
        </is>
      </c>
      <c r="N122" s="18" t="inlineStr">
        <is>
          <t>Embalpack</t>
        </is>
      </c>
      <c r="O122" s="18" t="inlineStr">
        <is>
          <t>24 Envolvedora (T11)</t>
        </is>
      </c>
      <c r="P122" s="18" t="n"/>
      <c r="Q122" s="41" t="inlineStr">
        <is>
          <t>C</t>
        </is>
      </c>
      <c r="R122" s="41"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3" t="inlineStr">
        <is>
          <t>FL_REC_ABC_25kg</t>
        </is>
      </c>
      <c r="B123" s="33" t="n">
        <v>2</v>
      </c>
      <c r="C123" s="33" t="inlineStr">
        <is>
          <t>ABC25-E5</t>
        </is>
      </c>
      <c r="D123" s="17" t="inlineStr">
        <is>
          <t xml:space="preserve">        Etiqueta de pallet (lote y destino, fracción)</t>
        </is>
      </c>
      <c r="E123" s="33" t="n">
        <v>0.0833</v>
      </c>
      <c r="F123" s="33" t="inlineStr">
        <is>
          <t>u</t>
        </is>
      </c>
      <c r="G123" s="34" t="n"/>
      <c r="H123" s="34" t="n"/>
      <c r="I123" s="33" t="inlineStr">
        <is>
          <t>Papel térmico</t>
        </is>
      </c>
      <c r="J123" s="17" t="inlineStr">
        <is>
          <t>100 × 150</t>
        </is>
      </c>
      <c r="K123" s="33" t="inlineStr">
        <is>
          <t>Compra</t>
        </is>
      </c>
      <c r="L123" s="33" t="inlineStr">
        <is>
          <t>Sí</t>
        </is>
      </c>
      <c r="M123" s="17" t="inlineStr">
        <is>
          <t>Astuprint</t>
        </is>
      </c>
      <c r="N123" s="17" t="inlineStr">
        <is>
          <t>Multilabel Argentina S.A.</t>
        </is>
      </c>
      <c r="O123" s="17" t="inlineStr">
        <is>
          <t>24 Envolvedora</t>
        </is>
      </c>
      <c r="P123" s="17" t="n"/>
      <c r="Q123" s="33" t="inlineStr">
        <is>
          <t>C</t>
        </is>
      </c>
      <c r="R123" s="33" t="n"/>
      <c r="S123" s="17" t="n"/>
    </row>
    <row r="124">
      <c r="A124" s="33" t="inlineStr">
        <is>
          <t>FL_REC_ABC_25kg</t>
        </is>
      </c>
      <c r="B124" s="33" t="n">
        <v>2</v>
      </c>
      <c r="C124" s="33" t="inlineStr">
        <is>
          <t>ABC25-E8</t>
        </is>
      </c>
      <c r="D124" s="17" t="inlineStr">
        <is>
          <t xml:space="preserve">        Separador de capa de cartón 1200 × 1000 (fracción del pallet)</t>
        </is>
      </c>
      <c r="E124" s="33" t="n">
        <v>0</v>
      </c>
      <c r="F124" s="33" t="inlineStr">
        <is>
          <t>u</t>
        </is>
      </c>
      <c r="G124" s="34" t="n"/>
      <c r="H124" s="34" t="n"/>
      <c r="I124" s="33" t="inlineStr">
        <is>
          <t>Cartón</t>
        </is>
      </c>
      <c r="J124" s="17" t="inlineStr">
        <is>
          <t>1 capas → 0 separadores por pallet / 12 u</t>
        </is>
      </c>
      <c r="K124" s="33" t="inlineStr">
        <is>
          <t>Compra</t>
        </is>
      </c>
      <c r="L124" s="33" t="inlineStr">
        <is>
          <t>Sí</t>
        </is>
      </c>
      <c r="M124" s="17" t="inlineStr">
        <is>
          <t>Maxipack</t>
        </is>
      </c>
      <c r="N124" s="17" t="inlineStr">
        <is>
          <t>Cartocan</t>
        </is>
      </c>
      <c r="O124" s="17" t="inlineStr">
        <is>
          <t>23 Embalaje</t>
        </is>
      </c>
      <c r="P124" s="17" t="n"/>
      <c r="Q124" s="33" t="inlineStr">
        <is>
          <t>C</t>
        </is>
      </c>
      <c r="R124" s="33" t="n"/>
      <c r="S124" s="17" t="inlineStr">
        <is>
          <t>Planilla MP-61</t>
        </is>
      </c>
    </row>
    <row r="125">
      <c r="A125" s="27" t="inlineStr">
        <is>
          <t>FL_REC_ABC_50kg</t>
        </is>
      </c>
      <c r="B125" s="27" t="n">
        <v>0</v>
      </c>
      <c r="C125" s="27" t="inlineStr">
        <is>
          <t>FL_REC_ABC_50kg</t>
        </is>
      </c>
      <c r="D125" s="28" t="inlineStr">
        <is>
          <t>Cilindro (recipiente) ABC 50 kg rodante - repuesto vacío sin válvula</t>
        </is>
      </c>
      <c r="E125" s="27" t="n">
        <v>1</v>
      </c>
      <c r="F125" s="27" t="inlineStr">
        <is>
          <t>u</t>
        </is>
      </c>
      <c r="G125" s="29" t="n"/>
      <c r="H125" s="29" t="n"/>
      <c r="I125" s="27" t="n"/>
      <c r="J125" s="28" t="n"/>
      <c r="K125" s="27" t="n"/>
      <c r="L125" s="27" t="n"/>
      <c r="M125" s="28" t="n"/>
      <c r="N125" s="28" t="n"/>
      <c r="O125" s="28" t="n"/>
      <c r="P125" s="28" t="inlineStr">
        <is>
          <t>IRAM 3550</t>
        </is>
      </c>
      <c r="Q125" s="27" t="inlineStr">
        <is>
          <t>P</t>
        </is>
      </c>
      <c r="R125" s="27" t="inlineStr">
        <is>
          <t>FL_REC_ABC_50kg</t>
        </is>
      </c>
      <c r="S125" s="28" t="inlineStr">
        <is>
          <t>Fabricación propia</t>
        </is>
      </c>
    </row>
    <row r="126">
      <c r="A126" s="30" t="inlineStr">
        <is>
          <t>FL_REC_ABC_50kg</t>
        </is>
      </c>
      <c r="B126" s="30" t="n">
        <v>1</v>
      </c>
      <c r="C126" s="30" t="inlineStr">
        <is>
          <t>ABC50-S1</t>
        </is>
      </c>
      <c r="D126" s="31" t="inlineStr">
        <is>
          <t xml:space="preserve">    Recipiente (cilindro)</t>
        </is>
      </c>
      <c r="E126" s="30" t="n">
        <v>1</v>
      </c>
      <c r="F126" s="30" t="inlineStr">
        <is>
          <t>u</t>
        </is>
      </c>
      <c r="G126" s="32" t="n"/>
      <c r="H126" s="32">
        <f>H127+H129+H130+H131+H132+H138</f>
        <v/>
      </c>
      <c r="I126" s="30" t="n"/>
      <c r="J126" s="31" t="n"/>
      <c r="K126" s="30" t="inlineStr">
        <is>
          <t>Fabricación</t>
        </is>
      </c>
      <c r="L126" s="30" t="n"/>
      <c r="M126" s="31" t="n"/>
      <c r="N126" s="31" t="n"/>
      <c r="O126" s="31" t="n"/>
      <c r="P126" s="31" t="inlineStr">
        <is>
          <t>IRAM 3523 / 3550 (recipiente)</t>
        </is>
      </c>
      <c r="Q126" s="30" t="inlineStr">
        <is>
          <t>P</t>
        </is>
      </c>
      <c r="R126" s="30" t="inlineStr">
        <is>
          <t>FL_DES_ABC_50kg</t>
        </is>
      </c>
      <c r="S126" s="31" t="n"/>
    </row>
    <row r="127">
      <c r="A127" s="33" t="inlineStr">
        <is>
          <t>FL_REC_ABC_50kg</t>
        </is>
      </c>
      <c r="B127" s="33" t="n">
        <v>2</v>
      </c>
      <c r="C127" s="33" t="inlineStr">
        <is>
          <t>ABC50-01</t>
        </is>
      </c>
      <c r="D127" s="17" t="inlineStr">
        <is>
          <t xml:space="preserve">        Cuerpo (virola)</t>
        </is>
      </c>
      <c r="E127" s="33" t="n">
        <v>1</v>
      </c>
      <c r="F127" s="33" t="inlineStr">
        <is>
          <t>u</t>
        </is>
      </c>
      <c r="G127" s="34" t="n">
        <v>13.3755</v>
      </c>
      <c r="H127" s="34">
        <f>E127*G127</f>
        <v/>
      </c>
      <c r="I127" s="33" t="inlineStr">
        <is>
          <t>Chapa LAC IRAM-IAS U 500-04 e=3,2</t>
        </is>
      </c>
      <c r="J127" s="17" t="inlineStr">
        <is>
          <t>Ø320 × e3,2 × 535 de alto; desarrollo 995,3 × 535</t>
        </is>
      </c>
      <c r="K127" s="33" t="inlineStr">
        <is>
          <t>Fabricación</t>
        </is>
      </c>
      <c r="L127" s="33" t="inlineStr">
        <is>
          <t>No</t>
        </is>
      </c>
      <c r="M127" s="17" t="n"/>
      <c r="N127" s="17" t="n"/>
      <c r="O127" s="17" t="inlineStr">
        <is>
          <t>1 Guillotina -&gt; C1 cilindrado -&gt; C2 punteo -&gt; C3 sold. long.</t>
        </is>
      </c>
      <c r="P127" s="17" t="n"/>
      <c r="Q127" s="33" t="inlineStr">
        <is>
          <t>P</t>
        </is>
      </c>
      <c r="R127" s="33" t="inlineStr">
        <is>
          <t>FL_DES_ABC_50kg</t>
        </is>
      </c>
      <c r="S127" s="17" t="inlineStr">
        <is>
          <t>costura long. MAG</t>
        </is>
      </c>
    </row>
    <row r="128">
      <c r="A128" s="35" t="inlineStr">
        <is>
          <t>FL_REC_ABC_50kg</t>
        </is>
      </c>
      <c r="B128" s="35" t="n">
        <v>3</v>
      </c>
      <c r="C128" s="35" t="inlineStr">
        <is>
          <t>MP-HOJA</t>
        </is>
      </c>
      <c r="D128" s="36" t="inlineStr">
        <is>
          <t xml:space="preserve">            Recorte de hoja LAC 1500 × 3000 e=3,2</t>
        </is>
      </c>
      <c r="E128" s="35" t="n">
        <v>1</v>
      </c>
      <c r="F128" s="35" t="inlineStr">
        <is>
          <t>u</t>
        </is>
      </c>
      <c r="G128" s="37" t="n">
        <v>18.845</v>
      </c>
      <c r="H128" s="37">
        <f>E128*G128</f>
        <v/>
      </c>
      <c r="I128" s="35" t="inlineStr">
        <is>
          <t>Chapa LAC IRAM-IAS U 500-04 LAC</t>
        </is>
      </c>
      <c r="J128" s="36" t="inlineStr">
        <is>
          <t>640 × 994 (aprovech. 84,8 %)</t>
        </is>
      </c>
      <c r="K128" s="35" t="inlineStr">
        <is>
          <t>Compra</t>
        </is>
      </c>
      <c r="L128" s="35" t="inlineStr">
        <is>
          <t>Sí</t>
        </is>
      </c>
      <c r="M128" s="36" t="inlineStr">
        <is>
          <t>Pradecon S.A.</t>
        </is>
      </c>
      <c r="N128" s="36" t="inlineStr">
        <is>
          <t>Pacheco Chapas</t>
        </is>
      </c>
      <c r="O128" s="36" t="inlineStr">
        <is>
          <t>AL-1H paquetes de hojas</t>
        </is>
      </c>
      <c r="P128" s="36" t="n"/>
      <c r="Q128" s="35" t="inlineStr">
        <is>
          <t>L</t>
        </is>
      </c>
      <c r="R128" s="35" t="inlineStr">
        <is>
          <t>FL_PI_04 h2</t>
        </is>
      </c>
      <c r="S128" s="36" t="n"/>
    </row>
    <row r="129">
      <c r="A129" s="33" t="inlineStr">
        <is>
          <t>FL_REC_ABC_50kg</t>
        </is>
      </c>
      <c r="B129" s="33" t="n">
        <v>2</v>
      </c>
      <c r="C129" s="33" t="inlineStr">
        <is>
          <t>ABC50-02</t>
        </is>
      </c>
      <c r="D129" s="17" t="inlineStr">
        <is>
          <t xml:space="preserve">        Cúpula</t>
        </is>
      </c>
      <c r="E129" s="33" t="n">
        <v>1</v>
      </c>
      <c r="F129" s="33" t="inlineStr">
        <is>
          <t>u</t>
        </is>
      </c>
      <c r="G129" s="34" t="n">
        <v>2.884</v>
      </c>
      <c r="H129" s="34">
        <f>E129*G129</f>
        <v/>
      </c>
      <c r="I129" s="33" t="inlineStr">
        <is>
          <t>Chapa LAC IRAM-IAS U 500-04 e=3,2</t>
        </is>
      </c>
      <c r="J129" s="17" t="inlineStr">
        <is>
          <t>Ø320 × e3,2 × 101,7 de alto; disco Ø393,8</t>
        </is>
      </c>
      <c r="K129" s="33" t="inlineStr">
        <is>
          <t>Compra (tapa embutida tercerizada)</t>
        </is>
      </c>
      <c r="L129" s="33" t="inlineStr">
        <is>
          <t>Sí</t>
        </is>
      </c>
      <c r="M129" s="17" t="inlineStr">
        <is>
          <t>Gockel Ingeniería S.R.L.</t>
        </is>
      </c>
      <c r="N129" s="17" t="inlineStr">
        <is>
          <t>-</t>
        </is>
      </c>
      <c r="O129" s="17" t="inlineStr">
        <is>
          <t>Compra (casquetes de carros, rack RK1)</t>
        </is>
      </c>
      <c r="P129" s="17" t="n"/>
      <c r="Q129" s="33" t="inlineStr">
        <is>
          <t>P</t>
        </is>
      </c>
      <c r="R129" s="33" t="inlineStr">
        <is>
          <t>FL_DES_ABC_50kg</t>
        </is>
      </c>
      <c r="S129" s="17" t="inlineStr">
        <is>
          <t>embutida</t>
        </is>
      </c>
    </row>
    <row r="130">
      <c r="A130" s="33" t="inlineStr">
        <is>
          <t>FL_REC_ABC_50kg</t>
        </is>
      </c>
      <c r="B130" s="33" t="n">
        <v>2</v>
      </c>
      <c r="C130" s="33" t="inlineStr">
        <is>
          <t>ABC50-03</t>
        </is>
      </c>
      <c r="D130" s="17" t="inlineStr">
        <is>
          <t xml:space="preserve">        Fondo</t>
        </is>
      </c>
      <c r="E130" s="33" t="n">
        <v>1</v>
      </c>
      <c r="F130" s="33" t="inlineStr">
        <is>
          <t>u</t>
        </is>
      </c>
      <c r="G130" s="34" t="n">
        <v>3.1025</v>
      </c>
      <c r="H130" s="34">
        <f>E130*G130</f>
        <v/>
      </c>
      <c r="I130" s="33" t="inlineStr">
        <is>
          <t>Chapa LAC IRAM-IAS U 500-04 e=3,2</t>
        </is>
      </c>
      <c r="J130" s="17" t="inlineStr">
        <is>
          <t>Ø320 × e3,2 × 105 de alto; disco Ø408,5</t>
        </is>
      </c>
      <c r="K130" s="33" t="inlineStr">
        <is>
          <t>Compra (tapa embutida tercerizada)</t>
        </is>
      </c>
      <c r="L130" s="33" t="inlineStr">
        <is>
          <t>Sí</t>
        </is>
      </c>
      <c r="M130" s="17" t="inlineStr">
        <is>
          <t>Gockel Ingeniería S.R.L.</t>
        </is>
      </c>
      <c r="N130" s="17" t="inlineStr">
        <is>
          <t>-</t>
        </is>
      </c>
      <c r="O130" s="17" t="inlineStr">
        <is>
          <t>Compra (casquetes de carros, rack RK1)</t>
        </is>
      </c>
      <c r="P130" s="17" t="n"/>
      <c r="Q130" s="33" t="inlineStr">
        <is>
          <t>P</t>
        </is>
      </c>
      <c r="R130" s="33" t="inlineStr">
        <is>
          <t>FL_DES_ABC_50kg</t>
        </is>
      </c>
      <c r="S130" s="17" t="inlineStr">
        <is>
          <t>embutido</t>
        </is>
      </c>
    </row>
    <row r="131">
      <c r="A131" s="33" t="inlineStr">
        <is>
          <t>FL_REC_ABC_50kg</t>
        </is>
      </c>
      <c r="B131" s="33" t="n">
        <v>2</v>
      </c>
      <c r="C131" s="33" t="inlineStr">
        <is>
          <t>ABC50-04</t>
        </is>
      </c>
      <c r="D131" s="17" t="inlineStr">
        <is>
          <t xml:space="preserve">        Cuello roscado</t>
        </is>
      </c>
      <c r="E131" s="33" t="n">
        <v>1</v>
      </c>
      <c r="F131" s="33" t="inlineStr">
        <is>
          <t>u</t>
        </is>
      </c>
      <c r="G131" s="34" t="n">
        <v>0.6085</v>
      </c>
      <c r="H131" s="34">
        <f>E131*G131</f>
        <v/>
      </c>
      <c r="I131" s="33" t="inlineStr">
        <is>
          <t>Acero SAE 1010</t>
        </is>
      </c>
      <c r="J131" s="17" t="inlineStr">
        <is>
          <t>Ø88 × 37 de alto, rosca RBSP 2 1/2"-11 h, asiento Ø80</t>
        </is>
      </c>
      <c r="K131" s="33" t="inlineStr">
        <is>
          <t>Compra (mecanizado, Eli-Met)</t>
        </is>
      </c>
      <c r="L131" s="33" t="inlineStr">
        <is>
          <t>Sí</t>
        </is>
      </c>
      <c r="M131" s="17" t="inlineStr">
        <is>
          <t>Eli-Met</t>
        </is>
      </c>
      <c r="N131" s="17" t="inlineStr">
        <is>
          <t>-</t>
        </is>
      </c>
      <c r="O131" s="17" t="inlineStr">
        <is>
          <t>Compra -&gt; C2 punteo</t>
        </is>
      </c>
      <c r="P131" s="17" t="n"/>
      <c r="Q131" s="33" t="inlineStr">
        <is>
          <t>P</t>
        </is>
      </c>
      <c r="R131" s="33" t="inlineStr">
        <is>
          <t>FL_DES_ABC_50kg</t>
        </is>
      </c>
      <c r="S131" s="17" t="inlineStr">
        <is>
          <t>RBSP 2 1/2"-11 h</t>
        </is>
      </c>
    </row>
    <row r="132">
      <c r="A132" s="41" t="inlineStr">
        <is>
          <t>FL_REC_ABC_50kg</t>
        </is>
      </c>
      <c r="B132" s="41" t="n">
        <v>2</v>
      </c>
      <c r="C132" s="41" t="inlineStr">
        <is>
          <t>ABC50-C1</t>
        </is>
      </c>
      <c r="D132" s="18" t="inlineStr">
        <is>
          <t xml:space="preserve">        Alambre MAG ER70S-6 Ø1,2 (AWS A5.18)</t>
        </is>
      </c>
      <c r="E132" s="41" t="n">
        <v>0.4194</v>
      </c>
      <c r="F132" s="41" t="inlineStr">
        <is>
          <t>kg</t>
        </is>
      </c>
      <c r="G132" s="42" t="n">
        <v>0.95</v>
      </c>
      <c r="H132" s="42">
        <f>E132*G132</f>
        <v/>
      </c>
      <c r="I132" s="41" t="inlineStr">
        <is>
          <t>ER70S-6</t>
        </is>
      </c>
      <c r="J132" s="18" t="inlineStr">
        <is>
          <t>metal depositado de los cordones del plano 398 g / rendimiento 0,95</t>
        </is>
      </c>
      <c r="K132" s="41" t="inlineStr">
        <is>
          <t>Compra</t>
        </is>
      </c>
      <c r="L132" s="41" t="inlineStr">
        <is>
          <t>Sí</t>
        </is>
      </c>
      <c r="M132" s="18" t="inlineStr">
        <is>
          <t>Conarco (ESAB Argentina)</t>
        </is>
      </c>
      <c r="N132" s="18" t="inlineStr">
        <is>
          <t>-</t>
        </is>
      </c>
      <c r="O132" s="18" t="inlineStr">
        <is>
          <t>4 sold. long. / 8 cuello / 11 circunferencial</t>
        </is>
      </c>
      <c r="P132" s="18" t="inlineStr">
        <is>
          <t>IRAM 3523 3.2.4.2 · IRAM 3550 4.1.2</t>
        </is>
      </c>
      <c r="Q132" s="41" t="inlineStr">
        <is>
          <t>C</t>
        </is>
      </c>
      <c r="R132" s="41"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41" t="inlineStr">
        <is>
          <t>FL_REC_ABC_50kg</t>
        </is>
      </c>
      <c r="B133" s="41" t="n">
        <v>2</v>
      </c>
      <c r="C133" s="41" t="inlineStr">
        <is>
          <t>ABC50-C2</t>
        </is>
      </c>
      <c r="D133" s="18" t="inlineStr">
        <is>
          <t xml:space="preserve">        Gas de protección MAG Arcal 21 / ARCAL Speed (Ar + 8 % CO₂, M20)</t>
        </is>
      </c>
      <c r="E133" s="41" t="n">
        <v>65.8</v>
      </c>
      <c r="F133" s="41" t="inlineStr">
        <is>
          <t>L</t>
        </is>
      </c>
      <c r="G133" s="42" t="n"/>
      <c r="H133" s="42" t="n"/>
      <c r="I133" s="41" t="inlineStr">
        <is>
          <t>EN ISO 14175 M20-ArC-8</t>
        </is>
      </c>
      <c r="J133" s="18" t="inlineStr">
        <is>
          <t>14 L/min × 4,7 min de arco (cordones 2.822 mm: long. 535 + circ. 2.011 + cuello 276, a 600 mm/min)</t>
        </is>
      </c>
      <c r="K133" s="41" t="inlineStr">
        <is>
          <t>Compra</t>
        </is>
      </c>
      <c r="L133" s="41" t="inlineStr">
        <is>
          <t>Sí</t>
        </is>
      </c>
      <c r="M133" s="18" t="inlineStr">
        <is>
          <t>Air Liquide Argentina - sucursal Piñeyro</t>
        </is>
      </c>
      <c r="N133" s="18" t="inlineStr">
        <is>
          <t>Gogniat</t>
        </is>
      </c>
      <c r="O133" s="18" t="inlineStr">
        <is>
          <t>Colector SC</t>
        </is>
      </c>
      <c r="P133" s="18" t="inlineStr">
        <is>
          <t>IRAM 3523 3.2.4.2 · IRAM 3550 3.2.2.2</t>
        </is>
      </c>
      <c r="Q133" s="41" t="inlineStr">
        <is>
          <t>C</t>
        </is>
      </c>
      <c r="R133" s="41"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3" t="inlineStr">
        <is>
          <t>FL_REC_ABC_50kg</t>
        </is>
      </c>
      <c r="B134" s="33" t="n">
        <v>2</v>
      </c>
      <c r="C134" s="33" t="inlineStr">
        <is>
          <t>ABC50-C4</t>
        </is>
      </c>
      <c r="D134" s="17" t="inlineStr">
        <is>
          <t xml:space="preserve">        Servicio de pintura en polvo al horno, rojo 03-1-050 (con preparación por quemado)</t>
        </is>
      </c>
      <c r="E134" s="33" t="n">
        <v>1</v>
      </c>
      <c r="F134" s="33" t="inlineStr">
        <is>
          <t>u</t>
        </is>
      </c>
      <c r="G134" s="34" t="n"/>
      <c r="H134" s="34" t="n"/>
      <c r="I134" s="33" t="inlineStr">
        <is>
          <t>Servicio tercerizado</t>
        </is>
      </c>
      <c r="J134" s="17" t="inlineStr">
        <is>
          <t>superficie exterior 0,771 m²</t>
        </is>
      </c>
      <c r="K134" s="33" t="inlineStr">
        <is>
          <t>Compra (servicio)</t>
        </is>
      </c>
      <c r="L134" s="33" t="inlineStr">
        <is>
          <t>Sí</t>
        </is>
      </c>
      <c r="M134" s="17" t="inlineStr">
        <is>
          <t>Pintor de carros (cotización por mensaje)</t>
        </is>
      </c>
      <c r="N134" s="17" t="inlineStr">
        <is>
          <t>Prymax</t>
        </is>
      </c>
      <c r="O134" s="17" t="inlineStr">
        <is>
          <t>17 Pintura tercerizada</t>
        </is>
      </c>
      <c r="P134" s="17" t="inlineStr">
        <is>
          <t>IRAM 3523 5.3 / IRAM 3550 3.11 · IRAM 121</t>
        </is>
      </c>
      <c r="Q134" s="33" t="inlineStr">
        <is>
          <t>Q</t>
        </is>
      </c>
      <c r="R134" s="33" t="n"/>
      <c r="S134" s="17" t="inlineStr">
        <is>
          <t>Q-CARROS (precio por carro); exigir informe de niebla salina del sistema de pintura; tercerización aceptada por el Ministerio (Res. 349/07 art. 18)</t>
        </is>
      </c>
    </row>
    <row r="135">
      <c r="A135" s="43" t="inlineStr">
        <is>
          <t>FL_REC_ABC_50kg</t>
        </is>
      </c>
      <c r="B135" s="43" t="n">
        <v>2</v>
      </c>
      <c r="C135" s="43" t="inlineStr">
        <is>
          <t>ABC50-T1</t>
        </is>
      </c>
      <c r="D135" s="20" t="inlineStr">
        <is>
          <t xml:space="preserve">        Tapón protector de rosca del cuello</t>
        </is>
      </c>
      <c r="E135" s="43" t="n">
        <v>1</v>
      </c>
      <c r="F135" s="43" t="inlineStr">
        <is>
          <t>u</t>
        </is>
      </c>
      <c r="G135" s="44" t="n"/>
      <c r="H135" s="44" t="n"/>
      <c r="I135" s="43" t="inlineStr">
        <is>
          <t>Polietileno</t>
        </is>
      </c>
      <c r="J135" s="20" t="inlineStr">
        <is>
          <t>para rosca RBSP 2 1/2"-11 h (plano FL_REC_ABC_50kg hoja 3, R4)</t>
        </is>
      </c>
      <c r="K135" s="43" t="inlineStr">
        <is>
          <t>Compra</t>
        </is>
      </c>
      <c r="L135" s="43" t="inlineStr">
        <is>
          <t>Sí</t>
        </is>
      </c>
      <c r="M135" s="20" t="inlineStr">
        <is>
          <t>-</t>
        </is>
      </c>
      <c r="N135" s="20" t="inlineStr">
        <is>
          <t>-</t>
        </is>
      </c>
      <c r="O135" s="20" t="inlineStr">
        <is>
          <t>Embalaje</t>
        </is>
      </c>
      <c r="P135" s="20" t="n"/>
      <c r="Q135" s="43" t="inlineStr">
        <is>
          <t>P</t>
        </is>
      </c>
      <c r="R135" s="43" t="n"/>
      <c r="S135" s="20" t="n"/>
    </row>
    <row r="136">
      <c r="A136" s="33" t="inlineStr">
        <is>
          <t>FL_REC_ABC_50kg</t>
        </is>
      </c>
      <c r="B136" s="33" t="n">
        <v>2</v>
      </c>
      <c r="C136" s="33" t="inlineStr">
        <is>
          <t>ABC50-T2</t>
        </is>
      </c>
      <c r="D136" s="17" t="inlineStr">
        <is>
          <t xml:space="preserve">        Marcado del recipiente (estampado)</t>
        </is>
      </c>
      <c r="E136" s="33" t="n">
        <v>1</v>
      </c>
      <c r="F136" s="33" t="inlineStr">
        <is>
          <t>u</t>
        </is>
      </c>
      <c r="G136" s="34" t="n"/>
      <c r="H136" s="34" t="n"/>
      <c r="I136" s="33" t="inlineStr">
        <is>
          <t>-</t>
        </is>
      </c>
      <c r="J136" s="17" t="inlineStr">
        <is>
          <t>Fabricante, n° de serie, año, presión de ensayo; cuño DPS 15 × 7 junto al n°</t>
        </is>
      </c>
      <c r="K136" s="33" t="inlineStr">
        <is>
          <t>Proceso</t>
        </is>
      </c>
      <c r="L136" s="33" t="inlineStr">
        <is>
          <t>No</t>
        </is>
      </c>
      <c r="M136" s="17" t="n"/>
      <c r="N136" s="17" t="n"/>
      <c r="O136" s="17" t="inlineStr">
        <is>
          <t>Marcado</t>
        </is>
      </c>
      <c r="P136" s="17" t="inlineStr">
        <is>
          <t>IRAM 3550 5.1 · Res. 349/07 anexo IV</t>
        </is>
      </c>
      <c r="Q136" s="33" t="inlineStr">
        <is>
          <t>N</t>
        </is>
      </c>
      <c r="R136" s="33" t="n"/>
      <c r="S136" s="17" t="n"/>
    </row>
    <row r="137">
      <c r="A137" s="33" t="inlineStr">
        <is>
          <t>FL_REC_ABC_50kg</t>
        </is>
      </c>
      <c r="B137" s="33" t="n">
        <v>2</v>
      </c>
      <c r="C137" s="33" t="inlineStr">
        <is>
          <t>ABC50-T3</t>
        </is>
      </c>
      <c r="D137" s="17" t="inlineStr">
        <is>
          <t xml:space="preserve">        Etiqueta de identificación del cilindro suelto</t>
        </is>
      </c>
      <c r="E137" s="33" t="n">
        <v>1</v>
      </c>
      <c r="F137" s="33" t="inlineStr">
        <is>
          <t>u</t>
        </is>
      </c>
      <c r="G137" s="34" t="n"/>
      <c r="H137" s="34" t="n"/>
      <c r="I137" s="33" t="inlineStr">
        <is>
          <t>Poliéster autoadhesivo removible</t>
        </is>
      </c>
      <c r="J137" s="17" t="inlineStr">
        <is>
          <t>100 × 60, impresión térmica, QR GS1</t>
        </is>
      </c>
      <c r="K137" s="33" t="inlineStr">
        <is>
          <t>Compra</t>
        </is>
      </c>
      <c r="L137" s="33" t="inlineStr">
        <is>
          <t>Sí</t>
        </is>
      </c>
      <c r="M137" s="17" t="inlineStr">
        <is>
          <t>Astuprint</t>
        </is>
      </c>
      <c r="N137" s="17" t="inlineStr">
        <is>
          <t>GS1 Argentina</t>
        </is>
      </c>
      <c r="O137" s="17" t="inlineStr">
        <is>
          <t>Etiquetado</t>
        </is>
      </c>
      <c r="P137" s="17" t="n"/>
      <c r="Q137" s="33" t="inlineStr">
        <is>
          <t>P</t>
        </is>
      </c>
      <c r="R137" s="33" t="inlineStr">
        <is>
          <t>FL_REC_ABC_50kg hoja 3</t>
        </is>
      </c>
      <c r="S137" s="17" t="n"/>
    </row>
    <row r="138">
      <c r="A138" s="33" t="inlineStr">
        <is>
          <t>FL_REC_ABC_50kg</t>
        </is>
      </c>
      <c r="B138" s="33" t="n">
        <v>2</v>
      </c>
      <c r="C138" s="33" t="inlineStr">
        <is>
          <t>ABC50-T4</t>
        </is>
      </c>
      <c r="D138" s="17" t="inlineStr">
        <is>
          <t xml:space="preserve">        Protocolo de ensayo hidrostático (certificado que acompaña)</t>
        </is>
      </c>
      <c r="E138" s="33" t="n">
        <v>1</v>
      </c>
      <c r="F138" s="33" t="inlineStr">
        <is>
          <t>u</t>
        </is>
      </c>
      <c r="G138" s="34" t="n">
        <v>0.005</v>
      </c>
      <c r="H138" s="34">
        <f>E138*G138</f>
        <v/>
      </c>
      <c r="I138" s="33" t="inlineStr">
        <is>
          <t>Papel</t>
        </is>
      </c>
      <c r="J138" s="17" t="inlineStr">
        <is>
          <t>A5</t>
        </is>
      </c>
      <c r="K138" s="33" t="inlineStr">
        <is>
          <t>Proceso</t>
        </is>
      </c>
      <c r="L138" s="33" t="inlineStr">
        <is>
          <t>No</t>
        </is>
      </c>
      <c r="M138" s="17" t="n"/>
      <c r="N138" s="17" t="n"/>
      <c r="O138" s="17" t="inlineStr">
        <is>
          <t>Control de calidad</t>
        </is>
      </c>
      <c r="P138" s="17" t="inlineStr">
        <is>
          <t>IRAM 3550 4.1 y cap. 6 · IRAM 2587</t>
        </is>
      </c>
      <c r="Q138" s="33" t="inlineStr">
        <is>
          <t>N</t>
        </is>
      </c>
      <c r="R138" s="33" t="inlineStr">
        <is>
          <t>FL_REC_ABC_50kg hoja 3</t>
        </is>
      </c>
      <c r="S138" s="17" t="n"/>
    </row>
    <row r="139">
      <c r="A139" s="30" t="inlineStr">
        <is>
          <t>FL_REC_ABC_50kg</t>
        </is>
      </c>
      <c r="B139" s="30" t="n">
        <v>1</v>
      </c>
      <c r="C139" s="30" t="inlineStr">
        <is>
          <t>ABC50-S7</t>
        </is>
      </c>
      <c r="D139" s="31" t="inlineStr">
        <is>
          <t xml:space="preserve">    Embalaje</t>
        </is>
      </c>
      <c r="E139" s="30" t="n">
        <v>1</v>
      </c>
      <c r="F139" s="30" t="inlineStr">
        <is>
          <t>u</t>
        </is>
      </c>
      <c r="G139" s="32" t="n"/>
      <c r="H139" s="32">
        <f>H142</f>
        <v/>
      </c>
      <c r="I139" s="30" t="n"/>
      <c r="J139" s="31" t="n"/>
      <c r="K139" s="30" t="inlineStr">
        <is>
          <t>Compra</t>
        </is>
      </c>
      <c r="L139" s="30" t="n"/>
      <c r="M139" s="31" t="n"/>
      <c r="N139" s="31" t="n"/>
      <c r="O139" s="31" t="inlineStr">
        <is>
          <t>23 Embalaje -&gt; 24 envolvedora (T11)</t>
        </is>
      </c>
      <c r="P139" s="31" t="n"/>
      <c r="Q139" s="30" t="n"/>
      <c r="R139" s="30" t="n"/>
      <c r="S139" s="31" t="n"/>
    </row>
    <row r="140">
      <c r="A140" s="33" t="inlineStr">
        <is>
          <t>FL_REC_ABC_50kg</t>
        </is>
      </c>
      <c r="B140" s="33" t="n">
        <v>2</v>
      </c>
      <c r="C140" s="33" t="inlineStr">
        <is>
          <t>ABC50-E1</t>
        </is>
      </c>
      <c r="D140" s="17" t="inlineStr">
        <is>
          <t xml:space="preserve">        Esquineros y funda de polietileno</t>
        </is>
      </c>
      <c r="E140" s="33" t="n">
        <v>1</v>
      </c>
      <c r="F140" s="33" t="inlineStr">
        <is>
          <t>jgo</t>
        </is>
      </c>
      <c r="G140" s="34" t="n"/>
      <c r="H140" s="34" t="n"/>
      <c r="I140" s="33" t="inlineStr">
        <is>
          <t>PE / cartón</t>
        </is>
      </c>
      <c r="J140" s="17" t="inlineStr">
        <is>
          <t>a medida de la envolvente del plano</t>
        </is>
      </c>
      <c r="K140" s="33" t="inlineStr">
        <is>
          <t>Compra</t>
        </is>
      </c>
      <c r="L140" s="33" t="inlineStr">
        <is>
          <t>Sí</t>
        </is>
      </c>
      <c r="M140" s="17" t="inlineStr">
        <is>
          <t>MV Embalajes</t>
        </is>
      </c>
      <c r="N140" s="17" t="inlineStr">
        <is>
          <t>Embalpack</t>
        </is>
      </c>
      <c r="O140" s="17" t="inlineStr">
        <is>
          <t>23 Embalaje</t>
        </is>
      </c>
      <c r="P140" s="17" t="n"/>
      <c r="Q140" s="33" t="inlineStr">
        <is>
          <t>P</t>
        </is>
      </c>
      <c r="R140" s="33" t="n"/>
      <c r="S140" s="17" t="inlineStr">
        <is>
          <t>Medida del plano</t>
        </is>
      </c>
    </row>
    <row r="141">
      <c r="A141" s="33" t="inlineStr">
        <is>
          <t>FL_REC_ABC_50kg</t>
        </is>
      </c>
      <c r="B141" s="33" t="n">
        <v>2</v>
      </c>
      <c r="C141" s="33" t="inlineStr">
        <is>
          <t>ABC50-E3</t>
        </is>
      </c>
      <c r="D141" s="17" t="inlineStr">
        <is>
          <t xml:space="preserve">        Pallet 1200 × 1000 (fracción)</t>
        </is>
      </c>
      <c r="E141" s="33" t="n">
        <v>0.1111</v>
      </c>
      <c r="F141" s="33" t="inlineStr">
        <is>
          <t>u</t>
        </is>
      </c>
      <c r="G141" s="34" t="n"/>
      <c r="H141" s="34" t="n"/>
      <c r="I141" s="33" t="inlineStr">
        <is>
          <t>Madera</t>
        </is>
      </c>
      <c r="J141" s="17" t="inlineStr">
        <is>
          <t>9 u por pallet</t>
        </is>
      </c>
      <c r="K141" s="33" t="inlineStr">
        <is>
          <t>Compra</t>
        </is>
      </c>
      <c r="L141" s="33" t="inlineStr">
        <is>
          <t>Sí</t>
        </is>
      </c>
      <c r="M141" s="17" t="inlineStr">
        <is>
          <t>IndusPallets</t>
        </is>
      </c>
      <c r="N141" s="17" t="inlineStr">
        <is>
          <t>-</t>
        </is>
      </c>
      <c r="O141" s="17" t="inlineStr">
        <is>
          <t>23 Embalaje</t>
        </is>
      </c>
      <c r="P141" s="17" t="n"/>
      <c r="Q141" s="33" t="inlineStr">
        <is>
          <t>C</t>
        </is>
      </c>
      <c r="R141" s="33" t="n"/>
      <c r="S141" s="17" t="inlineStr">
        <is>
          <t>u por pallet = acomodo de la caja (plano) en 1200 × 1000 × 1450 de alto</t>
        </is>
      </c>
    </row>
    <row r="142">
      <c r="A142" s="41" t="inlineStr">
        <is>
          <t>FL_REC_ABC_50kg</t>
        </is>
      </c>
      <c r="B142" s="41" t="n">
        <v>2</v>
      </c>
      <c r="C142" s="41" t="inlineStr">
        <is>
          <t>ABC50-E4</t>
        </is>
      </c>
      <c r="D142" s="18" t="inlineStr">
        <is>
          <t xml:space="preserve">        Film stretch (fracción del pallet)</t>
        </is>
      </c>
      <c r="E142" s="41" t="n">
        <v>0.0133</v>
      </c>
      <c r="F142" s="41" t="inlineStr">
        <is>
          <t>kg</t>
        </is>
      </c>
      <c r="G142" s="42" t="n">
        <v>1</v>
      </c>
      <c r="H142" s="42">
        <f>E142*G142</f>
        <v/>
      </c>
      <c r="I142" s="41" t="inlineStr">
        <is>
          <t>PE lineal 23 µm</t>
        </is>
      </c>
      <c r="J142" s="18" t="inlineStr">
        <is>
          <t>0,12 kg por pallet / 9 u</t>
        </is>
      </c>
      <c r="K142" s="41" t="inlineStr">
        <is>
          <t>Compra</t>
        </is>
      </c>
      <c r="L142" s="41" t="inlineStr">
        <is>
          <t>Sí</t>
        </is>
      </c>
      <c r="M142" s="18" t="inlineStr">
        <is>
          <t>MV Embalajes</t>
        </is>
      </c>
      <c r="N142" s="18" t="inlineStr">
        <is>
          <t>Embalpack</t>
        </is>
      </c>
      <c r="O142" s="18" t="inlineStr">
        <is>
          <t>24 Envolvedora (T11)</t>
        </is>
      </c>
      <c r="P142" s="18" t="n"/>
      <c r="Q142" s="41" t="inlineStr">
        <is>
          <t>C</t>
        </is>
      </c>
      <c r="R142" s="41"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3" t="inlineStr">
        <is>
          <t>FL_REC_ABC_50kg</t>
        </is>
      </c>
      <c r="B143" s="33" t="n">
        <v>2</v>
      </c>
      <c r="C143" s="33" t="inlineStr">
        <is>
          <t>ABC50-E5</t>
        </is>
      </c>
      <c r="D143" s="17" t="inlineStr">
        <is>
          <t xml:space="preserve">        Etiqueta de pallet (lote y destino, fracción)</t>
        </is>
      </c>
      <c r="E143" s="33" t="n">
        <v>0.1111</v>
      </c>
      <c r="F143" s="33" t="inlineStr">
        <is>
          <t>u</t>
        </is>
      </c>
      <c r="G143" s="34" t="n"/>
      <c r="H143" s="34" t="n"/>
      <c r="I143" s="33" t="inlineStr">
        <is>
          <t>Papel térmico</t>
        </is>
      </c>
      <c r="J143" s="17" t="inlineStr">
        <is>
          <t>100 × 150</t>
        </is>
      </c>
      <c r="K143" s="33" t="inlineStr">
        <is>
          <t>Compra</t>
        </is>
      </c>
      <c r="L143" s="33" t="inlineStr">
        <is>
          <t>Sí</t>
        </is>
      </c>
      <c r="M143" s="17" t="inlineStr">
        <is>
          <t>Astuprint</t>
        </is>
      </c>
      <c r="N143" s="17" t="inlineStr">
        <is>
          <t>Multilabel Argentina S.A.</t>
        </is>
      </c>
      <c r="O143" s="17" t="inlineStr">
        <is>
          <t>24 Envolvedora</t>
        </is>
      </c>
      <c r="P143" s="17" t="n"/>
      <c r="Q143" s="33" t="inlineStr">
        <is>
          <t>C</t>
        </is>
      </c>
      <c r="R143" s="33" t="n"/>
      <c r="S143" s="17" t="n"/>
    </row>
    <row r="144">
      <c r="A144" s="33" t="inlineStr">
        <is>
          <t>FL_REC_ABC_50kg</t>
        </is>
      </c>
      <c r="B144" s="33" t="n">
        <v>2</v>
      </c>
      <c r="C144" s="33" t="inlineStr">
        <is>
          <t>ABC50-E8</t>
        </is>
      </c>
      <c r="D144" s="17" t="inlineStr">
        <is>
          <t xml:space="preserve">        Separador de capa de cartón 1200 × 1000 (fracción del pallet)</t>
        </is>
      </c>
      <c r="E144" s="33" t="n">
        <v>0</v>
      </c>
      <c r="F144" s="33" t="inlineStr">
        <is>
          <t>u</t>
        </is>
      </c>
      <c r="G144" s="34" t="n"/>
      <c r="H144" s="34" t="n"/>
      <c r="I144" s="33" t="inlineStr">
        <is>
          <t>Cartón</t>
        </is>
      </c>
      <c r="J144" s="17" t="inlineStr">
        <is>
          <t>1 capas → 0 separadores por pallet / 9 u</t>
        </is>
      </c>
      <c r="K144" s="33" t="inlineStr">
        <is>
          <t>Compra</t>
        </is>
      </c>
      <c r="L144" s="33" t="inlineStr">
        <is>
          <t>Sí</t>
        </is>
      </c>
      <c r="M144" s="17" t="inlineStr">
        <is>
          <t>Maxipack</t>
        </is>
      </c>
      <c r="N144" s="17" t="inlineStr">
        <is>
          <t>Cartocan</t>
        </is>
      </c>
      <c r="O144" s="17" t="inlineStr">
        <is>
          <t>23 Embalaje</t>
        </is>
      </c>
      <c r="P144" s="17" t="n"/>
      <c r="Q144" s="33" t="inlineStr">
        <is>
          <t>C</t>
        </is>
      </c>
      <c r="R144" s="33" t="n"/>
      <c r="S144" s="17" t="inlineStr">
        <is>
          <t>Planilla MP-61</t>
        </is>
      </c>
    </row>
    <row r="145">
      <c r="A145" s="27" t="inlineStr">
        <is>
          <t>FL_REC_ABC_70kg</t>
        </is>
      </c>
      <c r="B145" s="27" t="n">
        <v>0</v>
      </c>
      <c r="C145" s="27" t="inlineStr">
        <is>
          <t>FL_REC_ABC_70kg</t>
        </is>
      </c>
      <c r="D145" s="28" t="inlineStr">
        <is>
          <t>Cilindro (recipiente) ABC 70 kg rodante - repuesto vacío sin válvula</t>
        </is>
      </c>
      <c r="E145" s="27" t="n">
        <v>1</v>
      </c>
      <c r="F145" s="27" t="inlineStr">
        <is>
          <t>u</t>
        </is>
      </c>
      <c r="G145" s="29" t="n"/>
      <c r="H145" s="29" t="n"/>
      <c r="I145" s="27" t="n"/>
      <c r="J145" s="28" t="n"/>
      <c r="K145" s="27" t="n"/>
      <c r="L145" s="27" t="n"/>
      <c r="M145" s="28" t="n"/>
      <c r="N145" s="28" t="n"/>
      <c r="O145" s="28" t="n"/>
      <c r="P145" s="28" t="inlineStr">
        <is>
          <t>IRAM 3550</t>
        </is>
      </c>
      <c r="Q145" s="27" t="inlineStr">
        <is>
          <t>P</t>
        </is>
      </c>
      <c r="R145" s="27" t="inlineStr">
        <is>
          <t>FL_REC_ABC_70kg</t>
        </is>
      </c>
      <c r="S145" s="28" t="inlineStr">
        <is>
          <t>Fabricación propia</t>
        </is>
      </c>
    </row>
    <row r="146">
      <c r="A146" s="30" t="inlineStr">
        <is>
          <t>FL_REC_ABC_70kg</t>
        </is>
      </c>
      <c r="B146" s="30" t="n">
        <v>1</v>
      </c>
      <c r="C146" s="30" t="inlineStr">
        <is>
          <t>ABC70-S1</t>
        </is>
      </c>
      <c r="D146" s="31" t="inlineStr">
        <is>
          <t xml:space="preserve">    Recipiente (cilindro)</t>
        </is>
      </c>
      <c r="E146" s="30" t="n">
        <v>1</v>
      </c>
      <c r="F146" s="30" t="inlineStr">
        <is>
          <t>u</t>
        </is>
      </c>
      <c r="G146" s="32" t="n"/>
      <c r="H146" s="32">
        <f>H147+H149+H150+H151+H152+H154+H160</f>
        <v/>
      </c>
      <c r="I146" s="30" t="n"/>
      <c r="J146" s="31" t="n"/>
      <c r="K146" s="30" t="inlineStr">
        <is>
          <t>Fabricación</t>
        </is>
      </c>
      <c r="L146" s="30" t="n"/>
      <c r="M146" s="31" t="n"/>
      <c r="N146" s="31" t="n"/>
      <c r="O146" s="31" t="n"/>
      <c r="P146" s="31" t="inlineStr">
        <is>
          <t>IRAM 3523 / 3550 (recipiente)</t>
        </is>
      </c>
      <c r="Q146" s="30" t="inlineStr">
        <is>
          <t>P</t>
        </is>
      </c>
      <c r="R146" s="30" t="inlineStr">
        <is>
          <t>FL_DES_ABC_70kg</t>
        </is>
      </c>
      <c r="S146" s="31" t="n"/>
    </row>
    <row r="147">
      <c r="A147" s="33" t="inlineStr">
        <is>
          <t>FL_REC_ABC_70kg</t>
        </is>
      </c>
      <c r="B147" s="33" t="n">
        <v>2</v>
      </c>
      <c r="C147" s="33" t="inlineStr">
        <is>
          <t>ABC70-01</t>
        </is>
      </c>
      <c r="D147" s="17" t="inlineStr">
        <is>
          <t xml:space="preserve">        Cuerpo (virola)</t>
        </is>
      </c>
      <c r="E147" s="33" t="n">
        <v>1</v>
      </c>
      <c r="F147" s="33" t="inlineStr">
        <is>
          <t>u</t>
        </is>
      </c>
      <c r="G147" s="34" t="n">
        <v>27.6309</v>
      </c>
      <c r="H147" s="34">
        <f>E147*G147</f>
        <v/>
      </c>
      <c r="I147" s="33" t="inlineStr">
        <is>
          <t>Chapa LAC IRAM-IAS U 500-04 e=4,75</t>
        </is>
      </c>
      <c r="J147" s="17" t="inlineStr">
        <is>
          <t>Ø350 × e4,75 × 683,2 de alto; desarrollo 1.084,6 × 683,2</t>
        </is>
      </c>
      <c r="K147" s="33" t="inlineStr">
        <is>
          <t>Fabricación</t>
        </is>
      </c>
      <c r="L147" s="33" t="inlineStr">
        <is>
          <t>No</t>
        </is>
      </c>
      <c r="M147" s="17" t="n"/>
      <c r="N147" s="17" t="n"/>
      <c r="O147" s="17" t="inlineStr">
        <is>
          <t>1 Guillotina -&gt; C1 cilindrado -&gt; C2 punteo -&gt; C3 sold. long.</t>
        </is>
      </c>
      <c r="P147" s="17" t="n"/>
      <c r="Q147" s="33" t="inlineStr">
        <is>
          <t>P</t>
        </is>
      </c>
      <c r="R147" s="33" t="inlineStr">
        <is>
          <t>FL_DES_ABC_70kg</t>
        </is>
      </c>
      <c r="S147" s="17" t="inlineStr">
        <is>
          <t>costura long. MAG</t>
        </is>
      </c>
    </row>
    <row r="148">
      <c r="A148" s="35" t="inlineStr">
        <is>
          <t>FL_REC_ABC_70kg</t>
        </is>
      </c>
      <c r="B148" s="35" t="n">
        <v>3</v>
      </c>
      <c r="C148" s="35" t="inlineStr">
        <is>
          <t>MP-HOJA</t>
        </is>
      </c>
      <c r="D148" s="36" t="inlineStr">
        <is>
          <t xml:space="preserve">            Recorte de hoja LAC 1500 × 3000 e=4,75</t>
        </is>
      </c>
      <c r="E148" s="35" t="n">
        <v>1</v>
      </c>
      <c r="F148" s="35" t="inlineStr">
        <is>
          <t>u</t>
        </is>
      </c>
      <c r="G148" s="37" t="n">
        <v>41.925</v>
      </c>
      <c r="H148" s="37">
        <f>E148*G148</f>
        <v/>
      </c>
      <c r="I148" s="35" t="inlineStr">
        <is>
          <t>Chapa LAC IRAM-IAS U 500-04 LAC</t>
        </is>
      </c>
      <c r="J148" s="36" t="inlineStr">
        <is>
          <t>680 × 1.212 (aprovech. 73,3 %)</t>
        </is>
      </c>
      <c r="K148" s="35" t="inlineStr">
        <is>
          <t>Compra</t>
        </is>
      </c>
      <c r="L148" s="35" t="inlineStr">
        <is>
          <t>Sí</t>
        </is>
      </c>
      <c r="M148" s="36" t="inlineStr">
        <is>
          <t>Pradecon S.A.</t>
        </is>
      </c>
      <c r="N148" s="36" t="inlineStr">
        <is>
          <t>Pacheco Chapas</t>
        </is>
      </c>
      <c r="O148" s="36" t="inlineStr">
        <is>
          <t>AL-1H paquetes de hojas</t>
        </is>
      </c>
      <c r="P148" s="36" t="n"/>
      <c r="Q148" s="35" t="inlineStr">
        <is>
          <t>L</t>
        </is>
      </c>
      <c r="R148" s="35" t="inlineStr">
        <is>
          <t>FL_PI_04 h2</t>
        </is>
      </c>
      <c r="S148" s="36" t="n"/>
    </row>
    <row r="149">
      <c r="A149" s="33" t="inlineStr">
        <is>
          <t>FL_REC_ABC_70kg</t>
        </is>
      </c>
      <c r="B149" s="33" t="n">
        <v>2</v>
      </c>
      <c r="C149" s="33" t="inlineStr">
        <is>
          <t>ABC70-02</t>
        </is>
      </c>
      <c r="D149" s="17" t="inlineStr">
        <is>
          <t xml:space="preserve">        Cúpula</t>
        </is>
      </c>
      <c r="E149" s="33" t="n">
        <v>1</v>
      </c>
      <c r="F149" s="33" t="inlineStr">
        <is>
          <t>u</t>
        </is>
      </c>
      <c r="G149" s="34" t="n">
        <v>5.1255</v>
      </c>
      <c r="H149" s="34">
        <f>E149*G149</f>
        <v/>
      </c>
      <c r="I149" s="33" t="inlineStr">
        <is>
          <t>Chapa LAC IRAM-IAS U 500-04 e=4,75</t>
        </is>
      </c>
      <c r="J149" s="17" t="inlineStr">
        <is>
          <t>Ø350 × e4,75 × 111,8 de alto; disco Ø430,9</t>
        </is>
      </c>
      <c r="K149" s="33" t="inlineStr">
        <is>
          <t>Compra (tapa embutida tercerizada)</t>
        </is>
      </c>
      <c r="L149" s="33" t="inlineStr">
        <is>
          <t>Sí</t>
        </is>
      </c>
      <c r="M149" s="17" t="inlineStr">
        <is>
          <t>Gockel Ingeniería S.R.L.</t>
        </is>
      </c>
      <c r="N149" s="17" t="inlineStr">
        <is>
          <t>-</t>
        </is>
      </c>
      <c r="O149" s="17" t="inlineStr">
        <is>
          <t>Compra (casquetes de carros, rack RK1)</t>
        </is>
      </c>
      <c r="P149" s="17" t="n"/>
      <c r="Q149" s="33" t="inlineStr">
        <is>
          <t>P</t>
        </is>
      </c>
      <c r="R149" s="33" t="inlineStr">
        <is>
          <t>FL_DES_ABC_70kg</t>
        </is>
      </c>
      <c r="S149" s="17" t="inlineStr">
        <is>
          <t>embutida</t>
        </is>
      </c>
    </row>
    <row r="150">
      <c r="A150" s="33" t="inlineStr">
        <is>
          <t>FL_REC_ABC_70kg</t>
        </is>
      </c>
      <c r="B150" s="33" t="n">
        <v>2</v>
      </c>
      <c r="C150" s="33" t="inlineStr">
        <is>
          <t>ABC70-03</t>
        </is>
      </c>
      <c r="D150" s="17" t="inlineStr">
        <is>
          <t xml:space="preserve">        Fondo</t>
        </is>
      </c>
      <c r="E150" s="33" t="n">
        <v>1</v>
      </c>
      <c r="F150" s="33" t="inlineStr">
        <is>
          <t>u</t>
        </is>
      </c>
      <c r="G150" s="34" t="n">
        <v>5.4357</v>
      </c>
      <c r="H150" s="34">
        <f>E150*G150</f>
        <v/>
      </c>
      <c r="I150" s="33" t="inlineStr">
        <is>
          <t>Chapa LAC IRAM-IAS U 500-04 e=4,75</t>
        </is>
      </c>
      <c r="J150" s="17" t="inlineStr">
        <is>
          <t>Ø350 × e4,75 × 114,8 de alto; disco Ø443,7</t>
        </is>
      </c>
      <c r="K150" s="33" t="inlineStr">
        <is>
          <t>Compra (tapa embutida tercerizada)</t>
        </is>
      </c>
      <c r="L150" s="33" t="inlineStr">
        <is>
          <t>Sí</t>
        </is>
      </c>
      <c r="M150" s="17" t="inlineStr">
        <is>
          <t>Gockel Ingeniería S.R.L.</t>
        </is>
      </c>
      <c r="N150" s="17" t="inlineStr">
        <is>
          <t>-</t>
        </is>
      </c>
      <c r="O150" s="17" t="inlineStr">
        <is>
          <t>Compra (casquetes de carros, rack RK1)</t>
        </is>
      </c>
      <c r="P150" s="17" t="n"/>
      <c r="Q150" s="33" t="inlineStr">
        <is>
          <t>P</t>
        </is>
      </c>
      <c r="R150" s="33" t="inlineStr">
        <is>
          <t>FL_DES_ABC_70kg</t>
        </is>
      </c>
      <c r="S150" s="17" t="inlineStr">
        <is>
          <t>embutido</t>
        </is>
      </c>
    </row>
    <row r="151">
      <c r="A151" s="33" t="inlineStr">
        <is>
          <t>FL_REC_ABC_70kg</t>
        </is>
      </c>
      <c r="B151" s="33" t="n">
        <v>2</v>
      </c>
      <c r="C151" s="33" t="inlineStr">
        <is>
          <t>ABC70-04</t>
        </is>
      </c>
      <c r="D151" s="17" t="inlineStr">
        <is>
          <t xml:space="preserve">        Cuello roscado</t>
        </is>
      </c>
      <c r="E151" s="33" t="n">
        <v>1</v>
      </c>
      <c r="F151" s="33" t="inlineStr">
        <is>
          <t>u</t>
        </is>
      </c>
      <c r="G151" s="34" t="n">
        <v>0.6199</v>
      </c>
      <c r="H151" s="34">
        <f>E151*G151</f>
        <v/>
      </c>
      <c r="I151" s="33" t="inlineStr">
        <is>
          <t>Acero SAE 1010</t>
        </is>
      </c>
      <c r="J151" s="17" t="inlineStr">
        <is>
          <t>Ø88 × 37 de alto, rosca RBSP 2 1/2"-11 h, asiento Ø80</t>
        </is>
      </c>
      <c r="K151" s="33" t="inlineStr">
        <is>
          <t>Compra (mecanizado, Eli-Met)</t>
        </is>
      </c>
      <c r="L151" s="33" t="inlineStr">
        <is>
          <t>Sí</t>
        </is>
      </c>
      <c r="M151" s="17" t="inlineStr">
        <is>
          <t>Eli-Met</t>
        </is>
      </c>
      <c r="N151" s="17" t="inlineStr">
        <is>
          <t>-</t>
        </is>
      </c>
      <c r="O151" s="17" t="inlineStr">
        <is>
          <t>Compra -&gt; C2 punteo</t>
        </is>
      </c>
      <c r="P151" s="17" t="n"/>
      <c r="Q151" s="33" t="inlineStr">
        <is>
          <t>P</t>
        </is>
      </c>
      <c r="R151" s="33" t="inlineStr">
        <is>
          <t>FL_DES_ABC_70kg</t>
        </is>
      </c>
      <c r="S151" s="17" t="inlineStr">
        <is>
          <t>RBSP 2 1/2"-11 h</t>
        </is>
      </c>
    </row>
    <row r="152">
      <c r="A152" s="41" t="inlineStr">
        <is>
          <t>FL_REC_ABC_70kg</t>
        </is>
      </c>
      <c r="B152" s="41" t="n">
        <v>2</v>
      </c>
      <c r="C152" s="41" t="inlineStr">
        <is>
          <t>ABC70-05</t>
        </is>
      </c>
      <c r="D152" s="18" t="inlineStr">
        <is>
          <t xml:space="preserve">        Varilla de refuerzo interior</t>
        </is>
      </c>
      <c r="E152" s="41" t="n">
        <v>1</v>
      </c>
      <c r="F152" s="41" t="inlineStr">
        <is>
          <t>u</t>
        </is>
      </c>
      <c r="G152" s="42" t="n">
        <v>0.2577</v>
      </c>
      <c r="H152" s="42">
        <f>E152*G152</f>
        <v/>
      </c>
      <c r="I152" s="41" t="inlineStr">
        <is>
          <t>Redondo liso SAE 1010 Ø8</t>
        </is>
      </c>
      <c r="J152" s="18" t="inlineStr">
        <is>
          <t>653,2 × 8 × 8</t>
        </is>
      </c>
      <c r="K152" s="41" t="inlineStr">
        <is>
          <t>Fabricación</t>
        </is>
      </c>
      <c r="L152" s="41" t="inlineStr">
        <is>
          <t>No</t>
        </is>
      </c>
      <c r="M152" s="18" t="n"/>
      <c r="N152" s="18" t="n"/>
      <c r="O152" s="18" t="inlineStr">
        <is>
          <t>Corte de barra -&gt; C2 punteo interior antes de C3 soldadura longitudinal</t>
        </is>
      </c>
      <c r="P152" s="18" t="n"/>
      <c r="Q152" s="41" t="inlineStr">
        <is>
          <t>P</t>
        </is>
      </c>
      <c r="R152" s="41" t="inlineStr">
        <is>
          <t>FL_DES_ABC_70kg</t>
        </is>
      </c>
      <c r="S152" s="18" t="inlineStr">
        <is>
          <t>Interior, detrás de la costura longitudinal; se puntea antes de la soldadura longitudinal para mantener la simetría del cilindrado (decisión FLAMA). Ø8 = propuesta de diseño, sin cálculo</t>
        </is>
      </c>
    </row>
    <row r="153">
      <c r="A153" s="47" t="inlineStr">
        <is>
          <t>FL_REC_ABC_70kg</t>
        </is>
      </c>
      <c r="B153" s="47" t="n">
        <v>3</v>
      </c>
      <c r="C153" s="47" t="inlineStr">
        <is>
          <t>MP-VARILLA</t>
        </is>
      </c>
      <c r="D153" s="48" t="inlineStr">
        <is>
          <t xml:space="preserve">            Redondo liso SAE 1010 Ø8 (tramo de barra de 6 m)</t>
        </is>
      </c>
      <c r="E153" s="47" t="n">
        <v>0.1089</v>
      </c>
      <c r="F153" s="47" t="inlineStr">
        <is>
          <t>barra</t>
        </is>
      </c>
      <c r="G153" s="49" t="n">
        <v>2.37</v>
      </c>
      <c r="H153" s="49">
        <f>E153*G153</f>
        <v/>
      </c>
      <c r="I153" s="47" t="inlineStr">
        <is>
          <t>Redondo liso SAE 1010 Ø8</t>
        </is>
      </c>
      <c r="J153" s="48" t="inlineStr">
        <is>
          <t>653 mm por pieza (kg por barra de 6 m)</t>
        </is>
      </c>
      <c r="K153" s="47" t="inlineStr">
        <is>
          <t>Compra</t>
        </is>
      </c>
      <c r="L153" s="47" t="inlineStr">
        <is>
          <t>Sí</t>
        </is>
      </c>
      <c r="M153" s="48" t="inlineStr">
        <is>
          <t>Hierros Parrotta</t>
        </is>
      </c>
      <c r="N153" s="48" t="inlineStr">
        <is>
          <t>Aceros Inoxidables Caseros</t>
        </is>
      </c>
      <c r="O153" s="48" t="inlineStr">
        <is>
          <t>Corte en sierra</t>
        </is>
      </c>
      <c r="P153" s="48" t="n"/>
      <c r="Q153" s="47" t="inlineStr">
        <is>
          <t>C</t>
        </is>
      </c>
      <c r="R153" s="47" t="n"/>
      <c r="S153" s="48" t="inlineStr">
        <is>
          <t>Ø8 = propuesta de diseño (sin cálculo)</t>
        </is>
      </c>
    </row>
    <row r="154">
      <c r="A154" s="41" t="inlineStr">
        <is>
          <t>FL_REC_ABC_70kg</t>
        </is>
      </c>
      <c r="B154" s="41" t="n">
        <v>2</v>
      </c>
      <c r="C154" s="41" t="inlineStr">
        <is>
          <t>ABC70-C1</t>
        </is>
      </c>
      <c r="D154" s="18" t="inlineStr">
        <is>
          <t xml:space="preserve">        Alambre MAG ER70S-6 Ø1,2 (AWS A5.18)</t>
        </is>
      </c>
      <c r="E154" s="41" t="n">
        <v>0.9806</v>
      </c>
      <c r="F154" s="41" t="inlineStr">
        <is>
          <t>kg</t>
        </is>
      </c>
      <c r="G154" s="42" t="n">
        <v>0.95</v>
      </c>
      <c r="H154" s="42">
        <f>E154*G154</f>
        <v/>
      </c>
      <c r="I154" s="41" t="inlineStr">
        <is>
          <t>ER70S-6</t>
        </is>
      </c>
      <c r="J154" s="18" t="inlineStr">
        <is>
          <t>metal depositado de los cordones del plano 932 g / rendimiento 0,95</t>
        </is>
      </c>
      <c r="K154" s="41" t="inlineStr">
        <is>
          <t>Compra</t>
        </is>
      </c>
      <c r="L154" s="41" t="inlineStr">
        <is>
          <t>Sí</t>
        </is>
      </c>
      <c r="M154" s="18" t="inlineStr">
        <is>
          <t>Conarco (ESAB Argentina)</t>
        </is>
      </c>
      <c r="N154" s="18" t="inlineStr">
        <is>
          <t>-</t>
        </is>
      </c>
      <c r="O154" s="18" t="inlineStr">
        <is>
          <t>4 sold. long. / 8 cuello / 11 circunferencial</t>
        </is>
      </c>
      <c r="P154" s="18" t="inlineStr">
        <is>
          <t>IRAM 3523 3.2.4.2 · IRAM 3550 4.1.2</t>
        </is>
      </c>
      <c r="Q154" s="41" t="inlineStr">
        <is>
          <t>C</t>
        </is>
      </c>
      <c r="R154" s="41" t="n"/>
      <c r="S15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5">
      <c r="A155" s="41" t="inlineStr">
        <is>
          <t>FL_REC_ABC_70kg</t>
        </is>
      </c>
      <c r="B155" s="41" t="n">
        <v>2</v>
      </c>
      <c r="C155" s="41" t="inlineStr">
        <is>
          <t>ABC70-C2</t>
        </is>
      </c>
      <c r="D155" s="18" t="inlineStr">
        <is>
          <t xml:space="preserve">        Gas de protección MAG Arcal 21 / ARCAL Speed (Ar + 8 % CO₂, M20)</t>
        </is>
      </c>
      <c r="E155" s="41" t="n">
        <v>73.7</v>
      </c>
      <c r="F155" s="41" t="inlineStr">
        <is>
          <t>L</t>
        </is>
      </c>
      <c r="G155" s="42" t="n"/>
      <c r="H155" s="42" t="n"/>
      <c r="I155" s="41" t="inlineStr">
        <is>
          <t>EN ISO 14175 M20-ArC-8</t>
        </is>
      </c>
      <c r="J155" s="18" t="inlineStr">
        <is>
          <t>14 L/min × 5,26 min de arco (cordones 3.159 mm: long. 683 + circ. 2.199 + cuello 276, a 600 mm/min)</t>
        </is>
      </c>
      <c r="K155" s="41" t="inlineStr">
        <is>
          <t>Compra</t>
        </is>
      </c>
      <c r="L155" s="41" t="inlineStr">
        <is>
          <t>Sí</t>
        </is>
      </c>
      <c r="M155" s="18" t="inlineStr">
        <is>
          <t>Air Liquide Argentina - sucursal Piñeyro</t>
        </is>
      </c>
      <c r="N155" s="18" t="inlineStr">
        <is>
          <t>Gogniat</t>
        </is>
      </c>
      <c r="O155" s="18" t="inlineStr">
        <is>
          <t>Colector SC</t>
        </is>
      </c>
      <c r="P155" s="18" t="inlineStr">
        <is>
          <t>IRAM 3523 3.2.4.2 · IRAM 3550 3.2.2.2</t>
        </is>
      </c>
      <c r="Q155" s="41" t="inlineStr">
        <is>
          <t>C</t>
        </is>
      </c>
      <c r="R155" s="41" t="n"/>
      <c r="S15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6">
      <c r="A156" s="33" t="inlineStr">
        <is>
          <t>FL_REC_ABC_70kg</t>
        </is>
      </c>
      <c r="B156" s="33" t="n">
        <v>2</v>
      </c>
      <c r="C156" s="33" t="inlineStr">
        <is>
          <t>ABC70-C4</t>
        </is>
      </c>
      <c r="D156" s="17" t="inlineStr">
        <is>
          <t xml:space="preserve">        Servicio de pintura en polvo al horno, rojo 03-1-050 (con preparación por quemado)</t>
        </is>
      </c>
      <c r="E156" s="33" t="n">
        <v>1</v>
      </c>
      <c r="F156" s="33" t="inlineStr">
        <is>
          <t>u</t>
        </is>
      </c>
      <c r="G156" s="34" t="n"/>
      <c r="H156" s="34" t="n"/>
      <c r="I156" s="33" t="inlineStr">
        <is>
          <t>Servicio tercerizado</t>
        </is>
      </c>
      <c r="J156" s="17" t="inlineStr">
        <is>
          <t>superficie exterior 1,024 m²</t>
        </is>
      </c>
      <c r="K156" s="33" t="inlineStr">
        <is>
          <t>Compra (servicio)</t>
        </is>
      </c>
      <c r="L156" s="33" t="inlineStr">
        <is>
          <t>Sí</t>
        </is>
      </c>
      <c r="M156" s="17" t="inlineStr">
        <is>
          <t>Pintor de carros (cotización por mensaje)</t>
        </is>
      </c>
      <c r="N156" s="17" t="inlineStr">
        <is>
          <t>Prymax</t>
        </is>
      </c>
      <c r="O156" s="17" t="inlineStr">
        <is>
          <t>17 Pintura tercerizada</t>
        </is>
      </c>
      <c r="P156" s="17" t="inlineStr">
        <is>
          <t>IRAM 3523 5.3 / IRAM 3550 3.11 · IRAM 121</t>
        </is>
      </c>
      <c r="Q156" s="33" t="inlineStr">
        <is>
          <t>Q</t>
        </is>
      </c>
      <c r="R156" s="33" t="n"/>
      <c r="S156" s="17" t="inlineStr">
        <is>
          <t>Q-CARROS (precio por carro); exigir informe de niebla salina del sistema de pintura; tercerización aceptada por el Ministerio (Res. 349/07 art. 18)</t>
        </is>
      </c>
    </row>
    <row r="157">
      <c r="A157" s="43" t="inlineStr">
        <is>
          <t>FL_REC_ABC_70kg</t>
        </is>
      </c>
      <c r="B157" s="43" t="n">
        <v>2</v>
      </c>
      <c r="C157" s="43" t="inlineStr">
        <is>
          <t>ABC70-T1</t>
        </is>
      </c>
      <c r="D157" s="20" t="inlineStr">
        <is>
          <t xml:space="preserve">        Tapón protector de rosca del cuello</t>
        </is>
      </c>
      <c r="E157" s="43" t="n">
        <v>1</v>
      </c>
      <c r="F157" s="43" t="inlineStr">
        <is>
          <t>u</t>
        </is>
      </c>
      <c r="G157" s="44" t="n"/>
      <c r="H157" s="44" t="n"/>
      <c r="I157" s="43" t="inlineStr">
        <is>
          <t>Polietileno</t>
        </is>
      </c>
      <c r="J157" s="20" t="inlineStr">
        <is>
          <t>para rosca RBSP 2 1/2"-11 h (plano FL_REC_ABC_70kg hoja 3, R4)</t>
        </is>
      </c>
      <c r="K157" s="43" t="inlineStr">
        <is>
          <t>Compra</t>
        </is>
      </c>
      <c r="L157" s="43" t="inlineStr">
        <is>
          <t>Sí</t>
        </is>
      </c>
      <c r="M157" s="20" t="inlineStr">
        <is>
          <t>-</t>
        </is>
      </c>
      <c r="N157" s="20" t="inlineStr">
        <is>
          <t>-</t>
        </is>
      </c>
      <c r="O157" s="20" t="inlineStr">
        <is>
          <t>Embalaje</t>
        </is>
      </c>
      <c r="P157" s="20" t="n"/>
      <c r="Q157" s="43" t="inlineStr">
        <is>
          <t>P</t>
        </is>
      </c>
      <c r="R157" s="43" t="n"/>
      <c r="S157" s="20" t="n"/>
    </row>
    <row r="158">
      <c r="A158" s="33" t="inlineStr">
        <is>
          <t>FL_REC_ABC_70kg</t>
        </is>
      </c>
      <c r="B158" s="33" t="n">
        <v>2</v>
      </c>
      <c r="C158" s="33" t="inlineStr">
        <is>
          <t>ABC70-T2</t>
        </is>
      </c>
      <c r="D158" s="17" t="inlineStr">
        <is>
          <t xml:space="preserve">        Marcado del recipiente (estampado)</t>
        </is>
      </c>
      <c r="E158" s="33" t="n">
        <v>1</v>
      </c>
      <c r="F158" s="33" t="inlineStr">
        <is>
          <t>u</t>
        </is>
      </c>
      <c r="G158" s="34" t="n"/>
      <c r="H158" s="34" t="n"/>
      <c r="I158" s="33" t="inlineStr">
        <is>
          <t>-</t>
        </is>
      </c>
      <c r="J158" s="17" t="inlineStr">
        <is>
          <t>Fabricante, n° de serie, año, presión de ensayo; cuño DPS 15 × 7 junto al n°</t>
        </is>
      </c>
      <c r="K158" s="33" t="inlineStr">
        <is>
          <t>Proceso</t>
        </is>
      </c>
      <c r="L158" s="33" t="inlineStr">
        <is>
          <t>No</t>
        </is>
      </c>
      <c r="M158" s="17" t="n"/>
      <c r="N158" s="17" t="n"/>
      <c r="O158" s="17" t="inlineStr">
        <is>
          <t>Marcado</t>
        </is>
      </c>
      <c r="P158" s="17" t="inlineStr">
        <is>
          <t>IRAM 3550 5.1 · Res. 349/07 anexo IV</t>
        </is>
      </c>
      <c r="Q158" s="33" t="inlineStr">
        <is>
          <t>N</t>
        </is>
      </c>
      <c r="R158" s="33" t="n"/>
      <c r="S158" s="17" t="n"/>
    </row>
    <row r="159">
      <c r="A159" s="33" t="inlineStr">
        <is>
          <t>FL_REC_ABC_70kg</t>
        </is>
      </c>
      <c r="B159" s="33" t="n">
        <v>2</v>
      </c>
      <c r="C159" s="33" t="inlineStr">
        <is>
          <t>ABC70-T3</t>
        </is>
      </c>
      <c r="D159" s="17" t="inlineStr">
        <is>
          <t xml:space="preserve">        Etiqueta de identificación del cilindro suelto</t>
        </is>
      </c>
      <c r="E159" s="33" t="n">
        <v>1</v>
      </c>
      <c r="F159" s="33" t="inlineStr">
        <is>
          <t>u</t>
        </is>
      </c>
      <c r="G159" s="34" t="n"/>
      <c r="H159" s="34" t="n"/>
      <c r="I159" s="33" t="inlineStr">
        <is>
          <t>Poliéster autoadhesivo removible</t>
        </is>
      </c>
      <c r="J159" s="17" t="inlineStr">
        <is>
          <t>100 × 60, impresión térmica, QR GS1</t>
        </is>
      </c>
      <c r="K159" s="33" t="inlineStr">
        <is>
          <t>Compra</t>
        </is>
      </c>
      <c r="L159" s="33" t="inlineStr">
        <is>
          <t>Sí</t>
        </is>
      </c>
      <c r="M159" s="17" t="inlineStr">
        <is>
          <t>Astuprint</t>
        </is>
      </c>
      <c r="N159" s="17" t="inlineStr">
        <is>
          <t>GS1 Argentina</t>
        </is>
      </c>
      <c r="O159" s="17" t="inlineStr">
        <is>
          <t>Etiquetado</t>
        </is>
      </c>
      <c r="P159" s="17" t="n"/>
      <c r="Q159" s="33" t="inlineStr">
        <is>
          <t>P</t>
        </is>
      </c>
      <c r="R159" s="33" t="inlineStr">
        <is>
          <t>FL_REC_ABC_70kg hoja 3</t>
        </is>
      </c>
      <c r="S159" s="17" t="n"/>
    </row>
    <row r="160">
      <c r="A160" s="33" t="inlineStr">
        <is>
          <t>FL_REC_ABC_70kg</t>
        </is>
      </c>
      <c r="B160" s="33" t="n">
        <v>2</v>
      </c>
      <c r="C160" s="33" t="inlineStr">
        <is>
          <t>ABC70-T4</t>
        </is>
      </c>
      <c r="D160" s="17" t="inlineStr">
        <is>
          <t xml:space="preserve">        Protocolo de ensayo hidrostático (certificado que acompaña)</t>
        </is>
      </c>
      <c r="E160" s="33" t="n">
        <v>1</v>
      </c>
      <c r="F160" s="33" t="inlineStr">
        <is>
          <t>u</t>
        </is>
      </c>
      <c r="G160" s="34" t="n">
        <v>0.005</v>
      </c>
      <c r="H160" s="34">
        <f>E160*G160</f>
        <v/>
      </c>
      <c r="I160" s="33" t="inlineStr">
        <is>
          <t>Papel</t>
        </is>
      </c>
      <c r="J160" s="17" t="inlineStr">
        <is>
          <t>A5</t>
        </is>
      </c>
      <c r="K160" s="33" t="inlineStr">
        <is>
          <t>Proceso</t>
        </is>
      </c>
      <c r="L160" s="33" t="inlineStr">
        <is>
          <t>No</t>
        </is>
      </c>
      <c r="M160" s="17" t="n"/>
      <c r="N160" s="17" t="n"/>
      <c r="O160" s="17" t="inlineStr">
        <is>
          <t>Control de calidad</t>
        </is>
      </c>
      <c r="P160" s="17" t="inlineStr">
        <is>
          <t>IRAM 3550 4.1 y cap. 6 · IRAM 2587</t>
        </is>
      </c>
      <c r="Q160" s="33" t="inlineStr">
        <is>
          <t>N</t>
        </is>
      </c>
      <c r="R160" s="33" t="inlineStr">
        <is>
          <t>FL_REC_ABC_70kg hoja 3</t>
        </is>
      </c>
      <c r="S160" s="17" t="n"/>
    </row>
    <row r="161">
      <c r="A161" s="30" t="inlineStr">
        <is>
          <t>FL_REC_ABC_70kg</t>
        </is>
      </c>
      <c r="B161" s="30" t="n">
        <v>1</v>
      </c>
      <c r="C161" s="30" t="inlineStr">
        <is>
          <t>ABC70-S7</t>
        </is>
      </c>
      <c r="D161" s="31" t="inlineStr">
        <is>
          <t xml:space="preserve">    Embalaje</t>
        </is>
      </c>
      <c r="E161" s="30" t="n">
        <v>1</v>
      </c>
      <c r="F161" s="30" t="inlineStr">
        <is>
          <t>u</t>
        </is>
      </c>
      <c r="G161" s="32" t="n"/>
      <c r="H161" s="32">
        <f>H164</f>
        <v/>
      </c>
      <c r="I161" s="30" t="n"/>
      <c r="J161" s="31" t="n"/>
      <c r="K161" s="30" t="inlineStr">
        <is>
          <t>Compra</t>
        </is>
      </c>
      <c r="L161" s="30" t="n"/>
      <c r="M161" s="31" t="n"/>
      <c r="N161" s="31" t="n"/>
      <c r="O161" s="31" t="inlineStr">
        <is>
          <t>23 Embalaje -&gt; 24 envolvedora (T11)</t>
        </is>
      </c>
      <c r="P161" s="31" t="n"/>
      <c r="Q161" s="30" t="n"/>
      <c r="R161" s="30" t="n"/>
      <c r="S161" s="31" t="n"/>
    </row>
    <row r="162">
      <c r="A162" s="33" t="inlineStr">
        <is>
          <t>FL_REC_ABC_70kg</t>
        </is>
      </c>
      <c r="B162" s="33" t="n">
        <v>2</v>
      </c>
      <c r="C162" s="33" t="inlineStr">
        <is>
          <t>ABC70-E1</t>
        </is>
      </c>
      <c r="D162" s="17" t="inlineStr">
        <is>
          <t xml:space="preserve">        Esquineros y funda de polietileno</t>
        </is>
      </c>
      <c r="E162" s="33" t="n">
        <v>1</v>
      </c>
      <c r="F162" s="33" t="inlineStr">
        <is>
          <t>jgo</t>
        </is>
      </c>
      <c r="G162" s="34" t="n"/>
      <c r="H162" s="34" t="n"/>
      <c r="I162" s="33" t="inlineStr">
        <is>
          <t>PE / cartón</t>
        </is>
      </c>
      <c r="J162" s="17" t="inlineStr">
        <is>
          <t>a medida de la envolvente del plano</t>
        </is>
      </c>
      <c r="K162" s="33" t="inlineStr">
        <is>
          <t>Compra</t>
        </is>
      </c>
      <c r="L162" s="33" t="inlineStr">
        <is>
          <t>Sí</t>
        </is>
      </c>
      <c r="M162" s="17" t="inlineStr">
        <is>
          <t>MV Embalajes</t>
        </is>
      </c>
      <c r="N162" s="17" t="inlineStr">
        <is>
          <t>Embalpack</t>
        </is>
      </c>
      <c r="O162" s="17" t="inlineStr">
        <is>
          <t>23 Embalaje</t>
        </is>
      </c>
      <c r="P162" s="17" t="n"/>
      <c r="Q162" s="33" t="inlineStr">
        <is>
          <t>P</t>
        </is>
      </c>
      <c r="R162" s="33" t="n"/>
      <c r="S162" s="17" t="inlineStr">
        <is>
          <t>Medida del plano</t>
        </is>
      </c>
    </row>
    <row r="163">
      <c r="A163" s="33" t="inlineStr">
        <is>
          <t>FL_REC_ABC_70kg</t>
        </is>
      </c>
      <c r="B163" s="33" t="n">
        <v>2</v>
      </c>
      <c r="C163" s="33" t="inlineStr">
        <is>
          <t>ABC70-E3</t>
        </is>
      </c>
      <c r="D163" s="17" t="inlineStr">
        <is>
          <t xml:space="preserve">        Pallet 1200 × 1000 (fracción)</t>
        </is>
      </c>
      <c r="E163" s="33" t="n">
        <v>0.1667</v>
      </c>
      <c r="F163" s="33" t="inlineStr">
        <is>
          <t>u</t>
        </is>
      </c>
      <c r="G163" s="34" t="n"/>
      <c r="H163" s="34" t="n"/>
      <c r="I163" s="33" t="inlineStr">
        <is>
          <t>Madera</t>
        </is>
      </c>
      <c r="J163" s="17" t="inlineStr">
        <is>
          <t>6 u por pallet</t>
        </is>
      </c>
      <c r="K163" s="33" t="inlineStr">
        <is>
          <t>Compra</t>
        </is>
      </c>
      <c r="L163" s="33" t="inlineStr">
        <is>
          <t>Sí</t>
        </is>
      </c>
      <c r="M163" s="17" t="inlineStr">
        <is>
          <t>IndusPallets</t>
        </is>
      </c>
      <c r="N163" s="17" t="inlineStr">
        <is>
          <t>-</t>
        </is>
      </c>
      <c r="O163" s="17" t="inlineStr">
        <is>
          <t>23 Embalaje</t>
        </is>
      </c>
      <c r="P163" s="17" t="n"/>
      <c r="Q163" s="33" t="inlineStr">
        <is>
          <t>C</t>
        </is>
      </c>
      <c r="R163" s="33" t="n"/>
      <c r="S163" s="17" t="inlineStr">
        <is>
          <t>u por pallet = acomodo de la caja (plano) en 1200 × 1000 × 1450 de alto</t>
        </is>
      </c>
    </row>
    <row r="164">
      <c r="A164" s="41" t="inlineStr">
        <is>
          <t>FL_REC_ABC_70kg</t>
        </is>
      </c>
      <c r="B164" s="41" t="n">
        <v>2</v>
      </c>
      <c r="C164" s="41" t="inlineStr">
        <is>
          <t>ABC70-E4</t>
        </is>
      </c>
      <c r="D164" s="18" t="inlineStr">
        <is>
          <t xml:space="preserve">        Film stretch (fracción del pallet)</t>
        </is>
      </c>
      <c r="E164" s="41" t="n">
        <v>0.02</v>
      </c>
      <c r="F164" s="41" t="inlineStr">
        <is>
          <t>kg</t>
        </is>
      </c>
      <c r="G164" s="42" t="n">
        <v>1</v>
      </c>
      <c r="H164" s="42">
        <f>E164*G164</f>
        <v/>
      </c>
      <c r="I164" s="41" t="inlineStr">
        <is>
          <t>PE lineal 23 µm</t>
        </is>
      </c>
      <c r="J164" s="18" t="inlineStr">
        <is>
          <t>0,12 kg por pallet / 6 u</t>
        </is>
      </c>
      <c r="K164" s="41" t="inlineStr">
        <is>
          <t>Compra</t>
        </is>
      </c>
      <c r="L164" s="41" t="inlineStr">
        <is>
          <t>Sí</t>
        </is>
      </c>
      <c r="M164" s="18" t="inlineStr">
        <is>
          <t>MV Embalajes</t>
        </is>
      </c>
      <c r="N164" s="18" t="inlineStr">
        <is>
          <t>Embalpack</t>
        </is>
      </c>
      <c r="O164" s="18" t="inlineStr">
        <is>
          <t>24 Envolvedora (T11)</t>
        </is>
      </c>
      <c r="P164" s="18" t="n"/>
      <c r="Q164" s="41" t="inlineStr">
        <is>
          <t>C</t>
        </is>
      </c>
      <c r="R164" s="41" t="n"/>
      <c r="S1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5">
      <c r="A165" s="33" t="inlineStr">
        <is>
          <t>FL_REC_ABC_70kg</t>
        </is>
      </c>
      <c r="B165" s="33" t="n">
        <v>2</v>
      </c>
      <c r="C165" s="33" t="inlineStr">
        <is>
          <t>ABC70-E5</t>
        </is>
      </c>
      <c r="D165" s="17" t="inlineStr">
        <is>
          <t xml:space="preserve">        Etiqueta de pallet (lote y destino, fracción)</t>
        </is>
      </c>
      <c r="E165" s="33" t="n">
        <v>0.1667</v>
      </c>
      <c r="F165" s="33" t="inlineStr">
        <is>
          <t>u</t>
        </is>
      </c>
      <c r="G165" s="34" t="n"/>
      <c r="H165" s="34" t="n"/>
      <c r="I165" s="33" t="inlineStr">
        <is>
          <t>Papel térmico</t>
        </is>
      </c>
      <c r="J165" s="17" t="inlineStr">
        <is>
          <t>100 × 150</t>
        </is>
      </c>
      <c r="K165" s="33" t="inlineStr">
        <is>
          <t>Compra</t>
        </is>
      </c>
      <c r="L165" s="33" t="inlineStr">
        <is>
          <t>Sí</t>
        </is>
      </c>
      <c r="M165" s="17" t="inlineStr">
        <is>
          <t>Astuprint</t>
        </is>
      </c>
      <c r="N165" s="17" t="inlineStr">
        <is>
          <t>Multilabel Argentina S.A.</t>
        </is>
      </c>
      <c r="O165" s="17" t="inlineStr">
        <is>
          <t>24 Envolvedora</t>
        </is>
      </c>
      <c r="P165" s="17" t="n"/>
      <c r="Q165" s="33" t="inlineStr">
        <is>
          <t>C</t>
        </is>
      </c>
      <c r="R165" s="33" t="n"/>
      <c r="S165" s="17" t="n"/>
    </row>
    <row r="166">
      <c r="A166" s="33" t="inlineStr">
        <is>
          <t>FL_REC_ABC_70kg</t>
        </is>
      </c>
      <c r="B166" s="33" t="n">
        <v>2</v>
      </c>
      <c r="C166" s="33" t="inlineStr">
        <is>
          <t>ABC70-E8</t>
        </is>
      </c>
      <c r="D166" s="17" t="inlineStr">
        <is>
          <t xml:space="preserve">        Separador de capa de cartón 1200 × 1000 (fracción del pallet)</t>
        </is>
      </c>
      <c r="E166" s="33" t="n">
        <v>0</v>
      </c>
      <c r="F166" s="33" t="inlineStr">
        <is>
          <t>u</t>
        </is>
      </c>
      <c r="G166" s="34" t="n"/>
      <c r="H166" s="34" t="n"/>
      <c r="I166" s="33" t="inlineStr">
        <is>
          <t>Cartón</t>
        </is>
      </c>
      <c r="J166" s="17" t="inlineStr">
        <is>
          <t>1 capas → 0 separadores por pallet / 6 u</t>
        </is>
      </c>
      <c r="K166" s="33" t="inlineStr">
        <is>
          <t>Compra</t>
        </is>
      </c>
      <c r="L166" s="33" t="inlineStr">
        <is>
          <t>Sí</t>
        </is>
      </c>
      <c r="M166" s="17" t="inlineStr">
        <is>
          <t>Maxipack</t>
        </is>
      </c>
      <c r="N166" s="17" t="inlineStr">
        <is>
          <t>Cartocan</t>
        </is>
      </c>
      <c r="O166" s="17" t="inlineStr">
        <is>
          <t>23 Embalaje</t>
        </is>
      </c>
      <c r="P166" s="17" t="n"/>
      <c r="Q166" s="33" t="inlineStr">
        <is>
          <t>C</t>
        </is>
      </c>
      <c r="R166" s="33" t="n"/>
      <c r="S166" s="17" t="inlineStr">
        <is>
          <t>Planilla MP-61</t>
        </is>
      </c>
    </row>
    <row r="167">
      <c r="A167" s="27" t="inlineStr">
        <is>
          <t>FL_REC_ABC_100kg</t>
        </is>
      </c>
      <c r="B167" s="27" t="n">
        <v>0</v>
      </c>
      <c r="C167" s="27" t="inlineStr">
        <is>
          <t>FL_REC_ABC_100kg</t>
        </is>
      </c>
      <c r="D167" s="28" t="inlineStr">
        <is>
          <t>Cilindro (recipiente) ABC 100 kg rodante - repuesto vacío sin válvula</t>
        </is>
      </c>
      <c r="E167" s="27" t="n">
        <v>1</v>
      </c>
      <c r="F167" s="27" t="inlineStr">
        <is>
          <t>u</t>
        </is>
      </c>
      <c r="G167" s="29" t="n"/>
      <c r="H167" s="29" t="n"/>
      <c r="I167" s="27" t="n"/>
      <c r="J167" s="28" t="n"/>
      <c r="K167" s="27" t="n"/>
      <c r="L167" s="27" t="n"/>
      <c r="M167" s="28" t="n"/>
      <c r="N167" s="28" t="n"/>
      <c r="O167" s="28" t="n"/>
      <c r="P167" s="28" t="inlineStr">
        <is>
          <t>IRAM 3550</t>
        </is>
      </c>
      <c r="Q167" s="27" t="inlineStr">
        <is>
          <t>P</t>
        </is>
      </c>
      <c r="R167" s="27" t="inlineStr">
        <is>
          <t>FL_REC_ABC_100kg</t>
        </is>
      </c>
      <c r="S167" s="28" t="inlineStr">
        <is>
          <t>Fabricación propia</t>
        </is>
      </c>
    </row>
    <row r="168">
      <c r="A168" s="30" t="inlineStr">
        <is>
          <t>FL_REC_ABC_100kg</t>
        </is>
      </c>
      <c r="B168" s="30" t="n">
        <v>1</v>
      </c>
      <c r="C168" s="30" t="inlineStr">
        <is>
          <t>ABC100-S1</t>
        </is>
      </c>
      <c r="D168" s="31" t="inlineStr">
        <is>
          <t xml:space="preserve">    Recipiente (cilindro)</t>
        </is>
      </c>
      <c r="E168" s="30" t="n">
        <v>1</v>
      </c>
      <c r="F168" s="30" t="inlineStr">
        <is>
          <t>u</t>
        </is>
      </c>
      <c r="G168" s="32" t="n"/>
      <c r="H168" s="32">
        <f>H169+H171+H172+H173+H174+H176+H182</f>
        <v/>
      </c>
      <c r="I168" s="30" t="n"/>
      <c r="J168" s="31" t="n"/>
      <c r="K168" s="30" t="inlineStr">
        <is>
          <t>Fabricación</t>
        </is>
      </c>
      <c r="L168" s="30" t="n"/>
      <c r="M168" s="31" t="n"/>
      <c r="N168" s="31" t="n"/>
      <c r="O168" s="31" t="n"/>
      <c r="P168" s="31" t="inlineStr">
        <is>
          <t>IRAM 3523 / 3550 (recipiente)</t>
        </is>
      </c>
      <c r="Q168" s="30" t="inlineStr">
        <is>
          <t>P</t>
        </is>
      </c>
      <c r="R168" s="30" t="inlineStr">
        <is>
          <t>FL_DES_ABC_100kg</t>
        </is>
      </c>
      <c r="S168" s="31" t="n"/>
    </row>
    <row r="169">
      <c r="A169" s="33" t="inlineStr">
        <is>
          <t>FL_REC_ABC_100kg</t>
        </is>
      </c>
      <c r="B169" s="33" t="n">
        <v>2</v>
      </c>
      <c r="C169" s="33" t="inlineStr">
        <is>
          <t>ABC100-01</t>
        </is>
      </c>
      <c r="D169" s="17" t="inlineStr">
        <is>
          <t xml:space="preserve">        Cuerpo (virola)</t>
        </is>
      </c>
      <c r="E169" s="33" t="n">
        <v>1</v>
      </c>
      <c r="F169" s="33" t="inlineStr">
        <is>
          <t>u</t>
        </is>
      </c>
      <c r="G169" s="34" t="n">
        <v>35.6113</v>
      </c>
      <c r="H169" s="34">
        <f>E169*G169</f>
        <v/>
      </c>
      <c r="I169" s="33" t="inlineStr">
        <is>
          <t>Chapa LAC IRAM-IAS U 500-04 e=4,75</t>
        </is>
      </c>
      <c r="J169" s="17" t="inlineStr">
        <is>
          <t>Ø390 × e4,75 × 789,1 de alto; desarrollo 1.210,3 × 789,1</t>
        </is>
      </c>
      <c r="K169" s="33" t="inlineStr">
        <is>
          <t>Fabricación</t>
        </is>
      </c>
      <c r="L169" s="33" t="inlineStr">
        <is>
          <t>No</t>
        </is>
      </c>
      <c r="M169" s="17" t="n"/>
      <c r="N169" s="17" t="n"/>
      <c r="O169" s="17" t="inlineStr">
        <is>
          <t>1 Guillotina -&gt; C1 cilindrado -&gt; C2 punteo -&gt; C3 sold. long.</t>
        </is>
      </c>
      <c r="P169" s="17" t="n"/>
      <c r="Q169" s="33" t="inlineStr">
        <is>
          <t>P</t>
        </is>
      </c>
      <c r="R169" s="33" t="inlineStr">
        <is>
          <t>FL_DES_ABC_100kg</t>
        </is>
      </c>
      <c r="S169" s="17" t="inlineStr">
        <is>
          <t>costura long. MAG</t>
        </is>
      </c>
    </row>
    <row r="170">
      <c r="A170" s="35" t="inlineStr">
        <is>
          <t>FL_REC_ABC_100kg</t>
        </is>
      </c>
      <c r="B170" s="35" t="n">
        <v>3</v>
      </c>
      <c r="C170" s="35" t="inlineStr">
        <is>
          <t>MP-HOJA</t>
        </is>
      </c>
      <c r="D170" s="36" t="inlineStr">
        <is>
          <t xml:space="preserve">            Recorte de hoja LAC 1500 × 3000 e=4,75</t>
        </is>
      </c>
      <c r="E170" s="35" t="n">
        <v>1</v>
      </c>
      <c r="F170" s="35" t="inlineStr">
        <is>
          <t>u</t>
        </is>
      </c>
      <c r="G170" s="37" t="n">
        <v>55.947</v>
      </c>
      <c r="H170" s="37">
        <f>E170*G170</f>
        <v/>
      </c>
      <c r="I170" s="35" t="inlineStr">
        <is>
          <t>Chapa LAC IRAM-IAS U 500-04 LAC</t>
        </is>
      </c>
      <c r="J170" s="36" t="inlineStr">
        <is>
          <t>900 × 1.212 (aprovech. 72,7 %)</t>
        </is>
      </c>
      <c r="K170" s="35" t="inlineStr">
        <is>
          <t>Compra</t>
        </is>
      </c>
      <c r="L170" s="35" t="inlineStr">
        <is>
          <t>Sí</t>
        </is>
      </c>
      <c r="M170" s="36" t="inlineStr">
        <is>
          <t>Pradecon S.A.</t>
        </is>
      </c>
      <c r="N170" s="36" t="inlineStr">
        <is>
          <t>Pacheco Chapas</t>
        </is>
      </c>
      <c r="O170" s="36" t="inlineStr">
        <is>
          <t>AL-1H paquetes de hojas</t>
        </is>
      </c>
      <c r="P170" s="36" t="n"/>
      <c r="Q170" s="35" t="inlineStr">
        <is>
          <t>L</t>
        </is>
      </c>
      <c r="R170" s="35" t="inlineStr">
        <is>
          <t>FL_PI_04 h2</t>
        </is>
      </c>
      <c r="S170" s="36" t="n"/>
    </row>
    <row r="171">
      <c r="A171" s="33" t="inlineStr">
        <is>
          <t>FL_REC_ABC_100kg</t>
        </is>
      </c>
      <c r="B171" s="33" t="n">
        <v>2</v>
      </c>
      <c r="C171" s="33" t="inlineStr">
        <is>
          <t>ABC100-02</t>
        </is>
      </c>
      <c r="D171" s="17" t="inlineStr">
        <is>
          <t xml:space="preserve">        Cúpula</t>
        </is>
      </c>
      <c r="E171" s="33" t="n">
        <v>1</v>
      </c>
      <c r="F171" s="33" t="inlineStr">
        <is>
          <t>u</t>
        </is>
      </c>
      <c r="G171" s="34" t="n">
        <v>6.4197</v>
      </c>
      <c r="H171" s="34">
        <f>E171*G171</f>
        <v/>
      </c>
      <c r="I171" s="33" t="inlineStr">
        <is>
          <t>Chapa LAC IRAM-IAS U 500-04 e=4,75</t>
        </is>
      </c>
      <c r="J171" s="17" t="inlineStr">
        <is>
          <t>Ø390 × e4,75 × 125,2 de alto; disco Ø482,2</t>
        </is>
      </c>
      <c r="K171" s="33" t="inlineStr">
        <is>
          <t>Compra (tapa embutida tercerizada)</t>
        </is>
      </c>
      <c r="L171" s="33" t="inlineStr">
        <is>
          <t>Sí</t>
        </is>
      </c>
      <c r="M171" s="17" t="inlineStr">
        <is>
          <t>Gockel Ingeniería S.R.L.</t>
        </is>
      </c>
      <c r="N171" s="17" t="inlineStr">
        <is>
          <t>-</t>
        </is>
      </c>
      <c r="O171" s="17" t="inlineStr">
        <is>
          <t>Compra (casquetes de carros, rack RK1)</t>
        </is>
      </c>
      <c r="P171" s="17" t="n"/>
      <c r="Q171" s="33" t="inlineStr">
        <is>
          <t>P</t>
        </is>
      </c>
      <c r="R171" s="33" t="inlineStr">
        <is>
          <t>FL_DES_ABC_100kg</t>
        </is>
      </c>
      <c r="S171" s="17" t="inlineStr">
        <is>
          <t>embutida</t>
        </is>
      </c>
    </row>
    <row r="172">
      <c r="A172" s="33" t="inlineStr">
        <is>
          <t>FL_REC_ABC_100kg</t>
        </is>
      </c>
      <c r="B172" s="33" t="n">
        <v>2</v>
      </c>
      <c r="C172" s="33" t="inlineStr">
        <is>
          <t>ABC100-03</t>
        </is>
      </c>
      <c r="D172" s="17" t="inlineStr">
        <is>
          <t xml:space="preserve">        Fondo</t>
        </is>
      </c>
      <c r="E172" s="33" t="n">
        <v>1</v>
      </c>
      <c r="F172" s="33" t="inlineStr">
        <is>
          <t>u</t>
        </is>
      </c>
      <c r="G172" s="34" t="n">
        <v>6.7811</v>
      </c>
      <c r="H172" s="34">
        <f>E172*G172</f>
        <v/>
      </c>
      <c r="I172" s="33" t="inlineStr">
        <is>
          <t>Chapa LAC IRAM-IAS U 500-04 e=4,75</t>
        </is>
      </c>
      <c r="J172" s="17" t="inlineStr">
        <is>
          <t>Ø390 × e4,75 × 127,9 de alto; disco Ø495,6</t>
        </is>
      </c>
      <c r="K172" s="33" t="inlineStr">
        <is>
          <t>Compra (tapa embutida tercerizada)</t>
        </is>
      </c>
      <c r="L172" s="33" t="inlineStr">
        <is>
          <t>Sí</t>
        </is>
      </c>
      <c r="M172" s="17" t="inlineStr">
        <is>
          <t>Gockel Ingeniería S.R.L.</t>
        </is>
      </c>
      <c r="N172" s="17" t="inlineStr">
        <is>
          <t>-</t>
        </is>
      </c>
      <c r="O172" s="17" t="inlineStr">
        <is>
          <t>Compra (casquetes de carros, rack RK1)</t>
        </is>
      </c>
      <c r="P172" s="17" t="n"/>
      <c r="Q172" s="33" t="inlineStr">
        <is>
          <t>P</t>
        </is>
      </c>
      <c r="R172" s="33" t="inlineStr">
        <is>
          <t>FL_DES_ABC_100kg</t>
        </is>
      </c>
      <c r="S172" s="17" t="inlineStr">
        <is>
          <t>embutido</t>
        </is>
      </c>
    </row>
    <row r="173">
      <c r="A173" s="33" t="inlineStr">
        <is>
          <t>FL_REC_ABC_100kg</t>
        </is>
      </c>
      <c r="B173" s="33" t="n">
        <v>2</v>
      </c>
      <c r="C173" s="33" t="inlineStr">
        <is>
          <t>ABC100-04</t>
        </is>
      </c>
      <c r="D173" s="17" t="inlineStr">
        <is>
          <t xml:space="preserve">        Cuello roscado</t>
        </is>
      </c>
      <c r="E173" s="33" t="n">
        <v>1</v>
      </c>
      <c r="F173" s="33" t="inlineStr">
        <is>
          <t>u</t>
        </is>
      </c>
      <c r="G173" s="34" t="n">
        <v>0.6198</v>
      </c>
      <c r="H173" s="34">
        <f>E173*G173</f>
        <v/>
      </c>
      <c r="I173" s="33" t="inlineStr">
        <is>
          <t>Acero SAE 1010</t>
        </is>
      </c>
      <c r="J173" s="17" t="inlineStr">
        <is>
          <t>Ø88 × 37 de alto, rosca RBSP 2 1/2"-11 h, asiento Ø80</t>
        </is>
      </c>
      <c r="K173" s="33" t="inlineStr">
        <is>
          <t>Compra (mecanizado, Eli-Met)</t>
        </is>
      </c>
      <c r="L173" s="33" t="inlineStr">
        <is>
          <t>Sí</t>
        </is>
      </c>
      <c r="M173" s="17" t="inlineStr">
        <is>
          <t>Eli-Met</t>
        </is>
      </c>
      <c r="N173" s="17" t="inlineStr">
        <is>
          <t>-</t>
        </is>
      </c>
      <c r="O173" s="17" t="inlineStr">
        <is>
          <t>Compra -&gt; C2 punteo</t>
        </is>
      </c>
      <c r="P173" s="17" t="n"/>
      <c r="Q173" s="33" t="inlineStr">
        <is>
          <t>P</t>
        </is>
      </c>
      <c r="R173" s="33" t="inlineStr">
        <is>
          <t>FL_DES_ABC_100kg</t>
        </is>
      </c>
      <c r="S173" s="17" t="inlineStr">
        <is>
          <t>RBSP 2 1/2"-11 h</t>
        </is>
      </c>
    </row>
    <row r="174">
      <c r="A174" s="41" t="inlineStr">
        <is>
          <t>FL_REC_ABC_100kg</t>
        </is>
      </c>
      <c r="B174" s="41" t="n">
        <v>2</v>
      </c>
      <c r="C174" s="41" t="inlineStr">
        <is>
          <t>ABC100-05</t>
        </is>
      </c>
      <c r="D174" s="18" t="inlineStr">
        <is>
          <t xml:space="preserve">        Varilla de refuerzo interior</t>
        </is>
      </c>
      <c r="E174" s="41" t="n">
        <v>1</v>
      </c>
      <c r="F174" s="41" t="inlineStr">
        <is>
          <t>u</t>
        </is>
      </c>
      <c r="G174" s="42" t="n">
        <v>0.2995</v>
      </c>
      <c r="H174" s="42">
        <f>E174*G174</f>
        <v/>
      </c>
      <c r="I174" s="41" t="inlineStr">
        <is>
          <t>Redondo liso SAE 1010 Ø8</t>
        </is>
      </c>
      <c r="J174" s="18" t="inlineStr">
        <is>
          <t>759,1 × 8 × 8</t>
        </is>
      </c>
      <c r="K174" s="41" t="inlineStr">
        <is>
          <t>Fabricación</t>
        </is>
      </c>
      <c r="L174" s="41" t="inlineStr">
        <is>
          <t>No</t>
        </is>
      </c>
      <c r="M174" s="18" t="n"/>
      <c r="N174" s="18" t="n"/>
      <c r="O174" s="18" t="inlineStr">
        <is>
          <t>Corte de barra -&gt; C2 punteo interior antes de C3 soldadura longitudinal</t>
        </is>
      </c>
      <c r="P174" s="18" t="n"/>
      <c r="Q174" s="41" t="inlineStr">
        <is>
          <t>P</t>
        </is>
      </c>
      <c r="R174" s="41" t="inlineStr">
        <is>
          <t>FL_DES_ABC_100kg</t>
        </is>
      </c>
      <c r="S174" s="18" t="inlineStr">
        <is>
          <t>Interior, detrás de la costura longitudinal; se puntea antes de la soldadura longitudinal para mantener la simetría del cilindrado (decisión FLAMA). Ø8 = propuesta de diseño, sin cálculo</t>
        </is>
      </c>
    </row>
    <row r="175">
      <c r="A175" s="47" t="inlineStr">
        <is>
          <t>FL_REC_ABC_100kg</t>
        </is>
      </c>
      <c r="B175" s="47" t="n">
        <v>3</v>
      </c>
      <c r="C175" s="47" t="inlineStr">
        <is>
          <t>MP-VARILLA</t>
        </is>
      </c>
      <c r="D175" s="48" t="inlineStr">
        <is>
          <t xml:space="preserve">            Redondo liso SAE 1010 Ø8 (tramo de barra de 6 m)</t>
        </is>
      </c>
      <c r="E175" s="47" t="n">
        <v>0.1265</v>
      </c>
      <c r="F175" s="47" t="inlineStr">
        <is>
          <t>barra</t>
        </is>
      </c>
      <c r="G175" s="49" t="n">
        <v>2.37</v>
      </c>
      <c r="H175" s="49">
        <f>E175*G175</f>
        <v/>
      </c>
      <c r="I175" s="47" t="inlineStr">
        <is>
          <t>Redondo liso SAE 1010 Ø8</t>
        </is>
      </c>
      <c r="J175" s="48" t="inlineStr">
        <is>
          <t>759 mm por pieza (kg por barra de 6 m)</t>
        </is>
      </c>
      <c r="K175" s="47" t="inlineStr">
        <is>
          <t>Compra</t>
        </is>
      </c>
      <c r="L175" s="47" t="inlineStr">
        <is>
          <t>Sí</t>
        </is>
      </c>
      <c r="M175" s="48" t="inlineStr">
        <is>
          <t>Hierros Parrotta</t>
        </is>
      </c>
      <c r="N175" s="48" t="inlineStr">
        <is>
          <t>Aceros Inoxidables Caseros</t>
        </is>
      </c>
      <c r="O175" s="48" t="inlineStr">
        <is>
          <t>Corte en sierra</t>
        </is>
      </c>
      <c r="P175" s="48" t="n"/>
      <c r="Q175" s="47" t="inlineStr">
        <is>
          <t>C</t>
        </is>
      </c>
      <c r="R175" s="47" t="n"/>
      <c r="S175" s="48" t="inlineStr">
        <is>
          <t>Ø8 = propuesta de diseño (sin cálculo)</t>
        </is>
      </c>
    </row>
    <row r="176">
      <c r="A176" s="41" t="inlineStr">
        <is>
          <t>FL_REC_ABC_100kg</t>
        </is>
      </c>
      <c r="B176" s="41" t="n">
        <v>2</v>
      </c>
      <c r="C176" s="41" t="inlineStr">
        <is>
          <t>ABC100-C1</t>
        </is>
      </c>
      <c r="D176" s="18" t="inlineStr">
        <is>
          <t xml:space="preserve">        Alambre MAG ER70S-6 Ø1,2 (AWS A5.18)</t>
        </is>
      </c>
      <c r="E176" s="41" t="n">
        <v>1.0848</v>
      </c>
      <c r="F176" s="41" t="inlineStr">
        <is>
          <t>kg</t>
        </is>
      </c>
      <c r="G176" s="42" t="n">
        <v>0.95</v>
      </c>
      <c r="H176" s="42">
        <f>E176*G176</f>
        <v/>
      </c>
      <c r="I176" s="41" t="inlineStr">
        <is>
          <t>ER70S-6</t>
        </is>
      </c>
      <c r="J176" s="18" t="inlineStr">
        <is>
          <t>metal depositado de los cordones del plano 1.031 g / rendimiento 0,95</t>
        </is>
      </c>
      <c r="K176" s="41" t="inlineStr">
        <is>
          <t>Compra</t>
        </is>
      </c>
      <c r="L176" s="41" t="inlineStr">
        <is>
          <t>Sí</t>
        </is>
      </c>
      <c r="M176" s="18" t="inlineStr">
        <is>
          <t>Conarco (ESAB Argentina)</t>
        </is>
      </c>
      <c r="N176" s="18" t="inlineStr">
        <is>
          <t>-</t>
        </is>
      </c>
      <c r="O176" s="18" t="inlineStr">
        <is>
          <t>4 sold. long. / 8 cuello / 11 circunferencial</t>
        </is>
      </c>
      <c r="P176" s="18" t="inlineStr">
        <is>
          <t>IRAM 3523 3.2.4.2 · IRAM 3550 4.1.2</t>
        </is>
      </c>
      <c r="Q176" s="41" t="inlineStr">
        <is>
          <t>C</t>
        </is>
      </c>
      <c r="R176" s="41" t="n"/>
      <c r="S17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7">
      <c r="A177" s="41" t="inlineStr">
        <is>
          <t>FL_REC_ABC_100kg</t>
        </is>
      </c>
      <c r="B177" s="41" t="n">
        <v>2</v>
      </c>
      <c r="C177" s="41" t="inlineStr">
        <is>
          <t>ABC100-C2</t>
        </is>
      </c>
      <c r="D177" s="18" t="inlineStr">
        <is>
          <t xml:space="preserve">        Gas de protección MAG Arcal 21 / ARCAL Speed (Ar + 8 % CO₂, M20)</t>
        </is>
      </c>
      <c r="E177" s="41" t="n">
        <v>82</v>
      </c>
      <c r="F177" s="41" t="inlineStr">
        <is>
          <t>L</t>
        </is>
      </c>
      <c r="G177" s="42" t="n"/>
      <c r="H177" s="42" t="n"/>
      <c r="I177" s="41" t="inlineStr">
        <is>
          <t>EN ISO 14175 M20-ArC-8</t>
        </is>
      </c>
      <c r="J177" s="18" t="inlineStr">
        <is>
          <t>14 L/min × 5,86 min de arco (cordones 3.516 mm: long. 789 + circ. 2.450 + cuello 276, a 600 mm/min)</t>
        </is>
      </c>
      <c r="K177" s="41" t="inlineStr">
        <is>
          <t>Compra</t>
        </is>
      </c>
      <c r="L177" s="41" t="inlineStr">
        <is>
          <t>Sí</t>
        </is>
      </c>
      <c r="M177" s="18" t="inlineStr">
        <is>
          <t>Air Liquide Argentina - sucursal Piñeyro</t>
        </is>
      </c>
      <c r="N177" s="18" t="inlineStr">
        <is>
          <t>Gogniat</t>
        </is>
      </c>
      <c r="O177" s="18" t="inlineStr">
        <is>
          <t>Colector SC</t>
        </is>
      </c>
      <c r="P177" s="18" t="inlineStr">
        <is>
          <t>IRAM 3523 3.2.4.2 · IRAM 3550 3.2.2.2</t>
        </is>
      </c>
      <c r="Q177" s="41" t="inlineStr">
        <is>
          <t>C</t>
        </is>
      </c>
      <c r="R177" s="41" t="n"/>
      <c r="S17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8">
      <c r="A178" s="33" t="inlineStr">
        <is>
          <t>FL_REC_ABC_100kg</t>
        </is>
      </c>
      <c r="B178" s="33" t="n">
        <v>2</v>
      </c>
      <c r="C178" s="33" t="inlineStr">
        <is>
          <t>ABC100-C4</t>
        </is>
      </c>
      <c r="D178" s="17" t="inlineStr">
        <is>
          <t xml:space="preserve">        Servicio de pintura en polvo al horno, rojo 03-1-050 (con preparación por quemado)</t>
        </is>
      </c>
      <c r="E178" s="33" t="n">
        <v>1</v>
      </c>
      <c r="F178" s="33" t="inlineStr">
        <is>
          <t>u</t>
        </is>
      </c>
      <c r="G178" s="34" t="n"/>
      <c r="H178" s="34" t="n"/>
      <c r="I178" s="33" t="inlineStr">
        <is>
          <t>Servicio tercerizado</t>
        </is>
      </c>
      <c r="J178" s="17" t="inlineStr">
        <is>
          <t>superficie exterior 1,309 m²</t>
        </is>
      </c>
      <c r="K178" s="33" t="inlineStr">
        <is>
          <t>Compra (servicio)</t>
        </is>
      </c>
      <c r="L178" s="33" t="inlineStr">
        <is>
          <t>Sí</t>
        </is>
      </c>
      <c r="M178" s="17" t="inlineStr">
        <is>
          <t>Pintor de carros (cotización por mensaje)</t>
        </is>
      </c>
      <c r="N178" s="17" t="inlineStr">
        <is>
          <t>Prymax</t>
        </is>
      </c>
      <c r="O178" s="17" t="inlineStr">
        <is>
          <t>17 Pintura tercerizada</t>
        </is>
      </c>
      <c r="P178" s="17" t="inlineStr">
        <is>
          <t>IRAM 3523 5.3 / IRAM 3550 3.11 · IRAM 121</t>
        </is>
      </c>
      <c r="Q178" s="33" t="inlineStr">
        <is>
          <t>Q</t>
        </is>
      </c>
      <c r="R178" s="33" t="n"/>
      <c r="S178" s="17" t="inlineStr">
        <is>
          <t>Q-CARROS (precio por carro); exigir informe de niebla salina del sistema de pintura; tercerización aceptada por el Ministerio (Res. 349/07 art. 18)</t>
        </is>
      </c>
    </row>
    <row r="179">
      <c r="A179" s="43" t="inlineStr">
        <is>
          <t>FL_REC_ABC_100kg</t>
        </is>
      </c>
      <c r="B179" s="43" t="n">
        <v>2</v>
      </c>
      <c r="C179" s="43" t="inlineStr">
        <is>
          <t>ABC100-T1</t>
        </is>
      </c>
      <c r="D179" s="20" t="inlineStr">
        <is>
          <t xml:space="preserve">        Tapón protector de rosca del cuello</t>
        </is>
      </c>
      <c r="E179" s="43" t="n">
        <v>1</v>
      </c>
      <c r="F179" s="43" t="inlineStr">
        <is>
          <t>u</t>
        </is>
      </c>
      <c r="G179" s="44" t="n"/>
      <c r="H179" s="44" t="n"/>
      <c r="I179" s="43" t="inlineStr">
        <is>
          <t>Polietileno</t>
        </is>
      </c>
      <c r="J179" s="20" t="inlineStr">
        <is>
          <t>para rosca RBSP 2 1/2"-11 h (plano FL_REC_ABC_100kg hoja 3, R4)</t>
        </is>
      </c>
      <c r="K179" s="43" t="inlineStr">
        <is>
          <t>Compra</t>
        </is>
      </c>
      <c r="L179" s="43" t="inlineStr">
        <is>
          <t>Sí</t>
        </is>
      </c>
      <c r="M179" s="20" t="inlineStr">
        <is>
          <t>-</t>
        </is>
      </c>
      <c r="N179" s="20" t="inlineStr">
        <is>
          <t>-</t>
        </is>
      </c>
      <c r="O179" s="20" t="inlineStr">
        <is>
          <t>Embalaje</t>
        </is>
      </c>
      <c r="P179" s="20" t="n"/>
      <c r="Q179" s="43" t="inlineStr">
        <is>
          <t>P</t>
        </is>
      </c>
      <c r="R179" s="43" t="n"/>
      <c r="S179" s="20" t="n"/>
    </row>
    <row r="180">
      <c r="A180" s="33" t="inlineStr">
        <is>
          <t>FL_REC_ABC_100kg</t>
        </is>
      </c>
      <c r="B180" s="33" t="n">
        <v>2</v>
      </c>
      <c r="C180" s="33" t="inlineStr">
        <is>
          <t>ABC100-T2</t>
        </is>
      </c>
      <c r="D180" s="17" t="inlineStr">
        <is>
          <t xml:space="preserve">        Marcado del recipiente (estampado)</t>
        </is>
      </c>
      <c r="E180" s="33" t="n">
        <v>1</v>
      </c>
      <c r="F180" s="33" t="inlineStr">
        <is>
          <t>u</t>
        </is>
      </c>
      <c r="G180" s="34" t="n"/>
      <c r="H180" s="34" t="n"/>
      <c r="I180" s="33" t="inlineStr">
        <is>
          <t>-</t>
        </is>
      </c>
      <c r="J180" s="17" t="inlineStr">
        <is>
          <t>Fabricante, n° de serie, año, presión de ensayo; cuño DPS 15 × 7 junto al n°</t>
        </is>
      </c>
      <c r="K180" s="33" t="inlineStr">
        <is>
          <t>Proceso</t>
        </is>
      </c>
      <c r="L180" s="33" t="inlineStr">
        <is>
          <t>No</t>
        </is>
      </c>
      <c r="M180" s="17" t="n"/>
      <c r="N180" s="17" t="n"/>
      <c r="O180" s="17" t="inlineStr">
        <is>
          <t>Marcado</t>
        </is>
      </c>
      <c r="P180" s="17" t="inlineStr">
        <is>
          <t>IRAM 3550 5.1 · Res. 349/07 anexo IV</t>
        </is>
      </c>
      <c r="Q180" s="33" t="inlineStr">
        <is>
          <t>N</t>
        </is>
      </c>
      <c r="R180" s="33" t="n"/>
      <c r="S180" s="17" t="n"/>
    </row>
    <row r="181">
      <c r="A181" s="33" t="inlineStr">
        <is>
          <t>FL_REC_ABC_100kg</t>
        </is>
      </c>
      <c r="B181" s="33" t="n">
        <v>2</v>
      </c>
      <c r="C181" s="33" t="inlineStr">
        <is>
          <t>ABC100-T3</t>
        </is>
      </c>
      <c r="D181" s="17" t="inlineStr">
        <is>
          <t xml:space="preserve">        Etiqueta de identificación del cilindro suelto</t>
        </is>
      </c>
      <c r="E181" s="33" t="n">
        <v>1</v>
      </c>
      <c r="F181" s="33" t="inlineStr">
        <is>
          <t>u</t>
        </is>
      </c>
      <c r="G181" s="34" t="n"/>
      <c r="H181" s="34" t="n"/>
      <c r="I181" s="33" t="inlineStr">
        <is>
          <t>Poliéster autoadhesivo removible</t>
        </is>
      </c>
      <c r="J181" s="17" t="inlineStr">
        <is>
          <t>100 × 60, impresión térmica, QR GS1</t>
        </is>
      </c>
      <c r="K181" s="33" t="inlineStr">
        <is>
          <t>Compra</t>
        </is>
      </c>
      <c r="L181" s="33" t="inlineStr">
        <is>
          <t>Sí</t>
        </is>
      </c>
      <c r="M181" s="17" t="inlineStr">
        <is>
          <t>Astuprint</t>
        </is>
      </c>
      <c r="N181" s="17" t="inlineStr">
        <is>
          <t>GS1 Argentina</t>
        </is>
      </c>
      <c r="O181" s="17" t="inlineStr">
        <is>
          <t>Etiquetado</t>
        </is>
      </c>
      <c r="P181" s="17" t="n"/>
      <c r="Q181" s="33" t="inlineStr">
        <is>
          <t>P</t>
        </is>
      </c>
      <c r="R181" s="33" t="inlineStr">
        <is>
          <t>FL_REC_ABC_100kg hoja 3</t>
        </is>
      </c>
      <c r="S181" s="17" t="n"/>
    </row>
    <row r="182">
      <c r="A182" s="33" t="inlineStr">
        <is>
          <t>FL_REC_ABC_100kg</t>
        </is>
      </c>
      <c r="B182" s="33" t="n">
        <v>2</v>
      </c>
      <c r="C182" s="33" t="inlineStr">
        <is>
          <t>ABC100-T4</t>
        </is>
      </c>
      <c r="D182" s="17" t="inlineStr">
        <is>
          <t xml:space="preserve">        Protocolo de ensayo hidrostático (certificado que acompaña)</t>
        </is>
      </c>
      <c r="E182" s="33" t="n">
        <v>1</v>
      </c>
      <c r="F182" s="33" t="inlineStr">
        <is>
          <t>u</t>
        </is>
      </c>
      <c r="G182" s="34" t="n">
        <v>0.005</v>
      </c>
      <c r="H182" s="34">
        <f>E182*G182</f>
        <v/>
      </c>
      <c r="I182" s="33" t="inlineStr">
        <is>
          <t>Papel</t>
        </is>
      </c>
      <c r="J182" s="17" t="inlineStr">
        <is>
          <t>A5</t>
        </is>
      </c>
      <c r="K182" s="33" t="inlineStr">
        <is>
          <t>Proceso</t>
        </is>
      </c>
      <c r="L182" s="33" t="inlineStr">
        <is>
          <t>No</t>
        </is>
      </c>
      <c r="M182" s="17" t="n"/>
      <c r="N182" s="17" t="n"/>
      <c r="O182" s="17" t="inlineStr">
        <is>
          <t>Control de calidad</t>
        </is>
      </c>
      <c r="P182" s="17" t="inlineStr">
        <is>
          <t>IRAM 3550 4.1 y cap. 6 · IRAM 2587</t>
        </is>
      </c>
      <c r="Q182" s="33" t="inlineStr">
        <is>
          <t>N</t>
        </is>
      </c>
      <c r="R182" s="33" t="inlineStr">
        <is>
          <t>FL_REC_ABC_100kg hoja 3</t>
        </is>
      </c>
      <c r="S182" s="17" t="n"/>
    </row>
    <row r="183">
      <c r="A183" s="30" t="inlineStr">
        <is>
          <t>FL_REC_ABC_100kg</t>
        </is>
      </c>
      <c r="B183" s="30" t="n">
        <v>1</v>
      </c>
      <c r="C183" s="30" t="inlineStr">
        <is>
          <t>ABC100-S7</t>
        </is>
      </c>
      <c r="D183" s="31" t="inlineStr">
        <is>
          <t xml:space="preserve">    Embalaje</t>
        </is>
      </c>
      <c r="E183" s="30" t="n">
        <v>1</v>
      </c>
      <c r="F183" s="30" t="inlineStr">
        <is>
          <t>u</t>
        </is>
      </c>
      <c r="G183" s="32" t="n"/>
      <c r="H183" s="32">
        <f>H186</f>
        <v/>
      </c>
      <c r="I183" s="30" t="n"/>
      <c r="J183" s="31" t="n"/>
      <c r="K183" s="30" t="inlineStr">
        <is>
          <t>Compra</t>
        </is>
      </c>
      <c r="L183" s="30" t="n"/>
      <c r="M183" s="31" t="n"/>
      <c r="N183" s="31" t="n"/>
      <c r="O183" s="31" t="inlineStr">
        <is>
          <t>23 Embalaje -&gt; 24 envolvedora (T11)</t>
        </is>
      </c>
      <c r="P183" s="31" t="n"/>
      <c r="Q183" s="30" t="n"/>
      <c r="R183" s="30" t="n"/>
      <c r="S183" s="31" t="n"/>
    </row>
    <row r="184">
      <c r="A184" s="33" t="inlineStr">
        <is>
          <t>FL_REC_ABC_100kg</t>
        </is>
      </c>
      <c r="B184" s="33" t="n">
        <v>2</v>
      </c>
      <c r="C184" s="33" t="inlineStr">
        <is>
          <t>ABC100-E1</t>
        </is>
      </c>
      <c r="D184" s="17" t="inlineStr">
        <is>
          <t xml:space="preserve">        Esquineros y funda de polietileno</t>
        </is>
      </c>
      <c r="E184" s="33" t="n">
        <v>1</v>
      </c>
      <c r="F184" s="33" t="inlineStr">
        <is>
          <t>jgo</t>
        </is>
      </c>
      <c r="G184" s="34" t="n"/>
      <c r="H184" s="34" t="n"/>
      <c r="I184" s="33" t="inlineStr">
        <is>
          <t>PE / cartón</t>
        </is>
      </c>
      <c r="J184" s="17" t="inlineStr">
        <is>
          <t>a medida de la envolvente del plano</t>
        </is>
      </c>
      <c r="K184" s="33" t="inlineStr">
        <is>
          <t>Compra</t>
        </is>
      </c>
      <c r="L184" s="33" t="inlineStr">
        <is>
          <t>Sí</t>
        </is>
      </c>
      <c r="M184" s="17" t="inlineStr">
        <is>
          <t>MV Embalajes</t>
        </is>
      </c>
      <c r="N184" s="17" t="inlineStr">
        <is>
          <t>Embalpack</t>
        </is>
      </c>
      <c r="O184" s="17" t="inlineStr">
        <is>
          <t>23 Embalaje</t>
        </is>
      </c>
      <c r="P184" s="17" t="n"/>
      <c r="Q184" s="33" t="inlineStr">
        <is>
          <t>P</t>
        </is>
      </c>
      <c r="R184" s="33" t="n"/>
      <c r="S184" s="17" t="inlineStr">
        <is>
          <t>Medida del plano</t>
        </is>
      </c>
    </row>
    <row r="185">
      <c r="A185" s="33" t="inlineStr">
        <is>
          <t>FL_REC_ABC_100kg</t>
        </is>
      </c>
      <c r="B185" s="33" t="n">
        <v>2</v>
      </c>
      <c r="C185" s="33" t="inlineStr">
        <is>
          <t>ABC100-E3</t>
        </is>
      </c>
      <c r="D185" s="17" t="inlineStr">
        <is>
          <t xml:space="preserve">        Pallet 1200 × 1000 (fracción)</t>
        </is>
      </c>
      <c r="E185" s="33" t="n">
        <v>0.1667</v>
      </c>
      <c r="F185" s="33" t="inlineStr">
        <is>
          <t>u</t>
        </is>
      </c>
      <c r="G185" s="34" t="n"/>
      <c r="H185" s="34" t="n"/>
      <c r="I185" s="33" t="inlineStr">
        <is>
          <t>Madera</t>
        </is>
      </c>
      <c r="J185" s="17" t="inlineStr">
        <is>
          <t>6 u por pallet</t>
        </is>
      </c>
      <c r="K185" s="33" t="inlineStr">
        <is>
          <t>Compra</t>
        </is>
      </c>
      <c r="L185" s="33" t="inlineStr">
        <is>
          <t>Sí</t>
        </is>
      </c>
      <c r="M185" s="17" t="inlineStr">
        <is>
          <t>IndusPallets</t>
        </is>
      </c>
      <c r="N185" s="17" t="inlineStr">
        <is>
          <t>-</t>
        </is>
      </c>
      <c r="O185" s="17" t="inlineStr">
        <is>
          <t>23 Embalaje</t>
        </is>
      </c>
      <c r="P185" s="17" t="n"/>
      <c r="Q185" s="33" t="inlineStr">
        <is>
          <t>C</t>
        </is>
      </c>
      <c r="R185" s="33" t="n"/>
      <c r="S185" s="17" t="inlineStr">
        <is>
          <t>u por pallet = acomodo de la caja (plano) en 1200 × 1000 × 1450 de alto</t>
        </is>
      </c>
    </row>
    <row r="186">
      <c r="A186" s="41" t="inlineStr">
        <is>
          <t>FL_REC_ABC_100kg</t>
        </is>
      </c>
      <c r="B186" s="41" t="n">
        <v>2</v>
      </c>
      <c r="C186" s="41" t="inlineStr">
        <is>
          <t>ABC100-E4</t>
        </is>
      </c>
      <c r="D186" s="18" t="inlineStr">
        <is>
          <t xml:space="preserve">        Film stretch (fracción del pallet)</t>
        </is>
      </c>
      <c r="E186" s="41" t="n">
        <v>0.02</v>
      </c>
      <c r="F186" s="41" t="inlineStr">
        <is>
          <t>kg</t>
        </is>
      </c>
      <c r="G186" s="42" t="n">
        <v>1</v>
      </c>
      <c r="H186" s="42">
        <f>E186*G186</f>
        <v/>
      </c>
      <c r="I186" s="41" t="inlineStr">
        <is>
          <t>PE lineal 23 µm</t>
        </is>
      </c>
      <c r="J186" s="18" t="inlineStr">
        <is>
          <t>0,12 kg por pallet / 6 u</t>
        </is>
      </c>
      <c r="K186" s="41" t="inlineStr">
        <is>
          <t>Compra</t>
        </is>
      </c>
      <c r="L186" s="41" t="inlineStr">
        <is>
          <t>Sí</t>
        </is>
      </c>
      <c r="M186" s="18" t="inlineStr">
        <is>
          <t>MV Embalajes</t>
        </is>
      </c>
      <c r="N186" s="18" t="inlineStr">
        <is>
          <t>Embalpack</t>
        </is>
      </c>
      <c r="O186" s="18" t="inlineStr">
        <is>
          <t>24 Envolvedora (T11)</t>
        </is>
      </c>
      <c r="P186" s="18" t="n"/>
      <c r="Q186" s="41" t="inlineStr">
        <is>
          <t>C</t>
        </is>
      </c>
      <c r="R186" s="41" t="n"/>
      <c r="S18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7">
      <c r="A187" s="33" t="inlineStr">
        <is>
          <t>FL_REC_ABC_100kg</t>
        </is>
      </c>
      <c r="B187" s="33" t="n">
        <v>2</v>
      </c>
      <c r="C187" s="33" t="inlineStr">
        <is>
          <t>ABC100-E5</t>
        </is>
      </c>
      <c r="D187" s="17" t="inlineStr">
        <is>
          <t xml:space="preserve">        Etiqueta de pallet (lote y destino, fracción)</t>
        </is>
      </c>
      <c r="E187" s="33" t="n">
        <v>0.1667</v>
      </c>
      <c r="F187" s="33" t="inlineStr">
        <is>
          <t>u</t>
        </is>
      </c>
      <c r="G187" s="34" t="n"/>
      <c r="H187" s="34" t="n"/>
      <c r="I187" s="33" t="inlineStr">
        <is>
          <t>Papel térmico</t>
        </is>
      </c>
      <c r="J187" s="17" t="inlineStr">
        <is>
          <t>100 × 150</t>
        </is>
      </c>
      <c r="K187" s="33" t="inlineStr">
        <is>
          <t>Compra</t>
        </is>
      </c>
      <c r="L187" s="33" t="inlineStr">
        <is>
          <t>Sí</t>
        </is>
      </c>
      <c r="M187" s="17" t="inlineStr">
        <is>
          <t>Astuprint</t>
        </is>
      </c>
      <c r="N187" s="17" t="inlineStr">
        <is>
          <t>Multilabel Argentina S.A.</t>
        </is>
      </c>
      <c r="O187" s="17" t="inlineStr">
        <is>
          <t>24 Envolvedora</t>
        </is>
      </c>
      <c r="P187" s="17" t="n"/>
      <c r="Q187" s="33" t="inlineStr">
        <is>
          <t>C</t>
        </is>
      </c>
      <c r="R187" s="33" t="n"/>
      <c r="S187" s="17" t="n"/>
    </row>
    <row r="188">
      <c r="A188" s="33" t="inlineStr">
        <is>
          <t>FL_REC_ABC_100kg</t>
        </is>
      </c>
      <c r="B188" s="33" t="n">
        <v>2</v>
      </c>
      <c r="C188" s="33" t="inlineStr">
        <is>
          <t>ABC100-E8</t>
        </is>
      </c>
      <c r="D188" s="17" t="inlineStr">
        <is>
          <t xml:space="preserve">        Separador de capa de cartón 1200 × 1000 (fracción del pallet)</t>
        </is>
      </c>
      <c r="E188" s="33" t="n">
        <v>0</v>
      </c>
      <c r="F188" s="33" t="inlineStr">
        <is>
          <t>u</t>
        </is>
      </c>
      <c r="G188" s="34" t="n"/>
      <c r="H188" s="34" t="n"/>
      <c r="I188" s="33" t="inlineStr">
        <is>
          <t>Cartón</t>
        </is>
      </c>
      <c r="J188" s="17" t="inlineStr">
        <is>
          <t>1 capas → 0 separadores por pallet / 6 u</t>
        </is>
      </c>
      <c r="K188" s="33" t="inlineStr">
        <is>
          <t>Compra</t>
        </is>
      </c>
      <c r="L188" s="33" t="inlineStr">
        <is>
          <t>Sí</t>
        </is>
      </c>
      <c r="M188" s="17" t="inlineStr">
        <is>
          <t>Maxipack</t>
        </is>
      </c>
      <c r="N188" s="17" t="inlineStr">
        <is>
          <t>Cartocan</t>
        </is>
      </c>
      <c r="O188" s="17" t="inlineStr">
        <is>
          <t>23 Embalaje</t>
        </is>
      </c>
      <c r="P188" s="17" t="n"/>
      <c r="Q188" s="33" t="inlineStr">
        <is>
          <t>C</t>
        </is>
      </c>
      <c r="R188" s="33" t="n"/>
      <c r="S188" s="17" t="inlineStr">
        <is>
          <t>Planilla MP-61</t>
        </is>
      </c>
    </row>
  </sheetData>
  <autoFilter ref="A4:S188"/>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6" t="inlineStr">
        <is>
          <t>Producto</t>
        </is>
      </c>
      <c r="B4" s="26" t="inlineStr">
        <is>
          <t>Nivel</t>
        </is>
      </c>
      <c r="C4" s="26" t="inlineStr">
        <is>
          <t>Código</t>
        </is>
      </c>
      <c r="D4" s="26" t="inlineStr">
        <is>
          <t>Descripción</t>
        </is>
      </c>
      <c r="E4" s="26" t="inlineStr">
        <is>
          <t>Cant.</t>
        </is>
      </c>
      <c r="F4" s="26" t="inlineStr">
        <is>
          <t>UM</t>
        </is>
      </c>
      <c r="G4" s="26" t="inlineStr">
        <is>
          <t>Peso unit. (kg/UM)</t>
        </is>
      </c>
      <c r="H4" s="26" t="inlineStr">
        <is>
          <t>Peso total (kg)</t>
        </is>
      </c>
      <c r="I4" s="26" t="inlineStr">
        <is>
          <t>Material</t>
        </is>
      </c>
      <c r="J4" s="26" t="inlineStr">
        <is>
          <t>Medida (mm)</t>
        </is>
      </c>
      <c r="K4" s="26" t="inlineStr">
        <is>
          <t>Origen</t>
        </is>
      </c>
      <c r="L4" s="26" t="inlineStr">
        <is>
          <t>Entra MRP</t>
        </is>
      </c>
      <c r="M4" s="26" t="inlineStr">
        <is>
          <t>Proveedor principal</t>
        </is>
      </c>
      <c r="N4" s="26" t="inlineStr">
        <is>
          <t>Alternativa</t>
        </is>
      </c>
      <c r="O4" s="26" t="inlineStr">
        <is>
          <t>Operación / puesto (layout FLAMA)</t>
        </is>
      </c>
      <c r="P4" s="26" t="inlineStr">
        <is>
          <t>Norma / referencia</t>
        </is>
      </c>
      <c r="Q4" s="26" t="inlineStr">
        <is>
          <t>Fte.</t>
        </is>
      </c>
      <c r="R4" s="26" t="inlineStr">
        <is>
          <t>Plano</t>
        </is>
      </c>
      <c r="S4" s="26" t="inlineStr">
        <is>
          <t>Observaciones</t>
        </is>
      </c>
    </row>
    <row r="5">
      <c r="A5" s="27" t="inlineStr">
        <is>
          <t>FL_SUS_ABC_1kg</t>
        </is>
      </c>
      <c r="B5" s="27" t="n">
        <v>0</v>
      </c>
      <c r="C5" s="27" t="inlineStr">
        <is>
          <t>FL_SUS_ABC_1kg</t>
        </is>
      </c>
      <c r="D5" s="28" t="inlineStr">
        <is>
          <t>Extintor sustituto para Extintor ABC 1 kg</t>
        </is>
      </c>
      <c r="E5" s="27" t="n">
        <v>1</v>
      </c>
      <c r="F5" s="27" t="inlineStr">
        <is>
          <t>u</t>
        </is>
      </c>
      <c r="G5" s="29" t="n"/>
      <c r="H5" s="29" t="n"/>
      <c r="I5" s="27" t="n"/>
      <c r="J5" s="28" t="n"/>
      <c r="K5" s="27" t="n"/>
      <c r="L5" s="27" t="n"/>
      <c r="M5" s="28" t="n"/>
      <c r="N5" s="28" t="n"/>
      <c r="O5" s="28" t="n"/>
      <c r="P5" s="28" t="inlineStr">
        <is>
          <t>IRAM 3517-2:2020 9.4.5</t>
        </is>
      </c>
      <c r="Q5" s="27" t="inlineStr">
        <is>
          <t>N</t>
        </is>
      </c>
      <c r="R5" s="27" t="inlineStr">
        <is>
          <t>FL_SUS_ABC_1kg</t>
        </is>
      </c>
      <c r="S5" s="28" t="inlineStr">
        <is>
          <t>Unitario: el tamaño del parque de sustitutos se dimensiona aparte</t>
        </is>
      </c>
    </row>
    <row r="6">
      <c r="A6" s="30" t="inlineStr">
        <is>
          <t>FL_SUS_ABC_1kg</t>
        </is>
      </c>
      <c r="B6" s="30" t="n">
        <v>1</v>
      </c>
      <c r="C6" s="30" t="inlineStr">
        <is>
          <t>FL_MAT_ABC_1kg</t>
        </is>
      </c>
      <c r="D6" s="31" t="inlineStr">
        <is>
          <t xml:space="preserve">    Extintor base: Extintor ABC 1 kg (mismo modelo)</t>
        </is>
      </c>
      <c r="E6" s="30" t="n">
        <v>1</v>
      </c>
      <c r="F6" s="30" t="inlineStr">
        <is>
          <t>u</t>
        </is>
      </c>
      <c r="G6" s="32" t="n"/>
      <c r="H6" s="32" t="n"/>
      <c r="I6" s="30" t="n"/>
      <c r="J6" s="31" t="n"/>
      <c r="K6" s="30" t="inlineStr">
        <is>
          <t>Stock FLAMA (fabricación propia)</t>
        </is>
      </c>
      <c r="L6" s="30" t="inlineStr">
        <is>
          <t>No</t>
        </is>
      </c>
      <c r="M6" s="31" t="n"/>
      <c r="N6" s="31" t="n"/>
      <c r="O6" s="31" t="n"/>
      <c r="P6" s="31" t="inlineStr">
        <is>
          <t>IRAM 3517-2:2020 9.4.5</t>
        </is>
      </c>
      <c r="Q6" s="30" t="inlineStr">
        <is>
          <t>N</t>
        </is>
      </c>
      <c r="R6" s="30" t="inlineStr">
        <is>
          <t>FL_SUS_ABC_1kg</t>
        </is>
      </c>
      <c r="S6" s="31" t="inlineStr">
        <is>
          <t>Igual clasificación y capacidad; mantenimiento vigente. BOM: hoja FL_MAT_ABC_1kg · No entra en MRP del kit: es demanda del producto FL_MAT (stock)</t>
        </is>
      </c>
    </row>
    <row r="7">
      <c r="A7" s="30" t="inlineStr">
        <is>
          <t>FL_SUS_ABC_1kg</t>
        </is>
      </c>
      <c r="B7" s="30" t="n">
        <v>1</v>
      </c>
      <c r="C7" s="30" t="inlineStr">
        <is>
          <t>SUS-ABC_1kg-K</t>
        </is>
      </c>
      <c r="D7" s="31" t="inlineStr">
        <is>
          <t xml:space="preserve">    Identificación de extintor sustituto</t>
        </is>
      </c>
      <c r="E7" s="30" t="n">
        <v>1</v>
      </c>
      <c r="F7" s="30" t="inlineStr">
        <is>
          <t>u</t>
        </is>
      </c>
      <c r="G7" s="32" t="n"/>
      <c r="H7" s="32" t="n"/>
      <c r="I7" s="30" t="n"/>
      <c r="J7" s="31" t="n"/>
      <c r="K7" s="30" t="inlineStr">
        <is>
          <t>Compra</t>
        </is>
      </c>
      <c r="L7" s="30" t="n"/>
      <c r="M7" s="31" t="n"/>
      <c r="N7" s="31" t="n"/>
      <c r="O7" s="31" t="n"/>
      <c r="P7" s="31" t="n"/>
      <c r="Q7" s="30" t="inlineStr">
        <is>
          <t>N</t>
        </is>
      </c>
      <c r="R7" s="30" t="inlineStr">
        <is>
          <t>FL_SUS_ABC_1kg</t>
        </is>
      </c>
      <c r="S7" s="31" t="n"/>
    </row>
    <row r="8">
      <c r="A8" s="33" t="inlineStr">
        <is>
          <t>FL_SUS_ABC_1kg</t>
        </is>
      </c>
      <c r="B8" s="33" t="n">
        <v>2</v>
      </c>
      <c r="C8" s="33" t="inlineStr">
        <is>
          <t>SUS-ABC_1kg-01</t>
        </is>
      </c>
      <c r="D8" s="17" t="inlineStr">
        <is>
          <t xml:space="preserve">        Faja amarilla de sustituto en la pollera (3 leyendas)</t>
        </is>
      </c>
      <c r="E8" s="33" t="n">
        <v>1</v>
      </c>
      <c r="F8" s="33" t="inlineStr">
        <is>
          <t>u</t>
        </is>
      </c>
      <c r="G8" s="34" t="n"/>
      <c r="H8" s="34" t="n"/>
      <c r="I8" s="33" t="inlineStr">
        <is>
          <t>Cinta vinílica autoadhesiva amarilla</t>
        </is>
      </c>
      <c r="J8" s="17" t="inlineStr">
        <is>
          <t>30 × 259 (alto ≤ 40; perímetro + 20 de solape)</t>
        </is>
      </c>
      <c r="K8" s="33" t="inlineStr">
        <is>
          <t>Compra</t>
        </is>
      </c>
      <c r="L8" s="33" t="inlineStr">
        <is>
          <t>Sí</t>
        </is>
      </c>
      <c r="M8" s="17" t="inlineStr">
        <is>
          <t>Astuprint</t>
        </is>
      </c>
      <c r="N8" s="17" t="inlineStr">
        <is>
          <t>Multilabel Argentina S.A.</t>
        </is>
      </c>
      <c r="O8" s="17" t="n"/>
      <c r="P8" s="17" t="inlineStr">
        <is>
          <t>IRAM 3517-2:2020 9.4.5 b)</t>
        </is>
      </c>
      <c r="Q8" s="33" t="inlineStr">
        <is>
          <t>N</t>
        </is>
      </c>
      <c r="R8" s="33" t="inlineStr">
        <is>
          <t>FL_SUS_ABC_1kg</t>
        </is>
      </c>
      <c r="S8" s="17" t="inlineStr">
        <is>
          <t>Leyendas: extintor sustituto / reemplaza al equipo de este puesto en mantenimiento o recarga / FLAMA S.A. (datos y logo). Proveedor a cotizar</t>
        </is>
      </c>
    </row>
    <row r="9">
      <c r="A9" s="33" t="inlineStr">
        <is>
          <t>FL_SUS_ABC_1kg</t>
        </is>
      </c>
      <c r="B9" s="33" t="n">
        <v>2</v>
      </c>
      <c r="C9" s="33" t="inlineStr">
        <is>
          <t>SUS-ABC_1kg-02</t>
        </is>
      </c>
      <c r="D9" s="17" t="inlineStr">
        <is>
          <t xml:space="preserve">        Tarjeta de identificación DPS con sello «SUSTITUTO HABILITADO»</t>
        </is>
      </c>
      <c r="E9" s="33" t="n">
        <v>1</v>
      </c>
      <c r="F9" s="33" t="inlineStr">
        <is>
          <t>u</t>
        </is>
      </c>
      <c r="G9" s="34" t="n"/>
      <c r="H9" s="34" t="n"/>
      <c r="I9" s="33" t="inlineStr">
        <is>
          <t>Tarjeta oficial DPS (PBA)</t>
        </is>
      </c>
      <c r="J9" s="17" t="inlineStr">
        <is>
          <t>formato oficial</t>
        </is>
      </c>
      <c r="K9" s="33" t="inlineStr">
        <is>
          <t>Compra (organismo)</t>
        </is>
      </c>
      <c r="L9" s="33" t="inlineStr">
        <is>
          <t>Sí</t>
        </is>
      </c>
      <c r="M9" s="17" t="inlineStr">
        <is>
          <t>Ministerio de Ambiente PBA (ex OPDS)</t>
        </is>
      </c>
      <c r="N9" s="17" t="inlineStr">
        <is>
          <t>-</t>
        </is>
      </c>
      <c r="O9" s="17" t="n"/>
      <c r="P9" s="17" t="inlineStr">
        <is>
          <t>Res. 349/07 art. 32</t>
        </is>
      </c>
      <c r="Q9" s="33" t="inlineStr">
        <is>
          <t>N</t>
        </is>
      </c>
      <c r="R9" s="33" t="inlineStr">
        <is>
          <t>FL_SUS_ABC_1kg</t>
        </is>
      </c>
      <c r="S9" s="17" t="inlineStr">
        <is>
          <t>Sólo PBA; reutilizable en cada revisión de carga; n° del extintor asentado en el libro de actas</t>
        </is>
      </c>
    </row>
    <row r="10">
      <c r="A10" s="33" t="inlineStr">
        <is>
          <t>FL_SUS_ABC_1kg</t>
        </is>
      </c>
      <c r="B10" s="33" t="n">
        <v>2</v>
      </c>
      <c r="C10" s="33" t="inlineStr">
        <is>
          <t>SUS-ABC_1kg-03</t>
        </is>
      </c>
      <c r="D10" s="17" t="inlineStr">
        <is>
          <t xml:space="preserve">        Tarjeta AGC con «Es sustituto» (sin domicilio de instalación)</t>
        </is>
      </c>
      <c r="E10" s="33" t="n">
        <v>1</v>
      </c>
      <c r="F10" s="33" t="inlineStr">
        <is>
          <t>u</t>
        </is>
      </c>
      <c r="G10" s="34" t="n"/>
      <c r="H10" s="34" t="n"/>
      <c r="I10" s="33" t="inlineStr">
        <is>
          <t>Etiqueta autoadhesiva AGC</t>
        </is>
      </c>
      <c r="J10" s="17" t="inlineStr">
        <is>
          <t>formato oficial</t>
        </is>
      </c>
      <c r="K10" s="33" t="inlineStr">
        <is>
          <t>Compra (organismo)</t>
        </is>
      </c>
      <c r="L10" s="33" t="inlineStr">
        <is>
          <t>Sí</t>
        </is>
      </c>
      <c r="M10" s="17" t="inlineStr">
        <is>
          <t>Agencia Gubernamental de Control (CABA)</t>
        </is>
      </c>
      <c r="N10" s="17" t="inlineStr">
        <is>
          <t>-</t>
        </is>
      </c>
      <c r="O10" s="17" t="n"/>
      <c r="P10" s="17" t="inlineStr">
        <is>
          <t>Res. AGC 32/15 anexo II</t>
        </is>
      </c>
      <c r="Q10" s="33" t="inlineStr">
        <is>
          <t>N</t>
        </is>
      </c>
      <c r="R10" s="33" t="inlineStr">
        <is>
          <t>FL_SUS_ABC_1kg</t>
        </is>
      </c>
      <c r="S10" s="17" t="inlineStr">
        <is>
          <t>Sólo CABA</t>
        </is>
      </c>
    </row>
    <row r="11">
      <c r="A11" s="33" t="inlineStr">
        <is>
          <t>FL_SUS_ABC_1kg</t>
        </is>
      </c>
      <c r="B11" s="33" t="n">
        <v>2</v>
      </c>
      <c r="C11" s="33" t="inlineStr">
        <is>
          <t>SUS-ABC_1kg-04</t>
        </is>
      </c>
      <c r="D11" s="17" t="inlineStr">
        <is>
          <t xml:space="preserve">        Remito de préstamo con membrete (n° de extintor, puesto, equipo retirado, fechas)</t>
        </is>
      </c>
      <c r="E11" s="33" t="n">
        <v>1</v>
      </c>
      <c r="F11" s="33" t="inlineStr">
        <is>
          <t>u/préstamo</t>
        </is>
      </c>
      <c r="G11" s="34" t="n"/>
      <c r="H11" s="34" t="n"/>
      <c r="I11" s="33" t="inlineStr">
        <is>
          <t>Papel</t>
        </is>
      </c>
      <c r="J11" s="17" t="inlineStr">
        <is>
          <t>A5 duplicado</t>
        </is>
      </c>
      <c r="K11" s="33" t="inlineStr">
        <is>
          <t>Proceso</t>
        </is>
      </c>
      <c r="L11" s="33" t="inlineStr">
        <is>
          <t>Sí</t>
        </is>
      </c>
      <c r="M11" s="17" t="inlineStr">
        <is>
          <t>Astuprint</t>
        </is>
      </c>
      <c r="N11" s="17" t="inlineStr">
        <is>
          <t>-</t>
        </is>
      </c>
      <c r="O11" s="17" t="n"/>
      <c r="P11" s="17" t="n"/>
      <c r="Q11" s="33" t="inlineStr">
        <is>
          <t>I</t>
        </is>
      </c>
      <c r="R11" s="33" t="inlineStr">
        <is>
          <t>FL_SUS_ABC_1kg</t>
        </is>
      </c>
      <c r="S11" s="17" t="inlineStr">
        <is>
          <t>Práctica de mercado relevada (Fullmat, Rodo, Eversafe)</t>
        </is>
      </c>
    </row>
    <row r="12">
      <c r="A12" s="27" t="inlineStr">
        <is>
          <t>FL_SUS_ABC_2.5kg</t>
        </is>
      </c>
      <c r="B12" s="27" t="n">
        <v>0</v>
      </c>
      <c r="C12" s="27" t="inlineStr">
        <is>
          <t>FL_SUS_ABC_2.5kg</t>
        </is>
      </c>
      <c r="D12" s="28" t="inlineStr">
        <is>
          <t>Extintor sustituto para Extintor ABC 2,5 kg</t>
        </is>
      </c>
      <c r="E12" s="27" t="n">
        <v>1</v>
      </c>
      <c r="F12" s="27" t="inlineStr">
        <is>
          <t>u</t>
        </is>
      </c>
      <c r="G12" s="29" t="n"/>
      <c r="H12" s="29" t="n"/>
      <c r="I12" s="27" t="n"/>
      <c r="J12" s="28" t="n"/>
      <c r="K12" s="27" t="n"/>
      <c r="L12" s="27" t="n"/>
      <c r="M12" s="28" t="n"/>
      <c r="N12" s="28" t="n"/>
      <c r="O12" s="28" t="n"/>
      <c r="P12" s="28" t="inlineStr">
        <is>
          <t>IRAM 3517-2:2020 9.4.5</t>
        </is>
      </c>
      <c r="Q12" s="27" t="inlineStr">
        <is>
          <t>N</t>
        </is>
      </c>
      <c r="R12" s="27" t="inlineStr">
        <is>
          <t>FL_SUS_ABC_2.5kg</t>
        </is>
      </c>
      <c r="S12" s="28" t="inlineStr">
        <is>
          <t>Unitario: el tamaño del parque de sustitutos se dimensiona aparte</t>
        </is>
      </c>
    </row>
    <row r="13">
      <c r="A13" s="30" t="inlineStr">
        <is>
          <t>FL_SUS_ABC_2.5kg</t>
        </is>
      </c>
      <c r="B13" s="30" t="n">
        <v>1</v>
      </c>
      <c r="C13" s="30" t="inlineStr">
        <is>
          <t>FL_MAT_ABC_2.5kg</t>
        </is>
      </c>
      <c r="D13" s="31" t="inlineStr">
        <is>
          <t xml:space="preserve">    Extintor base: Extintor ABC 2,5 kg (mismo modelo)</t>
        </is>
      </c>
      <c r="E13" s="30" t="n">
        <v>1</v>
      </c>
      <c r="F13" s="30" t="inlineStr">
        <is>
          <t>u</t>
        </is>
      </c>
      <c r="G13" s="32" t="n"/>
      <c r="H13" s="32" t="n"/>
      <c r="I13" s="30" t="n"/>
      <c r="J13" s="31" t="n"/>
      <c r="K13" s="30" t="inlineStr">
        <is>
          <t>Stock FLAMA (fabricación propia)</t>
        </is>
      </c>
      <c r="L13" s="30" t="inlineStr">
        <is>
          <t>No</t>
        </is>
      </c>
      <c r="M13" s="31" t="n"/>
      <c r="N13" s="31" t="n"/>
      <c r="O13" s="31" t="n"/>
      <c r="P13" s="31" t="inlineStr">
        <is>
          <t>IRAM 3517-2:2020 9.4.5</t>
        </is>
      </c>
      <c r="Q13" s="30" t="inlineStr">
        <is>
          <t>N</t>
        </is>
      </c>
      <c r="R13" s="30" t="inlineStr">
        <is>
          <t>FL_SUS_ABC_2.5kg</t>
        </is>
      </c>
      <c r="S13" s="31" t="inlineStr">
        <is>
          <t>Igual clasificación y capacidad; mantenimiento vigente. BOM: hoja FL_MAT_ABC_2.5kg · No entra en MRP del kit: es demanda del producto FL_MAT (stock)</t>
        </is>
      </c>
    </row>
    <row r="14">
      <c r="A14" s="30" t="inlineStr">
        <is>
          <t>FL_SUS_ABC_2.5kg</t>
        </is>
      </c>
      <c r="B14" s="30" t="n">
        <v>1</v>
      </c>
      <c r="C14" s="30" t="inlineStr">
        <is>
          <t>SUS-ABC_2.5kg-K</t>
        </is>
      </c>
      <c r="D14" s="31" t="inlineStr">
        <is>
          <t xml:space="preserve">    Identificación de extintor sustituto</t>
        </is>
      </c>
      <c r="E14" s="30" t="n">
        <v>1</v>
      </c>
      <c r="F14" s="30" t="inlineStr">
        <is>
          <t>u</t>
        </is>
      </c>
      <c r="G14" s="32" t="n"/>
      <c r="H14" s="32" t="n"/>
      <c r="I14" s="30" t="n"/>
      <c r="J14" s="31" t="n"/>
      <c r="K14" s="30" t="inlineStr">
        <is>
          <t>Compra</t>
        </is>
      </c>
      <c r="L14" s="30" t="n"/>
      <c r="M14" s="31" t="n"/>
      <c r="N14" s="31" t="n"/>
      <c r="O14" s="31" t="n"/>
      <c r="P14" s="31" t="n"/>
      <c r="Q14" s="30" t="inlineStr">
        <is>
          <t>N</t>
        </is>
      </c>
      <c r="R14" s="30" t="inlineStr">
        <is>
          <t>FL_SUS_ABC_2.5kg</t>
        </is>
      </c>
      <c r="S14" s="31" t="n"/>
    </row>
    <row r="15">
      <c r="A15" s="33" t="inlineStr">
        <is>
          <t>FL_SUS_ABC_2.5kg</t>
        </is>
      </c>
      <c r="B15" s="33" t="n">
        <v>2</v>
      </c>
      <c r="C15" s="33" t="inlineStr">
        <is>
          <t>SUS-ABC_2.5kg-01</t>
        </is>
      </c>
      <c r="D15" s="17" t="inlineStr">
        <is>
          <t xml:space="preserve">        Faja amarilla de sustituto en la pollera (3 leyendas)</t>
        </is>
      </c>
      <c r="E15" s="33" t="n">
        <v>1</v>
      </c>
      <c r="F15" s="33" t="inlineStr">
        <is>
          <t>u</t>
        </is>
      </c>
      <c r="G15" s="34" t="n"/>
      <c r="H15" s="34" t="n"/>
      <c r="I15" s="33" t="inlineStr">
        <is>
          <t>Cinta vinílica autoadhesiva amarilla</t>
        </is>
      </c>
      <c r="J15" s="17" t="inlineStr">
        <is>
          <t>28 × 410 (alto ≤ 40; perímetro + 20 de solape)</t>
        </is>
      </c>
      <c r="K15" s="33" t="inlineStr">
        <is>
          <t>Compra</t>
        </is>
      </c>
      <c r="L15" s="33" t="inlineStr">
        <is>
          <t>Sí</t>
        </is>
      </c>
      <c r="M15" s="17" t="inlineStr">
        <is>
          <t>Astuprint</t>
        </is>
      </c>
      <c r="N15" s="17" t="inlineStr">
        <is>
          <t>Multilabel Argentina S.A.</t>
        </is>
      </c>
      <c r="O15" s="17" t="n"/>
      <c r="P15" s="17" t="inlineStr">
        <is>
          <t>IRAM 3517-2:2020 9.4.5 b)</t>
        </is>
      </c>
      <c r="Q15" s="33" t="inlineStr">
        <is>
          <t>N</t>
        </is>
      </c>
      <c r="R15" s="33" t="inlineStr">
        <is>
          <t>FL_SUS_ABC_2.5kg</t>
        </is>
      </c>
      <c r="S15" s="17" t="inlineStr">
        <is>
          <t>Leyendas: extintor sustituto / reemplaza al equipo de este puesto en mantenimiento o recarga / FLAMA S.A. (datos y logo). Proveedor a cotizar</t>
        </is>
      </c>
    </row>
    <row r="16">
      <c r="A16" s="33" t="inlineStr">
        <is>
          <t>FL_SUS_ABC_2.5kg</t>
        </is>
      </c>
      <c r="B16" s="33" t="n">
        <v>2</v>
      </c>
      <c r="C16" s="33" t="inlineStr">
        <is>
          <t>SUS-ABC_2.5kg-02</t>
        </is>
      </c>
      <c r="D16" s="17" t="inlineStr">
        <is>
          <t xml:space="preserve">        Tarjeta de identificación DPS con sello «SUSTITUTO HABILITADO»</t>
        </is>
      </c>
      <c r="E16" s="33" t="n">
        <v>1</v>
      </c>
      <c r="F16" s="33" t="inlineStr">
        <is>
          <t>u</t>
        </is>
      </c>
      <c r="G16" s="34" t="n"/>
      <c r="H16" s="34" t="n"/>
      <c r="I16" s="33" t="inlineStr">
        <is>
          <t>Tarjeta oficial DPS (PBA)</t>
        </is>
      </c>
      <c r="J16" s="17" t="inlineStr">
        <is>
          <t>formato oficial</t>
        </is>
      </c>
      <c r="K16" s="33" t="inlineStr">
        <is>
          <t>Compra (organismo)</t>
        </is>
      </c>
      <c r="L16" s="33" t="inlineStr">
        <is>
          <t>Sí</t>
        </is>
      </c>
      <c r="M16" s="17" t="inlineStr">
        <is>
          <t>Ministerio de Ambiente PBA (ex OPDS)</t>
        </is>
      </c>
      <c r="N16" s="17" t="inlineStr">
        <is>
          <t>-</t>
        </is>
      </c>
      <c r="O16" s="17" t="n"/>
      <c r="P16" s="17" t="inlineStr">
        <is>
          <t>Res. 349/07 art. 32</t>
        </is>
      </c>
      <c r="Q16" s="33" t="inlineStr">
        <is>
          <t>N</t>
        </is>
      </c>
      <c r="R16" s="33" t="inlineStr">
        <is>
          <t>FL_SUS_ABC_2.5kg</t>
        </is>
      </c>
      <c r="S16" s="17" t="inlineStr">
        <is>
          <t>Sólo PBA; reutilizable en cada revisión de carga; n° del extintor asentado en el libro de actas</t>
        </is>
      </c>
    </row>
    <row r="17">
      <c r="A17" s="33" t="inlineStr">
        <is>
          <t>FL_SUS_ABC_2.5kg</t>
        </is>
      </c>
      <c r="B17" s="33" t="n">
        <v>2</v>
      </c>
      <c r="C17" s="33" t="inlineStr">
        <is>
          <t>SUS-ABC_2.5kg-03</t>
        </is>
      </c>
      <c r="D17" s="17" t="inlineStr">
        <is>
          <t xml:space="preserve">        Tarjeta AGC con «Es sustituto» (sin domicilio de instalación)</t>
        </is>
      </c>
      <c r="E17" s="33" t="n">
        <v>1</v>
      </c>
      <c r="F17" s="33" t="inlineStr">
        <is>
          <t>u</t>
        </is>
      </c>
      <c r="G17" s="34" t="n"/>
      <c r="H17" s="34" t="n"/>
      <c r="I17" s="33" t="inlineStr">
        <is>
          <t>Etiqueta autoadhesiva AGC</t>
        </is>
      </c>
      <c r="J17" s="17" t="inlineStr">
        <is>
          <t>formato oficial</t>
        </is>
      </c>
      <c r="K17" s="33" t="inlineStr">
        <is>
          <t>Compra (organismo)</t>
        </is>
      </c>
      <c r="L17" s="33" t="inlineStr">
        <is>
          <t>Sí</t>
        </is>
      </c>
      <c r="M17" s="17" t="inlineStr">
        <is>
          <t>Agencia Gubernamental de Control (CABA)</t>
        </is>
      </c>
      <c r="N17" s="17" t="inlineStr">
        <is>
          <t>-</t>
        </is>
      </c>
      <c r="O17" s="17" t="n"/>
      <c r="P17" s="17" t="inlineStr">
        <is>
          <t>Res. AGC 32/15 anexo II</t>
        </is>
      </c>
      <c r="Q17" s="33" t="inlineStr">
        <is>
          <t>N</t>
        </is>
      </c>
      <c r="R17" s="33" t="inlineStr">
        <is>
          <t>FL_SUS_ABC_2.5kg</t>
        </is>
      </c>
      <c r="S17" s="17" t="inlineStr">
        <is>
          <t>Sólo CABA</t>
        </is>
      </c>
    </row>
    <row r="18">
      <c r="A18" s="33" t="inlineStr">
        <is>
          <t>FL_SUS_ABC_2.5kg</t>
        </is>
      </c>
      <c r="B18" s="33" t="n">
        <v>2</v>
      </c>
      <c r="C18" s="33" t="inlineStr">
        <is>
          <t>SUS-ABC_2.5kg-04</t>
        </is>
      </c>
      <c r="D18" s="17" t="inlineStr">
        <is>
          <t xml:space="preserve">        Remito de préstamo con membrete (n° de extintor, puesto, equipo retirado, fechas)</t>
        </is>
      </c>
      <c r="E18" s="33" t="n">
        <v>1</v>
      </c>
      <c r="F18" s="33" t="inlineStr">
        <is>
          <t>u/préstamo</t>
        </is>
      </c>
      <c r="G18" s="34" t="n"/>
      <c r="H18" s="34" t="n"/>
      <c r="I18" s="33" t="inlineStr">
        <is>
          <t>Papel</t>
        </is>
      </c>
      <c r="J18" s="17" t="inlineStr">
        <is>
          <t>A5 duplicado</t>
        </is>
      </c>
      <c r="K18" s="33" t="inlineStr">
        <is>
          <t>Proceso</t>
        </is>
      </c>
      <c r="L18" s="33" t="inlineStr">
        <is>
          <t>Sí</t>
        </is>
      </c>
      <c r="M18" s="17" t="inlineStr">
        <is>
          <t>Astuprint</t>
        </is>
      </c>
      <c r="N18" s="17" t="inlineStr">
        <is>
          <t>-</t>
        </is>
      </c>
      <c r="O18" s="17" t="n"/>
      <c r="P18" s="17" t="n"/>
      <c r="Q18" s="33" t="inlineStr">
        <is>
          <t>I</t>
        </is>
      </c>
      <c r="R18" s="33" t="inlineStr">
        <is>
          <t>FL_SUS_ABC_2.5kg</t>
        </is>
      </c>
      <c r="S18" s="17" t="inlineStr">
        <is>
          <t>Práctica de mercado relevada (Fullmat, Rodo, Eversafe)</t>
        </is>
      </c>
    </row>
    <row r="19">
      <c r="A19" s="27" t="inlineStr">
        <is>
          <t>FL_SUS_ABC_5kg</t>
        </is>
      </c>
      <c r="B19" s="27" t="n">
        <v>0</v>
      </c>
      <c r="C19" s="27" t="inlineStr">
        <is>
          <t>FL_SUS_ABC_5kg</t>
        </is>
      </c>
      <c r="D19" s="28" t="inlineStr">
        <is>
          <t>Extintor sustituto para Extintor ABC 5 kg</t>
        </is>
      </c>
      <c r="E19" s="27" t="n">
        <v>1</v>
      </c>
      <c r="F19" s="27" t="inlineStr">
        <is>
          <t>u</t>
        </is>
      </c>
      <c r="G19" s="29" t="n"/>
      <c r="H19" s="29" t="n"/>
      <c r="I19" s="27" t="n"/>
      <c r="J19" s="28" t="n"/>
      <c r="K19" s="27" t="n"/>
      <c r="L19" s="27" t="n"/>
      <c r="M19" s="28" t="n"/>
      <c r="N19" s="28" t="n"/>
      <c r="O19" s="28" t="n"/>
      <c r="P19" s="28" t="inlineStr">
        <is>
          <t>IRAM 3517-2:2020 9.4.5</t>
        </is>
      </c>
      <c r="Q19" s="27" t="inlineStr">
        <is>
          <t>N</t>
        </is>
      </c>
      <c r="R19" s="27" t="inlineStr">
        <is>
          <t>FL_SUS_ABC_5kg</t>
        </is>
      </c>
      <c r="S19" s="28" t="inlineStr">
        <is>
          <t>Unitario: el tamaño del parque de sustitutos se dimensiona aparte</t>
        </is>
      </c>
    </row>
    <row r="20">
      <c r="A20" s="30" t="inlineStr">
        <is>
          <t>FL_SUS_ABC_5kg</t>
        </is>
      </c>
      <c r="B20" s="30" t="n">
        <v>1</v>
      </c>
      <c r="C20" s="30" t="inlineStr">
        <is>
          <t>FL_MAT_ABC_5kg</t>
        </is>
      </c>
      <c r="D20" s="31" t="inlineStr">
        <is>
          <t xml:space="preserve">    Extintor base: Extintor ABC 5 kg (mismo modelo)</t>
        </is>
      </c>
      <c r="E20" s="30" t="n">
        <v>1</v>
      </c>
      <c r="F20" s="30" t="inlineStr">
        <is>
          <t>u</t>
        </is>
      </c>
      <c r="G20" s="32" t="n"/>
      <c r="H20" s="32" t="n"/>
      <c r="I20" s="30" t="n"/>
      <c r="J20" s="31" t="n"/>
      <c r="K20" s="30" t="inlineStr">
        <is>
          <t>Stock FLAMA (fabricación propia)</t>
        </is>
      </c>
      <c r="L20" s="30" t="inlineStr">
        <is>
          <t>No</t>
        </is>
      </c>
      <c r="M20" s="31" t="n"/>
      <c r="N20" s="31" t="n"/>
      <c r="O20" s="31" t="n"/>
      <c r="P20" s="31" t="inlineStr">
        <is>
          <t>IRAM 3517-2:2020 9.4.5</t>
        </is>
      </c>
      <c r="Q20" s="30" t="inlineStr">
        <is>
          <t>N</t>
        </is>
      </c>
      <c r="R20" s="30" t="inlineStr">
        <is>
          <t>FL_SUS_ABC_5kg</t>
        </is>
      </c>
      <c r="S20" s="31" t="inlineStr">
        <is>
          <t>Igual clasificación y capacidad; mantenimiento vigente. BOM: hoja FL_MAT_ABC_5kg · No entra en MRP del kit: es demanda del producto FL_MAT (stock)</t>
        </is>
      </c>
    </row>
    <row r="21">
      <c r="A21" s="30" t="inlineStr">
        <is>
          <t>FL_SUS_ABC_5kg</t>
        </is>
      </c>
      <c r="B21" s="30" t="n">
        <v>1</v>
      </c>
      <c r="C21" s="30" t="inlineStr">
        <is>
          <t>SUS-ABC_5kg-K</t>
        </is>
      </c>
      <c r="D21" s="31" t="inlineStr">
        <is>
          <t xml:space="preserve">    Identificación de extintor sustituto</t>
        </is>
      </c>
      <c r="E21" s="30" t="n">
        <v>1</v>
      </c>
      <c r="F21" s="30" t="inlineStr">
        <is>
          <t>u</t>
        </is>
      </c>
      <c r="G21" s="32" t="n"/>
      <c r="H21" s="32" t="n"/>
      <c r="I21" s="30" t="n"/>
      <c r="J21" s="31" t="n"/>
      <c r="K21" s="30" t="inlineStr">
        <is>
          <t>Compra</t>
        </is>
      </c>
      <c r="L21" s="30" t="n"/>
      <c r="M21" s="31" t="n"/>
      <c r="N21" s="31" t="n"/>
      <c r="O21" s="31" t="n"/>
      <c r="P21" s="31" t="n"/>
      <c r="Q21" s="30" t="inlineStr">
        <is>
          <t>N</t>
        </is>
      </c>
      <c r="R21" s="30" t="inlineStr">
        <is>
          <t>FL_SUS_ABC_5kg</t>
        </is>
      </c>
      <c r="S21" s="31" t="n"/>
    </row>
    <row r="22">
      <c r="A22" s="33" t="inlineStr">
        <is>
          <t>FL_SUS_ABC_5kg</t>
        </is>
      </c>
      <c r="B22" s="33" t="n">
        <v>2</v>
      </c>
      <c r="C22" s="33" t="inlineStr">
        <is>
          <t>SUS-ABC_5kg-01</t>
        </is>
      </c>
      <c r="D22" s="17" t="inlineStr">
        <is>
          <t xml:space="preserve">        Faja amarilla de sustituto en la pollera (3 leyendas)</t>
        </is>
      </c>
      <c r="E22" s="33" t="n">
        <v>1</v>
      </c>
      <c r="F22" s="33" t="inlineStr">
        <is>
          <t>u</t>
        </is>
      </c>
      <c r="G22" s="34" t="n"/>
      <c r="H22" s="34" t="n"/>
      <c r="I22" s="33" t="inlineStr">
        <is>
          <t>Cinta vinílica autoadhesiva amarilla</t>
        </is>
      </c>
      <c r="J22" s="17" t="inlineStr">
        <is>
          <t>40 × 501 (alto ≤ 40; perímetro + 20 de solape)</t>
        </is>
      </c>
      <c r="K22" s="33" t="inlineStr">
        <is>
          <t>Compra</t>
        </is>
      </c>
      <c r="L22" s="33" t="inlineStr">
        <is>
          <t>Sí</t>
        </is>
      </c>
      <c r="M22" s="17" t="inlineStr">
        <is>
          <t>Astuprint</t>
        </is>
      </c>
      <c r="N22" s="17" t="inlineStr">
        <is>
          <t>Multilabel Argentina S.A.</t>
        </is>
      </c>
      <c r="O22" s="17" t="n"/>
      <c r="P22" s="17" t="inlineStr">
        <is>
          <t>IRAM 3517-2:2020 9.4.5 b)</t>
        </is>
      </c>
      <c r="Q22" s="33" t="inlineStr">
        <is>
          <t>N</t>
        </is>
      </c>
      <c r="R22" s="33" t="inlineStr">
        <is>
          <t>FL_SUS_ABC_5kg</t>
        </is>
      </c>
      <c r="S22" s="17" t="inlineStr">
        <is>
          <t>Leyendas: extintor sustituto / reemplaza al equipo de este puesto en mantenimiento o recarga / FLAMA S.A. (datos y logo). Proveedor a cotizar</t>
        </is>
      </c>
    </row>
    <row r="23">
      <c r="A23" s="33" t="inlineStr">
        <is>
          <t>FL_SUS_ABC_5kg</t>
        </is>
      </c>
      <c r="B23" s="33" t="n">
        <v>2</v>
      </c>
      <c r="C23" s="33" t="inlineStr">
        <is>
          <t>SUS-ABC_5kg-02</t>
        </is>
      </c>
      <c r="D23" s="17" t="inlineStr">
        <is>
          <t xml:space="preserve">        Tarjeta de identificación DPS con sello «SUSTITUTO HABILITADO»</t>
        </is>
      </c>
      <c r="E23" s="33" t="n">
        <v>1</v>
      </c>
      <c r="F23" s="33" t="inlineStr">
        <is>
          <t>u</t>
        </is>
      </c>
      <c r="G23" s="34" t="n"/>
      <c r="H23" s="34" t="n"/>
      <c r="I23" s="33" t="inlineStr">
        <is>
          <t>Tarjeta oficial DPS (PBA)</t>
        </is>
      </c>
      <c r="J23" s="17" t="inlineStr">
        <is>
          <t>formato oficial</t>
        </is>
      </c>
      <c r="K23" s="33" t="inlineStr">
        <is>
          <t>Compra (organismo)</t>
        </is>
      </c>
      <c r="L23" s="33" t="inlineStr">
        <is>
          <t>Sí</t>
        </is>
      </c>
      <c r="M23" s="17" t="inlineStr">
        <is>
          <t>Ministerio de Ambiente PBA (ex OPDS)</t>
        </is>
      </c>
      <c r="N23" s="17" t="inlineStr">
        <is>
          <t>-</t>
        </is>
      </c>
      <c r="O23" s="17" t="n"/>
      <c r="P23" s="17" t="inlineStr">
        <is>
          <t>Res. 349/07 art. 32</t>
        </is>
      </c>
      <c r="Q23" s="33" t="inlineStr">
        <is>
          <t>N</t>
        </is>
      </c>
      <c r="R23" s="33" t="inlineStr">
        <is>
          <t>FL_SUS_ABC_5kg</t>
        </is>
      </c>
      <c r="S23" s="17" t="inlineStr">
        <is>
          <t>Sólo PBA; reutilizable en cada revisión de carga; n° del extintor asentado en el libro de actas</t>
        </is>
      </c>
    </row>
    <row r="24">
      <c r="A24" s="33" t="inlineStr">
        <is>
          <t>FL_SUS_ABC_5kg</t>
        </is>
      </c>
      <c r="B24" s="33" t="n">
        <v>2</v>
      </c>
      <c r="C24" s="33" t="inlineStr">
        <is>
          <t>SUS-ABC_5kg-03</t>
        </is>
      </c>
      <c r="D24" s="17" t="inlineStr">
        <is>
          <t xml:space="preserve">        Tarjeta AGC con «Es sustituto» (sin domicilio de instalación)</t>
        </is>
      </c>
      <c r="E24" s="33" t="n">
        <v>1</v>
      </c>
      <c r="F24" s="33" t="inlineStr">
        <is>
          <t>u</t>
        </is>
      </c>
      <c r="G24" s="34" t="n"/>
      <c r="H24" s="34" t="n"/>
      <c r="I24" s="33" t="inlineStr">
        <is>
          <t>Etiqueta autoadhesiva AGC</t>
        </is>
      </c>
      <c r="J24" s="17" t="inlineStr">
        <is>
          <t>formato oficial</t>
        </is>
      </c>
      <c r="K24" s="33" t="inlineStr">
        <is>
          <t>Compra (organismo)</t>
        </is>
      </c>
      <c r="L24" s="33" t="inlineStr">
        <is>
          <t>Sí</t>
        </is>
      </c>
      <c r="M24" s="17" t="inlineStr">
        <is>
          <t>Agencia Gubernamental de Control (CABA)</t>
        </is>
      </c>
      <c r="N24" s="17" t="inlineStr">
        <is>
          <t>-</t>
        </is>
      </c>
      <c r="O24" s="17" t="n"/>
      <c r="P24" s="17" t="inlineStr">
        <is>
          <t>Res. AGC 32/15 anexo II</t>
        </is>
      </c>
      <c r="Q24" s="33" t="inlineStr">
        <is>
          <t>N</t>
        </is>
      </c>
      <c r="R24" s="33" t="inlineStr">
        <is>
          <t>FL_SUS_ABC_5kg</t>
        </is>
      </c>
      <c r="S24" s="17" t="inlineStr">
        <is>
          <t>Sólo CABA</t>
        </is>
      </c>
    </row>
    <row r="25">
      <c r="A25" s="33" t="inlineStr">
        <is>
          <t>FL_SUS_ABC_5kg</t>
        </is>
      </c>
      <c r="B25" s="33" t="n">
        <v>2</v>
      </c>
      <c r="C25" s="33" t="inlineStr">
        <is>
          <t>SUS-ABC_5kg-04</t>
        </is>
      </c>
      <c r="D25" s="17" t="inlineStr">
        <is>
          <t xml:space="preserve">        Remito de préstamo con membrete (n° de extintor, puesto, equipo retirado, fechas)</t>
        </is>
      </c>
      <c r="E25" s="33" t="n">
        <v>1</v>
      </c>
      <c r="F25" s="33" t="inlineStr">
        <is>
          <t>u/préstamo</t>
        </is>
      </c>
      <c r="G25" s="34" t="n"/>
      <c r="H25" s="34" t="n"/>
      <c r="I25" s="33" t="inlineStr">
        <is>
          <t>Papel</t>
        </is>
      </c>
      <c r="J25" s="17" t="inlineStr">
        <is>
          <t>A5 duplicado</t>
        </is>
      </c>
      <c r="K25" s="33" t="inlineStr">
        <is>
          <t>Proceso</t>
        </is>
      </c>
      <c r="L25" s="33" t="inlineStr">
        <is>
          <t>Sí</t>
        </is>
      </c>
      <c r="M25" s="17" t="inlineStr">
        <is>
          <t>Astuprint</t>
        </is>
      </c>
      <c r="N25" s="17" t="inlineStr">
        <is>
          <t>-</t>
        </is>
      </c>
      <c r="O25" s="17" t="n"/>
      <c r="P25" s="17" t="n"/>
      <c r="Q25" s="33" t="inlineStr">
        <is>
          <t>I</t>
        </is>
      </c>
      <c r="R25" s="33" t="inlineStr">
        <is>
          <t>FL_SUS_ABC_5kg</t>
        </is>
      </c>
      <c r="S25" s="17" t="inlineStr">
        <is>
          <t>Práctica de mercado relevada (Fullmat, Rodo, Eversafe)</t>
        </is>
      </c>
    </row>
    <row r="26">
      <c r="A26" s="27" t="inlineStr">
        <is>
          <t>FL_SUS_ABC_10kg</t>
        </is>
      </c>
      <c r="B26" s="27" t="n">
        <v>0</v>
      </c>
      <c r="C26" s="27" t="inlineStr">
        <is>
          <t>FL_SUS_ABC_10kg</t>
        </is>
      </c>
      <c r="D26" s="28" t="inlineStr">
        <is>
          <t>Extintor sustituto para Extintor ABC 10 kg</t>
        </is>
      </c>
      <c r="E26" s="27" t="n">
        <v>1</v>
      </c>
      <c r="F26" s="27" t="inlineStr">
        <is>
          <t>u</t>
        </is>
      </c>
      <c r="G26" s="29" t="n"/>
      <c r="H26" s="29" t="n"/>
      <c r="I26" s="27" t="n"/>
      <c r="J26" s="28" t="n"/>
      <c r="K26" s="27" t="n"/>
      <c r="L26" s="27" t="n"/>
      <c r="M26" s="28" t="n"/>
      <c r="N26" s="28" t="n"/>
      <c r="O26" s="28" t="n"/>
      <c r="P26" s="28" t="inlineStr">
        <is>
          <t>IRAM 3517-2:2020 9.4.5</t>
        </is>
      </c>
      <c r="Q26" s="27" t="inlineStr">
        <is>
          <t>N</t>
        </is>
      </c>
      <c r="R26" s="27" t="inlineStr">
        <is>
          <t>FL_SUS_ABC_10kg</t>
        </is>
      </c>
      <c r="S26" s="28" t="inlineStr">
        <is>
          <t>Unitario: el tamaño del parque de sustitutos se dimensiona aparte</t>
        </is>
      </c>
    </row>
    <row r="27">
      <c r="A27" s="30" t="inlineStr">
        <is>
          <t>FL_SUS_ABC_10kg</t>
        </is>
      </c>
      <c r="B27" s="30" t="n">
        <v>1</v>
      </c>
      <c r="C27" s="30" t="inlineStr">
        <is>
          <t>FL_MAT_ABC_10kg</t>
        </is>
      </c>
      <c r="D27" s="31" t="inlineStr">
        <is>
          <t xml:space="preserve">    Extintor base: Extintor ABC 10 kg (mismo modelo)</t>
        </is>
      </c>
      <c r="E27" s="30" t="n">
        <v>1</v>
      </c>
      <c r="F27" s="30" t="inlineStr">
        <is>
          <t>u</t>
        </is>
      </c>
      <c r="G27" s="32" t="n"/>
      <c r="H27" s="32" t="n"/>
      <c r="I27" s="30" t="n"/>
      <c r="J27" s="31" t="n"/>
      <c r="K27" s="30" t="inlineStr">
        <is>
          <t>Stock FLAMA (fabricación propia)</t>
        </is>
      </c>
      <c r="L27" s="30" t="inlineStr">
        <is>
          <t>No</t>
        </is>
      </c>
      <c r="M27" s="31" t="n"/>
      <c r="N27" s="31" t="n"/>
      <c r="O27" s="31" t="n"/>
      <c r="P27" s="31" t="inlineStr">
        <is>
          <t>IRAM 3517-2:2020 9.4.5</t>
        </is>
      </c>
      <c r="Q27" s="30" t="inlineStr">
        <is>
          <t>N</t>
        </is>
      </c>
      <c r="R27" s="30" t="inlineStr">
        <is>
          <t>FL_SUS_ABC_10kg</t>
        </is>
      </c>
      <c r="S27" s="31" t="inlineStr">
        <is>
          <t>Igual clasificación y capacidad; mantenimiento vigente. BOM: hoja FL_MAT_ABC_10kg · No entra en MRP del kit: es demanda del producto FL_MAT (stock)</t>
        </is>
      </c>
    </row>
    <row r="28">
      <c r="A28" s="30" t="inlineStr">
        <is>
          <t>FL_SUS_ABC_10kg</t>
        </is>
      </c>
      <c r="B28" s="30" t="n">
        <v>1</v>
      </c>
      <c r="C28" s="30" t="inlineStr">
        <is>
          <t>SUS-ABC_10kg-K</t>
        </is>
      </c>
      <c r="D28" s="31" t="inlineStr">
        <is>
          <t xml:space="preserve">    Identificación de extintor sustituto</t>
        </is>
      </c>
      <c r="E28" s="30" t="n">
        <v>1</v>
      </c>
      <c r="F28" s="30" t="inlineStr">
        <is>
          <t>u</t>
        </is>
      </c>
      <c r="G28" s="32" t="n"/>
      <c r="H28" s="32" t="n"/>
      <c r="I28" s="30" t="n"/>
      <c r="J28" s="31" t="n"/>
      <c r="K28" s="30" t="inlineStr">
        <is>
          <t>Compra</t>
        </is>
      </c>
      <c r="L28" s="30" t="n"/>
      <c r="M28" s="31" t="n"/>
      <c r="N28" s="31" t="n"/>
      <c r="O28" s="31" t="n"/>
      <c r="P28" s="31" t="n"/>
      <c r="Q28" s="30" t="inlineStr">
        <is>
          <t>N</t>
        </is>
      </c>
      <c r="R28" s="30" t="inlineStr">
        <is>
          <t>FL_SUS_ABC_10kg</t>
        </is>
      </c>
      <c r="S28" s="31" t="n"/>
    </row>
    <row r="29">
      <c r="A29" s="33" t="inlineStr">
        <is>
          <t>FL_SUS_ABC_10kg</t>
        </is>
      </c>
      <c r="B29" s="33" t="n">
        <v>2</v>
      </c>
      <c r="C29" s="33" t="inlineStr">
        <is>
          <t>SUS-ABC_10kg-01</t>
        </is>
      </c>
      <c r="D29" s="17" t="inlineStr">
        <is>
          <t xml:space="preserve">        Faja amarilla de sustituto en la pollera (3 leyendas)</t>
        </is>
      </c>
      <c r="E29" s="33" t="n">
        <v>1</v>
      </c>
      <c r="F29" s="33" t="inlineStr">
        <is>
          <t>u</t>
        </is>
      </c>
      <c r="G29" s="34" t="n"/>
      <c r="H29" s="34" t="n"/>
      <c r="I29" s="33" t="inlineStr">
        <is>
          <t>Cinta vinílica autoadhesiva amarilla</t>
        </is>
      </c>
      <c r="J29" s="17" t="inlineStr">
        <is>
          <t>40 × 590 (alto ≤ 40; perímetro + 20 de solape)</t>
        </is>
      </c>
      <c r="K29" s="33" t="inlineStr">
        <is>
          <t>Compra</t>
        </is>
      </c>
      <c r="L29" s="33" t="inlineStr">
        <is>
          <t>Sí</t>
        </is>
      </c>
      <c r="M29" s="17" t="inlineStr">
        <is>
          <t>Astuprint</t>
        </is>
      </c>
      <c r="N29" s="17" t="inlineStr">
        <is>
          <t>Multilabel Argentina S.A.</t>
        </is>
      </c>
      <c r="O29" s="17" t="n"/>
      <c r="P29" s="17" t="inlineStr">
        <is>
          <t>IRAM 3517-2:2020 9.4.5 b)</t>
        </is>
      </c>
      <c r="Q29" s="33" t="inlineStr">
        <is>
          <t>N</t>
        </is>
      </c>
      <c r="R29" s="33" t="inlineStr">
        <is>
          <t>FL_SUS_ABC_10kg</t>
        </is>
      </c>
      <c r="S29" s="17" t="inlineStr">
        <is>
          <t>Leyendas: extintor sustituto / reemplaza al equipo de este puesto en mantenimiento o recarga / FLAMA S.A. (datos y logo). Proveedor a cotizar</t>
        </is>
      </c>
    </row>
    <row r="30">
      <c r="A30" s="33" t="inlineStr">
        <is>
          <t>FL_SUS_ABC_10kg</t>
        </is>
      </c>
      <c r="B30" s="33" t="n">
        <v>2</v>
      </c>
      <c r="C30" s="33" t="inlineStr">
        <is>
          <t>SUS-ABC_10kg-02</t>
        </is>
      </c>
      <c r="D30" s="17" t="inlineStr">
        <is>
          <t xml:space="preserve">        Tarjeta de identificación DPS con sello «SUSTITUTO HABILITADO»</t>
        </is>
      </c>
      <c r="E30" s="33" t="n">
        <v>1</v>
      </c>
      <c r="F30" s="33" t="inlineStr">
        <is>
          <t>u</t>
        </is>
      </c>
      <c r="G30" s="34" t="n"/>
      <c r="H30" s="34" t="n"/>
      <c r="I30" s="33" t="inlineStr">
        <is>
          <t>Tarjeta oficial DPS (PBA)</t>
        </is>
      </c>
      <c r="J30" s="17" t="inlineStr">
        <is>
          <t>formato oficial</t>
        </is>
      </c>
      <c r="K30" s="33" t="inlineStr">
        <is>
          <t>Compra (organismo)</t>
        </is>
      </c>
      <c r="L30" s="33" t="inlineStr">
        <is>
          <t>Sí</t>
        </is>
      </c>
      <c r="M30" s="17" t="inlineStr">
        <is>
          <t>Ministerio de Ambiente PBA (ex OPDS)</t>
        </is>
      </c>
      <c r="N30" s="17" t="inlineStr">
        <is>
          <t>-</t>
        </is>
      </c>
      <c r="O30" s="17" t="n"/>
      <c r="P30" s="17" t="inlineStr">
        <is>
          <t>Res. 349/07 art. 32</t>
        </is>
      </c>
      <c r="Q30" s="33" t="inlineStr">
        <is>
          <t>N</t>
        </is>
      </c>
      <c r="R30" s="33" t="inlineStr">
        <is>
          <t>FL_SUS_ABC_10kg</t>
        </is>
      </c>
      <c r="S30" s="17" t="inlineStr">
        <is>
          <t>Sólo PBA; reutilizable en cada revisión de carga; n° del extintor asentado en el libro de actas</t>
        </is>
      </c>
    </row>
    <row r="31">
      <c r="A31" s="33" t="inlineStr">
        <is>
          <t>FL_SUS_ABC_10kg</t>
        </is>
      </c>
      <c r="B31" s="33" t="n">
        <v>2</v>
      </c>
      <c r="C31" s="33" t="inlineStr">
        <is>
          <t>SUS-ABC_10kg-03</t>
        </is>
      </c>
      <c r="D31" s="17" t="inlineStr">
        <is>
          <t xml:space="preserve">        Tarjeta AGC con «Es sustituto» (sin domicilio de instalación)</t>
        </is>
      </c>
      <c r="E31" s="33" t="n">
        <v>1</v>
      </c>
      <c r="F31" s="33" t="inlineStr">
        <is>
          <t>u</t>
        </is>
      </c>
      <c r="G31" s="34" t="n"/>
      <c r="H31" s="34" t="n"/>
      <c r="I31" s="33" t="inlineStr">
        <is>
          <t>Etiqueta autoadhesiva AGC</t>
        </is>
      </c>
      <c r="J31" s="17" t="inlineStr">
        <is>
          <t>formato oficial</t>
        </is>
      </c>
      <c r="K31" s="33" t="inlineStr">
        <is>
          <t>Compra (organismo)</t>
        </is>
      </c>
      <c r="L31" s="33" t="inlineStr">
        <is>
          <t>Sí</t>
        </is>
      </c>
      <c r="M31" s="17" t="inlineStr">
        <is>
          <t>Agencia Gubernamental de Control (CABA)</t>
        </is>
      </c>
      <c r="N31" s="17" t="inlineStr">
        <is>
          <t>-</t>
        </is>
      </c>
      <c r="O31" s="17" t="n"/>
      <c r="P31" s="17" t="inlineStr">
        <is>
          <t>Res. AGC 32/15 anexo II</t>
        </is>
      </c>
      <c r="Q31" s="33" t="inlineStr">
        <is>
          <t>N</t>
        </is>
      </c>
      <c r="R31" s="33" t="inlineStr">
        <is>
          <t>FL_SUS_ABC_10kg</t>
        </is>
      </c>
      <c r="S31" s="17" t="inlineStr">
        <is>
          <t>Sólo CABA</t>
        </is>
      </c>
    </row>
    <row r="32">
      <c r="A32" s="33" t="inlineStr">
        <is>
          <t>FL_SUS_ABC_10kg</t>
        </is>
      </c>
      <c r="B32" s="33" t="n">
        <v>2</v>
      </c>
      <c r="C32" s="33" t="inlineStr">
        <is>
          <t>SUS-ABC_10kg-04</t>
        </is>
      </c>
      <c r="D32" s="17" t="inlineStr">
        <is>
          <t xml:space="preserve">        Remito de préstamo con membrete (n° de extintor, puesto, equipo retirado, fechas)</t>
        </is>
      </c>
      <c r="E32" s="33" t="n">
        <v>1</v>
      </c>
      <c r="F32" s="33" t="inlineStr">
        <is>
          <t>u/préstamo</t>
        </is>
      </c>
      <c r="G32" s="34" t="n"/>
      <c r="H32" s="34" t="n"/>
      <c r="I32" s="33" t="inlineStr">
        <is>
          <t>Papel</t>
        </is>
      </c>
      <c r="J32" s="17" t="inlineStr">
        <is>
          <t>A5 duplicado</t>
        </is>
      </c>
      <c r="K32" s="33" t="inlineStr">
        <is>
          <t>Proceso</t>
        </is>
      </c>
      <c r="L32" s="33" t="inlineStr">
        <is>
          <t>Sí</t>
        </is>
      </c>
      <c r="M32" s="17" t="inlineStr">
        <is>
          <t>Astuprint</t>
        </is>
      </c>
      <c r="N32" s="17" t="inlineStr">
        <is>
          <t>-</t>
        </is>
      </c>
      <c r="O32" s="17" t="n"/>
      <c r="P32" s="17" t="n"/>
      <c r="Q32" s="33" t="inlineStr">
        <is>
          <t>I</t>
        </is>
      </c>
      <c r="R32" s="33" t="inlineStr">
        <is>
          <t>FL_SUS_ABC_10kg</t>
        </is>
      </c>
      <c r="S32" s="17" t="inlineStr">
        <is>
          <t>Práctica de mercado relevada (Fullmat, Rodo, Eversafe)</t>
        </is>
      </c>
    </row>
    <row r="33">
      <c r="A33" s="27" t="inlineStr">
        <is>
          <t>FL_SUS_AGUA_10l</t>
        </is>
      </c>
      <c r="B33" s="27" t="n">
        <v>0</v>
      </c>
      <c r="C33" s="27" t="inlineStr">
        <is>
          <t>FL_SUS_AGUA_10l</t>
        </is>
      </c>
      <c r="D33" s="28" t="inlineStr">
        <is>
          <t>Extintor sustituto para Extintor Agua 10 l</t>
        </is>
      </c>
      <c r="E33" s="27" t="n">
        <v>1</v>
      </c>
      <c r="F33" s="27" t="inlineStr">
        <is>
          <t>u</t>
        </is>
      </c>
      <c r="G33" s="29" t="n"/>
      <c r="H33" s="29" t="n"/>
      <c r="I33" s="27" t="n"/>
      <c r="J33" s="28" t="n"/>
      <c r="K33" s="27" t="n"/>
      <c r="L33" s="27" t="n"/>
      <c r="M33" s="28" t="n"/>
      <c r="N33" s="28" t="n"/>
      <c r="O33" s="28" t="n"/>
      <c r="P33" s="28" t="inlineStr">
        <is>
          <t>IRAM 3517-2:2020 9.4.5</t>
        </is>
      </c>
      <c r="Q33" s="27" t="inlineStr">
        <is>
          <t>N</t>
        </is>
      </c>
      <c r="R33" s="27" t="inlineStr">
        <is>
          <t>FL_SUS_AGUA_10l</t>
        </is>
      </c>
      <c r="S33" s="28" t="inlineStr">
        <is>
          <t>Unitario: el tamaño del parque de sustitutos se dimensiona aparte</t>
        </is>
      </c>
    </row>
    <row r="34">
      <c r="A34" s="30" t="inlineStr">
        <is>
          <t>FL_SUS_AGUA_10l</t>
        </is>
      </c>
      <c r="B34" s="30" t="n">
        <v>1</v>
      </c>
      <c r="C34" s="30" t="inlineStr">
        <is>
          <t>FL_MAT_AGUA_10l</t>
        </is>
      </c>
      <c r="D34" s="31" t="inlineStr">
        <is>
          <t xml:space="preserve">    Extintor base: Extintor Agua 10 l (mismo modelo)</t>
        </is>
      </c>
      <c r="E34" s="30" t="n">
        <v>1</v>
      </c>
      <c r="F34" s="30" t="inlineStr">
        <is>
          <t>u</t>
        </is>
      </c>
      <c r="G34" s="32" t="n"/>
      <c r="H34" s="32" t="n"/>
      <c r="I34" s="30" t="n"/>
      <c r="J34" s="31" t="n"/>
      <c r="K34" s="30" t="inlineStr">
        <is>
          <t>Stock FLAMA (comprado terminado)</t>
        </is>
      </c>
      <c r="L34" s="30" t="inlineStr">
        <is>
          <t>No</t>
        </is>
      </c>
      <c r="M34" s="31" t="n"/>
      <c r="N34" s="31" t="n"/>
      <c r="O34" s="31" t="n"/>
      <c r="P34" s="31" t="inlineStr">
        <is>
          <t>IRAM 3517-2:2020 9.4.5</t>
        </is>
      </c>
      <c r="Q34" s="30" t="inlineStr">
        <is>
          <t>N</t>
        </is>
      </c>
      <c r="R34" s="30" t="inlineStr">
        <is>
          <t>FL_SUS_AGUA_10l</t>
        </is>
      </c>
      <c r="S34" s="31" t="inlineStr">
        <is>
          <t>Igual clasificación y capacidad; mantenimiento vigente. BOM: hoja FL_MAT_AGUA_10l · No entra en MRP del kit: es demanda del producto FL_MAT (stock)</t>
        </is>
      </c>
    </row>
    <row r="35">
      <c r="A35" s="30" t="inlineStr">
        <is>
          <t>FL_SUS_AGUA_10l</t>
        </is>
      </c>
      <c r="B35" s="30" t="n">
        <v>1</v>
      </c>
      <c r="C35" s="30" t="inlineStr">
        <is>
          <t>SUS-AGUA_10l-K</t>
        </is>
      </c>
      <c r="D35" s="31" t="inlineStr">
        <is>
          <t xml:space="preserve">    Identificación de extintor sustituto</t>
        </is>
      </c>
      <c r="E35" s="30" t="n">
        <v>1</v>
      </c>
      <c r="F35" s="30" t="inlineStr">
        <is>
          <t>u</t>
        </is>
      </c>
      <c r="G35" s="32" t="n"/>
      <c r="H35" s="32" t="n"/>
      <c r="I35" s="30" t="n"/>
      <c r="J35" s="31" t="n"/>
      <c r="K35" s="30" t="inlineStr">
        <is>
          <t>Compra</t>
        </is>
      </c>
      <c r="L35" s="30" t="n"/>
      <c r="M35" s="31" t="n"/>
      <c r="N35" s="31" t="n"/>
      <c r="O35" s="31" t="n"/>
      <c r="P35" s="31" t="n"/>
      <c r="Q35" s="30" t="inlineStr">
        <is>
          <t>N</t>
        </is>
      </c>
      <c r="R35" s="30" t="inlineStr">
        <is>
          <t>FL_SUS_AGUA_10l</t>
        </is>
      </c>
      <c r="S35" s="31" t="n"/>
    </row>
    <row r="36">
      <c r="A36" s="33" t="inlineStr">
        <is>
          <t>FL_SUS_AGUA_10l</t>
        </is>
      </c>
      <c r="B36" s="33" t="n">
        <v>2</v>
      </c>
      <c r="C36" s="33" t="inlineStr">
        <is>
          <t>SUS-AGUA_10l-01</t>
        </is>
      </c>
      <c r="D36" s="17" t="inlineStr">
        <is>
          <t xml:space="preserve">        Faja amarilla de sustituto en la pollera (3 leyendas)</t>
        </is>
      </c>
      <c r="E36" s="33" t="n">
        <v>1</v>
      </c>
      <c r="F36" s="33" t="inlineStr">
        <is>
          <t>u</t>
        </is>
      </c>
      <c r="G36" s="34" t="n"/>
      <c r="H36" s="34" t="n"/>
      <c r="I36" s="33" t="inlineStr">
        <is>
          <t>Cinta vinílica autoadhesiva amarilla</t>
        </is>
      </c>
      <c r="J36" s="17" t="inlineStr">
        <is>
          <t>40 × 617 (alto ≤ 40; perímetro + 20 de solape)</t>
        </is>
      </c>
      <c r="K36" s="33" t="inlineStr">
        <is>
          <t>Compra</t>
        </is>
      </c>
      <c r="L36" s="33" t="inlineStr">
        <is>
          <t>Sí</t>
        </is>
      </c>
      <c r="M36" s="17" t="inlineStr">
        <is>
          <t>Astuprint</t>
        </is>
      </c>
      <c r="N36" s="17" t="inlineStr">
        <is>
          <t>Multilabel Argentina S.A.</t>
        </is>
      </c>
      <c r="O36" s="17" t="n"/>
      <c r="P36" s="17" t="inlineStr">
        <is>
          <t>IRAM 3517-2:2020 9.4.5 b)</t>
        </is>
      </c>
      <c r="Q36" s="33" t="inlineStr">
        <is>
          <t>N</t>
        </is>
      </c>
      <c r="R36" s="33" t="inlineStr">
        <is>
          <t>FL_SUS_AGUA_10l</t>
        </is>
      </c>
      <c r="S36" s="17" t="inlineStr">
        <is>
          <t>Leyendas: extintor sustituto / reemplaza al equipo de este puesto en mantenimiento o recarga / FLAMA S.A. (datos y logo). Proveedor a cotizar</t>
        </is>
      </c>
    </row>
    <row r="37">
      <c r="A37" s="33" t="inlineStr">
        <is>
          <t>FL_SUS_AGUA_10l</t>
        </is>
      </c>
      <c r="B37" s="33" t="n">
        <v>2</v>
      </c>
      <c r="C37" s="33" t="inlineStr">
        <is>
          <t>SUS-AGUA_10l-02</t>
        </is>
      </c>
      <c r="D37" s="17" t="inlineStr">
        <is>
          <t xml:space="preserve">        Tarjeta de identificación DPS con sello «SUSTITUTO HABILITADO»</t>
        </is>
      </c>
      <c r="E37" s="33" t="n">
        <v>1</v>
      </c>
      <c r="F37" s="33" t="inlineStr">
        <is>
          <t>u</t>
        </is>
      </c>
      <c r="G37" s="34" t="n"/>
      <c r="H37" s="34" t="n"/>
      <c r="I37" s="33" t="inlineStr">
        <is>
          <t>Tarjeta oficial DPS (PBA)</t>
        </is>
      </c>
      <c r="J37" s="17" t="inlineStr">
        <is>
          <t>formato oficial</t>
        </is>
      </c>
      <c r="K37" s="33" t="inlineStr">
        <is>
          <t>Compra (organismo)</t>
        </is>
      </c>
      <c r="L37" s="33" t="inlineStr">
        <is>
          <t>Sí</t>
        </is>
      </c>
      <c r="M37" s="17" t="inlineStr">
        <is>
          <t>Ministerio de Ambiente PBA (ex OPDS)</t>
        </is>
      </c>
      <c r="N37" s="17" t="inlineStr">
        <is>
          <t>-</t>
        </is>
      </c>
      <c r="O37" s="17" t="n"/>
      <c r="P37" s="17" t="inlineStr">
        <is>
          <t>Res. 349/07 art. 32</t>
        </is>
      </c>
      <c r="Q37" s="33" t="inlineStr">
        <is>
          <t>N</t>
        </is>
      </c>
      <c r="R37" s="33" t="inlineStr">
        <is>
          <t>FL_SUS_AGUA_10l</t>
        </is>
      </c>
      <c r="S37" s="17" t="inlineStr">
        <is>
          <t>Sólo PBA; reutilizable en cada revisión de carga; n° del extintor asentado en el libro de actas</t>
        </is>
      </c>
    </row>
    <row r="38">
      <c r="A38" s="33" t="inlineStr">
        <is>
          <t>FL_SUS_AGUA_10l</t>
        </is>
      </c>
      <c r="B38" s="33" t="n">
        <v>2</v>
      </c>
      <c r="C38" s="33" t="inlineStr">
        <is>
          <t>SUS-AGUA_10l-03</t>
        </is>
      </c>
      <c r="D38" s="17" t="inlineStr">
        <is>
          <t xml:space="preserve">        Tarjeta AGC con «Es sustituto» (sin domicilio de instalación)</t>
        </is>
      </c>
      <c r="E38" s="33" t="n">
        <v>1</v>
      </c>
      <c r="F38" s="33" t="inlineStr">
        <is>
          <t>u</t>
        </is>
      </c>
      <c r="G38" s="34" t="n"/>
      <c r="H38" s="34" t="n"/>
      <c r="I38" s="33" t="inlineStr">
        <is>
          <t>Etiqueta autoadhesiva AGC</t>
        </is>
      </c>
      <c r="J38" s="17" t="inlineStr">
        <is>
          <t>formato oficial</t>
        </is>
      </c>
      <c r="K38" s="33" t="inlineStr">
        <is>
          <t>Compra (organismo)</t>
        </is>
      </c>
      <c r="L38" s="33" t="inlineStr">
        <is>
          <t>Sí</t>
        </is>
      </c>
      <c r="M38" s="17" t="inlineStr">
        <is>
          <t>Agencia Gubernamental de Control (CABA)</t>
        </is>
      </c>
      <c r="N38" s="17" t="inlineStr">
        <is>
          <t>-</t>
        </is>
      </c>
      <c r="O38" s="17" t="n"/>
      <c r="P38" s="17" t="inlineStr">
        <is>
          <t>Res. AGC 32/15 anexo II</t>
        </is>
      </c>
      <c r="Q38" s="33" t="inlineStr">
        <is>
          <t>N</t>
        </is>
      </c>
      <c r="R38" s="33" t="inlineStr">
        <is>
          <t>FL_SUS_AGUA_10l</t>
        </is>
      </c>
      <c r="S38" s="17" t="inlineStr">
        <is>
          <t>Sólo CABA</t>
        </is>
      </c>
    </row>
    <row r="39">
      <c r="A39" s="33" t="inlineStr">
        <is>
          <t>FL_SUS_AGUA_10l</t>
        </is>
      </c>
      <c r="B39" s="33" t="n">
        <v>2</v>
      </c>
      <c r="C39" s="33" t="inlineStr">
        <is>
          <t>SUS-AGUA_10l-04</t>
        </is>
      </c>
      <c r="D39" s="17" t="inlineStr">
        <is>
          <t xml:space="preserve">        Remito de préstamo con membrete (n° de extintor, puesto, equipo retirado, fechas)</t>
        </is>
      </c>
      <c r="E39" s="33" t="n">
        <v>1</v>
      </c>
      <c r="F39" s="33" t="inlineStr">
        <is>
          <t>u/préstamo</t>
        </is>
      </c>
      <c r="G39" s="34" t="n"/>
      <c r="H39" s="34" t="n"/>
      <c r="I39" s="33" t="inlineStr">
        <is>
          <t>Papel</t>
        </is>
      </c>
      <c r="J39" s="17" t="inlineStr">
        <is>
          <t>A5 duplicado</t>
        </is>
      </c>
      <c r="K39" s="33" t="inlineStr">
        <is>
          <t>Proceso</t>
        </is>
      </c>
      <c r="L39" s="33" t="inlineStr">
        <is>
          <t>Sí</t>
        </is>
      </c>
      <c r="M39" s="17" t="inlineStr">
        <is>
          <t>Astuprint</t>
        </is>
      </c>
      <c r="N39" s="17" t="inlineStr">
        <is>
          <t>-</t>
        </is>
      </c>
      <c r="O39" s="17" t="n"/>
      <c r="P39" s="17" t="n"/>
      <c r="Q39" s="33" t="inlineStr">
        <is>
          <t>I</t>
        </is>
      </c>
      <c r="R39" s="33" t="inlineStr">
        <is>
          <t>FL_SUS_AGUA_10l</t>
        </is>
      </c>
      <c r="S39" s="17" t="inlineStr">
        <is>
          <t>Práctica de mercado relevada (Fullmat, Rodo, Eversafe)</t>
        </is>
      </c>
    </row>
    <row r="40">
      <c r="A40" s="27" t="inlineStr">
        <is>
          <t>FL_SUS_AFFF_10l</t>
        </is>
      </c>
      <c r="B40" s="27" t="n">
        <v>0</v>
      </c>
      <c r="C40" s="27" t="inlineStr">
        <is>
          <t>FL_SUS_AFFF_10l</t>
        </is>
      </c>
      <c r="D40" s="28" t="inlineStr">
        <is>
          <t>Extintor sustituto para Extintor AFFF 10 l</t>
        </is>
      </c>
      <c r="E40" s="27" t="n">
        <v>1</v>
      </c>
      <c r="F40" s="27" t="inlineStr">
        <is>
          <t>u</t>
        </is>
      </c>
      <c r="G40" s="29" t="n"/>
      <c r="H40" s="29" t="n"/>
      <c r="I40" s="27" t="n"/>
      <c r="J40" s="28" t="n"/>
      <c r="K40" s="27" t="n"/>
      <c r="L40" s="27" t="n"/>
      <c r="M40" s="28" t="n"/>
      <c r="N40" s="28" t="n"/>
      <c r="O40" s="28" t="n"/>
      <c r="P40" s="28" t="inlineStr">
        <is>
          <t>IRAM 3517-2:2020 9.4.5</t>
        </is>
      </c>
      <c r="Q40" s="27" t="inlineStr">
        <is>
          <t>N</t>
        </is>
      </c>
      <c r="R40" s="27" t="inlineStr">
        <is>
          <t>FL_SUS_AFFF_10l</t>
        </is>
      </c>
      <c r="S40" s="28" t="inlineStr">
        <is>
          <t>Unitario: el tamaño del parque de sustitutos se dimensiona aparte</t>
        </is>
      </c>
    </row>
    <row r="41">
      <c r="A41" s="30" t="inlineStr">
        <is>
          <t>FL_SUS_AFFF_10l</t>
        </is>
      </c>
      <c r="B41" s="30" t="n">
        <v>1</v>
      </c>
      <c r="C41" s="30" t="inlineStr">
        <is>
          <t>FL_MAT_AFFF_10l</t>
        </is>
      </c>
      <c r="D41" s="31" t="inlineStr">
        <is>
          <t xml:space="preserve">    Extintor base: Extintor AFFF 10 l (mismo modelo)</t>
        </is>
      </c>
      <c r="E41" s="30" t="n">
        <v>1</v>
      </c>
      <c r="F41" s="30" t="inlineStr">
        <is>
          <t>u</t>
        </is>
      </c>
      <c r="G41" s="32" t="n"/>
      <c r="H41" s="32" t="n"/>
      <c r="I41" s="30" t="n"/>
      <c r="J41" s="31" t="n"/>
      <c r="K41" s="30" t="inlineStr">
        <is>
          <t>Stock FLAMA (comprado terminado)</t>
        </is>
      </c>
      <c r="L41" s="30" t="inlineStr">
        <is>
          <t>No</t>
        </is>
      </c>
      <c r="M41" s="31" t="n"/>
      <c r="N41" s="31" t="n"/>
      <c r="O41" s="31" t="n"/>
      <c r="P41" s="31" t="inlineStr">
        <is>
          <t>IRAM 3517-2:2020 9.4.5</t>
        </is>
      </c>
      <c r="Q41" s="30" t="inlineStr">
        <is>
          <t>N</t>
        </is>
      </c>
      <c r="R41" s="30" t="inlineStr">
        <is>
          <t>FL_SUS_AFFF_10l</t>
        </is>
      </c>
      <c r="S41" s="31" t="inlineStr">
        <is>
          <t>Igual clasificación y capacidad; mantenimiento vigente. BOM: hoja FL_MAT_AFFF_10l · No entra en MRP del kit: es demanda del producto FL_MAT (stock)</t>
        </is>
      </c>
    </row>
    <row r="42">
      <c r="A42" s="30" t="inlineStr">
        <is>
          <t>FL_SUS_AFFF_10l</t>
        </is>
      </c>
      <c r="B42" s="30" t="n">
        <v>1</v>
      </c>
      <c r="C42" s="30" t="inlineStr">
        <is>
          <t>SUS-AFFF_10l-K</t>
        </is>
      </c>
      <c r="D42" s="31" t="inlineStr">
        <is>
          <t xml:space="preserve">    Identificación de extintor sustituto</t>
        </is>
      </c>
      <c r="E42" s="30" t="n">
        <v>1</v>
      </c>
      <c r="F42" s="30" t="inlineStr">
        <is>
          <t>u</t>
        </is>
      </c>
      <c r="G42" s="32" t="n"/>
      <c r="H42" s="32" t="n"/>
      <c r="I42" s="30" t="n"/>
      <c r="J42" s="31" t="n"/>
      <c r="K42" s="30" t="inlineStr">
        <is>
          <t>Compra</t>
        </is>
      </c>
      <c r="L42" s="30" t="n"/>
      <c r="M42" s="31" t="n"/>
      <c r="N42" s="31" t="n"/>
      <c r="O42" s="31" t="n"/>
      <c r="P42" s="31" t="n"/>
      <c r="Q42" s="30" t="inlineStr">
        <is>
          <t>N</t>
        </is>
      </c>
      <c r="R42" s="30" t="inlineStr">
        <is>
          <t>FL_SUS_AFFF_10l</t>
        </is>
      </c>
      <c r="S42" s="31" t="n"/>
    </row>
    <row r="43">
      <c r="A43" s="33" t="inlineStr">
        <is>
          <t>FL_SUS_AFFF_10l</t>
        </is>
      </c>
      <c r="B43" s="33" t="n">
        <v>2</v>
      </c>
      <c r="C43" s="33" t="inlineStr">
        <is>
          <t>SUS-AFFF_10l-01</t>
        </is>
      </c>
      <c r="D43" s="17" t="inlineStr">
        <is>
          <t xml:space="preserve">        Faja amarilla de sustituto en la pollera (3 leyendas)</t>
        </is>
      </c>
      <c r="E43" s="33" t="n">
        <v>1</v>
      </c>
      <c r="F43" s="33" t="inlineStr">
        <is>
          <t>u</t>
        </is>
      </c>
      <c r="G43" s="34" t="n"/>
      <c r="H43" s="34" t="n"/>
      <c r="I43" s="33" t="inlineStr">
        <is>
          <t>Cinta vinílica autoadhesiva amarilla</t>
        </is>
      </c>
      <c r="J43" s="17" t="inlineStr">
        <is>
          <t>40 × 617 (alto ≤ 40; perímetro + 20 de solape)</t>
        </is>
      </c>
      <c r="K43" s="33" t="inlineStr">
        <is>
          <t>Compra</t>
        </is>
      </c>
      <c r="L43" s="33" t="inlineStr">
        <is>
          <t>Sí</t>
        </is>
      </c>
      <c r="M43" s="17" t="inlineStr">
        <is>
          <t>Astuprint</t>
        </is>
      </c>
      <c r="N43" s="17" t="inlineStr">
        <is>
          <t>Multilabel Argentina S.A.</t>
        </is>
      </c>
      <c r="O43" s="17" t="n"/>
      <c r="P43" s="17" t="inlineStr">
        <is>
          <t>IRAM 3517-2:2020 9.4.5 b)</t>
        </is>
      </c>
      <c r="Q43" s="33" t="inlineStr">
        <is>
          <t>N</t>
        </is>
      </c>
      <c r="R43" s="33" t="inlineStr">
        <is>
          <t>FL_SUS_AFFF_10l</t>
        </is>
      </c>
      <c r="S43" s="17" t="inlineStr">
        <is>
          <t>Leyendas: extintor sustituto / reemplaza al equipo de este puesto en mantenimiento o recarga / FLAMA S.A. (datos y logo). Proveedor a cotizar</t>
        </is>
      </c>
    </row>
    <row r="44">
      <c r="A44" s="33" t="inlineStr">
        <is>
          <t>FL_SUS_AFFF_10l</t>
        </is>
      </c>
      <c r="B44" s="33" t="n">
        <v>2</v>
      </c>
      <c r="C44" s="33" t="inlineStr">
        <is>
          <t>SUS-AFFF_10l-02</t>
        </is>
      </c>
      <c r="D44" s="17" t="inlineStr">
        <is>
          <t xml:space="preserve">        Tarjeta de identificación DPS con sello «SUSTITUTO HABILITADO»</t>
        </is>
      </c>
      <c r="E44" s="33" t="n">
        <v>1</v>
      </c>
      <c r="F44" s="33" t="inlineStr">
        <is>
          <t>u</t>
        </is>
      </c>
      <c r="G44" s="34" t="n"/>
      <c r="H44" s="34" t="n"/>
      <c r="I44" s="33" t="inlineStr">
        <is>
          <t>Tarjeta oficial DPS (PBA)</t>
        </is>
      </c>
      <c r="J44" s="17" t="inlineStr">
        <is>
          <t>formato oficial</t>
        </is>
      </c>
      <c r="K44" s="33" t="inlineStr">
        <is>
          <t>Compra (organismo)</t>
        </is>
      </c>
      <c r="L44" s="33" t="inlineStr">
        <is>
          <t>Sí</t>
        </is>
      </c>
      <c r="M44" s="17" t="inlineStr">
        <is>
          <t>Ministerio de Ambiente PBA (ex OPDS)</t>
        </is>
      </c>
      <c r="N44" s="17" t="inlineStr">
        <is>
          <t>-</t>
        </is>
      </c>
      <c r="O44" s="17" t="n"/>
      <c r="P44" s="17" t="inlineStr">
        <is>
          <t>Res. 349/07 art. 32</t>
        </is>
      </c>
      <c r="Q44" s="33" t="inlineStr">
        <is>
          <t>N</t>
        </is>
      </c>
      <c r="R44" s="33" t="inlineStr">
        <is>
          <t>FL_SUS_AFFF_10l</t>
        </is>
      </c>
      <c r="S44" s="17" t="inlineStr">
        <is>
          <t>Sólo PBA; reutilizable en cada revisión de carga; n° del extintor asentado en el libro de actas</t>
        </is>
      </c>
    </row>
    <row r="45">
      <c r="A45" s="33" t="inlineStr">
        <is>
          <t>FL_SUS_AFFF_10l</t>
        </is>
      </c>
      <c r="B45" s="33" t="n">
        <v>2</v>
      </c>
      <c r="C45" s="33" t="inlineStr">
        <is>
          <t>SUS-AFFF_10l-03</t>
        </is>
      </c>
      <c r="D45" s="17" t="inlineStr">
        <is>
          <t xml:space="preserve">        Tarjeta AGC con «Es sustituto» (sin domicilio de instalación)</t>
        </is>
      </c>
      <c r="E45" s="33" t="n">
        <v>1</v>
      </c>
      <c r="F45" s="33" t="inlineStr">
        <is>
          <t>u</t>
        </is>
      </c>
      <c r="G45" s="34" t="n"/>
      <c r="H45" s="34" t="n"/>
      <c r="I45" s="33" t="inlineStr">
        <is>
          <t>Etiqueta autoadhesiva AGC</t>
        </is>
      </c>
      <c r="J45" s="17" t="inlineStr">
        <is>
          <t>formato oficial</t>
        </is>
      </c>
      <c r="K45" s="33" t="inlineStr">
        <is>
          <t>Compra (organismo)</t>
        </is>
      </c>
      <c r="L45" s="33" t="inlineStr">
        <is>
          <t>Sí</t>
        </is>
      </c>
      <c r="M45" s="17" t="inlineStr">
        <is>
          <t>Agencia Gubernamental de Control (CABA)</t>
        </is>
      </c>
      <c r="N45" s="17" t="inlineStr">
        <is>
          <t>-</t>
        </is>
      </c>
      <c r="O45" s="17" t="n"/>
      <c r="P45" s="17" t="inlineStr">
        <is>
          <t>Res. AGC 32/15 anexo II</t>
        </is>
      </c>
      <c r="Q45" s="33" t="inlineStr">
        <is>
          <t>N</t>
        </is>
      </c>
      <c r="R45" s="33" t="inlineStr">
        <is>
          <t>FL_SUS_AFFF_10l</t>
        </is>
      </c>
      <c r="S45" s="17" t="inlineStr">
        <is>
          <t>Sólo CABA</t>
        </is>
      </c>
    </row>
    <row r="46">
      <c r="A46" s="33" t="inlineStr">
        <is>
          <t>FL_SUS_AFFF_10l</t>
        </is>
      </c>
      <c r="B46" s="33" t="n">
        <v>2</v>
      </c>
      <c r="C46" s="33" t="inlineStr">
        <is>
          <t>SUS-AFFF_10l-04</t>
        </is>
      </c>
      <c r="D46" s="17" t="inlineStr">
        <is>
          <t xml:space="preserve">        Remito de préstamo con membrete (n° de extintor, puesto, equipo retirado, fechas)</t>
        </is>
      </c>
      <c r="E46" s="33" t="n">
        <v>1</v>
      </c>
      <c r="F46" s="33" t="inlineStr">
        <is>
          <t>u/préstamo</t>
        </is>
      </c>
      <c r="G46" s="34" t="n"/>
      <c r="H46" s="34" t="n"/>
      <c r="I46" s="33" t="inlineStr">
        <is>
          <t>Papel</t>
        </is>
      </c>
      <c r="J46" s="17" t="inlineStr">
        <is>
          <t>A5 duplicado</t>
        </is>
      </c>
      <c r="K46" s="33" t="inlineStr">
        <is>
          <t>Proceso</t>
        </is>
      </c>
      <c r="L46" s="33" t="inlineStr">
        <is>
          <t>Sí</t>
        </is>
      </c>
      <c r="M46" s="17" t="inlineStr">
        <is>
          <t>Astuprint</t>
        </is>
      </c>
      <c r="N46" s="17" t="inlineStr">
        <is>
          <t>-</t>
        </is>
      </c>
      <c r="O46" s="17" t="n"/>
      <c r="P46" s="17" t="n"/>
      <c r="Q46" s="33" t="inlineStr">
        <is>
          <t>I</t>
        </is>
      </c>
      <c r="R46" s="33" t="inlineStr">
        <is>
          <t>FL_SUS_AFFF_10l</t>
        </is>
      </c>
      <c r="S46" s="17" t="inlineStr">
        <is>
          <t>Práctica de mercado relevada (Fullmat, Rodo, Eversafe)</t>
        </is>
      </c>
    </row>
    <row r="47">
      <c r="A47" s="27" t="inlineStr">
        <is>
          <t>FL_SUS_AFFF_50l</t>
        </is>
      </c>
      <c r="B47" s="27" t="n">
        <v>0</v>
      </c>
      <c r="C47" s="27" t="inlineStr">
        <is>
          <t>FL_SUS_AFFF_50l</t>
        </is>
      </c>
      <c r="D47" s="28" t="inlineStr">
        <is>
          <t>Extintor sustituto para Extintor AFFF 50 l sobre ruedas</t>
        </is>
      </c>
      <c r="E47" s="27" t="n">
        <v>1</v>
      </c>
      <c r="F47" s="27" t="inlineStr">
        <is>
          <t>u</t>
        </is>
      </c>
      <c r="G47" s="29" t="n"/>
      <c r="H47" s="29" t="n"/>
      <c r="I47" s="27" t="n"/>
      <c r="J47" s="28" t="n"/>
      <c r="K47" s="27" t="n"/>
      <c r="L47" s="27" t="n"/>
      <c r="M47" s="28" t="n"/>
      <c r="N47" s="28" t="n"/>
      <c r="O47" s="28" t="n"/>
      <c r="P47" s="28" t="inlineStr">
        <is>
          <t>IRAM 3517-2:2020 9.4.5</t>
        </is>
      </c>
      <c r="Q47" s="27" t="inlineStr">
        <is>
          <t>N</t>
        </is>
      </c>
      <c r="R47" s="27" t="inlineStr">
        <is>
          <t>FL_SUS_AFFF_50l</t>
        </is>
      </c>
      <c r="S47" s="28" t="inlineStr">
        <is>
          <t>Unitario: el tamaño del parque de sustitutos se dimensiona aparte</t>
        </is>
      </c>
    </row>
    <row r="48">
      <c r="A48" s="30" t="inlineStr">
        <is>
          <t>FL_SUS_AFFF_50l</t>
        </is>
      </c>
      <c r="B48" s="30" t="n">
        <v>1</v>
      </c>
      <c r="C48" s="30" t="inlineStr">
        <is>
          <t>FL_MAT_AFFF_50l</t>
        </is>
      </c>
      <c r="D48" s="31" t="inlineStr">
        <is>
          <t xml:space="preserve">    Extintor base: Extintor AFFF 50 l sobre ruedas (mismo modelo)</t>
        </is>
      </c>
      <c r="E48" s="30" t="n">
        <v>1</v>
      </c>
      <c r="F48" s="30" t="inlineStr">
        <is>
          <t>u</t>
        </is>
      </c>
      <c r="G48" s="32" t="n"/>
      <c r="H48" s="32" t="n"/>
      <c r="I48" s="30" t="n"/>
      <c r="J48" s="31" t="n"/>
      <c r="K48" s="30" t="inlineStr">
        <is>
          <t>Stock FLAMA (comprado terminado)</t>
        </is>
      </c>
      <c r="L48" s="30" t="inlineStr">
        <is>
          <t>No</t>
        </is>
      </c>
      <c r="M48" s="31" t="n"/>
      <c r="N48" s="31" t="n"/>
      <c r="O48" s="31" t="n"/>
      <c r="P48" s="31" t="inlineStr">
        <is>
          <t>IRAM 3517-2:2020 9.4.5</t>
        </is>
      </c>
      <c r="Q48" s="30" t="inlineStr">
        <is>
          <t>N</t>
        </is>
      </c>
      <c r="R48" s="30" t="inlineStr">
        <is>
          <t>FL_SUS_AFFF_50l</t>
        </is>
      </c>
      <c r="S48" s="31" t="inlineStr">
        <is>
          <t>Igual clasificación y capacidad; mantenimiento vigente. BOM: hoja FL_MAT_AFFF_50l · No entra en MRP del kit: es demanda del producto FL_MAT (stock)</t>
        </is>
      </c>
    </row>
    <row r="49">
      <c r="A49" s="30" t="inlineStr">
        <is>
          <t>FL_SUS_AFFF_50l</t>
        </is>
      </c>
      <c r="B49" s="30" t="n">
        <v>1</v>
      </c>
      <c r="C49" s="30" t="inlineStr">
        <is>
          <t>SUS-AFFF_50l-K</t>
        </is>
      </c>
      <c r="D49" s="31" t="inlineStr">
        <is>
          <t xml:space="preserve">    Identificación de extintor sustituto</t>
        </is>
      </c>
      <c r="E49" s="30" t="n">
        <v>1</v>
      </c>
      <c r="F49" s="30" t="inlineStr">
        <is>
          <t>u</t>
        </is>
      </c>
      <c r="G49" s="32" t="n"/>
      <c r="H49" s="32" t="n"/>
      <c r="I49" s="30" t="n"/>
      <c r="J49" s="31" t="n"/>
      <c r="K49" s="30" t="inlineStr">
        <is>
          <t>Compra</t>
        </is>
      </c>
      <c r="L49" s="30" t="n"/>
      <c r="M49" s="31" t="n"/>
      <c r="N49" s="31" t="n"/>
      <c r="O49" s="31" t="n"/>
      <c r="P49" s="31" t="n"/>
      <c r="Q49" s="30" t="inlineStr">
        <is>
          <t>N</t>
        </is>
      </c>
      <c r="R49" s="30" t="inlineStr">
        <is>
          <t>FL_SUS_AFFF_50l</t>
        </is>
      </c>
      <c r="S49" s="31" t="n"/>
    </row>
    <row r="50">
      <c r="A50" s="33" t="inlineStr">
        <is>
          <t>FL_SUS_AFFF_50l</t>
        </is>
      </c>
      <c r="B50" s="33" t="n">
        <v>2</v>
      </c>
      <c r="C50" s="33" t="inlineStr">
        <is>
          <t>SUS-AFFF_50l-01</t>
        </is>
      </c>
      <c r="D50" s="17" t="inlineStr">
        <is>
          <t xml:space="preserve">        Faja amarilla de sustituto en la pollera (3 leyendas)</t>
        </is>
      </c>
      <c r="E50" s="33" t="n">
        <v>1</v>
      </c>
      <c r="F50" s="33" t="inlineStr">
        <is>
          <t>u</t>
        </is>
      </c>
      <c r="G50" s="34" t="n"/>
      <c r="H50" s="34" t="n"/>
      <c r="I50" s="33" t="inlineStr">
        <is>
          <t>Cinta vinílica autoadhesiva amarilla</t>
        </is>
      </c>
      <c r="J50" s="17" t="inlineStr">
        <is>
          <t>40 × 1025 (alto ≤ 40; perímetro + 20 de solape)</t>
        </is>
      </c>
      <c r="K50" s="33" t="inlineStr">
        <is>
          <t>Compra</t>
        </is>
      </c>
      <c r="L50" s="33" t="inlineStr">
        <is>
          <t>Sí</t>
        </is>
      </c>
      <c r="M50" s="17" t="inlineStr">
        <is>
          <t>Astuprint</t>
        </is>
      </c>
      <c r="N50" s="17" t="inlineStr">
        <is>
          <t>Multilabel Argentina S.A.</t>
        </is>
      </c>
      <c r="O50" s="17" t="n"/>
      <c r="P50" s="17" t="inlineStr">
        <is>
          <t>IRAM 3517-2:2020 9.4.5 b)</t>
        </is>
      </c>
      <c r="Q50" s="33" t="inlineStr">
        <is>
          <t>N</t>
        </is>
      </c>
      <c r="R50" s="33" t="inlineStr">
        <is>
          <t>FL_SUS_AFFF_50l</t>
        </is>
      </c>
      <c r="S50" s="17" t="inlineStr">
        <is>
          <t>Leyendas: extintor sustituto / reemplaza al equipo de este puesto en mantenimiento o recarga / FLAMA S.A. (datos y logo). Proveedor a cotizar</t>
        </is>
      </c>
    </row>
    <row r="51">
      <c r="A51" s="33" t="inlineStr">
        <is>
          <t>FL_SUS_AFFF_50l</t>
        </is>
      </c>
      <c r="B51" s="33" t="n">
        <v>2</v>
      </c>
      <c r="C51" s="33" t="inlineStr">
        <is>
          <t>SUS-AFFF_50l-02</t>
        </is>
      </c>
      <c r="D51" s="17" t="inlineStr">
        <is>
          <t xml:space="preserve">        Tarjeta de identificación DPS con sello «SUSTITUTO HABILITADO»</t>
        </is>
      </c>
      <c r="E51" s="33" t="n">
        <v>1</v>
      </c>
      <c r="F51" s="33" t="inlineStr">
        <is>
          <t>u</t>
        </is>
      </c>
      <c r="G51" s="34" t="n"/>
      <c r="H51" s="34" t="n"/>
      <c r="I51" s="33" t="inlineStr">
        <is>
          <t>Tarjeta oficial DPS (PBA)</t>
        </is>
      </c>
      <c r="J51" s="17" t="inlineStr">
        <is>
          <t>formato oficial</t>
        </is>
      </c>
      <c r="K51" s="33" t="inlineStr">
        <is>
          <t>Compra (organismo)</t>
        </is>
      </c>
      <c r="L51" s="33" t="inlineStr">
        <is>
          <t>Sí</t>
        </is>
      </c>
      <c r="M51" s="17" t="inlineStr">
        <is>
          <t>Ministerio de Ambiente PBA (ex OPDS)</t>
        </is>
      </c>
      <c r="N51" s="17" t="inlineStr">
        <is>
          <t>-</t>
        </is>
      </c>
      <c r="O51" s="17" t="n"/>
      <c r="P51" s="17" t="inlineStr">
        <is>
          <t>Res. 349/07 art. 32</t>
        </is>
      </c>
      <c r="Q51" s="33" t="inlineStr">
        <is>
          <t>N</t>
        </is>
      </c>
      <c r="R51" s="33" t="inlineStr">
        <is>
          <t>FL_SUS_AFFF_50l</t>
        </is>
      </c>
      <c r="S51" s="17" t="inlineStr">
        <is>
          <t>Sólo PBA; reutilizable en cada revisión de carga; n° del extintor asentado en el libro de actas</t>
        </is>
      </c>
    </row>
    <row r="52">
      <c r="A52" s="33" t="inlineStr">
        <is>
          <t>FL_SUS_AFFF_50l</t>
        </is>
      </c>
      <c r="B52" s="33" t="n">
        <v>2</v>
      </c>
      <c r="C52" s="33" t="inlineStr">
        <is>
          <t>SUS-AFFF_50l-03</t>
        </is>
      </c>
      <c r="D52" s="17" t="inlineStr">
        <is>
          <t xml:space="preserve">        Tarjeta AGC con «Es sustituto» (sin domicilio de instalación)</t>
        </is>
      </c>
      <c r="E52" s="33" t="n">
        <v>1</v>
      </c>
      <c r="F52" s="33" t="inlineStr">
        <is>
          <t>u</t>
        </is>
      </c>
      <c r="G52" s="34" t="n"/>
      <c r="H52" s="34" t="n"/>
      <c r="I52" s="33" t="inlineStr">
        <is>
          <t>Etiqueta autoadhesiva AGC</t>
        </is>
      </c>
      <c r="J52" s="17" t="inlineStr">
        <is>
          <t>formato oficial</t>
        </is>
      </c>
      <c r="K52" s="33" t="inlineStr">
        <is>
          <t>Compra (organismo)</t>
        </is>
      </c>
      <c r="L52" s="33" t="inlineStr">
        <is>
          <t>Sí</t>
        </is>
      </c>
      <c r="M52" s="17" t="inlineStr">
        <is>
          <t>Agencia Gubernamental de Control (CABA)</t>
        </is>
      </c>
      <c r="N52" s="17" t="inlineStr">
        <is>
          <t>-</t>
        </is>
      </c>
      <c r="O52" s="17" t="n"/>
      <c r="P52" s="17" t="inlineStr">
        <is>
          <t>Res. AGC 32/15 anexo II</t>
        </is>
      </c>
      <c r="Q52" s="33" t="inlineStr">
        <is>
          <t>N</t>
        </is>
      </c>
      <c r="R52" s="33" t="inlineStr">
        <is>
          <t>FL_SUS_AFFF_50l</t>
        </is>
      </c>
      <c r="S52" s="17" t="inlineStr">
        <is>
          <t>Sólo CABA</t>
        </is>
      </c>
    </row>
    <row r="53">
      <c r="A53" s="33" t="inlineStr">
        <is>
          <t>FL_SUS_AFFF_50l</t>
        </is>
      </c>
      <c r="B53" s="33" t="n">
        <v>2</v>
      </c>
      <c r="C53" s="33" t="inlineStr">
        <is>
          <t>SUS-AFFF_50l-04</t>
        </is>
      </c>
      <c r="D53" s="17" t="inlineStr">
        <is>
          <t xml:space="preserve">        Remito de préstamo con membrete (n° de extintor, puesto, equipo retirado, fechas)</t>
        </is>
      </c>
      <c r="E53" s="33" t="n">
        <v>1</v>
      </c>
      <c r="F53" s="33" t="inlineStr">
        <is>
          <t>u/préstamo</t>
        </is>
      </c>
      <c r="G53" s="34" t="n"/>
      <c r="H53" s="34" t="n"/>
      <c r="I53" s="33" t="inlineStr">
        <is>
          <t>Papel</t>
        </is>
      </c>
      <c r="J53" s="17" t="inlineStr">
        <is>
          <t>A5 duplicado</t>
        </is>
      </c>
      <c r="K53" s="33" t="inlineStr">
        <is>
          <t>Proceso</t>
        </is>
      </c>
      <c r="L53" s="33" t="inlineStr">
        <is>
          <t>Sí</t>
        </is>
      </c>
      <c r="M53" s="17" t="inlineStr">
        <is>
          <t>Astuprint</t>
        </is>
      </c>
      <c r="N53" s="17" t="inlineStr">
        <is>
          <t>-</t>
        </is>
      </c>
      <c r="O53" s="17" t="n"/>
      <c r="P53" s="17" t="n"/>
      <c r="Q53" s="33" t="inlineStr">
        <is>
          <t>I</t>
        </is>
      </c>
      <c r="R53" s="33" t="inlineStr">
        <is>
          <t>FL_SUS_AFFF_50l</t>
        </is>
      </c>
      <c r="S53" s="17" t="inlineStr">
        <is>
          <t>Práctica de mercado relevada (Fullmat, Rodo, Eversafe)</t>
        </is>
      </c>
    </row>
    <row r="54">
      <c r="A54" s="27" t="inlineStr">
        <is>
          <t>FL_SUS_BC_5kg</t>
        </is>
      </c>
      <c r="B54" s="27" t="n">
        <v>0</v>
      </c>
      <c r="C54" s="27" t="inlineStr">
        <is>
          <t>FL_SUS_BC_5kg</t>
        </is>
      </c>
      <c r="D54" s="28" t="inlineStr">
        <is>
          <t>Extintor sustituto para Extintor BC 5 kg</t>
        </is>
      </c>
      <c r="E54" s="27" t="n">
        <v>1</v>
      </c>
      <c r="F54" s="27" t="inlineStr">
        <is>
          <t>u</t>
        </is>
      </c>
      <c r="G54" s="29" t="n"/>
      <c r="H54" s="29" t="n"/>
      <c r="I54" s="27" t="n"/>
      <c r="J54" s="28" t="n"/>
      <c r="K54" s="27" t="n"/>
      <c r="L54" s="27" t="n"/>
      <c r="M54" s="28" t="n"/>
      <c r="N54" s="28" t="n"/>
      <c r="O54" s="28" t="n"/>
      <c r="P54" s="28" t="inlineStr">
        <is>
          <t>IRAM 3517-2:2020 9.4.5</t>
        </is>
      </c>
      <c r="Q54" s="27" t="inlineStr">
        <is>
          <t>N</t>
        </is>
      </c>
      <c r="R54" s="27" t="inlineStr">
        <is>
          <t>FL_SUS_BC_5kg</t>
        </is>
      </c>
      <c r="S54" s="28" t="inlineStr">
        <is>
          <t>Unitario: el tamaño del parque de sustitutos se dimensiona aparte</t>
        </is>
      </c>
    </row>
    <row r="55">
      <c r="A55" s="30" t="inlineStr">
        <is>
          <t>FL_SUS_BC_5kg</t>
        </is>
      </c>
      <c r="B55" s="30" t="n">
        <v>1</v>
      </c>
      <c r="C55" s="30" t="inlineStr">
        <is>
          <t>FL_MAT_BC_5kg</t>
        </is>
      </c>
      <c r="D55" s="31" t="inlineStr">
        <is>
          <t xml:space="preserve">    Extintor base: Extintor BC 5 kg (mismo modelo)</t>
        </is>
      </c>
      <c r="E55" s="30" t="n">
        <v>1</v>
      </c>
      <c r="F55" s="30" t="inlineStr">
        <is>
          <t>u</t>
        </is>
      </c>
      <c r="G55" s="32" t="n"/>
      <c r="H55" s="32" t="n"/>
      <c r="I55" s="30" t="n"/>
      <c r="J55" s="31" t="n"/>
      <c r="K55" s="30" t="inlineStr">
        <is>
          <t>Stock FLAMA (comprado terminado)</t>
        </is>
      </c>
      <c r="L55" s="30" t="inlineStr">
        <is>
          <t>No</t>
        </is>
      </c>
      <c r="M55" s="31" t="n"/>
      <c r="N55" s="31" t="n"/>
      <c r="O55" s="31" t="n"/>
      <c r="P55" s="31" t="inlineStr">
        <is>
          <t>IRAM 3517-2:2020 9.4.5</t>
        </is>
      </c>
      <c r="Q55" s="30" t="inlineStr">
        <is>
          <t>N</t>
        </is>
      </c>
      <c r="R55" s="30" t="inlineStr">
        <is>
          <t>FL_SUS_BC_5kg</t>
        </is>
      </c>
      <c r="S55" s="31" t="inlineStr">
        <is>
          <t>Igual clasificación y capacidad; mantenimiento vigente. BOM: hoja FL_MAT_BC_5kg · No entra en MRP del kit: es demanda del producto FL_MAT (stock)</t>
        </is>
      </c>
    </row>
    <row r="56">
      <c r="A56" s="30" t="inlineStr">
        <is>
          <t>FL_SUS_BC_5kg</t>
        </is>
      </c>
      <c r="B56" s="30" t="n">
        <v>1</v>
      </c>
      <c r="C56" s="30" t="inlineStr">
        <is>
          <t>SUS-BC_5kg-K</t>
        </is>
      </c>
      <c r="D56" s="31" t="inlineStr">
        <is>
          <t xml:space="preserve">    Identificación de extintor sustituto</t>
        </is>
      </c>
      <c r="E56" s="30" t="n">
        <v>1</v>
      </c>
      <c r="F56" s="30" t="inlineStr">
        <is>
          <t>u</t>
        </is>
      </c>
      <c r="G56" s="32" t="n"/>
      <c r="H56" s="32" t="n"/>
      <c r="I56" s="30" t="n"/>
      <c r="J56" s="31" t="n"/>
      <c r="K56" s="30" t="inlineStr">
        <is>
          <t>Compra</t>
        </is>
      </c>
      <c r="L56" s="30" t="n"/>
      <c r="M56" s="31" t="n"/>
      <c r="N56" s="31" t="n"/>
      <c r="O56" s="31" t="n"/>
      <c r="P56" s="31" t="n"/>
      <c r="Q56" s="30" t="inlineStr">
        <is>
          <t>N</t>
        </is>
      </c>
      <c r="R56" s="30" t="inlineStr">
        <is>
          <t>FL_SUS_BC_5kg</t>
        </is>
      </c>
      <c r="S56" s="31" t="n"/>
    </row>
    <row r="57">
      <c r="A57" s="33" t="inlineStr">
        <is>
          <t>FL_SUS_BC_5kg</t>
        </is>
      </c>
      <c r="B57" s="33" t="n">
        <v>2</v>
      </c>
      <c r="C57" s="33" t="inlineStr">
        <is>
          <t>SUS-BC_5kg-01</t>
        </is>
      </c>
      <c r="D57" s="17" t="inlineStr">
        <is>
          <t xml:space="preserve">        Faja amarilla de sustituto en la pollera (3 leyendas)</t>
        </is>
      </c>
      <c r="E57" s="33" t="n">
        <v>1</v>
      </c>
      <c r="F57" s="33" t="inlineStr">
        <is>
          <t>u</t>
        </is>
      </c>
      <c r="G57" s="34" t="n"/>
      <c r="H57" s="34" t="n"/>
      <c r="I57" s="33" t="inlineStr">
        <is>
          <t>Cinta vinílica autoadhesiva amarilla</t>
        </is>
      </c>
      <c r="J57" s="17" t="inlineStr">
        <is>
          <t>40 × 501 (alto ≤ 40; perímetro + 20 de solape)</t>
        </is>
      </c>
      <c r="K57" s="33" t="inlineStr">
        <is>
          <t>Compra</t>
        </is>
      </c>
      <c r="L57" s="33" t="inlineStr">
        <is>
          <t>Sí</t>
        </is>
      </c>
      <c r="M57" s="17" t="inlineStr">
        <is>
          <t>Astuprint</t>
        </is>
      </c>
      <c r="N57" s="17" t="inlineStr">
        <is>
          <t>Multilabel Argentina S.A.</t>
        </is>
      </c>
      <c r="O57" s="17" t="n"/>
      <c r="P57" s="17" t="inlineStr">
        <is>
          <t>IRAM 3517-2:2020 9.4.5 b)</t>
        </is>
      </c>
      <c r="Q57" s="33" t="inlineStr">
        <is>
          <t>N</t>
        </is>
      </c>
      <c r="R57" s="33" t="inlineStr">
        <is>
          <t>FL_SUS_BC_5kg</t>
        </is>
      </c>
      <c r="S57" s="17" t="inlineStr">
        <is>
          <t>Leyendas: extintor sustituto / reemplaza al equipo de este puesto en mantenimiento o recarga / FLAMA S.A. (datos y logo). Proveedor a cotizar</t>
        </is>
      </c>
    </row>
    <row r="58">
      <c r="A58" s="33" t="inlineStr">
        <is>
          <t>FL_SUS_BC_5kg</t>
        </is>
      </c>
      <c r="B58" s="33" t="n">
        <v>2</v>
      </c>
      <c r="C58" s="33" t="inlineStr">
        <is>
          <t>SUS-BC_5kg-02</t>
        </is>
      </c>
      <c r="D58" s="17" t="inlineStr">
        <is>
          <t xml:space="preserve">        Tarjeta de identificación DPS con sello «SUSTITUTO HABILITADO»</t>
        </is>
      </c>
      <c r="E58" s="33" t="n">
        <v>1</v>
      </c>
      <c r="F58" s="33" t="inlineStr">
        <is>
          <t>u</t>
        </is>
      </c>
      <c r="G58" s="34" t="n"/>
      <c r="H58" s="34" t="n"/>
      <c r="I58" s="33" t="inlineStr">
        <is>
          <t>Tarjeta oficial DPS (PBA)</t>
        </is>
      </c>
      <c r="J58" s="17" t="inlineStr">
        <is>
          <t>formato oficial</t>
        </is>
      </c>
      <c r="K58" s="33" t="inlineStr">
        <is>
          <t>Compra (organismo)</t>
        </is>
      </c>
      <c r="L58" s="33" t="inlineStr">
        <is>
          <t>Sí</t>
        </is>
      </c>
      <c r="M58" s="17" t="inlineStr">
        <is>
          <t>Ministerio de Ambiente PBA (ex OPDS)</t>
        </is>
      </c>
      <c r="N58" s="17" t="inlineStr">
        <is>
          <t>-</t>
        </is>
      </c>
      <c r="O58" s="17" t="n"/>
      <c r="P58" s="17" t="inlineStr">
        <is>
          <t>Res. 349/07 art. 32</t>
        </is>
      </c>
      <c r="Q58" s="33" t="inlineStr">
        <is>
          <t>N</t>
        </is>
      </c>
      <c r="R58" s="33" t="inlineStr">
        <is>
          <t>FL_SUS_BC_5kg</t>
        </is>
      </c>
      <c r="S58" s="17" t="inlineStr">
        <is>
          <t>Sólo PBA; reutilizable en cada revisión de carga; n° del extintor asentado en el libro de actas</t>
        </is>
      </c>
    </row>
    <row r="59">
      <c r="A59" s="33" t="inlineStr">
        <is>
          <t>FL_SUS_BC_5kg</t>
        </is>
      </c>
      <c r="B59" s="33" t="n">
        <v>2</v>
      </c>
      <c r="C59" s="33" t="inlineStr">
        <is>
          <t>SUS-BC_5kg-03</t>
        </is>
      </c>
      <c r="D59" s="17" t="inlineStr">
        <is>
          <t xml:space="preserve">        Tarjeta AGC con «Es sustituto» (sin domicilio de instalación)</t>
        </is>
      </c>
      <c r="E59" s="33" t="n">
        <v>1</v>
      </c>
      <c r="F59" s="33" t="inlineStr">
        <is>
          <t>u</t>
        </is>
      </c>
      <c r="G59" s="34" t="n"/>
      <c r="H59" s="34" t="n"/>
      <c r="I59" s="33" t="inlineStr">
        <is>
          <t>Etiqueta autoadhesiva AGC</t>
        </is>
      </c>
      <c r="J59" s="17" t="inlineStr">
        <is>
          <t>formato oficial</t>
        </is>
      </c>
      <c r="K59" s="33" t="inlineStr">
        <is>
          <t>Compra (organismo)</t>
        </is>
      </c>
      <c r="L59" s="33" t="inlineStr">
        <is>
          <t>Sí</t>
        </is>
      </c>
      <c r="M59" s="17" t="inlineStr">
        <is>
          <t>Agencia Gubernamental de Control (CABA)</t>
        </is>
      </c>
      <c r="N59" s="17" t="inlineStr">
        <is>
          <t>-</t>
        </is>
      </c>
      <c r="O59" s="17" t="n"/>
      <c r="P59" s="17" t="inlineStr">
        <is>
          <t>Res. AGC 32/15 anexo II</t>
        </is>
      </c>
      <c r="Q59" s="33" t="inlineStr">
        <is>
          <t>N</t>
        </is>
      </c>
      <c r="R59" s="33" t="inlineStr">
        <is>
          <t>FL_SUS_BC_5kg</t>
        </is>
      </c>
      <c r="S59" s="17" t="inlineStr">
        <is>
          <t>Sólo CABA</t>
        </is>
      </c>
    </row>
    <row r="60">
      <c r="A60" s="33" t="inlineStr">
        <is>
          <t>FL_SUS_BC_5kg</t>
        </is>
      </c>
      <c r="B60" s="33" t="n">
        <v>2</v>
      </c>
      <c r="C60" s="33" t="inlineStr">
        <is>
          <t>SUS-BC_5kg-04</t>
        </is>
      </c>
      <c r="D60" s="17" t="inlineStr">
        <is>
          <t xml:space="preserve">        Remito de préstamo con membrete (n° de extintor, puesto, equipo retirado, fechas)</t>
        </is>
      </c>
      <c r="E60" s="33" t="n">
        <v>1</v>
      </c>
      <c r="F60" s="33" t="inlineStr">
        <is>
          <t>u/préstamo</t>
        </is>
      </c>
      <c r="G60" s="34" t="n"/>
      <c r="H60" s="34" t="n"/>
      <c r="I60" s="33" t="inlineStr">
        <is>
          <t>Papel</t>
        </is>
      </c>
      <c r="J60" s="17" t="inlineStr">
        <is>
          <t>A5 duplicado</t>
        </is>
      </c>
      <c r="K60" s="33" t="inlineStr">
        <is>
          <t>Proceso</t>
        </is>
      </c>
      <c r="L60" s="33" t="inlineStr">
        <is>
          <t>Sí</t>
        </is>
      </c>
      <c r="M60" s="17" t="inlineStr">
        <is>
          <t>Astuprint</t>
        </is>
      </c>
      <c r="N60" s="17" t="inlineStr">
        <is>
          <t>-</t>
        </is>
      </c>
      <c r="O60" s="17" t="n"/>
      <c r="P60" s="17" t="n"/>
      <c r="Q60" s="33" t="inlineStr">
        <is>
          <t>I</t>
        </is>
      </c>
      <c r="R60" s="33" t="inlineStr">
        <is>
          <t>FL_SUS_BC_5kg</t>
        </is>
      </c>
      <c r="S60" s="17" t="inlineStr">
        <is>
          <t>Práctica de mercado relevada (Fullmat, Rodo, Eversafe)</t>
        </is>
      </c>
    </row>
    <row r="61">
      <c r="A61" s="27" t="inlineStr">
        <is>
          <t>FL_SUS_SALESK_6l</t>
        </is>
      </c>
      <c r="B61" s="27" t="n">
        <v>0</v>
      </c>
      <c r="C61" s="27" t="inlineStr">
        <is>
          <t>FL_SUS_SALESK_6l</t>
        </is>
      </c>
      <c r="D61" s="28" t="inlineStr">
        <is>
          <t>Extintor sustituto para Extintor Sales K 6 l</t>
        </is>
      </c>
      <c r="E61" s="27" t="n">
        <v>1</v>
      </c>
      <c r="F61" s="27" t="inlineStr">
        <is>
          <t>u</t>
        </is>
      </c>
      <c r="G61" s="29" t="n"/>
      <c r="H61" s="29" t="n"/>
      <c r="I61" s="27" t="n"/>
      <c r="J61" s="28" t="n"/>
      <c r="K61" s="27" t="n"/>
      <c r="L61" s="27" t="n"/>
      <c r="M61" s="28" t="n"/>
      <c r="N61" s="28" t="n"/>
      <c r="O61" s="28" t="n"/>
      <c r="P61" s="28" t="inlineStr">
        <is>
          <t>IRAM 3517-2:2020 9.4.5</t>
        </is>
      </c>
      <c r="Q61" s="27" t="inlineStr">
        <is>
          <t>N</t>
        </is>
      </c>
      <c r="R61" s="27" t="inlineStr">
        <is>
          <t>FL_SUS_SALESK_6l</t>
        </is>
      </c>
      <c r="S61" s="28" t="inlineStr">
        <is>
          <t>Unitario: el tamaño del parque de sustitutos se dimensiona aparte</t>
        </is>
      </c>
    </row>
    <row r="62">
      <c r="A62" s="30" t="inlineStr">
        <is>
          <t>FL_SUS_SALESK_6l</t>
        </is>
      </c>
      <c r="B62" s="30" t="n">
        <v>1</v>
      </c>
      <c r="C62" s="30" t="inlineStr">
        <is>
          <t>FL_MAT_SALESK_6l</t>
        </is>
      </c>
      <c r="D62" s="31" t="inlineStr">
        <is>
          <t xml:space="preserve">    Extintor base: Extintor Sales K 6 l (mismo modelo)</t>
        </is>
      </c>
      <c r="E62" s="30" t="n">
        <v>1</v>
      </c>
      <c r="F62" s="30" t="inlineStr">
        <is>
          <t>u</t>
        </is>
      </c>
      <c r="G62" s="32" t="n"/>
      <c r="H62" s="32" t="n"/>
      <c r="I62" s="30" t="n"/>
      <c r="J62" s="31" t="n"/>
      <c r="K62" s="30" t="inlineStr">
        <is>
          <t>Stock FLAMA (comprado terminado)</t>
        </is>
      </c>
      <c r="L62" s="30" t="inlineStr">
        <is>
          <t>No</t>
        </is>
      </c>
      <c r="M62" s="31" t="n"/>
      <c r="N62" s="31" t="n"/>
      <c r="O62" s="31" t="n"/>
      <c r="P62" s="31" t="inlineStr">
        <is>
          <t>IRAM 3517-2:2020 9.4.5</t>
        </is>
      </c>
      <c r="Q62" s="30" t="inlineStr">
        <is>
          <t>N</t>
        </is>
      </c>
      <c r="R62" s="30" t="inlineStr">
        <is>
          <t>FL_SUS_SALESK_6l</t>
        </is>
      </c>
      <c r="S62" s="31" t="inlineStr">
        <is>
          <t>Igual clasificación y capacidad; mantenimiento vigente. BOM: hoja FL_MAT_SALESK_6l · No entra en MRP del kit: es demanda del producto FL_MAT (stock)</t>
        </is>
      </c>
    </row>
    <row r="63">
      <c r="A63" s="30" t="inlineStr">
        <is>
          <t>FL_SUS_SALESK_6l</t>
        </is>
      </c>
      <c r="B63" s="30" t="n">
        <v>1</v>
      </c>
      <c r="C63" s="30" t="inlineStr">
        <is>
          <t>SUS-SALESK_6l-K</t>
        </is>
      </c>
      <c r="D63" s="31" t="inlineStr">
        <is>
          <t xml:space="preserve">    Identificación de extintor sustituto</t>
        </is>
      </c>
      <c r="E63" s="30" t="n">
        <v>1</v>
      </c>
      <c r="F63" s="30" t="inlineStr">
        <is>
          <t>u</t>
        </is>
      </c>
      <c r="G63" s="32" t="n"/>
      <c r="H63" s="32" t="n"/>
      <c r="I63" s="30" t="n"/>
      <c r="J63" s="31" t="n"/>
      <c r="K63" s="30" t="inlineStr">
        <is>
          <t>Compra</t>
        </is>
      </c>
      <c r="L63" s="30" t="n"/>
      <c r="M63" s="31" t="n"/>
      <c r="N63" s="31" t="n"/>
      <c r="O63" s="31" t="n"/>
      <c r="P63" s="31" t="n"/>
      <c r="Q63" s="30" t="inlineStr">
        <is>
          <t>N</t>
        </is>
      </c>
      <c r="R63" s="30" t="inlineStr">
        <is>
          <t>FL_SUS_SALESK_6l</t>
        </is>
      </c>
      <c r="S63" s="31" t="n"/>
    </row>
    <row r="64">
      <c r="A64" s="33" t="inlineStr">
        <is>
          <t>FL_SUS_SALESK_6l</t>
        </is>
      </c>
      <c r="B64" s="33" t="n">
        <v>2</v>
      </c>
      <c r="C64" s="33" t="inlineStr">
        <is>
          <t>SUS-SALESK_6l-01</t>
        </is>
      </c>
      <c r="D64" s="17" t="inlineStr">
        <is>
          <t xml:space="preserve">        Faja amarilla de sustituto en la pollera (3 leyendas)</t>
        </is>
      </c>
      <c r="E64" s="33" t="n">
        <v>1</v>
      </c>
      <c r="F64" s="33" t="inlineStr">
        <is>
          <t>u</t>
        </is>
      </c>
      <c r="G64" s="34" t="n"/>
      <c r="H64" s="34" t="n"/>
      <c r="I64" s="33" t="inlineStr">
        <is>
          <t>Cinta vinílica autoadhesiva amarilla</t>
        </is>
      </c>
      <c r="J64" s="17" t="inlineStr">
        <is>
          <t>40 × 617 (alto ≤ 40; perímetro + 20 de solape)</t>
        </is>
      </c>
      <c r="K64" s="33" t="inlineStr">
        <is>
          <t>Compra</t>
        </is>
      </c>
      <c r="L64" s="33" t="inlineStr">
        <is>
          <t>Sí</t>
        </is>
      </c>
      <c r="M64" s="17" t="inlineStr">
        <is>
          <t>Astuprint</t>
        </is>
      </c>
      <c r="N64" s="17" t="inlineStr">
        <is>
          <t>Multilabel Argentina S.A.</t>
        </is>
      </c>
      <c r="O64" s="17" t="n"/>
      <c r="P64" s="17" t="inlineStr">
        <is>
          <t>IRAM 3517-2:2020 9.4.5 b)</t>
        </is>
      </c>
      <c r="Q64" s="33" t="inlineStr">
        <is>
          <t>N</t>
        </is>
      </c>
      <c r="R64" s="33" t="inlineStr">
        <is>
          <t>FL_SUS_SALESK_6l</t>
        </is>
      </c>
      <c r="S64" s="17" t="inlineStr">
        <is>
          <t>Leyendas: extintor sustituto / reemplaza al equipo de este puesto en mantenimiento o recarga / FLAMA S.A. (datos y logo). Proveedor a cotizar</t>
        </is>
      </c>
    </row>
    <row r="65">
      <c r="A65" s="33" t="inlineStr">
        <is>
          <t>FL_SUS_SALESK_6l</t>
        </is>
      </c>
      <c r="B65" s="33" t="n">
        <v>2</v>
      </c>
      <c r="C65" s="33" t="inlineStr">
        <is>
          <t>SUS-SALESK_6l-02</t>
        </is>
      </c>
      <c r="D65" s="17" t="inlineStr">
        <is>
          <t xml:space="preserve">        Tarjeta de identificación DPS con sello «SUSTITUTO HABILITADO»</t>
        </is>
      </c>
      <c r="E65" s="33" t="n">
        <v>1</v>
      </c>
      <c r="F65" s="33" t="inlineStr">
        <is>
          <t>u</t>
        </is>
      </c>
      <c r="G65" s="34" t="n"/>
      <c r="H65" s="34" t="n"/>
      <c r="I65" s="33" t="inlineStr">
        <is>
          <t>Tarjeta oficial DPS (PBA)</t>
        </is>
      </c>
      <c r="J65" s="17" t="inlineStr">
        <is>
          <t>formato oficial</t>
        </is>
      </c>
      <c r="K65" s="33" t="inlineStr">
        <is>
          <t>Compra (organismo)</t>
        </is>
      </c>
      <c r="L65" s="33" t="inlineStr">
        <is>
          <t>Sí</t>
        </is>
      </c>
      <c r="M65" s="17" t="inlineStr">
        <is>
          <t>Ministerio de Ambiente PBA (ex OPDS)</t>
        </is>
      </c>
      <c r="N65" s="17" t="inlineStr">
        <is>
          <t>-</t>
        </is>
      </c>
      <c r="O65" s="17" t="n"/>
      <c r="P65" s="17" t="inlineStr">
        <is>
          <t>Res. 349/07 art. 32</t>
        </is>
      </c>
      <c r="Q65" s="33" t="inlineStr">
        <is>
          <t>N</t>
        </is>
      </c>
      <c r="R65" s="33" t="inlineStr">
        <is>
          <t>FL_SUS_SALESK_6l</t>
        </is>
      </c>
      <c r="S65" s="17" t="inlineStr">
        <is>
          <t>Sólo PBA; reutilizable en cada revisión de carga; n° del extintor asentado en el libro de actas</t>
        </is>
      </c>
    </row>
    <row r="66">
      <c r="A66" s="33" t="inlineStr">
        <is>
          <t>FL_SUS_SALESK_6l</t>
        </is>
      </c>
      <c r="B66" s="33" t="n">
        <v>2</v>
      </c>
      <c r="C66" s="33" t="inlineStr">
        <is>
          <t>SUS-SALESK_6l-03</t>
        </is>
      </c>
      <c r="D66" s="17" t="inlineStr">
        <is>
          <t xml:space="preserve">        Tarjeta AGC con «Es sustituto» (sin domicilio de instalación)</t>
        </is>
      </c>
      <c r="E66" s="33" t="n">
        <v>1</v>
      </c>
      <c r="F66" s="33" t="inlineStr">
        <is>
          <t>u</t>
        </is>
      </c>
      <c r="G66" s="34" t="n"/>
      <c r="H66" s="34" t="n"/>
      <c r="I66" s="33" t="inlineStr">
        <is>
          <t>Etiqueta autoadhesiva AGC</t>
        </is>
      </c>
      <c r="J66" s="17" t="inlineStr">
        <is>
          <t>formato oficial</t>
        </is>
      </c>
      <c r="K66" s="33" t="inlineStr">
        <is>
          <t>Compra (organismo)</t>
        </is>
      </c>
      <c r="L66" s="33" t="inlineStr">
        <is>
          <t>Sí</t>
        </is>
      </c>
      <c r="M66" s="17" t="inlineStr">
        <is>
          <t>Agencia Gubernamental de Control (CABA)</t>
        </is>
      </c>
      <c r="N66" s="17" t="inlineStr">
        <is>
          <t>-</t>
        </is>
      </c>
      <c r="O66" s="17" t="n"/>
      <c r="P66" s="17" t="inlineStr">
        <is>
          <t>Res. AGC 32/15 anexo II</t>
        </is>
      </c>
      <c r="Q66" s="33" t="inlineStr">
        <is>
          <t>N</t>
        </is>
      </c>
      <c r="R66" s="33" t="inlineStr">
        <is>
          <t>FL_SUS_SALESK_6l</t>
        </is>
      </c>
      <c r="S66" s="17" t="inlineStr">
        <is>
          <t>Sólo CABA</t>
        </is>
      </c>
    </row>
    <row r="67">
      <c r="A67" s="33" t="inlineStr">
        <is>
          <t>FL_SUS_SALESK_6l</t>
        </is>
      </c>
      <c r="B67" s="33" t="n">
        <v>2</v>
      </c>
      <c r="C67" s="33" t="inlineStr">
        <is>
          <t>SUS-SALESK_6l-04</t>
        </is>
      </c>
      <c r="D67" s="17" t="inlineStr">
        <is>
          <t xml:space="preserve">        Remito de préstamo con membrete (n° de extintor, puesto, equipo retirado, fechas)</t>
        </is>
      </c>
      <c r="E67" s="33" t="n">
        <v>1</v>
      </c>
      <c r="F67" s="33" t="inlineStr">
        <is>
          <t>u/préstamo</t>
        </is>
      </c>
      <c r="G67" s="34" t="n"/>
      <c r="H67" s="34" t="n"/>
      <c r="I67" s="33" t="inlineStr">
        <is>
          <t>Papel</t>
        </is>
      </c>
      <c r="J67" s="17" t="inlineStr">
        <is>
          <t>A5 duplicado</t>
        </is>
      </c>
      <c r="K67" s="33" t="inlineStr">
        <is>
          <t>Proceso</t>
        </is>
      </c>
      <c r="L67" s="33" t="inlineStr">
        <is>
          <t>Sí</t>
        </is>
      </c>
      <c r="M67" s="17" t="inlineStr">
        <is>
          <t>Astuprint</t>
        </is>
      </c>
      <c r="N67" s="17" t="inlineStr">
        <is>
          <t>-</t>
        </is>
      </c>
      <c r="O67" s="17" t="n"/>
      <c r="P67" s="17" t="n"/>
      <c r="Q67" s="33" t="inlineStr">
        <is>
          <t>I</t>
        </is>
      </c>
      <c r="R67" s="33" t="inlineStr">
        <is>
          <t>FL_SUS_SALESK_6l</t>
        </is>
      </c>
      <c r="S67" s="17" t="inlineStr">
        <is>
          <t>Práctica de mercado relevada (Fullmat, Rodo, Eversafe)</t>
        </is>
      </c>
    </row>
    <row r="68">
      <c r="A68" s="27" t="inlineStr">
        <is>
          <t>FL_SUS_CO2_2kg</t>
        </is>
      </c>
      <c r="B68" s="27" t="n">
        <v>0</v>
      </c>
      <c r="C68" s="27" t="inlineStr">
        <is>
          <t>FL_SUS_CO2_2kg</t>
        </is>
      </c>
      <c r="D68" s="28" t="inlineStr">
        <is>
          <t>Extintor sustituto para Extintor CO₂ 2 kg</t>
        </is>
      </c>
      <c r="E68" s="27" t="n">
        <v>1</v>
      </c>
      <c r="F68" s="27" t="inlineStr">
        <is>
          <t>u</t>
        </is>
      </c>
      <c r="G68" s="29" t="n"/>
      <c r="H68" s="29" t="n"/>
      <c r="I68" s="27" t="n"/>
      <c r="J68" s="28" t="n"/>
      <c r="K68" s="27" t="n"/>
      <c r="L68" s="27" t="n"/>
      <c r="M68" s="28" t="n"/>
      <c r="N68" s="28" t="n"/>
      <c r="O68" s="28" t="n"/>
      <c r="P68" s="28" t="inlineStr">
        <is>
          <t>IRAM 3517-2:2020 9.4.5</t>
        </is>
      </c>
      <c r="Q68" s="27" t="inlineStr">
        <is>
          <t>N</t>
        </is>
      </c>
      <c r="R68" s="27" t="inlineStr">
        <is>
          <t>FL_SUS_CO2_2kg</t>
        </is>
      </c>
      <c r="S68" s="28" t="inlineStr">
        <is>
          <t>Unitario: el tamaño del parque de sustitutos se dimensiona aparte</t>
        </is>
      </c>
    </row>
    <row r="69">
      <c r="A69" s="30" t="inlineStr">
        <is>
          <t>FL_SUS_CO2_2kg</t>
        </is>
      </c>
      <c r="B69" s="30" t="n">
        <v>1</v>
      </c>
      <c r="C69" s="30" t="inlineStr">
        <is>
          <t>FL_MAT_CO2_2kg</t>
        </is>
      </c>
      <c r="D69" s="31" t="inlineStr">
        <is>
          <t xml:space="preserve">    Extintor base: Extintor CO₂ 2 kg (mismo modelo)</t>
        </is>
      </c>
      <c r="E69" s="30" t="n">
        <v>1</v>
      </c>
      <c r="F69" s="30" t="inlineStr">
        <is>
          <t>u</t>
        </is>
      </c>
      <c r="G69" s="32" t="n"/>
      <c r="H69" s="32" t="n"/>
      <c r="I69" s="30" t="n"/>
      <c r="J69" s="31" t="n"/>
      <c r="K69" s="30" t="inlineStr">
        <is>
          <t>Stock FLAMA (comprado terminado)</t>
        </is>
      </c>
      <c r="L69" s="30" t="inlineStr">
        <is>
          <t>No</t>
        </is>
      </c>
      <c r="M69" s="31" t="n"/>
      <c r="N69" s="31" t="n"/>
      <c r="O69" s="31" t="n"/>
      <c r="P69" s="31" t="inlineStr">
        <is>
          <t>IRAM 3517-2:2020 9.4.5</t>
        </is>
      </c>
      <c r="Q69" s="30" t="inlineStr">
        <is>
          <t>N</t>
        </is>
      </c>
      <c r="R69" s="30" t="inlineStr">
        <is>
          <t>FL_SUS_CO2_2kg</t>
        </is>
      </c>
      <c r="S69" s="31" t="inlineStr">
        <is>
          <t>Igual clasificación y capacidad; mantenimiento vigente. BOM: hoja FL_MAT_CO2_2kg · No entra en MRP del kit: es demanda del producto FL_MAT (stock)</t>
        </is>
      </c>
    </row>
    <row r="70">
      <c r="A70" s="30" t="inlineStr">
        <is>
          <t>FL_SUS_CO2_2kg</t>
        </is>
      </c>
      <c r="B70" s="30" t="n">
        <v>1</v>
      </c>
      <c r="C70" s="30" t="inlineStr">
        <is>
          <t>SUS-CO2_2kg-K</t>
        </is>
      </c>
      <c r="D70" s="31" t="inlineStr">
        <is>
          <t xml:space="preserve">    Identificación de extintor sustituto</t>
        </is>
      </c>
      <c r="E70" s="30" t="n">
        <v>1</v>
      </c>
      <c r="F70" s="30" t="inlineStr">
        <is>
          <t>u</t>
        </is>
      </c>
      <c r="G70" s="32" t="n"/>
      <c r="H70" s="32" t="n"/>
      <c r="I70" s="30" t="n"/>
      <c r="J70" s="31" t="n"/>
      <c r="K70" s="30" t="inlineStr">
        <is>
          <t>Compra</t>
        </is>
      </c>
      <c r="L70" s="30" t="n"/>
      <c r="M70" s="31" t="n"/>
      <c r="N70" s="31" t="n"/>
      <c r="O70" s="31" t="n"/>
      <c r="P70" s="31" t="n"/>
      <c r="Q70" s="30" t="inlineStr">
        <is>
          <t>N</t>
        </is>
      </c>
      <c r="R70" s="30" t="inlineStr">
        <is>
          <t>FL_SUS_CO2_2kg</t>
        </is>
      </c>
      <c r="S70" s="31" t="n"/>
    </row>
    <row r="71">
      <c r="A71" s="33" t="inlineStr">
        <is>
          <t>FL_SUS_CO2_2kg</t>
        </is>
      </c>
      <c r="B71" s="33" t="n">
        <v>2</v>
      </c>
      <c r="C71" s="33" t="inlineStr">
        <is>
          <t>SUS-CO2_2kg-01</t>
        </is>
      </c>
      <c r="D71" s="17" t="inlineStr">
        <is>
          <t xml:space="preserve">        Faja amarilla de sustituto en la pollera (3 leyendas)</t>
        </is>
      </c>
      <c r="E71" s="33" t="n">
        <v>1</v>
      </c>
      <c r="F71" s="33" t="inlineStr">
        <is>
          <t>u</t>
        </is>
      </c>
      <c r="G71" s="34" t="n"/>
      <c r="H71" s="34" t="n"/>
      <c r="I71" s="33" t="inlineStr">
        <is>
          <t>Cinta vinílica autoadhesiva amarilla</t>
        </is>
      </c>
      <c r="J71" s="17" t="inlineStr">
        <is>
          <t>34 × 378 (alto ≤ 40; perímetro + 20 de solape)</t>
        </is>
      </c>
      <c r="K71" s="33" t="inlineStr">
        <is>
          <t>Compra</t>
        </is>
      </c>
      <c r="L71" s="33" t="inlineStr">
        <is>
          <t>Sí</t>
        </is>
      </c>
      <c r="M71" s="17" t="inlineStr">
        <is>
          <t>Astuprint</t>
        </is>
      </c>
      <c r="N71" s="17" t="inlineStr">
        <is>
          <t>Multilabel Argentina S.A.</t>
        </is>
      </c>
      <c r="O71" s="17" t="n"/>
      <c r="P71" s="17" t="inlineStr">
        <is>
          <t>IRAM 3517-2:2020 9.4.5 b)</t>
        </is>
      </c>
      <c r="Q71" s="33" t="inlineStr">
        <is>
          <t>N</t>
        </is>
      </c>
      <c r="R71" s="33" t="inlineStr">
        <is>
          <t>FL_SUS_CO2_2kg</t>
        </is>
      </c>
      <c r="S71" s="17" t="inlineStr">
        <is>
          <t>Leyendas: extintor sustituto / reemplaza al equipo de este puesto en mantenimiento o recarga / FLAMA S.A. (datos y logo). Proveedor a cotizar</t>
        </is>
      </c>
    </row>
    <row r="72">
      <c r="A72" s="33" t="inlineStr">
        <is>
          <t>FL_SUS_CO2_2kg</t>
        </is>
      </c>
      <c r="B72" s="33" t="n">
        <v>2</v>
      </c>
      <c r="C72" s="33" t="inlineStr">
        <is>
          <t>SUS-CO2_2kg-02</t>
        </is>
      </c>
      <c r="D72" s="17" t="inlineStr">
        <is>
          <t xml:space="preserve">        Tarjeta de identificación DPS con sello «SUSTITUTO HABILITADO»</t>
        </is>
      </c>
      <c r="E72" s="33" t="n">
        <v>1</v>
      </c>
      <c r="F72" s="33" t="inlineStr">
        <is>
          <t>u</t>
        </is>
      </c>
      <c r="G72" s="34" t="n"/>
      <c r="H72" s="34" t="n"/>
      <c r="I72" s="33" t="inlineStr">
        <is>
          <t>Tarjeta oficial DPS (PBA)</t>
        </is>
      </c>
      <c r="J72" s="17" t="inlineStr">
        <is>
          <t>formato oficial</t>
        </is>
      </c>
      <c r="K72" s="33" t="inlineStr">
        <is>
          <t>Compra (organismo)</t>
        </is>
      </c>
      <c r="L72" s="33" t="inlineStr">
        <is>
          <t>Sí</t>
        </is>
      </c>
      <c r="M72" s="17" t="inlineStr">
        <is>
          <t>Ministerio de Ambiente PBA (ex OPDS)</t>
        </is>
      </c>
      <c r="N72" s="17" t="inlineStr">
        <is>
          <t>-</t>
        </is>
      </c>
      <c r="O72" s="17" t="n"/>
      <c r="P72" s="17" t="inlineStr">
        <is>
          <t>Res. 349/07 art. 32</t>
        </is>
      </c>
      <c r="Q72" s="33" t="inlineStr">
        <is>
          <t>N</t>
        </is>
      </c>
      <c r="R72" s="33" t="inlineStr">
        <is>
          <t>FL_SUS_CO2_2kg</t>
        </is>
      </c>
      <c r="S72" s="17" t="inlineStr">
        <is>
          <t>Sólo PBA; reutilizable en cada revisión de carga; n° del extintor asentado en el libro de actas</t>
        </is>
      </c>
    </row>
    <row r="73">
      <c r="A73" s="33" t="inlineStr">
        <is>
          <t>FL_SUS_CO2_2kg</t>
        </is>
      </c>
      <c r="B73" s="33" t="n">
        <v>2</v>
      </c>
      <c r="C73" s="33" t="inlineStr">
        <is>
          <t>SUS-CO2_2kg-03</t>
        </is>
      </c>
      <c r="D73" s="17" t="inlineStr">
        <is>
          <t xml:space="preserve">        Tarjeta AGC con «Es sustituto» (sin domicilio de instalación)</t>
        </is>
      </c>
      <c r="E73" s="33" t="n">
        <v>1</v>
      </c>
      <c r="F73" s="33" t="inlineStr">
        <is>
          <t>u</t>
        </is>
      </c>
      <c r="G73" s="34" t="n"/>
      <c r="H73" s="34" t="n"/>
      <c r="I73" s="33" t="inlineStr">
        <is>
          <t>Etiqueta autoadhesiva AGC</t>
        </is>
      </c>
      <c r="J73" s="17" t="inlineStr">
        <is>
          <t>formato oficial</t>
        </is>
      </c>
      <c r="K73" s="33" t="inlineStr">
        <is>
          <t>Compra (organismo)</t>
        </is>
      </c>
      <c r="L73" s="33" t="inlineStr">
        <is>
          <t>Sí</t>
        </is>
      </c>
      <c r="M73" s="17" t="inlineStr">
        <is>
          <t>Agencia Gubernamental de Control (CABA)</t>
        </is>
      </c>
      <c r="N73" s="17" t="inlineStr">
        <is>
          <t>-</t>
        </is>
      </c>
      <c r="O73" s="17" t="n"/>
      <c r="P73" s="17" t="inlineStr">
        <is>
          <t>Res. AGC 32/15 anexo II</t>
        </is>
      </c>
      <c r="Q73" s="33" t="inlineStr">
        <is>
          <t>N</t>
        </is>
      </c>
      <c r="R73" s="33" t="inlineStr">
        <is>
          <t>FL_SUS_CO2_2kg</t>
        </is>
      </c>
      <c r="S73" s="17" t="inlineStr">
        <is>
          <t>Sólo CABA</t>
        </is>
      </c>
    </row>
    <row r="74">
      <c r="A74" s="33" t="inlineStr">
        <is>
          <t>FL_SUS_CO2_2kg</t>
        </is>
      </c>
      <c r="B74" s="33" t="n">
        <v>2</v>
      </c>
      <c r="C74" s="33" t="inlineStr">
        <is>
          <t>SUS-CO2_2kg-04</t>
        </is>
      </c>
      <c r="D74" s="17" t="inlineStr">
        <is>
          <t xml:space="preserve">        Remito de préstamo con membrete (n° de extintor, puesto, equipo retirado, fechas)</t>
        </is>
      </c>
      <c r="E74" s="33" t="n">
        <v>1</v>
      </c>
      <c r="F74" s="33" t="inlineStr">
        <is>
          <t>u/préstamo</t>
        </is>
      </c>
      <c r="G74" s="34" t="n"/>
      <c r="H74" s="34" t="n"/>
      <c r="I74" s="33" t="inlineStr">
        <is>
          <t>Papel</t>
        </is>
      </c>
      <c r="J74" s="17" t="inlineStr">
        <is>
          <t>A5 duplicado</t>
        </is>
      </c>
      <c r="K74" s="33" t="inlineStr">
        <is>
          <t>Proceso</t>
        </is>
      </c>
      <c r="L74" s="33" t="inlineStr">
        <is>
          <t>Sí</t>
        </is>
      </c>
      <c r="M74" s="17" t="inlineStr">
        <is>
          <t>Astuprint</t>
        </is>
      </c>
      <c r="N74" s="17" t="inlineStr">
        <is>
          <t>-</t>
        </is>
      </c>
      <c r="O74" s="17" t="n"/>
      <c r="P74" s="17" t="n"/>
      <c r="Q74" s="33" t="inlineStr">
        <is>
          <t>I</t>
        </is>
      </c>
      <c r="R74" s="33" t="inlineStr">
        <is>
          <t>FL_SUS_CO2_2kg</t>
        </is>
      </c>
      <c r="S74" s="17" t="inlineStr">
        <is>
          <t>Práctica de mercado relevada (Fullmat, Rodo, Eversafe)</t>
        </is>
      </c>
    </row>
    <row r="75">
      <c r="A75" s="27" t="inlineStr">
        <is>
          <t>FL_SUS_CO2_5kg</t>
        </is>
      </c>
      <c r="B75" s="27" t="n">
        <v>0</v>
      </c>
      <c r="C75" s="27" t="inlineStr">
        <is>
          <t>FL_SUS_CO2_5kg</t>
        </is>
      </c>
      <c r="D75" s="28" t="inlineStr">
        <is>
          <t>Extintor sustituto para Extintor CO₂ 5 kg</t>
        </is>
      </c>
      <c r="E75" s="27" t="n">
        <v>1</v>
      </c>
      <c r="F75" s="27" t="inlineStr">
        <is>
          <t>u</t>
        </is>
      </c>
      <c r="G75" s="29" t="n"/>
      <c r="H75" s="29" t="n"/>
      <c r="I75" s="27" t="n"/>
      <c r="J75" s="28" t="n"/>
      <c r="K75" s="27" t="n"/>
      <c r="L75" s="27" t="n"/>
      <c r="M75" s="28" t="n"/>
      <c r="N75" s="28" t="n"/>
      <c r="O75" s="28" t="n"/>
      <c r="P75" s="28" t="inlineStr">
        <is>
          <t>IRAM 3517-2:2020 9.4.5</t>
        </is>
      </c>
      <c r="Q75" s="27" t="inlineStr">
        <is>
          <t>N</t>
        </is>
      </c>
      <c r="R75" s="27" t="inlineStr">
        <is>
          <t>FL_SUS_CO2_5kg</t>
        </is>
      </c>
      <c r="S75" s="28" t="inlineStr">
        <is>
          <t>Unitario: el tamaño del parque de sustitutos se dimensiona aparte</t>
        </is>
      </c>
    </row>
    <row r="76">
      <c r="A76" s="30" t="inlineStr">
        <is>
          <t>FL_SUS_CO2_5kg</t>
        </is>
      </c>
      <c r="B76" s="30" t="n">
        <v>1</v>
      </c>
      <c r="C76" s="30" t="inlineStr">
        <is>
          <t>FL_MAT_CO2_5kg</t>
        </is>
      </c>
      <c r="D76" s="31" t="inlineStr">
        <is>
          <t xml:space="preserve">    Extintor base: Extintor CO₂ 5 kg (mismo modelo)</t>
        </is>
      </c>
      <c r="E76" s="30" t="n">
        <v>1</v>
      </c>
      <c r="F76" s="30" t="inlineStr">
        <is>
          <t>u</t>
        </is>
      </c>
      <c r="G76" s="32" t="n"/>
      <c r="H76" s="32" t="n"/>
      <c r="I76" s="30" t="n"/>
      <c r="J76" s="31" t="n"/>
      <c r="K76" s="30" t="inlineStr">
        <is>
          <t>Stock FLAMA (comprado terminado)</t>
        </is>
      </c>
      <c r="L76" s="30" t="inlineStr">
        <is>
          <t>No</t>
        </is>
      </c>
      <c r="M76" s="31" t="n"/>
      <c r="N76" s="31" t="n"/>
      <c r="O76" s="31" t="n"/>
      <c r="P76" s="31" t="inlineStr">
        <is>
          <t>IRAM 3517-2:2020 9.4.5</t>
        </is>
      </c>
      <c r="Q76" s="30" t="inlineStr">
        <is>
          <t>N</t>
        </is>
      </c>
      <c r="R76" s="30" t="inlineStr">
        <is>
          <t>FL_SUS_CO2_5kg</t>
        </is>
      </c>
      <c r="S76" s="31" t="inlineStr">
        <is>
          <t>Igual clasificación y capacidad; mantenimiento vigente. BOM: hoja FL_MAT_CO2_5kg · No entra en MRP del kit: es demanda del producto FL_MAT (stock)</t>
        </is>
      </c>
    </row>
    <row r="77">
      <c r="A77" s="30" t="inlineStr">
        <is>
          <t>FL_SUS_CO2_5kg</t>
        </is>
      </c>
      <c r="B77" s="30" t="n">
        <v>1</v>
      </c>
      <c r="C77" s="30" t="inlineStr">
        <is>
          <t>SUS-CO2_5kg-K</t>
        </is>
      </c>
      <c r="D77" s="31" t="inlineStr">
        <is>
          <t xml:space="preserve">    Identificación de extintor sustituto</t>
        </is>
      </c>
      <c r="E77" s="30" t="n">
        <v>1</v>
      </c>
      <c r="F77" s="30" t="inlineStr">
        <is>
          <t>u</t>
        </is>
      </c>
      <c r="G77" s="32" t="n"/>
      <c r="H77" s="32" t="n"/>
      <c r="I77" s="30" t="n"/>
      <c r="J77" s="31" t="n"/>
      <c r="K77" s="30" t="inlineStr">
        <is>
          <t>Compra</t>
        </is>
      </c>
      <c r="L77" s="30" t="n"/>
      <c r="M77" s="31" t="n"/>
      <c r="N77" s="31" t="n"/>
      <c r="O77" s="31" t="n"/>
      <c r="P77" s="31" t="n"/>
      <c r="Q77" s="30" t="inlineStr">
        <is>
          <t>N</t>
        </is>
      </c>
      <c r="R77" s="30" t="inlineStr">
        <is>
          <t>FL_SUS_CO2_5kg</t>
        </is>
      </c>
      <c r="S77" s="31" t="n"/>
    </row>
    <row r="78">
      <c r="A78" s="33" t="inlineStr">
        <is>
          <t>FL_SUS_CO2_5kg</t>
        </is>
      </c>
      <c r="B78" s="33" t="n">
        <v>2</v>
      </c>
      <c r="C78" s="33" t="inlineStr">
        <is>
          <t>SUS-CO2_5kg-01</t>
        </is>
      </c>
      <c r="D78" s="17" t="inlineStr">
        <is>
          <t xml:space="preserve">        Faja amarilla de sustituto en la pollera (3 leyendas)</t>
        </is>
      </c>
      <c r="E78" s="33" t="n">
        <v>1</v>
      </c>
      <c r="F78" s="33" t="inlineStr">
        <is>
          <t>u</t>
        </is>
      </c>
      <c r="G78" s="34" t="n"/>
      <c r="H78" s="34" t="n"/>
      <c r="I78" s="33" t="inlineStr">
        <is>
          <t>Cinta vinílica autoadhesiva amarilla</t>
        </is>
      </c>
      <c r="J78" s="17" t="inlineStr">
        <is>
          <t>40 × 460 (alto ≤ 40; perímetro + 20 de solape)</t>
        </is>
      </c>
      <c r="K78" s="33" t="inlineStr">
        <is>
          <t>Compra</t>
        </is>
      </c>
      <c r="L78" s="33" t="inlineStr">
        <is>
          <t>Sí</t>
        </is>
      </c>
      <c r="M78" s="17" t="inlineStr">
        <is>
          <t>Astuprint</t>
        </is>
      </c>
      <c r="N78" s="17" t="inlineStr">
        <is>
          <t>Multilabel Argentina S.A.</t>
        </is>
      </c>
      <c r="O78" s="17" t="n"/>
      <c r="P78" s="17" t="inlineStr">
        <is>
          <t>IRAM 3517-2:2020 9.4.5 b)</t>
        </is>
      </c>
      <c r="Q78" s="33" t="inlineStr">
        <is>
          <t>N</t>
        </is>
      </c>
      <c r="R78" s="33" t="inlineStr">
        <is>
          <t>FL_SUS_CO2_5kg</t>
        </is>
      </c>
      <c r="S78" s="17" t="inlineStr">
        <is>
          <t>Leyendas: extintor sustituto / reemplaza al equipo de este puesto en mantenimiento o recarga / FLAMA S.A. (datos y logo). Proveedor a cotizar</t>
        </is>
      </c>
    </row>
    <row r="79">
      <c r="A79" s="33" t="inlineStr">
        <is>
          <t>FL_SUS_CO2_5kg</t>
        </is>
      </c>
      <c r="B79" s="33" t="n">
        <v>2</v>
      </c>
      <c r="C79" s="33" t="inlineStr">
        <is>
          <t>SUS-CO2_5kg-02</t>
        </is>
      </c>
      <c r="D79" s="17" t="inlineStr">
        <is>
          <t xml:space="preserve">        Tarjeta de identificación DPS con sello «SUSTITUTO HABILITADO»</t>
        </is>
      </c>
      <c r="E79" s="33" t="n">
        <v>1</v>
      </c>
      <c r="F79" s="33" t="inlineStr">
        <is>
          <t>u</t>
        </is>
      </c>
      <c r="G79" s="34" t="n"/>
      <c r="H79" s="34" t="n"/>
      <c r="I79" s="33" t="inlineStr">
        <is>
          <t>Tarjeta oficial DPS (PBA)</t>
        </is>
      </c>
      <c r="J79" s="17" t="inlineStr">
        <is>
          <t>formato oficial</t>
        </is>
      </c>
      <c r="K79" s="33" t="inlineStr">
        <is>
          <t>Compra (organismo)</t>
        </is>
      </c>
      <c r="L79" s="33" t="inlineStr">
        <is>
          <t>Sí</t>
        </is>
      </c>
      <c r="M79" s="17" t="inlineStr">
        <is>
          <t>Ministerio de Ambiente PBA (ex OPDS)</t>
        </is>
      </c>
      <c r="N79" s="17" t="inlineStr">
        <is>
          <t>-</t>
        </is>
      </c>
      <c r="O79" s="17" t="n"/>
      <c r="P79" s="17" t="inlineStr">
        <is>
          <t>Res. 349/07 art. 32</t>
        </is>
      </c>
      <c r="Q79" s="33" t="inlineStr">
        <is>
          <t>N</t>
        </is>
      </c>
      <c r="R79" s="33" t="inlineStr">
        <is>
          <t>FL_SUS_CO2_5kg</t>
        </is>
      </c>
      <c r="S79" s="17" t="inlineStr">
        <is>
          <t>Sólo PBA; reutilizable en cada revisión de carga; n° del extintor asentado en el libro de actas</t>
        </is>
      </c>
    </row>
    <row r="80">
      <c r="A80" s="33" t="inlineStr">
        <is>
          <t>FL_SUS_CO2_5kg</t>
        </is>
      </c>
      <c r="B80" s="33" t="n">
        <v>2</v>
      </c>
      <c r="C80" s="33" t="inlineStr">
        <is>
          <t>SUS-CO2_5kg-03</t>
        </is>
      </c>
      <c r="D80" s="17" t="inlineStr">
        <is>
          <t xml:space="preserve">        Tarjeta AGC con «Es sustituto» (sin domicilio de instalación)</t>
        </is>
      </c>
      <c r="E80" s="33" t="n">
        <v>1</v>
      </c>
      <c r="F80" s="33" t="inlineStr">
        <is>
          <t>u</t>
        </is>
      </c>
      <c r="G80" s="34" t="n"/>
      <c r="H80" s="34" t="n"/>
      <c r="I80" s="33" t="inlineStr">
        <is>
          <t>Etiqueta autoadhesiva AGC</t>
        </is>
      </c>
      <c r="J80" s="17" t="inlineStr">
        <is>
          <t>formato oficial</t>
        </is>
      </c>
      <c r="K80" s="33" t="inlineStr">
        <is>
          <t>Compra (organismo)</t>
        </is>
      </c>
      <c r="L80" s="33" t="inlineStr">
        <is>
          <t>Sí</t>
        </is>
      </c>
      <c r="M80" s="17" t="inlineStr">
        <is>
          <t>Agencia Gubernamental de Control (CABA)</t>
        </is>
      </c>
      <c r="N80" s="17" t="inlineStr">
        <is>
          <t>-</t>
        </is>
      </c>
      <c r="O80" s="17" t="n"/>
      <c r="P80" s="17" t="inlineStr">
        <is>
          <t>Res. AGC 32/15 anexo II</t>
        </is>
      </c>
      <c r="Q80" s="33" t="inlineStr">
        <is>
          <t>N</t>
        </is>
      </c>
      <c r="R80" s="33" t="inlineStr">
        <is>
          <t>FL_SUS_CO2_5kg</t>
        </is>
      </c>
      <c r="S80" s="17" t="inlineStr">
        <is>
          <t>Sólo CABA</t>
        </is>
      </c>
    </row>
    <row r="81">
      <c r="A81" s="33" t="inlineStr">
        <is>
          <t>FL_SUS_CO2_5kg</t>
        </is>
      </c>
      <c r="B81" s="33" t="n">
        <v>2</v>
      </c>
      <c r="C81" s="33" t="inlineStr">
        <is>
          <t>SUS-CO2_5kg-04</t>
        </is>
      </c>
      <c r="D81" s="17" t="inlineStr">
        <is>
          <t xml:space="preserve">        Remito de préstamo con membrete (n° de extintor, puesto, equipo retirado, fechas)</t>
        </is>
      </c>
      <c r="E81" s="33" t="n">
        <v>1</v>
      </c>
      <c r="F81" s="33" t="inlineStr">
        <is>
          <t>u/préstamo</t>
        </is>
      </c>
      <c r="G81" s="34" t="n"/>
      <c r="H81" s="34" t="n"/>
      <c r="I81" s="33" t="inlineStr">
        <is>
          <t>Papel</t>
        </is>
      </c>
      <c r="J81" s="17" t="inlineStr">
        <is>
          <t>A5 duplicado</t>
        </is>
      </c>
      <c r="K81" s="33" t="inlineStr">
        <is>
          <t>Proceso</t>
        </is>
      </c>
      <c r="L81" s="33" t="inlineStr">
        <is>
          <t>Sí</t>
        </is>
      </c>
      <c r="M81" s="17" t="inlineStr">
        <is>
          <t>Astuprint</t>
        </is>
      </c>
      <c r="N81" s="17" t="inlineStr">
        <is>
          <t>-</t>
        </is>
      </c>
      <c r="O81" s="17" t="n"/>
      <c r="P81" s="17" t="n"/>
      <c r="Q81" s="33" t="inlineStr">
        <is>
          <t>I</t>
        </is>
      </c>
      <c r="R81" s="33" t="inlineStr">
        <is>
          <t>FL_SUS_CO2_5kg</t>
        </is>
      </c>
      <c r="S81" s="17" t="inlineStr">
        <is>
          <t>Práctica de mercado relevada (Fullmat, Rodo, Eversafe)</t>
        </is>
      </c>
    </row>
    <row r="82">
      <c r="A82" s="27" t="inlineStr">
        <is>
          <t>FL_SUS_HCFC-HFC_5kg</t>
        </is>
      </c>
      <c r="B82" s="27" t="n">
        <v>0</v>
      </c>
      <c r="C82" s="27" t="inlineStr">
        <is>
          <t>FL_SUS_HCFC-HFC_5kg</t>
        </is>
      </c>
      <c r="D82" s="28" t="inlineStr">
        <is>
          <t>Extintor sustituto para Extintor HCFC/HFC 5 kg</t>
        </is>
      </c>
      <c r="E82" s="27" t="n">
        <v>1</v>
      </c>
      <c r="F82" s="27" t="inlineStr">
        <is>
          <t>u</t>
        </is>
      </c>
      <c r="G82" s="29" t="n"/>
      <c r="H82" s="29" t="n"/>
      <c r="I82" s="27" t="n"/>
      <c r="J82" s="28" t="n"/>
      <c r="K82" s="27" t="n"/>
      <c r="L82" s="27" t="n"/>
      <c r="M82" s="28" t="n"/>
      <c r="N82" s="28" t="n"/>
      <c r="O82" s="28" t="n"/>
      <c r="P82" s="28" t="inlineStr">
        <is>
          <t>IRAM 3517-2:2020 9.4.5</t>
        </is>
      </c>
      <c r="Q82" s="27" t="inlineStr">
        <is>
          <t>N</t>
        </is>
      </c>
      <c r="R82" s="27" t="inlineStr">
        <is>
          <t>FL_SUS_HCFC-HFC_5kg</t>
        </is>
      </c>
      <c r="S82" s="28" t="inlineStr">
        <is>
          <t>Unitario: el tamaño del parque de sustitutos se dimensiona aparte</t>
        </is>
      </c>
    </row>
    <row r="83">
      <c r="A83" s="30" t="inlineStr">
        <is>
          <t>FL_SUS_HCFC-HFC_5kg</t>
        </is>
      </c>
      <c r="B83" s="30" t="n">
        <v>1</v>
      </c>
      <c r="C83" s="30" t="inlineStr">
        <is>
          <t>FL_MAT_HCFC-HFC_5kg</t>
        </is>
      </c>
      <c r="D83" s="31" t="inlineStr">
        <is>
          <t xml:space="preserve">    Extintor base: Extintor HCFC/HFC 5 kg (mismo modelo)</t>
        </is>
      </c>
      <c r="E83" s="30" t="n">
        <v>1</v>
      </c>
      <c r="F83" s="30" t="inlineStr">
        <is>
          <t>u</t>
        </is>
      </c>
      <c r="G83" s="32" t="n"/>
      <c r="H83" s="32" t="n"/>
      <c r="I83" s="30" t="n"/>
      <c r="J83" s="31" t="n"/>
      <c r="K83" s="30" t="inlineStr">
        <is>
          <t>Stock FLAMA (comprado terminado)</t>
        </is>
      </c>
      <c r="L83" s="30" t="inlineStr">
        <is>
          <t>No</t>
        </is>
      </c>
      <c r="M83" s="31" t="n"/>
      <c r="N83" s="31" t="n"/>
      <c r="O83" s="31" t="n"/>
      <c r="P83" s="31" t="inlineStr">
        <is>
          <t>IRAM 3517-2:2020 9.4.5</t>
        </is>
      </c>
      <c r="Q83" s="30" t="inlineStr">
        <is>
          <t>N</t>
        </is>
      </c>
      <c r="R83" s="30" t="inlineStr">
        <is>
          <t>FL_SUS_HCFC-HFC_5kg</t>
        </is>
      </c>
      <c r="S83" s="31" t="inlineStr">
        <is>
          <t>Igual clasificación y capacidad; mantenimiento vigente. BOM: hoja FL_MAT_HCFC-HFC_5kg · No entra en MRP del kit: es demanda del producto FL_MAT (stock)</t>
        </is>
      </c>
    </row>
    <row r="84">
      <c r="A84" s="30" t="inlineStr">
        <is>
          <t>FL_SUS_HCFC-HFC_5kg</t>
        </is>
      </c>
      <c r="B84" s="30" t="n">
        <v>1</v>
      </c>
      <c r="C84" s="30" t="inlineStr">
        <is>
          <t>SUS-HCFC-HFC_5kg-K</t>
        </is>
      </c>
      <c r="D84" s="31" t="inlineStr">
        <is>
          <t xml:space="preserve">    Identificación de extintor sustituto</t>
        </is>
      </c>
      <c r="E84" s="30" t="n">
        <v>1</v>
      </c>
      <c r="F84" s="30" t="inlineStr">
        <is>
          <t>u</t>
        </is>
      </c>
      <c r="G84" s="32" t="n"/>
      <c r="H84" s="32" t="n"/>
      <c r="I84" s="30" t="n"/>
      <c r="J84" s="31" t="n"/>
      <c r="K84" s="30" t="inlineStr">
        <is>
          <t>Compra</t>
        </is>
      </c>
      <c r="L84" s="30" t="n"/>
      <c r="M84" s="31" t="n"/>
      <c r="N84" s="31" t="n"/>
      <c r="O84" s="31" t="n"/>
      <c r="P84" s="31" t="n"/>
      <c r="Q84" s="30" t="inlineStr">
        <is>
          <t>N</t>
        </is>
      </c>
      <c r="R84" s="30" t="inlineStr">
        <is>
          <t>FL_SUS_HCFC-HFC_5kg</t>
        </is>
      </c>
      <c r="S84" s="31" t="n"/>
    </row>
    <row r="85">
      <c r="A85" s="33" t="inlineStr">
        <is>
          <t>FL_SUS_HCFC-HFC_5kg</t>
        </is>
      </c>
      <c r="B85" s="33" t="n">
        <v>2</v>
      </c>
      <c r="C85" s="33" t="inlineStr">
        <is>
          <t>SUS-HCFC-HFC_5kg-01</t>
        </is>
      </c>
      <c r="D85" s="17" t="inlineStr">
        <is>
          <t xml:space="preserve">        Faja amarilla de sustituto en la pollera (3 leyendas)</t>
        </is>
      </c>
      <c r="E85" s="33" t="n">
        <v>1</v>
      </c>
      <c r="F85" s="33" t="inlineStr">
        <is>
          <t>u</t>
        </is>
      </c>
      <c r="G85" s="34" t="n"/>
      <c r="H85" s="34" t="n"/>
      <c r="I85" s="33" t="inlineStr">
        <is>
          <t>Cinta vinílica autoadhesiva amarilla</t>
        </is>
      </c>
      <c r="J85" s="17" t="inlineStr">
        <is>
          <t>40 × 501 (alto ≤ 40; perímetro + 20 de solape)</t>
        </is>
      </c>
      <c r="K85" s="33" t="inlineStr">
        <is>
          <t>Compra</t>
        </is>
      </c>
      <c r="L85" s="33" t="inlineStr">
        <is>
          <t>Sí</t>
        </is>
      </c>
      <c r="M85" s="17" t="inlineStr">
        <is>
          <t>Astuprint</t>
        </is>
      </c>
      <c r="N85" s="17" t="inlineStr">
        <is>
          <t>Multilabel Argentina S.A.</t>
        </is>
      </c>
      <c r="O85" s="17" t="n"/>
      <c r="P85" s="17" t="inlineStr">
        <is>
          <t>IRAM 3517-2:2020 9.4.5 b)</t>
        </is>
      </c>
      <c r="Q85" s="33" t="inlineStr">
        <is>
          <t>N</t>
        </is>
      </c>
      <c r="R85" s="33" t="inlineStr">
        <is>
          <t>FL_SUS_HCFC-HFC_5kg</t>
        </is>
      </c>
      <c r="S85" s="17" t="inlineStr">
        <is>
          <t>Leyendas: extintor sustituto / reemplaza al equipo de este puesto en mantenimiento o recarga / FLAMA S.A. (datos y logo). Proveedor a cotizar</t>
        </is>
      </c>
    </row>
    <row r="86">
      <c r="A86" s="33" t="inlineStr">
        <is>
          <t>FL_SUS_HCFC-HFC_5kg</t>
        </is>
      </c>
      <c r="B86" s="33" t="n">
        <v>2</v>
      </c>
      <c r="C86" s="33" t="inlineStr">
        <is>
          <t>SUS-HCFC-HFC_5kg-02</t>
        </is>
      </c>
      <c r="D86" s="17" t="inlineStr">
        <is>
          <t xml:space="preserve">        Tarjeta de identificación DPS con sello «SUSTITUTO HABILITADO»</t>
        </is>
      </c>
      <c r="E86" s="33" t="n">
        <v>1</v>
      </c>
      <c r="F86" s="33" t="inlineStr">
        <is>
          <t>u</t>
        </is>
      </c>
      <c r="G86" s="34" t="n"/>
      <c r="H86" s="34" t="n"/>
      <c r="I86" s="33" t="inlineStr">
        <is>
          <t>Tarjeta oficial DPS (PBA)</t>
        </is>
      </c>
      <c r="J86" s="17" t="inlineStr">
        <is>
          <t>formato oficial</t>
        </is>
      </c>
      <c r="K86" s="33" t="inlineStr">
        <is>
          <t>Compra (organismo)</t>
        </is>
      </c>
      <c r="L86" s="33" t="inlineStr">
        <is>
          <t>Sí</t>
        </is>
      </c>
      <c r="M86" s="17" t="inlineStr">
        <is>
          <t>Ministerio de Ambiente PBA (ex OPDS)</t>
        </is>
      </c>
      <c r="N86" s="17" t="inlineStr">
        <is>
          <t>-</t>
        </is>
      </c>
      <c r="O86" s="17" t="n"/>
      <c r="P86" s="17" t="inlineStr">
        <is>
          <t>Res. 349/07 art. 32</t>
        </is>
      </c>
      <c r="Q86" s="33" t="inlineStr">
        <is>
          <t>N</t>
        </is>
      </c>
      <c r="R86" s="33" t="inlineStr">
        <is>
          <t>FL_SUS_HCFC-HFC_5kg</t>
        </is>
      </c>
      <c r="S86" s="17" t="inlineStr">
        <is>
          <t>Sólo PBA; reutilizable en cada revisión de carga; n° del extintor asentado en el libro de actas</t>
        </is>
      </c>
    </row>
    <row r="87">
      <c r="A87" s="33" t="inlineStr">
        <is>
          <t>FL_SUS_HCFC-HFC_5kg</t>
        </is>
      </c>
      <c r="B87" s="33" t="n">
        <v>2</v>
      </c>
      <c r="C87" s="33" t="inlineStr">
        <is>
          <t>SUS-HCFC-HFC_5kg-03</t>
        </is>
      </c>
      <c r="D87" s="17" t="inlineStr">
        <is>
          <t xml:space="preserve">        Tarjeta AGC con «Es sustituto» (sin domicilio de instalación)</t>
        </is>
      </c>
      <c r="E87" s="33" t="n">
        <v>1</v>
      </c>
      <c r="F87" s="33" t="inlineStr">
        <is>
          <t>u</t>
        </is>
      </c>
      <c r="G87" s="34" t="n"/>
      <c r="H87" s="34" t="n"/>
      <c r="I87" s="33" t="inlineStr">
        <is>
          <t>Etiqueta autoadhesiva AGC</t>
        </is>
      </c>
      <c r="J87" s="17" t="inlineStr">
        <is>
          <t>formato oficial</t>
        </is>
      </c>
      <c r="K87" s="33" t="inlineStr">
        <is>
          <t>Compra (organismo)</t>
        </is>
      </c>
      <c r="L87" s="33" t="inlineStr">
        <is>
          <t>Sí</t>
        </is>
      </c>
      <c r="M87" s="17" t="inlineStr">
        <is>
          <t>Agencia Gubernamental de Control (CABA)</t>
        </is>
      </c>
      <c r="N87" s="17" t="inlineStr">
        <is>
          <t>-</t>
        </is>
      </c>
      <c r="O87" s="17" t="n"/>
      <c r="P87" s="17" t="inlineStr">
        <is>
          <t>Res. AGC 32/15 anexo II</t>
        </is>
      </c>
      <c r="Q87" s="33" t="inlineStr">
        <is>
          <t>N</t>
        </is>
      </c>
      <c r="R87" s="33" t="inlineStr">
        <is>
          <t>FL_SUS_HCFC-HFC_5kg</t>
        </is>
      </c>
      <c r="S87" s="17" t="inlineStr">
        <is>
          <t>Sólo CABA</t>
        </is>
      </c>
    </row>
    <row r="88">
      <c r="A88" s="33" t="inlineStr">
        <is>
          <t>FL_SUS_HCFC-HFC_5kg</t>
        </is>
      </c>
      <c r="B88" s="33" t="n">
        <v>2</v>
      </c>
      <c r="C88" s="33" t="inlineStr">
        <is>
          <t>SUS-HCFC-HFC_5kg-04</t>
        </is>
      </c>
      <c r="D88" s="17" t="inlineStr">
        <is>
          <t xml:space="preserve">        Remito de préstamo con membrete (n° de extintor, puesto, equipo retirado, fechas)</t>
        </is>
      </c>
      <c r="E88" s="33" t="n">
        <v>1</v>
      </c>
      <c r="F88" s="33" t="inlineStr">
        <is>
          <t>u/préstamo</t>
        </is>
      </c>
      <c r="G88" s="34" t="n"/>
      <c r="H88" s="34" t="n"/>
      <c r="I88" s="33" t="inlineStr">
        <is>
          <t>Papel</t>
        </is>
      </c>
      <c r="J88" s="17" t="inlineStr">
        <is>
          <t>A5 duplicado</t>
        </is>
      </c>
      <c r="K88" s="33" t="inlineStr">
        <is>
          <t>Proceso</t>
        </is>
      </c>
      <c r="L88" s="33" t="inlineStr">
        <is>
          <t>Sí</t>
        </is>
      </c>
      <c r="M88" s="17" t="inlineStr">
        <is>
          <t>Astuprint</t>
        </is>
      </c>
      <c r="N88" s="17" t="inlineStr">
        <is>
          <t>-</t>
        </is>
      </c>
      <c r="O88" s="17" t="n"/>
      <c r="P88" s="17" t="n"/>
      <c r="Q88" s="33" t="inlineStr">
        <is>
          <t>I</t>
        </is>
      </c>
      <c r="R88" s="33" t="inlineStr">
        <is>
          <t>FL_SUS_HCFC-HFC_5kg</t>
        </is>
      </c>
      <c r="S88" s="17" t="inlineStr">
        <is>
          <t>Práctica de mercado relevada (Fullmat, Rodo, Eversafe)</t>
        </is>
      </c>
    </row>
    <row r="89">
      <c r="A89" s="27" t="inlineStr">
        <is>
          <t>FL_SUS_CLASED_9l</t>
        </is>
      </c>
      <c r="B89" s="27" t="n">
        <v>0</v>
      </c>
      <c r="C89" s="27" t="inlineStr">
        <is>
          <t>FL_SUS_CLASED_9l</t>
        </is>
      </c>
      <c r="D89" s="28" t="inlineStr">
        <is>
          <t>Extintor sustituto para Extintor Clase D 9 l</t>
        </is>
      </c>
      <c r="E89" s="27" t="n">
        <v>1</v>
      </c>
      <c r="F89" s="27" t="inlineStr">
        <is>
          <t>u</t>
        </is>
      </c>
      <c r="G89" s="29" t="n"/>
      <c r="H89" s="29" t="n"/>
      <c r="I89" s="27" t="n"/>
      <c r="J89" s="28" t="n"/>
      <c r="K89" s="27" t="n"/>
      <c r="L89" s="27" t="n"/>
      <c r="M89" s="28" t="n"/>
      <c r="N89" s="28" t="n"/>
      <c r="O89" s="28" t="n"/>
      <c r="P89" s="28" t="inlineStr">
        <is>
          <t>IRAM 3517-2:2020 9.4.5</t>
        </is>
      </c>
      <c r="Q89" s="27" t="inlineStr">
        <is>
          <t>N</t>
        </is>
      </c>
      <c r="R89" s="27" t="inlineStr">
        <is>
          <t>FL_SUS_CLASED_9l</t>
        </is>
      </c>
      <c r="S89" s="28" t="inlineStr">
        <is>
          <t>Unitario: el tamaño del parque de sustitutos se dimensiona aparte</t>
        </is>
      </c>
    </row>
    <row r="90">
      <c r="A90" s="30" t="inlineStr">
        <is>
          <t>FL_SUS_CLASED_9l</t>
        </is>
      </c>
      <c r="B90" s="30" t="n">
        <v>1</v>
      </c>
      <c r="C90" s="30" t="inlineStr">
        <is>
          <t>FL_MAT_CLASED_9l</t>
        </is>
      </c>
      <c r="D90" s="31" t="inlineStr">
        <is>
          <t xml:space="preserve">    Extintor base: Extintor Clase D 9 l (mismo modelo)</t>
        </is>
      </c>
      <c r="E90" s="30" t="n">
        <v>1</v>
      </c>
      <c r="F90" s="30" t="inlineStr">
        <is>
          <t>u</t>
        </is>
      </c>
      <c r="G90" s="32" t="n"/>
      <c r="H90" s="32" t="n"/>
      <c r="I90" s="30" t="n"/>
      <c r="J90" s="31" t="n"/>
      <c r="K90" s="30" t="inlineStr">
        <is>
          <t>Stock FLAMA (comprado terminado)</t>
        </is>
      </c>
      <c r="L90" s="30" t="inlineStr">
        <is>
          <t>No</t>
        </is>
      </c>
      <c r="M90" s="31" t="n"/>
      <c r="N90" s="31" t="n"/>
      <c r="O90" s="31" t="n"/>
      <c r="P90" s="31" t="inlineStr">
        <is>
          <t>IRAM 3517-2:2020 9.4.5</t>
        </is>
      </c>
      <c r="Q90" s="30" t="inlineStr">
        <is>
          <t>N</t>
        </is>
      </c>
      <c r="R90" s="30" t="inlineStr">
        <is>
          <t>FL_SUS_CLASED_9l</t>
        </is>
      </c>
      <c r="S90" s="31" t="inlineStr">
        <is>
          <t>Igual clasificación y capacidad; mantenimiento vigente. BOM: hoja FL_MAT_CLASED_9l · No entra en MRP del kit: es demanda del producto FL_MAT (stock)</t>
        </is>
      </c>
    </row>
    <row r="91">
      <c r="A91" s="30" t="inlineStr">
        <is>
          <t>FL_SUS_CLASED_9l</t>
        </is>
      </c>
      <c r="B91" s="30" t="n">
        <v>1</v>
      </c>
      <c r="C91" s="30" t="inlineStr">
        <is>
          <t>SUS-CLASED_9l-K</t>
        </is>
      </c>
      <c r="D91" s="31" t="inlineStr">
        <is>
          <t xml:space="preserve">    Identificación de extintor sustituto</t>
        </is>
      </c>
      <c r="E91" s="30" t="n">
        <v>1</v>
      </c>
      <c r="F91" s="30" t="inlineStr">
        <is>
          <t>u</t>
        </is>
      </c>
      <c r="G91" s="32" t="n"/>
      <c r="H91" s="32" t="n"/>
      <c r="I91" s="30" t="n"/>
      <c r="J91" s="31" t="n"/>
      <c r="K91" s="30" t="inlineStr">
        <is>
          <t>Compra</t>
        </is>
      </c>
      <c r="L91" s="30" t="n"/>
      <c r="M91" s="31" t="n"/>
      <c r="N91" s="31" t="n"/>
      <c r="O91" s="31" t="n"/>
      <c r="P91" s="31" t="n"/>
      <c r="Q91" s="30" t="inlineStr">
        <is>
          <t>N</t>
        </is>
      </c>
      <c r="R91" s="30" t="inlineStr">
        <is>
          <t>FL_SUS_CLASED_9l</t>
        </is>
      </c>
      <c r="S91" s="31" t="n"/>
    </row>
    <row r="92">
      <c r="A92" s="33" t="inlineStr">
        <is>
          <t>FL_SUS_CLASED_9l</t>
        </is>
      </c>
      <c r="B92" s="33" t="n">
        <v>2</v>
      </c>
      <c r="C92" s="33" t="inlineStr">
        <is>
          <t>SUS-CLASED_9l-01</t>
        </is>
      </c>
      <c r="D92" s="17" t="inlineStr">
        <is>
          <t xml:space="preserve">        Faja amarilla de sustituto en la pollera (3 leyendas)</t>
        </is>
      </c>
      <c r="E92" s="33" t="n">
        <v>1</v>
      </c>
      <c r="F92" s="33" t="inlineStr">
        <is>
          <t>u</t>
        </is>
      </c>
      <c r="G92" s="34" t="n"/>
      <c r="H92" s="34" t="n"/>
      <c r="I92" s="33" t="inlineStr">
        <is>
          <t>Cinta vinílica autoadhesiva amarilla</t>
        </is>
      </c>
      <c r="J92" s="17" t="inlineStr">
        <is>
          <t>40 × 590 (alto ≤ 40; perímetro + 20 de solape)</t>
        </is>
      </c>
      <c r="K92" s="33" t="inlineStr">
        <is>
          <t>Compra</t>
        </is>
      </c>
      <c r="L92" s="33" t="inlineStr">
        <is>
          <t>Sí</t>
        </is>
      </c>
      <c r="M92" s="17" t="inlineStr">
        <is>
          <t>Astuprint</t>
        </is>
      </c>
      <c r="N92" s="17" t="inlineStr">
        <is>
          <t>Multilabel Argentina S.A.</t>
        </is>
      </c>
      <c r="O92" s="17" t="n"/>
      <c r="P92" s="17" t="inlineStr">
        <is>
          <t>IRAM 3517-2:2020 9.4.5 b)</t>
        </is>
      </c>
      <c r="Q92" s="33" t="inlineStr">
        <is>
          <t>N</t>
        </is>
      </c>
      <c r="R92" s="33" t="inlineStr">
        <is>
          <t>FL_SUS_CLASED_9l</t>
        </is>
      </c>
      <c r="S92" s="17" t="inlineStr">
        <is>
          <t>Leyendas: extintor sustituto / reemplaza al equipo de este puesto en mantenimiento o recarga / FLAMA S.A. (datos y logo). Proveedor a cotizar</t>
        </is>
      </c>
    </row>
    <row r="93">
      <c r="A93" s="33" t="inlineStr">
        <is>
          <t>FL_SUS_CLASED_9l</t>
        </is>
      </c>
      <c r="B93" s="33" t="n">
        <v>2</v>
      </c>
      <c r="C93" s="33" t="inlineStr">
        <is>
          <t>SUS-CLASED_9l-02</t>
        </is>
      </c>
      <c r="D93" s="17" t="inlineStr">
        <is>
          <t xml:space="preserve">        Tarjeta de identificación DPS con sello «SUSTITUTO HABILITADO»</t>
        </is>
      </c>
      <c r="E93" s="33" t="n">
        <v>1</v>
      </c>
      <c r="F93" s="33" t="inlineStr">
        <is>
          <t>u</t>
        </is>
      </c>
      <c r="G93" s="34" t="n"/>
      <c r="H93" s="34" t="n"/>
      <c r="I93" s="33" t="inlineStr">
        <is>
          <t>Tarjeta oficial DPS (PBA)</t>
        </is>
      </c>
      <c r="J93" s="17" t="inlineStr">
        <is>
          <t>formato oficial</t>
        </is>
      </c>
      <c r="K93" s="33" t="inlineStr">
        <is>
          <t>Compra (organismo)</t>
        </is>
      </c>
      <c r="L93" s="33" t="inlineStr">
        <is>
          <t>Sí</t>
        </is>
      </c>
      <c r="M93" s="17" t="inlineStr">
        <is>
          <t>Ministerio de Ambiente PBA (ex OPDS)</t>
        </is>
      </c>
      <c r="N93" s="17" t="inlineStr">
        <is>
          <t>-</t>
        </is>
      </c>
      <c r="O93" s="17" t="n"/>
      <c r="P93" s="17" t="inlineStr">
        <is>
          <t>Res. 349/07 art. 32</t>
        </is>
      </c>
      <c r="Q93" s="33" t="inlineStr">
        <is>
          <t>N</t>
        </is>
      </c>
      <c r="R93" s="33" t="inlineStr">
        <is>
          <t>FL_SUS_CLASED_9l</t>
        </is>
      </c>
      <c r="S93" s="17" t="inlineStr">
        <is>
          <t>Sólo PBA; reutilizable en cada revisión de carga; n° del extintor asentado en el libro de actas</t>
        </is>
      </c>
    </row>
    <row r="94">
      <c r="A94" s="33" t="inlineStr">
        <is>
          <t>FL_SUS_CLASED_9l</t>
        </is>
      </c>
      <c r="B94" s="33" t="n">
        <v>2</v>
      </c>
      <c r="C94" s="33" t="inlineStr">
        <is>
          <t>SUS-CLASED_9l-03</t>
        </is>
      </c>
      <c r="D94" s="17" t="inlineStr">
        <is>
          <t xml:space="preserve">        Tarjeta AGC con «Es sustituto» (sin domicilio de instalación)</t>
        </is>
      </c>
      <c r="E94" s="33" t="n">
        <v>1</v>
      </c>
      <c r="F94" s="33" t="inlineStr">
        <is>
          <t>u</t>
        </is>
      </c>
      <c r="G94" s="34" t="n"/>
      <c r="H94" s="34" t="n"/>
      <c r="I94" s="33" t="inlineStr">
        <is>
          <t>Etiqueta autoadhesiva AGC</t>
        </is>
      </c>
      <c r="J94" s="17" t="inlineStr">
        <is>
          <t>formato oficial</t>
        </is>
      </c>
      <c r="K94" s="33" t="inlineStr">
        <is>
          <t>Compra (organismo)</t>
        </is>
      </c>
      <c r="L94" s="33" t="inlineStr">
        <is>
          <t>Sí</t>
        </is>
      </c>
      <c r="M94" s="17" t="inlineStr">
        <is>
          <t>Agencia Gubernamental de Control (CABA)</t>
        </is>
      </c>
      <c r="N94" s="17" t="inlineStr">
        <is>
          <t>-</t>
        </is>
      </c>
      <c r="O94" s="17" t="n"/>
      <c r="P94" s="17" t="inlineStr">
        <is>
          <t>Res. AGC 32/15 anexo II</t>
        </is>
      </c>
      <c r="Q94" s="33" t="inlineStr">
        <is>
          <t>N</t>
        </is>
      </c>
      <c r="R94" s="33" t="inlineStr">
        <is>
          <t>FL_SUS_CLASED_9l</t>
        </is>
      </c>
      <c r="S94" s="17" t="inlineStr">
        <is>
          <t>Sólo CABA</t>
        </is>
      </c>
    </row>
    <row r="95">
      <c r="A95" s="33" t="inlineStr">
        <is>
          <t>FL_SUS_CLASED_9l</t>
        </is>
      </c>
      <c r="B95" s="33" t="n">
        <v>2</v>
      </c>
      <c r="C95" s="33" t="inlineStr">
        <is>
          <t>SUS-CLASED_9l-04</t>
        </is>
      </c>
      <c r="D95" s="17" t="inlineStr">
        <is>
          <t xml:space="preserve">        Remito de préstamo con membrete (n° de extintor, puesto, equipo retirado, fechas)</t>
        </is>
      </c>
      <c r="E95" s="33" t="n">
        <v>1</v>
      </c>
      <c r="F95" s="33" t="inlineStr">
        <is>
          <t>u/préstamo</t>
        </is>
      </c>
      <c r="G95" s="34" t="n"/>
      <c r="H95" s="34" t="n"/>
      <c r="I95" s="33" t="inlineStr">
        <is>
          <t>Papel</t>
        </is>
      </c>
      <c r="J95" s="17" t="inlineStr">
        <is>
          <t>A5 duplicado</t>
        </is>
      </c>
      <c r="K95" s="33" t="inlineStr">
        <is>
          <t>Proceso</t>
        </is>
      </c>
      <c r="L95" s="33" t="inlineStr">
        <is>
          <t>Sí</t>
        </is>
      </c>
      <c r="M95" s="17" t="inlineStr">
        <is>
          <t>Astuprint</t>
        </is>
      </c>
      <c r="N95" s="17" t="inlineStr">
        <is>
          <t>-</t>
        </is>
      </c>
      <c r="O95" s="17" t="n"/>
      <c r="P95" s="17" t="n"/>
      <c r="Q95" s="33" t="inlineStr">
        <is>
          <t>I</t>
        </is>
      </c>
      <c r="R95" s="33" t="inlineStr">
        <is>
          <t>FL_SUS_CLASED_9l</t>
        </is>
      </c>
      <c r="S95" s="17" t="inlineStr">
        <is>
          <t>Práctica de mercado relevada (Fullmat, Rodo, Eversafe)</t>
        </is>
      </c>
    </row>
    <row r="96">
      <c r="A96" s="27" t="inlineStr">
        <is>
          <t>FL_SUS_ABC_25kg</t>
        </is>
      </c>
      <c r="B96" s="27" t="n">
        <v>0</v>
      </c>
      <c r="C96" s="27" t="inlineStr">
        <is>
          <t>FL_SUS_ABC_25kg</t>
        </is>
      </c>
      <c r="D96" s="28" t="inlineStr">
        <is>
          <t>Extintor sustituto para Extintor ABC 25 kg sobre ruedas</t>
        </is>
      </c>
      <c r="E96" s="27" t="n">
        <v>1</v>
      </c>
      <c r="F96" s="27" t="inlineStr">
        <is>
          <t>u</t>
        </is>
      </c>
      <c r="G96" s="29" t="n"/>
      <c r="H96" s="29" t="n"/>
      <c r="I96" s="27" t="n"/>
      <c r="J96" s="28" t="n"/>
      <c r="K96" s="27" t="n"/>
      <c r="L96" s="27" t="n"/>
      <c r="M96" s="28" t="n"/>
      <c r="N96" s="28" t="n"/>
      <c r="O96" s="28" t="n"/>
      <c r="P96" s="28" t="inlineStr">
        <is>
          <t>IRAM 3517-2:2020 9.4.5</t>
        </is>
      </c>
      <c r="Q96" s="27" t="inlineStr">
        <is>
          <t>N</t>
        </is>
      </c>
      <c r="R96" s="27" t="inlineStr">
        <is>
          <t>FL_SUS_ABC_25kg</t>
        </is>
      </c>
      <c r="S96" s="28" t="inlineStr">
        <is>
          <t>Unitario: el tamaño del parque de sustitutos se dimensiona aparte</t>
        </is>
      </c>
    </row>
    <row r="97">
      <c r="A97" s="30" t="inlineStr">
        <is>
          <t>FL_SUS_ABC_25kg</t>
        </is>
      </c>
      <c r="B97" s="30" t="n">
        <v>1</v>
      </c>
      <c r="C97" s="30" t="inlineStr">
        <is>
          <t>FL_MAT_ABC_25kg</t>
        </is>
      </c>
      <c r="D97" s="31" t="inlineStr">
        <is>
          <t xml:space="preserve">    Extintor base: Extintor ABC 25 kg sobre ruedas (mismo modelo)</t>
        </is>
      </c>
      <c r="E97" s="30" t="n">
        <v>1</v>
      </c>
      <c r="F97" s="30" t="inlineStr">
        <is>
          <t>u</t>
        </is>
      </c>
      <c r="G97" s="32" t="n"/>
      <c r="H97" s="32" t="n"/>
      <c r="I97" s="30" t="n"/>
      <c r="J97" s="31" t="n"/>
      <c r="K97" s="30" t="inlineStr">
        <is>
          <t>Stock FLAMA (fabricación propia)</t>
        </is>
      </c>
      <c r="L97" s="30" t="inlineStr">
        <is>
          <t>No</t>
        </is>
      </c>
      <c r="M97" s="31" t="n"/>
      <c r="N97" s="31" t="n"/>
      <c r="O97" s="31" t="n"/>
      <c r="P97" s="31" t="inlineStr">
        <is>
          <t>IRAM 3517-2:2020 9.4.5</t>
        </is>
      </c>
      <c r="Q97" s="30" t="inlineStr">
        <is>
          <t>N</t>
        </is>
      </c>
      <c r="R97" s="30" t="inlineStr">
        <is>
          <t>FL_SUS_ABC_25kg</t>
        </is>
      </c>
      <c r="S97" s="31" t="inlineStr">
        <is>
          <t>Igual clasificación y capacidad; mantenimiento vigente. BOM: hoja FL_MAT_ABC_25kg · No entra en MRP del kit: es demanda del producto FL_MAT (stock)</t>
        </is>
      </c>
    </row>
    <row r="98">
      <c r="A98" s="30" t="inlineStr">
        <is>
          <t>FL_SUS_ABC_25kg</t>
        </is>
      </c>
      <c r="B98" s="30" t="n">
        <v>1</v>
      </c>
      <c r="C98" s="30" t="inlineStr">
        <is>
          <t>SUS-ABC_25kg-K</t>
        </is>
      </c>
      <c r="D98" s="31" t="inlineStr">
        <is>
          <t xml:space="preserve">    Identificación de extintor sustituto</t>
        </is>
      </c>
      <c r="E98" s="30" t="n">
        <v>1</v>
      </c>
      <c r="F98" s="30" t="inlineStr">
        <is>
          <t>u</t>
        </is>
      </c>
      <c r="G98" s="32" t="n"/>
      <c r="H98" s="32" t="n"/>
      <c r="I98" s="30" t="n"/>
      <c r="J98" s="31" t="n"/>
      <c r="K98" s="30" t="inlineStr">
        <is>
          <t>Compra</t>
        </is>
      </c>
      <c r="L98" s="30" t="n"/>
      <c r="M98" s="31" t="n"/>
      <c r="N98" s="31" t="n"/>
      <c r="O98" s="31" t="n"/>
      <c r="P98" s="31" t="n"/>
      <c r="Q98" s="30" t="inlineStr">
        <is>
          <t>N</t>
        </is>
      </c>
      <c r="R98" s="30" t="inlineStr">
        <is>
          <t>FL_SUS_ABC_25kg</t>
        </is>
      </c>
      <c r="S98" s="31" t="n"/>
    </row>
    <row r="99">
      <c r="A99" s="33" t="inlineStr">
        <is>
          <t>FL_SUS_ABC_25kg</t>
        </is>
      </c>
      <c r="B99" s="33" t="n">
        <v>2</v>
      </c>
      <c r="C99" s="33" t="inlineStr">
        <is>
          <t>SUS-ABC_25kg-01</t>
        </is>
      </c>
      <c r="D99" s="17" t="inlineStr">
        <is>
          <t xml:space="preserve">        Faja amarilla de sustituto en la pollera (3 leyendas)</t>
        </is>
      </c>
      <c r="E99" s="33" t="n">
        <v>1</v>
      </c>
      <c r="F99" s="33" t="inlineStr">
        <is>
          <t>u</t>
        </is>
      </c>
      <c r="G99" s="34" t="n"/>
      <c r="H99" s="34" t="n"/>
      <c r="I99" s="33" t="inlineStr">
        <is>
          <t>Cinta vinílica autoadhesiva amarilla</t>
        </is>
      </c>
      <c r="J99" s="17" t="inlineStr">
        <is>
          <t>40 × 889 (alto ≤ 40; perímetro + 20 de solape)</t>
        </is>
      </c>
      <c r="K99" s="33" t="inlineStr">
        <is>
          <t>Compra</t>
        </is>
      </c>
      <c r="L99" s="33" t="inlineStr">
        <is>
          <t>Sí</t>
        </is>
      </c>
      <c r="M99" s="17" t="inlineStr">
        <is>
          <t>Astuprint</t>
        </is>
      </c>
      <c r="N99" s="17" t="inlineStr">
        <is>
          <t>Multilabel Argentina S.A.</t>
        </is>
      </c>
      <c r="O99" s="17" t="n"/>
      <c r="P99" s="17" t="inlineStr">
        <is>
          <t>IRAM 3517-2:2020 9.4.5 b)</t>
        </is>
      </c>
      <c r="Q99" s="33" t="inlineStr">
        <is>
          <t>N</t>
        </is>
      </c>
      <c r="R99" s="33" t="inlineStr">
        <is>
          <t>FL_SUS_ABC_25kg</t>
        </is>
      </c>
      <c r="S99" s="17" t="inlineStr">
        <is>
          <t>Leyendas: extintor sustituto / reemplaza al equipo de este puesto en mantenimiento o recarga / FLAMA S.A. (datos y logo). Proveedor a cotizar</t>
        </is>
      </c>
    </row>
    <row r="100">
      <c r="A100" s="33" t="inlineStr">
        <is>
          <t>FL_SUS_ABC_25kg</t>
        </is>
      </c>
      <c r="B100" s="33" t="n">
        <v>2</v>
      </c>
      <c r="C100" s="33" t="inlineStr">
        <is>
          <t>SUS-ABC_25kg-02</t>
        </is>
      </c>
      <c r="D100" s="17" t="inlineStr">
        <is>
          <t xml:space="preserve">        Tarjeta de identificación DPS con sello «SUSTITUTO HABILITADO»</t>
        </is>
      </c>
      <c r="E100" s="33" t="n">
        <v>1</v>
      </c>
      <c r="F100" s="33" t="inlineStr">
        <is>
          <t>u</t>
        </is>
      </c>
      <c r="G100" s="34" t="n"/>
      <c r="H100" s="34" t="n"/>
      <c r="I100" s="33" t="inlineStr">
        <is>
          <t>Tarjeta oficial DPS (PBA)</t>
        </is>
      </c>
      <c r="J100" s="17" t="inlineStr">
        <is>
          <t>formato oficial</t>
        </is>
      </c>
      <c r="K100" s="33" t="inlineStr">
        <is>
          <t>Compra (organismo)</t>
        </is>
      </c>
      <c r="L100" s="33" t="inlineStr">
        <is>
          <t>Sí</t>
        </is>
      </c>
      <c r="M100" s="17" t="inlineStr">
        <is>
          <t>Ministerio de Ambiente PBA (ex OPDS)</t>
        </is>
      </c>
      <c r="N100" s="17" t="inlineStr">
        <is>
          <t>-</t>
        </is>
      </c>
      <c r="O100" s="17" t="n"/>
      <c r="P100" s="17" t="inlineStr">
        <is>
          <t>Res. 349/07 art. 32</t>
        </is>
      </c>
      <c r="Q100" s="33" t="inlineStr">
        <is>
          <t>N</t>
        </is>
      </c>
      <c r="R100" s="33" t="inlineStr">
        <is>
          <t>FL_SUS_ABC_25kg</t>
        </is>
      </c>
      <c r="S100" s="17" t="inlineStr">
        <is>
          <t>Sólo PBA; reutilizable en cada revisión de carga; n° del extintor asentado en el libro de actas</t>
        </is>
      </c>
    </row>
    <row r="101">
      <c r="A101" s="33" t="inlineStr">
        <is>
          <t>FL_SUS_ABC_25kg</t>
        </is>
      </c>
      <c r="B101" s="33" t="n">
        <v>2</v>
      </c>
      <c r="C101" s="33" t="inlineStr">
        <is>
          <t>SUS-ABC_25kg-03</t>
        </is>
      </c>
      <c r="D101" s="17" t="inlineStr">
        <is>
          <t xml:space="preserve">        Tarjeta AGC con «Es sustituto» (sin domicilio de instalación)</t>
        </is>
      </c>
      <c r="E101" s="33" t="n">
        <v>1</v>
      </c>
      <c r="F101" s="33" t="inlineStr">
        <is>
          <t>u</t>
        </is>
      </c>
      <c r="G101" s="34" t="n"/>
      <c r="H101" s="34" t="n"/>
      <c r="I101" s="33" t="inlineStr">
        <is>
          <t>Etiqueta autoadhesiva AGC</t>
        </is>
      </c>
      <c r="J101" s="17" t="inlineStr">
        <is>
          <t>formato oficial</t>
        </is>
      </c>
      <c r="K101" s="33" t="inlineStr">
        <is>
          <t>Compra (organismo)</t>
        </is>
      </c>
      <c r="L101" s="33" t="inlineStr">
        <is>
          <t>Sí</t>
        </is>
      </c>
      <c r="M101" s="17" t="inlineStr">
        <is>
          <t>Agencia Gubernamental de Control (CABA)</t>
        </is>
      </c>
      <c r="N101" s="17" t="inlineStr">
        <is>
          <t>-</t>
        </is>
      </c>
      <c r="O101" s="17" t="n"/>
      <c r="P101" s="17" t="inlineStr">
        <is>
          <t>Res. AGC 32/15 anexo II</t>
        </is>
      </c>
      <c r="Q101" s="33" t="inlineStr">
        <is>
          <t>N</t>
        </is>
      </c>
      <c r="R101" s="33" t="inlineStr">
        <is>
          <t>FL_SUS_ABC_25kg</t>
        </is>
      </c>
      <c r="S101" s="17" t="inlineStr">
        <is>
          <t>Sólo CABA</t>
        </is>
      </c>
    </row>
    <row r="102">
      <c r="A102" s="33" t="inlineStr">
        <is>
          <t>FL_SUS_ABC_25kg</t>
        </is>
      </c>
      <c r="B102" s="33" t="n">
        <v>2</v>
      </c>
      <c r="C102" s="33" t="inlineStr">
        <is>
          <t>SUS-ABC_25kg-04</t>
        </is>
      </c>
      <c r="D102" s="17" t="inlineStr">
        <is>
          <t xml:space="preserve">        Remito de préstamo con membrete (n° de extintor, puesto, equipo retirado, fechas)</t>
        </is>
      </c>
      <c r="E102" s="33" t="n">
        <v>1</v>
      </c>
      <c r="F102" s="33" t="inlineStr">
        <is>
          <t>u/préstamo</t>
        </is>
      </c>
      <c r="G102" s="34" t="n"/>
      <c r="H102" s="34" t="n"/>
      <c r="I102" s="33" t="inlineStr">
        <is>
          <t>Papel</t>
        </is>
      </c>
      <c r="J102" s="17" t="inlineStr">
        <is>
          <t>A5 duplicado</t>
        </is>
      </c>
      <c r="K102" s="33" t="inlineStr">
        <is>
          <t>Proceso</t>
        </is>
      </c>
      <c r="L102" s="33" t="inlineStr">
        <is>
          <t>Sí</t>
        </is>
      </c>
      <c r="M102" s="17" t="inlineStr">
        <is>
          <t>Astuprint</t>
        </is>
      </c>
      <c r="N102" s="17" t="inlineStr">
        <is>
          <t>-</t>
        </is>
      </c>
      <c r="O102" s="17" t="n"/>
      <c r="P102" s="17" t="n"/>
      <c r="Q102" s="33" t="inlineStr">
        <is>
          <t>I</t>
        </is>
      </c>
      <c r="R102" s="33" t="inlineStr">
        <is>
          <t>FL_SUS_ABC_25kg</t>
        </is>
      </c>
      <c r="S102" s="17" t="inlineStr">
        <is>
          <t>Práctica de mercado relevada (Fullmat, Rodo, Eversafe)</t>
        </is>
      </c>
    </row>
    <row r="103">
      <c r="A103" s="27" t="inlineStr">
        <is>
          <t>FL_SUS_ABC_50kg</t>
        </is>
      </c>
      <c r="B103" s="27" t="n">
        <v>0</v>
      </c>
      <c r="C103" s="27" t="inlineStr">
        <is>
          <t>FL_SUS_ABC_50kg</t>
        </is>
      </c>
      <c r="D103" s="28" t="inlineStr">
        <is>
          <t>Extintor sustituto para Extintor ABC 50 kg sobre ruedas</t>
        </is>
      </c>
      <c r="E103" s="27" t="n">
        <v>1</v>
      </c>
      <c r="F103" s="27" t="inlineStr">
        <is>
          <t>u</t>
        </is>
      </c>
      <c r="G103" s="29" t="n"/>
      <c r="H103" s="29" t="n"/>
      <c r="I103" s="27" t="n"/>
      <c r="J103" s="28" t="n"/>
      <c r="K103" s="27" t="n"/>
      <c r="L103" s="27" t="n"/>
      <c r="M103" s="28" t="n"/>
      <c r="N103" s="28" t="n"/>
      <c r="O103" s="28" t="n"/>
      <c r="P103" s="28" t="inlineStr">
        <is>
          <t>IRAM 3517-2:2020 9.4.5</t>
        </is>
      </c>
      <c r="Q103" s="27" t="inlineStr">
        <is>
          <t>N</t>
        </is>
      </c>
      <c r="R103" s="27" t="inlineStr">
        <is>
          <t>FL_SUS_ABC_50kg</t>
        </is>
      </c>
      <c r="S103" s="28" t="inlineStr">
        <is>
          <t>Unitario: el tamaño del parque de sustitutos se dimensiona aparte</t>
        </is>
      </c>
    </row>
    <row r="104">
      <c r="A104" s="30" t="inlineStr">
        <is>
          <t>FL_SUS_ABC_50kg</t>
        </is>
      </c>
      <c r="B104" s="30" t="n">
        <v>1</v>
      </c>
      <c r="C104" s="30" t="inlineStr">
        <is>
          <t>FL_MAT_ABC_50kg</t>
        </is>
      </c>
      <c r="D104" s="31" t="inlineStr">
        <is>
          <t xml:space="preserve">    Extintor base: Extintor ABC 50 kg sobre ruedas (mismo modelo)</t>
        </is>
      </c>
      <c r="E104" s="30" t="n">
        <v>1</v>
      </c>
      <c r="F104" s="30" t="inlineStr">
        <is>
          <t>u</t>
        </is>
      </c>
      <c r="G104" s="32" t="n"/>
      <c r="H104" s="32" t="n"/>
      <c r="I104" s="30" t="n"/>
      <c r="J104" s="31" t="n"/>
      <c r="K104" s="30" t="inlineStr">
        <is>
          <t>Stock FLAMA (fabricación propia)</t>
        </is>
      </c>
      <c r="L104" s="30" t="inlineStr">
        <is>
          <t>No</t>
        </is>
      </c>
      <c r="M104" s="31" t="n"/>
      <c r="N104" s="31" t="n"/>
      <c r="O104" s="31" t="n"/>
      <c r="P104" s="31" t="inlineStr">
        <is>
          <t>IRAM 3517-2:2020 9.4.5</t>
        </is>
      </c>
      <c r="Q104" s="30" t="inlineStr">
        <is>
          <t>N</t>
        </is>
      </c>
      <c r="R104" s="30" t="inlineStr">
        <is>
          <t>FL_SUS_ABC_50kg</t>
        </is>
      </c>
      <c r="S104" s="31" t="inlineStr">
        <is>
          <t>Igual clasificación y capacidad; mantenimiento vigente. BOM: hoja FL_MAT_ABC_50kg · No entra en MRP del kit: es demanda del producto FL_MAT (stock)</t>
        </is>
      </c>
    </row>
    <row r="105">
      <c r="A105" s="30" t="inlineStr">
        <is>
          <t>FL_SUS_ABC_50kg</t>
        </is>
      </c>
      <c r="B105" s="30" t="n">
        <v>1</v>
      </c>
      <c r="C105" s="30" t="inlineStr">
        <is>
          <t>SUS-ABC_50kg-K</t>
        </is>
      </c>
      <c r="D105" s="31" t="inlineStr">
        <is>
          <t xml:space="preserve">    Identificación de extintor sustituto</t>
        </is>
      </c>
      <c r="E105" s="30" t="n">
        <v>1</v>
      </c>
      <c r="F105" s="30" t="inlineStr">
        <is>
          <t>u</t>
        </is>
      </c>
      <c r="G105" s="32" t="n"/>
      <c r="H105" s="32" t="n"/>
      <c r="I105" s="30" t="n"/>
      <c r="J105" s="31" t="n"/>
      <c r="K105" s="30" t="inlineStr">
        <is>
          <t>Compra</t>
        </is>
      </c>
      <c r="L105" s="30" t="n"/>
      <c r="M105" s="31" t="n"/>
      <c r="N105" s="31" t="n"/>
      <c r="O105" s="31" t="n"/>
      <c r="P105" s="31" t="n"/>
      <c r="Q105" s="30" t="inlineStr">
        <is>
          <t>N</t>
        </is>
      </c>
      <c r="R105" s="30" t="inlineStr">
        <is>
          <t>FL_SUS_ABC_50kg</t>
        </is>
      </c>
      <c r="S105" s="31" t="n"/>
    </row>
    <row r="106">
      <c r="A106" s="33" t="inlineStr">
        <is>
          <t>FL_SUS_ABC_50kg</t>
        </is>
      </c>
      <c r="B106" s="33" t="n">
        <v>2</v>
      </c>
      <c r="C106" s="33" t="inlineStr">
        <is>
          <t>SUS-ABC_50kg-01</t>
        </is>
      </c>
      <c r="D106" s="17" t="inlineStr">
        <is>
          <t xml:space="preserve">        Faja amarilla de sustituto en la pollera (3 leyendas)</t>
        </is>
      </c>
      <c r="E106" s="33" t="n">
        <v>1</v>
      </c>
      <c r="F106" s="33" t="inlineStr">
        <is>
          <t>u</t>
        </is>
      </c>
      <c r="G106" s="34" t="n"/>
      <c r="H106" s="34" t="n"/>
      <c r="I106" s="33" t="inlineStr">
        <is>
          <t>Cinta vinílica autoadhesiva amarilla</t>
        </is>
      </c>
      <c r="J106" s="17" t="inlineStr">
        <is>
          <t>40 × 1025 (alto ≤ 40; perímetro + 20 de solape)</t>
        </is>
      </c>
      <c r="K106" s="33" t="inlineStr">
        <is>
          <t>Compra</t>
        </is>
      </c>
      <c r="L106" s="33" t="inlineStr">
        <is>
          <t>Sí</t>
        </is>
      </c>
      <c r="M106" s="17" t="inlineStr">
        <is>
          <t>Astuprint</t>
        </is>
      </c>
      <c r="N106" s="17" t="inlineStr">
        <is>
          <t>Multilabel Argentina S.A.</t>
        </is>
      </c>
      <c r="O106" s="17" t="n"/>
      <c r="P106" s="17" t="inlineStr">
        <is>
          <t>IRAM 3517-2:2020 9.4.5 b)</t>
        </is>
      </c>
      <c r="Q106" s="33" t="inlineStr">
        <is>
          <t>N</t>
        </is>
      </c>
      <c r="R106" s="33" t="inlineStr">
        <is>
          <t>FL_SUS_ABC_50kg</t>
        </is>
      </c>
      <c r="S106" s="17" t="inlineStr">
        <is>
          <t>Leyendas: extintor sustituto / reemplaza al equipo de este puesto en mantenimiento o recarga / FLAMA S.A. (datos y logo). Proveedor a cotizar</t>
        </is>
      </c>
    </row>
    <row r="107">
      <c r="A107" s="33" t="inlineStr">
        <is>
          <t>FL_SUS_ABC_50kg</t>
        </is>
      </c>
      <c r="B107" s="33" t="n">
        <v>2</v>
      </c>
      <c r="C107" s="33" t="inlineStr">
        <is>
          <t>SUS-ABC_50kg-02</t>
        </is>
      </c>
      <c r="D107" s="17" t="inlineStr">
        <is>
          <t xml:space="preserve">        Tarjeta de identificación DPS con sello «SUSTITUTO HABILITADO»</t>
        </is>
      </c>
      <c r="E107" s="33" t="n">
        <v>1</v>
      </c>
      <c r="F107" s="33" t="inlineStr">
        <is>
          <t>u</t>
        </is>
      </c>
      <c r="G107" s="34" t="n"/>
      <c r="H107" s="34" t="n"/>
      <c r="I107" s="33" t="inlineStr">
        <is>
          <t>Tarjeta oficial DPS (PBA)</t>
        </is>
      </c>
      <c r="J107" s="17" t="inlineStr">
        <is>
          <t>formato oficial</t>
        </is>
      </c>
      <c r="K107" s="33" t="inlineStr">
        <is>
          <t>Compra (organismo)</t>
        </is>
      </c>
      <c r="L107" s="33" t="inlineStr">
        <is>
          <t>Sí</t>
        </is>
      </c>
      <c r="M107" s="17" t="inlineStr">
        <is>
          <t>Ministerio de Ambiente PBA (ex OPDS)</t>
        </is>
      </c>
      <c r="N107" s="17" t="inlineStr">
        <is>
          <t>-</t>
        </is>
      </c>
      <c r="O107" s="17" t="n"/>
      <c r="P107" s="17" t="inlineStr">
        <is>
          <t>Res. 349/07 art. 32</t>
        </is>
      </c>
      <c r="Q107" s="33" t="inlineStr">
        <is>
          <t>N</t>
        </is>
      </c>
      <c r="R107" s="33" t="inlineStr">
        <is>
          <t>FL_SUS_ABC_50kg</t>
        </is>
      </c>
      <c r="S107" s="17" t="inlineStr">
        <is>
          <t>Sólo PBA; reutilizable en cada revisión de carga; n° del extintor asentado en el libro de actas</t>
        </is>
      </c>
    </row>
    <row r="108">
      <c r="A108" s="33" t="inlineStr">
        <is>
          <t>FL_SUS_ABC_50kg</t>
        </is>
      </c>
      <c r="B108" s="33" t="n">
        <v>2</v>
      </c>
      <c r="C108" s="33" t="inlineStr">
        <is>
          <t>SUS-ABC_50kg-03</t>
        </is>
      </c>
      <c r="D108" s="17" t="inlineStr">
        <is>
          <t xml:space="preserve">        Tarjeta AGC con «Es sustituto» (sin domicilio de instalación)</t>
        </is>
      </c>
      <c r="E108" s="33" t="n">
        <v>1</v>
      </c>
      <c r="F108" s="33" t="inlineStr">
        <is>
          <t>u</t>
        </is>
      </c>
      <c r="G108" s="34" t="n"/>
      <c r="H108" s="34" t="n"/>
      <c r="I108" s="33" t="inlineStr">
        <is>
          <t>Etiqueta autoadhesiva AGC</t>
        </is>
      </c>
      <c r="J108" s="17" t="inlineStr">
        <is>
          <t>formato oficial</t>
        </is>
      </c>
      <c r="K108" s="33" t="inlineStr">
        <is>
          <t>Compra (organismo)</t>
        </is>
      </c>
      <c r="L108" s="33" t="inlineStr">
        <is>
          <t>Sí</t>
        </is>
      </c>
      <c r="M108" s="17" t="inlineStr">
        <is>
          <t>Agencia Gubernamental de Control (CABA)</t>
        </is>
      </c>
      <c r="N108" s="17" t="inlineStr">
        <is>
          <t>-</t>
        </is>
      </c>
      <c r="O108" s="17" t="n"/>
      <c r="P108" s="17" t="inlineStr">
        <is>
          <t>Res. AGC 32/15 anexo II</t>
        </is>
      </c>
      <c r="Q108" s="33" t="inlineStr">
        <is>
          <t>N</t>
        </is>
      </c>
      <c r="R108" s="33" t="inlineStr">
        <is>
          <t>FL_SUS_ABC_50kg</t>
        </is>
      </c>
      <c r="S108" s="17" t="inlineStr">
        <is>
          <t>Sólo CABA</t>
        </is>
      </c>
    </row>
    <row r="109">
      <c r="A109" s="33" t="inlineStr">
        <is>
          <t>FL_SUS_ABC_50kg</t>
        </is>
      </c>
      <c r="B109" s="33" t="n">
        <v>2</v>
      </c>
      <c r="C109" s="33" t="inlineStr">
        <is>
          <t>SUS-ABC_50kg-04</t>
        </is>
      </c>
      <c r="D109" s="17" t="inlineStr">
        <is>
          <t xml:space="preserve">        Remito de préstamo con membrete (n° de extintor, puesto, equipo retirado, fechas)</t>
        </is>
      </c>
      <c r="E109" s="33" t="n">
        <v>1</v>
      </c>
      <c r="F109" s="33" t="inlineStr">
        <is>
          <t>u/préstamo</t>
        </is>
      </c>
      <c r="G109" s="34" t="n"/>
      <c r="H109" s="34" t="n"/>
      <c r="I109" s="33" t="inlineStr">
        <is>
          <t>Papel</t>
        </is>
      </c>
      <c r="J109" s="17" t="inlineStr">
        <is>
          <t>A5 duplicado</t>
        </is>
      </c>
      <c r="K109" s="33" t="inlineStr">
        <is>
          <t>Proceso</t>
        </is>
      </c>
      <c r="L109" s="33" t="inlineStr">
        <is>
          <t>Sí</t>
        </is>
      </c>
      <c r="M109" s="17" t="inlineStr">
        <is>
          <t>Astuprint</t>
        </is>
      </c>
      <c r="N109" s="17" t="inlineStr">
        <is>
          <t>-</t>
        </is>
      </c>
      <c r="O109" s="17" t="n"/>
      <c r="P109" s="17" t="n"/>
      <c r="Q109" s="33" t="inlineStr">
        <is>
          <t>I</t>
        </is>
      </c>
      <c r="R109" s="33" t="inlineStr">
        <is>
          <t>FL_SUS_ABC_50kg</t>
        </is>
      </c>
      <c r="S109" s="17" t="inlineStr">
        <is>
          <t>Práctica de mercado relevada (Fullmat, Rodo, Eversafe)</t>
        </is>
      </c>
    </row>
    <row r="110">
      <c r="A110" s="27" t="inlineStr">
        <is>
          <t>FL_SUS_ABC_70kg</t>
        </is>
      </c>
      <c r="B110" s="27" t="n">
        <v>0</v>
      </c>
      <c r="C110" s="27" t="inlineStr">
        <is>
          <t>FL_SUS_ABC_70kg</t>
        </is>
      </c>
      <c r="D110" s="28" t="inlineStr">
        <is>
          <t>Extintor sustituto para Extintor ABC 70 kg sobre ruedas</t>
        </is>
      </c>
      <c r="E110" s="27" t="n">
        <v>1</v>
      </c>
      <c r="F110" s="27" t="inlineStr">
        <is>
          <t>u</t>
        </is>
      </c>
      <c r="G110" s="29" t="n"/>
      <c r="H110" s="29" t="n"/>
      <c r="I110" s="27" t="n"/>
      <c r="J110" s="28" t="n"/>
      <c r="K110" s="27" t="n"/>
      <c r="L110" s="27" t="n"/>
      <c r="M110" s="28" t="n"/>
      <c r="N110" s="28" t="n"/>
      <c r="O110" s="28" t="n"/>
      <c r="P110" s="28" t="inlineStr">
        <is>
          <t>IRAM 3517-2:2020 9.4.5</t>
        </is>
      </c>
      <c r="Q110" s="27" t="inlineStr">
        <is>
          <t>N</t>
        </is>
      </c>
      <c r="R110" s="27" t="inlineStr">
        <is>
          <t>FL_SUS_ABC_70kg</t>
        </is>
      </c>
      <c r="S110" s="28" t="inlineStr">
        <is>
          <t>Unitario: el tamaño del parque de sustitutos se dimensiona aparte</t>
        </is>
      </c>
    </row>
    <row r="111">
      <c r="A111" s="30" t="inlineStr">
        <is>
          <t>FL_SUS_ABC_70kg</t>
        </is>
      </c>
      <c r="B111" s="30" t="n">
        <v>1</v>
      </c>
      <c r="C111" s="30" t="inlineStr">
        <is>
          <t>FL_MAT_ABC_70kg</t>
        </is>
      </c>
      <c r="D111" s="31" t="inlineStr">
        <is>
          <t xml:space="preserve">    Extintor base: Extintor ABC 70 kg sobre ruedas (mismo modelo)</t>
        </is>
      </c>
      <c r="E111" s="30" t="n">
        <v>1</v>
      </c>
      <c r="F111" s="30" t="inlineStr">
        <is>
          <t>u</t>
        </is>
      </c>
      <c r="G111" s="32" t="n"/>
      <c r="H111" s="32" t="n"/>
      <c r="I111" s="30" t="n"/>
      <c r="J111" s="31" t="n"/>
      <c r="K111" s="30" t="inlineStr">
        <is>
          <t>Stock FLAMA (fabricación propia)</t>
        </is>
      </c>
      <c r="L111" s="30" t="inlineStr">
        <is>
          <t>No</t>
        </is>
      </c>
      <c r="M111" s="31" t="n"/>
      <c r="N111" s="31" t="n"/>
      <c r="O111" s="31" t="n"/>
      <c r="P111" s="31" t="inlineStr">
        <is>
          <t>IRAM 3517-2:2020 9.4.5</t>
        </is>
      </c>
      <c r="Q111" s="30" t="inlineStr">
        <is>
          <t>N</t>
        </is>
      </c>
      <c r="R111" s="30" t="inlineStr">
        <is>
          <t>FL_SUS_ABC_70kg</t>
        </is>
      </c>
      <c r="S111" s="31" t="inlineStr">
        <is>
          <t>Igual clasificación y capacidad; mantenimiento vigente. BOM: hoja FL_MAT_ABC_70kg · No entra en MRP del kit: es demanda del producto FL_MAT (stock)</t>
        </is>
      </c>
    </row>
    <row r="112">
      <c r="A112" s="30" t="inlineStr">
        <is>
          <t>FL_SUS_ABC_70kg</t>
        </is>
      </c>
      <c r="B112" s="30" t="n">
        <v>1</v>
      </c>
      <c r="C112" s="30" t="inlineStr">
        <is>
          <t>SUS-ABC_70kg-K</t>
        </is>
      </c>
      <c r="D112" s="31" t="inlineStr">
        <is>
          <t xml:space="preserve">    Identificación de extintor sustituto</t>
        </is>
      </c>
      <c r="E112" s="30" t="n">
        <v>1</v>
      </c>
      <c r="F112" s="30" t="inlineStr">
        <is>
          <t>u</t>
        </is>
      </c>
      <c r="G112" s="32" t="n"/>
      <c r="H112" s="32" t="n"/>
      <c r="I112" s="30" t="n"/>
      <c r="J112" s="31" t="n"/>
      <c r="K112" s="30" t="inlineStr">
        <is>
          <t>Compra</t>
        </is>
      </c>
      <c r="L112" s="30" t="n"/>
      <c r="M112" s="31" t="n"/>
      <c r="N112" s="31" t="n"/>
      <c r="O112" s="31" t="n"/>
      <c r="P112" s="31" t="n"/>
      <c r="Q112" s="30" t="inlineStr">
        <is>
          <t>N</t>
        </is>
      </c>
      <c r="R112" s="30" t="inlineStr">
        <is>
          <t>FL_SUS_ABC_70kg</t>
        </is>
      </c>
      <c r="S112" s="31" t="n"/>
    </row>
    <row r="113">
      <c r="A113" s="33" t="inlineStr">
        <is>
          <t>FL_SUS_ABC_70kg</t>
        </is>
      </c>
      <c r="B113" s="33" t="n">
        <v>2</v>
      </c>
      <c r="C113" s="33" t="inlineStr">
        <is>
          <t>SUS-ABC_70kg-01</t>
        </is>
      </c>
      <c r="D113" s="17" t="inlineStr">
        <is>
          <t xml:space="preserve">        Faja amarilla de sustituto en la pollera (3 leyendas)</t>
        </is>
      </c>
      <c r="E113" s="33" t="n">
        <v>1</v>
      </c>
      <c r="F113" s="33" t="inlineStr">
        <is>
          <t>u</t>
        </is>
      </c>
      <c r="G113" s="34" t="n"/>
      <c r="H113" s="34" t="n"/>
      <c r="I113" s="33" t="inlineStr">
        <is>
          <t>Cinta vinílica autoadhesiva amarilla</t>
        </is>
      </c>
      <c r="J113" s="17" t="inlineStr">
        <is>
          <t>40 × 1120 (alto ≤ 40; perímetro + 20 de solape)</t>
        </is>
      </c>
      <c r="K113" s="33" t="inlineStr">
        <is>
          <t>Compra</t>
        </is>
      </c>
      <c r="L113" s="33" t="inlineStr">
        <is>
          <t>Sí</t>
        </is>
      </c>
      <c r="M113" s="17" t="inlineStr">
        <is>
          <t>Astuprint</t>
        </is>
      </c>
      <c r="N113" s="17" t="inlineStr">
        <is>
          <t>Multilabel Argentina S.A.</t>
        </is>
      </c>
      <c r="O113" s="17" t="n"/>
      <c r="P113" s="17" t="inlineStr">
        <is>
          <t>IRAM 3517-2:2020 9.4.5 b)</t>
        </is>
      </c>
      <c r="Q113" s="33" t="inlineStr">
        <is>
          <t>N</t>
        </is>
      </c>
      <c r="R113" s="33" t="inlineStr">
        <is>
          <t>FL_SUS_ABC_70kg</t>
        </is>
      </c>
      <c r="S113" s="17" t="inlineStr">
        <is>
          <t>Leyendas: extintor sustituto / reemplaza al equipo de este puesto en mantenimiento o recarga / FLAMA S.A. (datos y logo). Proveedor a cotizar</t>
        </is>
      </c>
    </row>
    <row r="114">
      <c r="A114" s="33" t="inlineStr">
        <is>
          <t>FL_SUS_ABC_70kg</t>
        </is>
      </c>
      <c r="B114" s="33" t="n">
        <v>2</v>
      </c>
      <c r="C114" s="33" t="inlineStr">
        <is>
          <t>SUS-ABC_70kg-02</t>
        </is>
      </c>
      <c r="D114" s="17" t="inlineStr">
        <is>
          <t xml:space="preserve">        Tarjeta de identificación DPS con sello «SUSTITUTO HABILITADO»</t>
        </is>
      </c>
      <c r="E114" s="33" t="n">
        <v>1</v>
      </c>
      <c r="F114" s="33" t="inlineStr">
        <is>
          <t>u</t>
        </is>
      </c>
      <c r="G114" s="34" t="n"/>
      <c r="H114" s="34" t="n"/>
      <c r="I114" s="33" t="inlineStr">
        <is>
          <t>Tarjeta oficial DPS (PBA)</t>
        </is>
      </c>
      <c r="J114" s="17" t="inlineStr">
        <is>
          <t>formato oficial</t>
        </is>
      </c>
      <c r="K114" s="33" t="inlineStr">
        <is>
          <t>Compra (organismo)</t>
        </is>
      </c>
      <c r="L114" s="33" t="inlineStr">
        <is>
          <t>Sí</t>
        </is>
      </c>
      <c r="M114" s="17" t="inlineStr">
        <is>
          <t>Ministerio de Ambiente PBA (ex OPDS)</t>
        </is>
      </c>
      <c r="N114" s="17" t="inlineStr">
        <is>
          <t>-</t>
        </is>
      </c>
      <c r="O114" s="17" t="n"/>
      <c r="P114" s="17" t="inlineStr">
        <is>
          <t>Res. 349/07 art. 32</t>
        </is>
      </c>
      <c r="Q114" s="33" t="inlineStr">
        <is>
          <t>N</t>
        </is>
      </c>
      <c r="R114" s="33" t="inlineStr">
        <is>
          <t>FL_SUS_ABC_70kg</t>
        </is>
      </c>
      <c r="S114" s="17" t="inlineStr">
        <is>
          <t>Sólo PBA; reutilizable en cada revisión de carga; n° del extintor asentado en el libro de actas</t>
        </is>
      </c>
    </row>
    <row r="115">
      <c r="A115" s="33" t="inlineStr">
        <is>
          <t>FL_SUS_ABC_70kg</t>
        </is>
      </c>
      <c r="B115" s="33" t="n">
        <v>2</v>
      </c>
      <c r="C115" s="33" t="inlineStr">
        <is>
          <t>SUS-ABC_70kg-03</t>
        </is>
      </c>
      <c r="D115" s="17" t="inlineStr">
        <is>
          <t xml:space="preserve">        Tarjeta AGC con «Es sustituto» (sin domicilio de instalación)</t>
        </is>
      </c>
      <c r="E115" s="33" t="n">
        <v>1</v>
      </c>
      <c r="F115" s="33" t="inlineStr">
        <is>
          <t>u</t>
        </is>
      </c>
      <c r="G115" s="34" t="n"/>
      <c r="H115" s="34" t="n"/>
      <c r="I115" s="33" t="inlineStr">
        <is>
          <t>Etiqueta autoadhesiva AGC</t>
        </is>
      </c>
      <c r="J115" s="17" t="inlineStr">
        <is>
          <t>formato oficial</t>
        </is>
      </c>
      <c r="K115" s="33" t="inlineStr">
        <is>
          <t>Compra (organismo)</t>
        </is>
      </c>
      <c r="L115" s="33" t="inlineStr">
        <is>
          <t>Sí</t>
        </is>
      </c>
      <c r="M115" s="17" t="inlineStr">
        <is>
          <t>Agencia Gubernamental de Control (CABA)</t>
        </is>
      </c>
      <c r="N115" s="17" t="inlineStr">
        <is>
          <t>-</t>
        </is>
      </c>
      <c r="O115" s="17" t="n"/>
      <c r="P115" s="17" t="inlineStr">
        <is>
          <t>Res. AGC 32/15 anexo II</t>
        </is>
      </c>
      <c r="Q115" s="33" t="inlineStr">
        <is>
          <t>N</t>
        </is>
      </c>
      <c r="R115" s="33" t="inlineStr">
        <is>
          <t>FL_SUS_ABC_70kg</t>
        </is>
      </c>
      <c r="S115" s="17" t="inlineStr">
        <is>
          <t>Sólo CABA</t>
        </is>
      </c>
    </row>
    <row r="116">
      <c r="A116" s="33" t="inlineStr">
        <is>
          <t>FL_SUS_ABC_70kg</t>
        </is>
      </c>
      <c r="B116" s="33" t="n">
        <v>2</v>
      </c>
      <c r="C116" s="33" t="inlineStr">
        <is>
          <t>SUS-ABC_70kg-04</t>
        </is>
      </c>
      <c r="D116" s="17" t="inlineStr">
        <is>
          <t xml:space="preserve">        Remito de préstamo con membrete (n° de extintor, puesto, equipo retirado, fechas)</t>
        </is>
      </c>
      <c r="E116" s="33" t="n">
        <v>1</v>
      </c>
      <c r="F116" s="33" t="inlineStr">
        <is>
          <t>u/préstamo</t>
        </is>
      </c>
      <c r="G116" s="34" t="n"/>
      <c r="H116" s="34" t="n"/>
      <c r="I116" s="33" t="inlineStr">
        <is>
          <t>Papel</t>
        </is>
      </c>
      <c r="J116" s="17" t="inlineStr">
        <is>
          <t>A5 duplicado</t>
        </is>
      </c>
      <c r="K116" s="33" t="inlineStr">
        <is>
          <t>Proceso</t>
        </is>
      </c>
      <c r="L116" s="33" t="inlineStr">
        <is>
          <t>Sí</t>
        </is>
      </c>
      <c r="M116" s="17" t="inlineStr">
        <is>
          <t>Astuprint</t>
        </is>
      </c>
      <c r="N116" s="17" t="inlineStr">
        <is>
          <t>-</t>
        </is>
      </c>
      <c r="O116" s="17" t="n"/>
      <c r="P116" s="17" t="n"/>
      <c r="Q116" s="33" t="inlineStr">
        <is>
          <t>I</t>
        </is>
      </c>
      <c r="R116" s="33" t="inlineStr">
        <is>
          <t>FL_SUS_ABC_70kg</t>
        </is>
      </c>
      <c r="S116" s="17" t="inlineStr">
        <is>
          <t>Práctica de mercado relevada (Fullmat, Rodo, Eversafe)</t>
        </is>
      </c>
    </row>
    <row r="117">
      <c r="A117" s="27" t="inlineStr">
        <is>
          <t>FL_SUS_ABC_100kg</t>
        </is>
      </c>
      <c r="B117" s="27" t="n">
        <v>0</v>
      </c>
      <c r="C117" s="27" t="inlineStr">
        <is>
          <t>FL_SUS_ABC_100kg</t>
        </is>
      </c>
      <c r="D117" s="28" t="inlineStr">
        <is>
          <t>Extintor sustituto para Extintor ABC 100 kg sobre ruedas</t>
        </is>
      </c>
      <c r="E117" s="27" t="n">
        <v>1</v>
      </c>
      <c r="F117" s="27" t="inlineStr">
        <is>
          <t>u</t>
        </is>
      </c>
      <c r="G117" s="29" t="n"/>
      <c r="H117" s="29" t="n"/>
      <c r="I117" s="27" t="n"/>
      <c r="J117" s="28" t="n"/>
      <c r="K117" s="27" t="n"/>
      <c r="L117" s="27" t="n"/>
      <c r="M117" s="28" t="n"/>
      <c r="N117" s="28" t="n"/>
      <c r="O117" s="28" t="n"/>
      <c r="P117" s="28" t="inlineStr">
        <is>
          <t>IRAM 3517-2:2020 9.4.5</t>
        </is>
      </c>
      <c r="Q117" s="27" t="inlineStr">
        <is>
          <t>N</t>
        </is>
      </c>
      <c r="R117" s="27" t="inlineStr">
        <is>
          <t>FL_SUS_ABC_100kg</t>
        </is>
      </c>
      <c r="S117" s="28" t="inlineStr">
        <is>
          <t>Unitario: el tamaño del parque de sustitutos se dimensiona aparte</t>
        </is>
      </c>
    </row>
    <row r="118">
      <c r="A118" s="30" t="inlineStr">
        <is>
          <t>FL_SUS_ABC_100kg</t>
        </is>
      </c>
      <c r="B118" s="30" t="n">
        <v>1</v>
      </c>
      <c r="C118" s="30" t="inlineStr">
        <is>
          <t>FL_MAT_ABC_100kg</t>
        </is>
      </c>
      <c r="D118" s="31" t="inlineStr">
        <is>
          <t xml:space="preserve">    Extintor base: Extintor ABC 100 kg sobre ruedas (mismo modelo)</t>
        </is>
      </c>
      <c r="E118" s="30" t="n">
        <v>1</v>
      </c>
      <c r="F118" s="30" t="inlineStr">
        <is>
          <t>u</t>
        </is>
      </c>
      <c r="G118" s="32" t="n"/>
      <c r="H118" s="32" t="n"/>
      <c r="I118" s="30" t="n"/>
      <c r="J118" s="31" t="n"/>
      <c r="K118" s="30" t="inlineStr">
        <is>
          <t>Stock FLAMA (fabricación propia)</t>
        </is>
      </c>
      <c r="L118" s="30" t="inlineStr">
        <is>
          <t>No</t>
        </is>
      </c>
      <c r="M118" s="31" t="n"/>
      <c r="N118" s="31" t="n"/>
      <c r="O118" s="31" t="n"/>
      <c r="P118" s="31" t="inlineStr">
        <is>
          <t>IRAM 3517-2:2020 9.4.5</t>
        </is>
      </c>
      <c r="Q118" s="30" t="inlineStr">
        <is>
          <t>N</t>
        </is>
      </c>
      <c r="R118" s="30" t="inlineStr">
        <is>
          <t>FL_SUS_ABC_100kg</t>
        </is>
      </c>
      <c r="S118" s="31" t="inlineStr">
        <is>
          <t>Igual clasificación y capacidad; mantenimiento vigente. BOM: hoja FL_MAT_ABC_100kg · No entra en MRP del kit: es demanda del producto FL_MAT (stock)</t>
        </is>
      </c>
    </row>
    <row r="119">
      <c r="A119" s="30" t="inlineStr">
        <is>
          <t>FL_SUS_ABC_100kg</t>
        </is>
      </c>
      <c r="B119" s="30" t="n">
        <v>1</v>
      </c>
      <c r="C119" s="30" t="inlineStr">
        <is>
          <t>SUS-ABC_100kg-K</t>
        </is>
      </c>
      <c r="D119" s="31" t="inlineStr">
        <is>
          <t xml:space="preserve">    Identificación de extintor sustituto</t>
        </is>
      </c>
      <c r="E119" s="30" t="n">
        <v>1</v>
      </c>
      <c r="F119" s="30" t="inlineStr">
        <is>
          <t>u</t>
        </is>
      </c>
      <c r="G119" s="32" t="n"/>
      <c r="H119" s="32" t="n"/>
      <c r="I119" s="30" t="n"/>
      <c r="J119" s="31" t="n"/>
      <c r="K119" s="30" t="inlineStr">
        <is>
          <t>Compra</t>
        </is>
      </c>
      <c r="L119" s="30" t="n"/>
      <c r="M119" s="31" t="n"/>
      <c r="N119" s="31" t="n"/>
      <c r="O119" s="31" t="n"/>
      <c r="P119" s="31" t="n"/>
      <c r="Q119" s="30" t="inlineStr">
        <is>
          <t>N</t>
        </is>
      </c>
      <c r="R119" s="30" t="inlineStr">
        <is>
          <t>FL_SUS_ABC_100kg</t>
        </is>
      </c>
      <c r="S119" s="31" t="n"/>
    </row>
    <row r="120">
      <c r="A120" s="33" t="inlineStr">
        <is>
          <t>FL_SUS_ABC_100kg</t>
        </is>
      </c>
      <c r="B120" s="33" t="n">
        <v>2</v>
      </c>
      <c r="C120" s="33" t="inlineStr">
        <is>
          <t>SUS-ABC_100kg-01</t>
        </is>
      </c>
      <c r="D120" s="17" t="inlineStr">
        <is>
          <t xml:space="preserve">        Faja amarilla de sustituto en la pollera (3 leyendas)</t>
        </is>
      </c>
      <c r="E120" s="33" t="n">
        <v>1</v>
      </c>
      <c r="F120" s="33" t="inlineStr">
        <is>
          <t>u</t>
        </is>
      </c>
      <c r="G120" s="34" t="n"/>
      <c r="H120" s="34" t="n"/>
      <c r="I120" s="33" t="inlineStr">
        <is>
          <t>Cinta vinílica autoadhesiva amarilla</t>
        </is>
      </c>
      <c r="J120" s="17" t="inlineStr">
        <is>
          <t>40 × 1245 (alto ≤ 40; perímetro + 20 de solape)</t>
        </is>
      </c>
      <c r="K120" s="33" t="inlineStr">
        <is>
          <t>Compra</t>
        </is>
      </c>
      <c r="L120" s="33" t="inlineStr">
        <is>
          <t>Sí</t>
        </is>
      </c>
      <c r="M120" s="17" t="inlineStr">
        <is>
          <t>Astuprint</t>
        </is>
      </c>
      <c r="N120" s="17" t="inlineStr">
        <is>
          <t>Multilabel Argentina S.A.</t>
        </is>
      </c>
      <c r="O120" s="17" t="n"/>
      <c r="P120" s="17" t="inlineStr">
        <is>
          <t>IRAM 3517-2:2020 9.4.5 b)</t>
        </is>
      </c>
      <c r="Q120" s="33" t="inlineStr">
        <is>
          <t>N</t>
        </is>
      </c>
      <c r="R120" s="33" t="inlineStr">
        <is>
          <t>FL_SUS_ABC_100kg</t>
        </is>
      </c>
      <c r="S120" s="17" t="inlineStr">
        <is>
          <t>Leyendas: extintor sustituto / reemplaza al equipo de este puesto en mantenimiento o recarga / FLAMA S.A. (datos y logo). Proveedor a cotizar</t>
        </is>
      </c>
    </row>
    <row r="121">
      <c r="A121" s="33" t="inlineStr">
        <is>
          <t>FL_SUS_ABC_100kg</t>
        </is>
      </c>
      <c r="B121" s="33" t="n">
        <v>2</v>
      </c>
      <c r="C121" s="33" t="inlineStr">
        <is>
          <t>SUS-ABC_100kg-02</t>
        </is>
      </c>
      <c r="D121" s="17" t="inlineStr">
        <is>
          <t xml:space="preserve">        Tarjeta de identificación DPS con sello «SUSTITUTO HABILITADO»</t>
        </is>
      </c>
      <c r="E121" s="33" t="n">
        <v>1</v>
      </c>
      <c r="F121" s="33" t="inlineStr">
        <is>
          <t>u</t>
        </is>
      </c>
      <c r="G121" s="34" t="n"/>
      <c r="H121" s="34" t="n"/>
      <c r="I121" s="33" t="inlineStr">
        <is>
          <t>Tarjeta oficial DPS (PBA)</t>
        </is>
      </c>
      <c r="J121" s="17" t="inlineStr">
        <is>
          <t>formato oficial</t>
        </is>
      </c>
      <c r="K121" s="33" t="inlineStr">
        <is>
          <t>Compra (organismo)</t>
        </is>
      </c>
      <c r="L121" s="33" t="inlineStr">
        <is>
          <t>Sí</t>
        </is>
      </c>
      <c r="M121" s="17" t="inlineStr">
        <is>
          <t>Ministerio de Ambiente PBA (ex OPDS)</t>
        </is>
      </c>
      <c r="N121" s="17" t="inlineStr">
        <is>
          <t>-</t>
        </is>
      </c>
      <c r="O121" s="17" t="n"/>
      <c r="P121" s="17" t="inlineStr">
        <is>
          <t>Res. 349/07 art. 32</t>
        </is>
      </c>
      <c r="Q121" s="33" t="inlineStr">
        <is>
          <t>N</t>
        </is>
      </c>
      <c r="R121" s="33" t="inlineStr">
        <is>
          <t>FL_SUS_ABC_100kg</t>
        </is>
      </c>
      <c r="S121" s="17" t="inlineStr">
        <is>
          <t>Sólo PBA; reutilizable en cada revisión de carga; n° del extintor asentado en el libro de actas</t>
        </is>
      </c>
    </row>
    <row r="122">
      <c r="A122" s="33" t="inlineStr">
        <is>
          <t>FL_SUS_ABC_100kg</t>
        </is>
      </c>
      <c r="B122" s="33" t="n">
        <v>2</v>
      </c>
      <c r="C122" s="33" t="inlineStr">
        <is>
          <t>SUS-ABC_100kg-03</t>
        </is>
      </c>
      <c r="D122" s="17" t="inlineStr">
        <is>
          <t xml:space="preserve">        Tarjeta AGC con «Es sustituto» (sin domicilio de instalación)</t>
        </is>
      </c>
      <c r="E122" s="33" t="n">
        <v>1</v>
      </c>
      <c r="F122" s="33" t="inlineStr">
        <is>
          <t>u</t>
        </is>
      </c>
      <c r="G122" s="34" t="n"/>
      <c r="H122" s="34" t="n"/>
      <c r="I122" s="33" t="inlineStr">
        <is>
          <t>Etiqueta autoadhesiva AGC</t>
        </is>
      </c>
      <c r="J122" s="17" t="inlineStr">
        <is>
          <t>formato oficial</t>
        </is>
      </c>
      <c r="K122" s="33" t="inlineStr">
        <is>
          <t>Compra (organismo)</t>
        </is>
      </c>
      <c r="L122" s="33" t="inlineStr">
        <is>
          <t>Sí</t>
        </is>
      </c>
      <c r="M122" s="17" t="inlineStr">
        <is>
          <t>Agencia Gubernamental de Control (CABA)</t>
        </is>
      </c>
      <c r="N122" s="17" t="inlineStr">
        <is>
          <t>-</t>
        </is>
      </c>
      <c r="O122" s="17" t="n"/>
      <c r="P122" s="17" t="inlineStr">
        <is>
          <t>Res. AGC 32/15 anexo II</t>
        </is>
      </c>
      <c r="Q122" s="33" t="inlineStr">
        <is>
          <t>N</t>
        </is>
      </c>
      <c r="R122" s="33" t="inlineStr">
        <is>
          <t>FL_SUS_ABC_100kg</t>
        </is>
      </c>
      <c r="S122" s="17" t="inlineStr">
        <is>
          <t>Sólo CABA</t>
        </is>
      </c>
    </row>
    <row r="123">
      <c r="A123" s="33" t="inlineStr">
        <is>
          <t>FL_SUS_ABC_100kg</t>
        </is>
      </c>
      <c r="B123" s="33" t="n">
        <v>2</v>
      </c>
      <c r="C123" s="33" t="inlineStr">
        <is>
          <t>SUS-ABC_100kg-04</t>
        </is>
      </c>
      <c r="D123" s="17" t="inlineStr">
        <is>
          <t xml:space="preserve">        Remito de préstamo con membrete (n° de extintor, puesto, equipo retirado, fechas)</t>
        </is>
      </c>
      <c r="E123" s="33" t="n">
        <v>1</v>
      </c>
      <c r="F123" s="33" t="inlineStr">
        <is>
          <t>u/préstamo</t>
        </is>
      </c>
      <c r="G123" s="34" t="n"/>
      <c r="H123" s="34" t="n"/>
      <c r="I123" s="33" t="inlineStr">
        <is>
          <t>Papel</t>
        </is>
      </c>
      <c r="J123" s="17" t="inlineStr">
        <is>
          <t>A5 duplicado</t>
        </is>
      </c>
      <c r="K123" s="33" t="inlineStr">
        <is>
          <t>Proceso</t>
        </is>
      </c>
      <c r="L123" s="33" t="inlineStr">
        <is>
          <t>Sí</t>
        </is>
      </c>
      <c r="M123" s="17" t="inlineStr">
        <is>
          <t>Astuprint</t>
        </is>
      </c>
      <c r="N123" s="17" t="inlineStr">
        <is>
          <t>-</t>
        </is>
      </c>
      <c r="O123" s="17" t="n"/>
      <c r="P123" s="17" t="n"/>
      <c r="Q123" s="33" t="inlineStr">
        <is>
          <t>I</t>
        </is>
      </c>
      <c r="R123" s="33"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19"/>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3" t="inlineStr">
        <is>
          <t>RK-ABC1-A</t>
        </is>
      </c>
      <c r="B10" s="33" t="inlineStr">
        <is>
          <t>FL_MAT_ABC_1kg</t>
        </is>
      </c>
      <c r="C10" s="33" t="inlineStr">
        <is>
          <t>Extintor ABC 1 kg</t>
        </is>
      </c>
      <c r="D10" s="17" t="inlineStr">
        <is>
          <t>A - Extintor descargado (uso o descarga parcial)</t>
        </is>
      </c>
      <c r="E10" s="17" t="inlineStr">
        <is>
          <t>Polvo químico seco ABC (fosfato monoamónico)</t>
        </is>
      </c>
      <c r="F10" s="33" t="n">
        <v>1</v>
      </c>
      <c r="G10" s="33" t="inlineStr">
        <is>
          <t>kg</t>
        </is>
      </c>
      <c r="H10" s="17" t="inlineStr">
        <is>
          <t>Nuevo 100 %</t>
        </is>
      </c>
      <c r="I10" s="17" t="inlineStr">
        <is>
          <t>IRAM 3517-2:2020 9.9.1.4: el polvo de un extintor accionado no se reutiliza</t>
        </is>
      </c>
      <c r="J10" s="33" t="inlineStr">
        <is>
          <t>Sí</t>
        </is>
      </c>
      <c r="K10" s="17" t="inlineStr">
        <is>
          <t>DEM S.A. (DEMSA)</t>
        </is>
      </c>
      <c r="L10" s="17" t="inlineStr">
        <is>
          <t>Polvex S.R.L. / Sancibrao</t>
        </is>
      </c>
    </row>
    <row r="11">
      <c r="A11" s="33" t="inlineStr">
        <is>
          <t>RK-ABC1-A</t>
        </is>
      </c>
      <c r="B11" s="33" t="inlineStr">
        <is>
          <t>FL_MAT_ABC_1kg</t>
        </is>
      </c>
      <c r="C11" s="33" t="inlineStr">
        <is>
          <t>Extintor ABC 1 kg</t>
        </is>
      </c>
      <c r="D11" s="17" t="inlineStr">
        <is>
          <t>A - Extintor descargado (uso o descarga parcial)</t>
        </is>
      </c>
      <c r="E11" s="17" t="inlineStr">
        <is>
          <t>Precinto plástico numerado, color, con nombre del recargador</t>
        </is>
      </c>
      <c r="F11" s="33" t="n">
        <v>1</v>
      </c>
      <c r="G11" s="33" t="inlineStr">
        <is>
          <t>u</t>
        </is>
      </c>
      <c r="H11" s="17" t="inlineStr">
        <is>
          <t>Nuevo</t>
        </is>
      </c>
      <c r="I11" s="17" t="inlineStr">
        <is>
          <t>IRAM 3517-2:2020 9.4.13</t>
        </is>
      </c>
      <c r="J11" s="33" t="inlineStr">
        <is>
          <t>Sí</t>
        </is>
      </c>
      <c r="K11" s="17" t="inlineStr">
        <is>
          <t>SonFuertes (vía Papelera Damián)</t>
        </is>
      </c>
      <c r="L11" s="17" t="inlineStr">
        <is>
          <t>Precinter S.R.L.</t>
        </is>
      </c>
    </row>
    <row r="12">
      <c r="A12" s="33" t="inlineStr">
        <is>
          <t>RK-ABC1-A</t>
        </is>
      </c>
      <c r="B12" s="33" t="inlineStr">
        <is>
          <t>FL_MAT_ABC_1kg</t>
        </is>
      </c>
      <c r="C12" s="33" t="inlineStr">
        <is>
          <t>Extintor ABC 1 kg</t>
        </is>
      </c>
      <c r="D12" s="17" t="inlineStr">
        <is>
          <t>A - Extintor descargado (uso o descarga parcial)</t>
        </is>
      </c>
      <c r="E12" s="17" t="inlineStr">
        <is>
          <t>Marbete (anillo, color del año)</t>
        </is>
      </c>
      <c r="F12" s="33" t="n">
        <v>1</v>
      </c>
      <c r="G12" s="33" t="inlineStr">
        <is>
          <t>u</t>
        </is>
      </c>
      <c r="H12" s="17" t="inlineStr">
        <is>
          <t>Nuevo</t>
        </is>
      </c>
      <c r="I12" s="17" t="inlineStr">
        <is>
          <t>IRAM 3517-2:2020 9.4.14 · fig. 9 · tabla 4</t>
        </is>
      </c>
      <c r="J12" s="33" t="inlineStr">
        <is>
          <t>Sí</t>
        </is>
      </c>
      <c r="K12" s="17" t="inlineStr">
        <is>
          <t>Astuprint</t>
        </is>
      </c>
      <c r="L12" s="17" t="inlineStr">
        <is>
          <t>Multilabel Argentina S.A.</t>
        </is>
      </c>
    </row>
    <row r="13">
      <c r="A13" s="33" t="inlineStr">
        <is>
          <t>RK-ABC1-A</t>
        </is>
      </c>
      <c r="B13" s="33" t="inlineStr">
        <is>
          <t>FL_MAT_ABC_1kg</t>
        </is>
      </c>
      <c r="C13" s="33" t="inlineStr">
        <is>
          <t>Extintor ABC 1 kg</t>
        </is>
      </c>
      <c r="D13" s="17" t="inlineStr">
        <is>
          <t>A - Extintor descargado (uso o descarga parcial)</t>
        </is>
      </c>
      <c r="E13" s="17" t="inlineStr">
        <is>
          <t>Etiqueta de servicio del recargador (extintor n°, serie, próxima recarga y PH)</t>
        </is>
      </c>
      <c r="F13" s="33" t="n">
        <v>1</v>
      </c>
      <c r="G13" s="33" t="inlineStr">
        <is>
          <t>u</t>
        </is>
      </c>
      <c r="H13" s="17" t="inlineStr">
        <is>
          <t>Nuevo</t>
        </is>
      </c>
      <c r="I13" s="17" t="inlineStr">
        <is>
          <t>IRAM 3517-2:2020 8.3.3 · relevado Suyai/Firegram</t>
        </is>
      </c>
      <c r="J13" s="33" t="inlineStr">
        <is>
          <t>Sí</t>
        </is>
      </c>
      <c r="K13" s="17" t="inlineStr">
        <is>
          <t>Astuprint</t>
        </is>
      </c>
      <c r="L13" s="17" t="inlineStr">
        <is>
          <t>Multilabel Argentina S.A.</t>
        </is>
      </c>
    </row>
    <row r="14">
      <c r="A14" s="33" t="inlineStr">
        <is>
          <t>RK-ABC1-A</t>
        </is>
      </c>
      <c r="B14" s="33" t="inlineStr">
        <is>
          <t>FL_MAT_ABC_1kg</t>
        </is>
      </c>
      <c r="C14" s="33" t="inlineStr">
        <is>
          <t>Extintor ABC 1 kg</t>
        </is>
      </c>
      <c r="D14" s="17" t="inlineStr">
        <is>
          <t>A - Extintor descargado (uso o descarga parcial)</t>
        </is>
      </c>
      <c r="E14" s="17" t="inlineStr">
        <is>
          <t>Oblea PBA de recarga Ø46 + estampilla precinto 1" × 200 mm válvula-cuerpo</t>
        </is>
      </c>
      <c r="F14" s="33" t="n">
        <v>1</v>
      </c>
      <c r="G14" s="33" t="inlineStr">
        <is>
          <t>u</t>
        </is>
      </c>
      <c r="H14" s="17" t="inlineStr">
        <is>
          <t>Nuevo (venta en PBA)</t>
        </is>
      </c>
      <c r="I14" s="17" t="inlineStr">
        <is>
          <t>IRAM 3517-2:2020 Res. OPDS 522/07</t>
        </is>
      </c>
      <c r="J14" s="33" t="inlineStr">
        <is>
          <t>Sí</t>
        </is>
      </c>
      <c r="K14" s="17" t="inlineStr">
        <is>
          <t>Ministerio de Ambiente PBA (ex OPDS)</t>
        </is>
      </c>
      <c r="L14" s="17" t="inlineStr">
        <is>
          <t>-</t>
        </is>
      </c>
    </row>
    <row r="15">
      <c r="A15" s="33" t="inlineStr">
        <is>
          <t>RK-ABC1-A</t>
        </is>
      </c>
      <c r="B15" s="33" t="inlineStr">
        <is>
          <t>FL_MAT_ABC_1kg</t>
        </is>
      </c>
      <c r="C15" s="33" t="inlineStr">
        <is>
          <t>Extintor ABC 1 kg</t>
        </is>
      </c>
      <c r="D15" s="17" t="inlineStr">
        <is>
          <t>A - Extintor descargado (uso o descarga parcial)</t>
        </is>
      </c>
      <c r="E15" s="17" t="inlineStr">
        <is>
          <t>Tarjeta de identificación AGC (módulo papel con QR + etiqueta AGC)</t>
        </is>
      </c>
      <c r="F15" s="33" t="n">
        <v>1</v>
      </c>
      <c r="G15" s="33" t="inlineStr">
        <is>
          <t>u</t>
        </is>
      </c>
      <c r="H15" s="17" t="inlineStr">
        <is>
          <t>Nuevo (destino CABA)</t>
        </is>
      </c>
      <c r="I15" s="17" t="inlineStr">
        <is>
          <t>IRAM 3517-2:2020 Ord. 40.473 art. 6 · Res. AGC 32/15</t>
        </is>
      </c>
      <c r="J15" s="33" t="inlineStr">
        <is>
          <t>Sí</t>
        </is>
      </c>
      <c r="K15" s="17" t="inlineStr">
        <is>
          <t>Agencia Gubernamental de Control (CABA)</t>
        </is>
      </c>
      <c r="L15" s="17" t="inlineStr">
        <is>
          <t>-</t>
        </is>
      </c>
    </row>
    <row r="16">
      <c r="A16" s="33" t="inlineStr">
        <is>
          <t>RK-ABC1-A</t>
        </is>
      </c>
      <c r="B16" s="33" t="inlineStr">
        <is>
          <t>FL_MAT_ABC_1kg</t>
        </is>
      </c>
      <c r="C16" s="33" t="inlineStr">
        <is>
          <t>Extintor ABC 1 kg</t>
        </is>
      </c>
      <c r="D16" s="17" t="inlineStr">
        <is>
          <t>A - Extintor descargado (uso o descarga parcial)</t>
        </is>
      </c>
      <c r="E16" s="17" t="inlineStr">
        <is>
          <t>Tarjeta de identificación DPS de revisión / recarga</t>
        </is>
      </c>
      <c r="F16" s="33" t="n">
        <v>1</v>
      </c>
      <c r="G16" s="33" t="inlineStr">
        <is>
          <t>u</t>
        </is>
      </c>
      <c r="H16" s="17" t="inlineStr">
        <is>
          <t>Nuevo (PBA)</t>
        </is>
      </c>
      <c r="I16" s="17" t="inlineStr">
        <is>
          <t>IRAM 3517-2:2020 Res. 349/07 art. 21</t>
        </is>
      </c>
      <c r="J16" s="33" t="inlineStr">
        <is>
          <t>Sí</t>
        </is>
      </c>
      <c r="K16" s="17" t="inlineStr">
        <is>
          <t>Ministerio de Ambiente PBA (ex OPDS)</t>
        </is>
      </c>
      <c r="L16" s="17" t="inlineStr">
        <is>
          <t>-</t>
        </is>
      </c>
    </row>
    <row r="17">
      <c r="A17" s="33" t="inlineStr">
        <is>
          <t>RK-ABC1-A</t>
        </is>
      </c>
      <c r="B17" s="33" t="inlineStr">
        <is>
          <t>FL_MAT_ABC_1kg</t>
        </is>
      </c>
      <c r="C17" s="33" t="inlineStr">
        <is>
          <t>Extintor ABC 1 kg</t>
        </is>
      </c>
      <c r="D17" s="17" t="inlineStr">
        <is>
          <t>A - Extintor descargado (uso o descarga parcial)</t>
        </is>
      </c>
      <c r="E17" s="17" t="inlineStr">
        <is>
          <t>Grabado de la fecha del servicio en el tubo de pesca (lápiz vibratorio; en polvo, marcador indeleble)</t>
        </is>
      </c>
      <c r="F17" s="33" t="n">
        <v>1</v>
      </c>
      <c r="G17" s="33" t="inlineStr">
        <is>
          <t>u</t>
        </is>
      </c>
      <c r="H17" s="17" t="inlineStr">
        <is>
          <t>Proceso</t>
        </is>
      </c>
      <c r="I17" s="17" t="inlineStr">
        <is>
          <t>IRAM 3517-2:2020 Res. 349/07 art. 28</t>
        </is>
      </c>
      <c r="J17" s="33" t="inlineStr">
        <is>
          <t>No</t>
        </is>
      </c>
      <c r="K17" s="17" t="n"/>
      <c r="L17" s="17" t="n"/>
    </row>
    <row r="18">
      <c r="A18" s="33" t="inlineStr">
        <is>
          <t>RK-ABC1-A</t>
        </is>
      </c>
      <c r="B18" s="33" t="inlineStr">
        <is>
          <t>FL_MAT_ABC_1kg</t>
        </is>
      </c>
      <c r="C18" s="33"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3" t="n">
        <v>1</v>
      </c>
      <c r="G18" s="33" t="inlineStr">
        <is>
          <t>u</t>
        </is>
      </c>
      <c r="H18" s="17" t="inlineStr">
        <is>
          <t>Proceso</t>
        </is>
      </c>
      <c r="I18" s="17" t="inlineStr">
        <is>
          <t>IRAM 3517-2:2020 Res. 349/07 art. 29 · IRAM 3517-2</t>
        </is>
      </c>
      <c r="J18" s="33" t="inlineStr">
        <is>
          <t>No</t>
        </is>
      </c>
      <c r="K18" s="17" t="n"/>
      <c r="L18" s="17" t="n"/>
    </row>
    <row r="19">
      <c r="A19" s="41" t="inlineStr">
        <is>
          <t>RK-ABC1-A</t>
        </is>
      </c>
      <c r="B19" s="41" t="inlineStr">
        <is>
          <t>FL_MAT_ABC_1kg</t>
        </is>
      </c>
      <c r="C19" s="41" t="inlineStr">
        <is>
          <t>Extintor ABC 1 kg</t>
        </is>
      </c>
      <c r="D19" s="18" t="inlineStr">
        <is>
          <t>A - Extintor descargado (uso o descarga parcial)</t>
        </is>
      </c>
      <c r="E19" s="18" t="inlineStr">
        <is>
          <t>Junta tórica de asiento del cuello</t>
        </is>
      </c>
      <c r="F19" s="41" t="n">
        <v>1</v>
      </c>
      <c r="G19" s="41" t="inlineStr">
        <is>
          <t>u</t>
        </is>
      </c>
      <c r="H19" s="18" t="inlineStr">
        <is>
          <t>Nuevo (R: cambio sistemático)</t>
        </is>
      </c>
      <c r="I19" s="18" t="inlineStr"/>
      <c r="J19" s="41" t="inlineStr">
        <is>
          <t>Sí</t>
        </is>
      </c>
      <c r="K19" s="18" t="inlineStr">
        <is>
          <t>Argensold</t>
        </is>
      </c>
      <c r="L19" s="18" t="inlineStr">
        <is>
          <t>Matafuegos Iglesias</t>
        </is>
      </c>
    </row>
    <row r="20">
      <c r="A20" s="33" t="inlineStr">
        <is>
          <t>RK-ABC1-A</t>
        </is>
      </c>
      <c r="B20" s="33" t="inlineStr">
        <is>
          <t>FL_MAT_ABC_1kg</t>
        </is>
      </c>
      <c r="C20" s="33" t="inlineStr">
        <is>
          <t>Extintor ABC 1 kg</t>
        </is>
      </c>
      <c r="D20" s="17" t="inlineStr">
        <is>
          <t>A - Extintor descargado (uso o descarga parcial)</t>
        </is>
      </c>
      <c r="E20" s="17" t="inlineStr">
        <is>
          <t>Gas impulsor N₂</t>
        </is>
      </c>
      <c r="F20" s="33" t="n">
        <v>0.0047</v>
      </c>
      <c r="G20" s="33" t="inlineStr">
        <is>
          <t>kg</t>
        </is>
      </c>
      <c r="H20" s="17" t="inlineStr">
        <is>
          <t>Nuevo</t>
        </is>
      </c>
      <c r="I20" s="17" t="inlineStr">
        <is>
          <t>IRAM 3517-2:2020 9.4.9 tabla 2</t>
        </is>
      </c>
      <c r="J20" s="33" t="inlineStr">
        <is>
          <t>Sí</t>
        </is>
      </c>
      <c r="K20" s="17" t="inlineStr">
        <is>
          <t>Air Liquide Argentina - sucursal Piñeyro</t>
        </is>
      </c>
      <c r="L20" s="17" t="inlineStr">
        <is>
          <t>Gogniat</t>
        </is>
      </c>
    </row>
    <row r="21">
      <c r="A21" s="33" t="inlineStr">
        <is>
          <t>RK-ABC1-B</t>
        </is>
      </c>
      <c r="B21" s="33" t="inlineStr">
        <is>
          <t>FL_MAT_ABC_1kg</t>
        </is>
      </c>
      <c r="C21" s="33" t="inlineStr">
        <is>
          <t>Extintor ABC 1 kg</t>
        </is>
      </c>
      <c r="D21" s="17" t="inlineStr">
        <is>
          <t>B - Mantenimiento con apertura sin descarga (control interior, PH)</t>
        </is>
      </c>
      <c r="E21" s="17" t="inlineStr">
        <is>
          <t>Polvo químico seco ABC (fosfato monoamónico) recuperado</t>
        </is>
      </c>
      <c r="F21" s="33" t="n">
        <v>0.97</v>
      </c>
      <c r="G21" s="33" t="inlineStr">
        <is>
          <t>kg</t>
        </is>
      </c>
      <c r="H21" s="17" t="inlineStr">
        <is>
          <t>Recuperado en sistema cerrado</t>
        </is>
      </c>
      <c r="I21" s="17" t="inlineStr">
        <is>
          <t>IRAM 3517-2:2020 4.4.1 y) sistema cerrado de recuperación con inspección; 9.9.3 control (puffer IRAM 3672, fusión IRAM 3569 en ABC)</t>
        </is>
      </c>
      <c r="J21" s="33" t="inlineStr">
        <is>
          <t>No</t>
        </is>
      </c>
      <c r="K21" s="17" t="n"/>
      <c r="L21" s="17" t="n"/>
    </row>
    <row r="22">
      <c r="A22" s="41" t="inlineStr">
        <is>
          <t>RK-ABC1-B</t>
        </is>
      </c>
      <c r="B22" s="41" t="inlineStr">
        <is>
          <t>FL_MAT_ABC_1kg</t>
        </is>
      </c>
      <c r="C22" s="41" t="inlineStr">
        <is>
          <t>Extintor ABC 1 kg</t>
        </is>
      </c>
      <c r="D22" s="18" t="inlineStr">
        <is>
          <t>B - Mantenimiento con apertura sin descarga (control interior, PH)</t>
        </is>
      </c>
      <c r="E22" s="18" t="inlineStr">
        <is>
          <t>Polvo químico seco ABC (fosfato monoamónico) de reposición de mermas</t>
        </is>
      </c>
      <c r="F22" s="41" t="n">
        <v>0.03</v>
      </c>
      <c r="G22" s="41" t="inlineStr">
        <is>
          <t>kg</t>
        </is>
      </c>
      <c r="H22" s="18" t="inlineStr">
        <is>
          <t>Nuevo (R: 3 % de merma)</t>
        </is>
      </c>
      <c r="I22" s="18" t="inlineStr">
        <is>
          <t>Mismo tipo y marca (prohibido mezclar ABC con BC, 9.9.1.6)</t>
        </is>
      </c>
      <c r="J22" s="41" t="inlineStr">
        <is>
          <t>Sí</t>
        </is>
      </c>
      <c r="K22" s="18" t="inlineStr">
        <is>
          <t>DEM S.A. (DEMSA)</t>
        </is>
      </c>
      <c r="L22" s="18" t="inlineStr">
        <is>
          <t>Polvex S.R.L. / Sancibrao</t>
        </is>
      </c>
    </row>
    <row r="23">
      <c r="A23" s="33" t="inlineStr">
        <is>
          <t>RK-ABC1-B</t>
        </is>
      </c>
      <c r="B23" s="33" t="inlineStr">
        <is>
          <t>FL_MAT_ABC_1kg</t>
        </is>
      </c>
      <c r="C23" s="33" t="inlineStr">
        <is>
          <t>Extintor ABC 1 kg</t>
        </is>
      </c>
      <c r="D23" s="17" t="inlineStr">
        <is>
          <t>B - Mantenimiento con apertura sin descarga (control interior, PH)</t>
        </is>
      </c>
      <c r="E23" s="17" t="inlineStr">
        <is>
          <t>Precinto plástico numerado, color, con nombre del recargador</t>
        </is>
      </c>
      <c r="F23" s="33" t="n">
        <v>1</v>
      </c>
      <c r="G23" s="33" t="inlineStr">
        <is>
          <t>u</t>
        </is>
      </c>
      <c r="H23" s="17" t="inlineStr">
        <is>
          <t>Nuevo</t>
        </is>
      </c>
      <c r="I23" s="17" t="inlineStr">
        <is>
          <t>IRAM 3517-2:2020 9.4.13</t>
        </is>
      </c>
      <c r="J23" s="33" t="inlineStr">
        <is>
          <t>Sí</t>
        </is>
      </c>
      <c r="K23" s="17" t="inlineStr">
        <is>
          <t>SonFuertes (vía Papelera Damián)</t>
        </is>
      </c>
      <c r="L23" s="17" t="inlineStr">
        <is>
          <t>Precinter S.R.L.</t>
        </is>
      </c>
    </row>
    <row r="24">
      <c r="A24" s="33" t="inlineStr">
        <is>
          <t>RK-ABC1-B</t>
        </is>
      </c>
      <c r="B24" s="33" t="inlineStr">
        <is>
          <t>FL_MAT_ABC_1kg</t>
        </is>
      </c>
      <c r="C24" s="33" t="inlineStr">
        <is>
          <t>Extintor ABC 1 kg</t>
        </is>
      </c>
      <c r="D24" s="17" t="inlineStr">
        <is>
          <t>B - Mantenimiento con apertura sin descarga (control interior, PH)</t>
        </is>
      </c>
      <c r="E24" s="17" t="inlineStr">
        <is>
          <t>Marbete (anillo, color del año)</t>
        </is>
      </c>
      <c r="F24" s="33" t="n">
        <v>1</v>
      </c>
      <c r="G24" s="33" t="inlineStr">
        <is>
          <t>u</t>
        </is>
      </c>
      <c r="H24" s="17" t="inlineStr">
        <is>
          <t>Nuevo</t>
        </is>
      </c>
      <c r="I24" s="17" t="inlineStr">
        <is>
          <t>IRAM 3517-2:2020 9.4.14 · fig. 9 · tabla 4</t>
        </is>
      </c>
      <c r="J24" s="33" t="inlineStr">
        <is>
          <t>Sí</t>
        </is>
      </c>
      <c r="K24" s="17" t="inlineStr">
        <is>
          <t>Astuprint</t>
        </is>
      </c>
      <c r="L24" s="17" t="inlineStr">
        <is>
          <t>Multilabel Argentina S.A.</t>
        </is>
      </c>
    </row>
    <row r="25">
      <c r="A25" s="33" t="inlineStr">
        <is>
          <t>RK-ABC1-B</t>
        </is>
      </c>
      <c r="B25" s="33" t="inlineStr">
        <is>
          <t>FL_MAT_ABC_1kg</t>
        </is>
      </c>
      <c r="C25" s="33" t="inlineStr">
        <is>
          <t>Extintor ABC 1 kg</t>
        </is>
      </c>
      <c r="D25" s="17" t="inlineStr">
        <is>
          <t>B - Mantenimiento con apertura sin descarga (control interior, PH)</t>
        </is>
      </c>
      <c r="E25" s="17" t="inlineStr">
        <is>
          <t>Etiqueta de servicio del recargador (extintor n°, serie, próxima recarga y PH)</t>
        </is>
      </c>
      <c r="F25" s="33" t="n">
        <v>1</v>
      </c>
      <c r="G25" s="33" t="inlineStr">
        <is>
          <t>u</t>
        </is>
      </c>
      <c r="H25" s="17" t="inlineStr">
        <is>
          <t>Nuevo</t>
        </is>
      </c>
      <c r="I25" s="17" t="inlineStr">
        <is>
          <t>IRAM 3517-2:2020 8.3.3 · relevado Suyai/Firegram</t>
        </is>
      </c>
      <c r="J25" s="33" t="inlineStr">
        <is>
          <t>Sí</t>
        </is>
      </c>
      <c r="K25" s="17" t="inlineStr">
        <is>
          <t>Astuprint</t>
        </is>
      </c>
      <c r="L25" s="17" t="inlineStr">
        <is>
          <t>Multilabel Argentina S.A.</t>
        </is>
      </c>
    </row>
    <row r="26">
      <c r="A26" s="33" t="inlineStr">
        <is>
          <t>RK-ABC1-B</t>
        </is>
      </c>
      <c r="B26" s="33" t="inlineStr">
        <is>
          <t>FL_MAT_ABC_1kg</t>
        </is>
      </c>
      <c r="C26" s="33" t="inlineStr">
        <is>
          <t>Extintor ABC 1 kg</t>
        </is>
      </c>
      <c r="D26" s="17" t="inlineStr">
        <is>
          <t>B - Mantenimiento con apertura sin descarga (control interior, PH)</t>
        </is>
      </c>
      <c r="E26" s="17" t="inlineStr">
        <is>
          <t>Oblea PBA de recarga Ø46 + estampilla precinto 1" × 200 mm válvula-cuerpo</t>
        </is>
      </c>
      <c r="F26" s="33" t="n">
        <v>1</v>
      </c>
      <c r="G26" s="33" t="inlineStr">
        <is>
          <t>u</t>
        </is>
      </c>
      <c r="H26" s="17" t="inlineStr">
        <is>
          <t>Nuevo (venta en PBA)</t>
        </is>
      </c>
      <c r="I26" s="17" t="inlineStr">
        <is>
          <t>IRAM 3517-2:2020 Res. OPDS 522/07</t>
        </is>
      </c>
      <c r="J26" s="33" t="inlineStr">
        <is>
          <t>Sí</t>
        </is>
      </c>
      <c r="K26" s="17" t="inlineStr">
        <is>
          <t>Ministerio de Ambiente PBA (ex OPDS)</t>
        </is>
      </c>
      <c r="L26" s="17" t="inlineStr">
        <is>
          <t>-</t>
        </is>
      </c>
    </row>
    <row r="27">
      <c r="A27" s="33" t="inlineStr">
        <is>
          <t>RK-ABC1-B</t>
        </is>
      </c>
      <c r="B27" s="33" t="inlineStr">
        <is>
          <t>FL_MAT_ABC_1kg</t>
        </is>
      </c>
      <c r="C27" s="33" t="inlineStr">
        <is>
          <t>Extintor ABC 1 kg</t>
        </is>
      </c>
      <c r="D27" s="17" t="inlineStr">
        <is>
          <t>B - Mantenimiento con apertura sin descarga (control interior, PH)</t>
        </is>
      </c>
      <c r="E27" s="17" t="inlineStr">
        <is>
          <t>Tarjeta de identificación AGC (módulo papel con QR + etiqueta AGC)</t>
        </is>
      </c>
      <c r="F27" s="33" t="n">
        <v>1</v>
      </c>
      <c r="G27" s="33" t="inlineStr">
        <is>
          <t>u</t>
        </is>
      </c>
      <c r="H27" s="17" t="inlineStr">
        <is>
          <t>Nuevo (destino CABA)</t>
        </is>
      </c>
      <c r="I27" s="17" t="inlineStr">
        <is>
          <t>IRAM 3517-2:2020 Ord. 40.473 art. 6 · Res. AGC 32/15</t>
        </is>
      </c>
      <c r="J27" s="33" t="inlineStr">
        <is>
          <t>Sí</t>
        </is>
      </c>
      <c r="K27" s="17" t="inlineStr">
        <is>
          <t>Agencia Gubernamental de Control (CABA)</t>
        </is>
      </c>
      <c r="L27" s="17" t="inlineStr">
        <is>
          <t>-</t>
        </is>
      </c>
    </row>
    <row r="28">
      <c r="A28" s="33" t="inlineStr">
        <is>
          <t>RK-ABC1-B</t>
        </is>
      </c>
      <c r="B28" s="33" t="inlineStr">
        <is>
          <t>FL_MAT_ABC_1kg</t>
        </is>
      </c>
      <c r="C28" s="33" t="inlineStr">
        <is>
          <t>Extintor ABC 1 kg</t>
        </is>
      </c>
      <c r="D28" s="17" t="inlineStr">
        <is>
          <t>B - Mantenimiento con apertura sin descarga (control interior, PH)</t>
        </is>
      </c>
      <c r="E28" s="17" t="inlineStr">
        <is>
          <t>Tarjeta de identificación DPS de revisión / recarga</t>
        </is>
      </c>
      <c r="F28" s="33" t="n">
        <v>1</v>
      </c>
      <c r="G28" s="33" t="inlineStr">
        <is>
          <t>u</t>
        </is>
      </c>
      <c r="H28" s="17" t="inlineStr">
        <is>
          <t>Nuevo (PBA)</t>
        </is>
      </c>
      <c r="I28" s="17" t="inlineStr">
        <is>
          <t>IRAM 3517-2:2020 Res. 349/07 art. 21</t>
        </is>
      </c>
      <c r="J28" s="33" t="inlineStr">
        <is>
          <t>Sí</t>
        </is>
      </c>
      <c r="K28" s="17" t="inlineStr">
        <is>
          <t>Ministerio de Ambiente PBA (ex OPDS)</t>
        </is>
      </c>
      <c r="L28" s="17" t="inlineStr">
        <is>
          <t>-</t>
        </is>
      </c>
    </row>
    <row r="29">
      <c r="A29" s="33" t="inlineStr">
        <is>
          <t>RK-ABC1-B</t>
        </is>
      </c>
      <c r="B29" s="33" t="inlineStr">
        <is>
          <t>FL_MAT_ABC_1kg</t>
        </is>
      </c>
      <c r="C29" s="33" t="inlineStr">
        <is>
          <t>Extintor ABC 1 kg</t>
        </is>
      </c>
      <c r="D29" s="17" t="inlineStr">
        <is>
          <t>B - Mantenimiento con apertura sin descarga (control interior, PH)</t>
        </is>
      </c>
      <c r="E29" s="17" t="inlineStr">
        <is>
          <t>Grabado de la fecha del servicio en el tubo de pesca (lápiz vibratorio; en polvo, marcador indeleble)</t>
        </is>
      </c>
      <c r="F29" s="33" t="n">
        <v>1</v>
      </c>
      <c r="G29" s="33" t="inlineStr">
        <is>
          <t>u</t>
        </is>
      </c>
      <c r="H29" s="17" t="inlineStr">
        <is>
          <t>Proceso</t>
        </is>
      </c>
      <c r="I29" s="17" t="inlineStr">
        <is>
          <t>IRAM 3517-2:2020 Res. 349/07 art. 28</t>
        </is>
      </c>
      <c r="J29" s="33" t="inlineStr">
        <is>
          <t>No</t>
        </is>
      </c>
      <c r="K29" s="17" t="n"/>
      <c r="L29" s="17" t="n"/>
    </row>
    <row r="30">
      <c r="A30" s="33" t="inlineStr">
        <is>
          <t>RK-ABC1-B</t>
        </is>
      </c>
      <c r="B30" s="33" t="inlineStr">
        <is>
          <t>FL_MAT_ABC_1kg</t>
        </is>
      </c>
      <c r="C30" s="33"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3" t="n">
        <v>1</v>
      </c>
      <c r="G30" s="33" t="inlineStr">
        <is>
          <t>u</t>
        </is>
      </c>
      <c r="H30" s="17" t="inlineStr">
        <is>
          <t>Proceso</t>
        </is>
      </c>
      <c r="I30" s="17" t="inlineStr">
        <is>
          <t>IRAM 3517-2:2020 Res. 349/07 art. 29 · IRAM 3517-2</t>
        </is>
      </c>
      <c r="J30" s="33" t="inlineStr">
        <is>
          <t>No</t>
        </is>
      </c>
      <c r="K30" s="17" t="n"/>
      <c r="L30" s="17" t="n"/>
    </row>
    <row r="31">
      <c r="A31" s="41" t="inlineStr">
        <is>
          <t>RK-ABC1-B</t>
        </is>
      </c>
      <c r="B31" s="41" t="inlineStr">
        <is>
          <t>FL_MAT_ABC_1kg</t>
        </is>
      </c>
      <c r="C31" s="41" t="inlineStr">
        <is>
          <t>Extintor ABC 1 kg</t>
        </is>
      </c>
      <c r="D31" s="18" t="inlineStr">
        <is>
          <t>B - Mantenimiento con apertura sin descarga (control interior, PH)</t>
        </is>
      </c>
      <c r="E31" s="18" t="inlineStr">
        <is>
          <t>Junta tórica de asiento del cuello</t>
        </is>
      </c>
      <c r="F31" s="41" t="n">
        <v>1</v>
      </c>
      <c r="G31" s="41" t="inlineStr">
        <is>
          <t>u</t>
        </is>
      </c>
      <c r="H31" s="18" t="inlineStr">
        <is>
          <t>Nuevo (R: cambio sistemático)</t>
        </is>
      </c>
      <c r="I31" s="18" t="inlineStr"/>
      <c r="J31" s="41" t="inlineStr">
        <is>
          <t>Sí</t>
        </is>
      </c>
      <c r="K31" s="18" t="inlineStr">
        <is>
          <t>Argensold</t>
        </is>
      </c>
      <c r="L31" s="18" t="inlineStr">
        <is>
          <t>Matafuegos Iglesias</t>
        </is>
      </c>
    </row>
    <row r="32">
      <c r="A32" s="33" t="inlineStr">
        <is>
          <t>RK-ABC1-B</t>
        </is>
      </c>
      <c r="B32" s="33" t="inlineStr">
        <is>
          <t>FL_MAT_ABC_1kg</t>
        </is>
      </c>
      <c r="C32" s="33" t="inlineStr">
        <is>
          <t>Extintor ABC 1 kg</t>
        </is>
      </c>
      <c r="D32" s="17" t="inlineStr">
        <is>
          <t>B - Mantenimiento con apertura sin descarga (control interior, PH)</t>
        </is>
      </c>
      <c r="E32" s="17" t="inlineStr">
        <is>
          <t>Gas impulsor N₂</t>
        </is>
      </c>
      <c r="F32" s="33" t="n">
        <v>0.0047</v>
      </c>
      <c r="G32" s="33" t="inlineStr">
        <is>
          <t>kg</t>
        </is>
      </c>
      <c r="H32" s="17" t="inlineStr">
        <is>
          <t>Nuevo</t>
        </is>
      </c>
      <c r="I32" s="17" t="inlineStr">
        <is>
          <t>IRAM 3517-2:2020 9.4.9 tabla 2</t>
        </is>
      </c>
      <c r="J32" s="33" t="inlineStr">
        <is>
          <t>Sí</t>
        </is>
      </c>
      <c r="K32" s="17" t="inlineStr">
        <is>
          <t>Air Liquide Argentina - sucursal Piñeyro</t>
        </is>
      </c>
      <c r="L32" s="17" t="inlineStr">
        <is>
          <t>Gogniat</t>
        </is>
      </c>
    </row>
    <row r="33">
      <c r="A33" s="33" t="inlineStr">
        <is>
          <t>RK-ABC1-C</t>
        </is>
      </c>
      <c r="B33" s="33" t="inlineStr">
        <is>
          <t>FL_MAT_ABC_1kg</t>
        </is>
      </c>
      <c r="C33" s="33" t="inlineStr">
        <is>
          <t>Extintor ABC 1 kg</t>
        </is>
      </c>
      <c r="D33" s="17" t="inlineStr">
        <is>
          <t>C - Cambio obligatorio de polvo (versión anterior de la IRAM 3569)</t>
        </is>
      </c>
      <c r="E33" s="17" t="inlineStr">
        <is>
          <t>Polvo químico seco ABC (fosfato monoamónico)</t>
        </is>
      </c>
      <c r="F33" s="33" t="n">
        <v>1</v>
      </c>
      <c r="G33" s="33" t="inlineStr">
        <is>
          <t>kg</t>
        </is>
      </c>
      <c r="H33" s="17" t="inlineStr">
        <is>
          <t>Nuevo 100 %; el viejo va a residuos (RC-IR)</t>
        </is>
      </c>
      <c r="I33" s="17" t="inlineStr">
        <is>
          <t>IRAM 3517-2:2020 9.9.4</t>
        </is>
      </c>
      <c r="J33" s="33" t="inlineStr">
        <is>
          <t>Sí</t>
        </is>
      </c>
      <c r="K33" s="17" t="inlineStr">
        <is>
          <t>DEM S.A. (DEMSA)</t>
        </is>
      </c>
      <c r="L33" s="17" t="inlineStr">
        <is>
          <t>Polvex S.R.L. / Sancibrao</t>
        </is>
      </c>
    </row>
    <row r="34">
      <c r="A34" s="33" t="inlineStr">
        <is>
          <t>RK-ABC1-C</t>
        </is>
      </c>
      <c r="B34" s="33" t="inlineStr">
        <is>
          <t>FL_MAT_ABC_1kg</t>
        </is>
      </c>
      <c r="C34" s="33" t="inlineStr">
        <is>
          <t>Extintor ABC 1 kg</t>
        </is>
      </c>
      <c r="D34" s="17" t="inlineStr">
        <is>
          <t>C - Cambio obligatorio de polvo (versión anterior de la IRAM 3569)</t>
        </is>
      </c>
      <c r="E34" s="17" t="inlineStr">
        <is>
          <t>Precinto plástico numerado, color, con nombre del recargador</t>
        </is>
      </c>
      <c r="F34" s="33" t="n">
        <v>1</v>
      </c>
      <c r="G34" s="33" t="inlineStr">
        <is>
          <t>u</t>
        </is>
      </c>
      <c r="H34" s="17" t="inlineStr">
        <is>
          <t>Nuevo</t>
        </is>
      </c>
      <c r="I34" s="17" t="inlineStr">
        <is>
          <t>IRAM 3517-2:2020 9.4.13</t>
        </is>
      </c>
      <c r="J34" s="33" t="inlineStr">
        <is>
          <t>Sí</t>
        </is>
      </c>
      <c r="K34" s="17" t="inlineStr">
        <is>
          <t>SonFuertes (vía Papelera Damián)</t>
        </is>
      </c>
      <c r="L34" s="17" t="inlineStr">
        <is>
          <t>Precinter S.R.L.</t>
        </is>
      </c>
    </row>
    <row r="35">
      <c r="A35" s="33" t="inlineStr">
        <is>
          <t>RK-ABC1-C</t>
        </is>
      </c>
      <c r="B35" s="33" t="inlineStr">
        <is>
          <t>FL_MAT_ABC_1kg</t>
        </is>
      </c>
      <c r="C35" s="33" t="inlineStr">
        <is>
          <t>Extintor ABC 1 kg</t>
        </is>
      </c>
      <c r="D35" s="17" t="inlineStr">
        <is>
          <t>C - Cambio obligatorio de polvo (versión anterior de la IRAM 3569)</t>
        </is>
      </c>
      <c r="E35" s="17" t="inlineStr">
        <is>
          <t>Marbete (anillo, color del año)</t>
        </is>
      </c>
      <c r="F35" s="33" t="n">
        <v>1</v>
      </c>
      <c r="G35" s="33" t="inlineStr">
        <is>
          <t>u</t>
        </is>
      </c>
      <c r="H35" s="17" t="inlineStr">
        <is>
          <t>Nuevo</t>
        </is>
      </c>
      <c r="I35" s="17" t="inlineStr">
        <is>
          <t>IRAM 3517-2:2020 9.4.14 · fig. 9 · tabla 4</t>
        </is>
      </c>
      <c r="J35" s="33" t="inlineStr">
        <is>
          <t>Sí</t>
        </is>
      </c>
      <c r="K35" s="17" t="inlineStr">
        <is>
          <t>Astuprint</t>
        </is>
      </c>
      <c r="L35" s="17" t="inlineStr">
        <is>
          <t>Multilabel Argentina S.A.</t>
        </is>
      </c>
    </row>
    <row r="36">
      <c r="A36" s="33" t="inlineStr">
        <is>
          <t>RK-ABC1-C</t>
        </is>
      </c>
      <c r="B36" s="33" t="inlineStr">
        <is>
          <t>FL_MAT_ABC_1kg</t>
        </is>
      </c>
      <c r="C36" s="33" t="inlineStr">
        <is>
          <t>Extintor ABC 1 kg</t>
        </is>
      </c>
      <c r="D36" s="17" t="inlineStr">
        <is>
          <t>C - Cambio obligatorio de polvo (versión anterior de la IRAM 3569)</t>
        </is>
      </c>
      <c r="E36" s="17" t="inlineStr">
        <is>
          <t>Etiqueta de servicio del recargador (extintor n°, serie, próxima recarga y PH)</t>
        </is>
      </c>
      <c r="F36" s="33" t="n">
        <v>1</v>
      </c>
      <c r="G36" s="33" t="inlineStr">
        <is>
          <t>u</t>
        </is>
      </c>
      <c r="H36" s="17" t="inlineStr">
        <is>
          <t>Nuevo</t>
        </is>
      </c>
      <c r="I36" s="17" t="inlineStr">
        <is>
          <t>IRAM 3517-2:2020 8.3.3 · relevado Suyai/Firegram</t>
        </is>
      </c>
      <c r="J36" s="33" t="inlineStr">
        <is>
          <t>Sí</t>
        </is>
      </c>
      <c r="K36" s="17" t="inlineStr">
        <is>
          <t>Astuprint</t>
        </is>
      </c>
      <c r="L36" s="17" t="inlineStr">
        <is>
          <t>Multilabel Argentina S.A.</t>
        </is>
      </c>
    </row>
    <row r="37">
      <c r="A37" s="33" t="inlineStr">
        <is>
          <t>RK-ABC1-C</t>
        </is>
      </c>
      <c r="B37" s="33" t="inlineStr">
        <is>
          <t>FL_MAT_ABC_1kg</t>
        </is>
      </c>
      <c r="C37" s="33" t="inlineStr">
        <is>
          <t>Extintor ABC 1 kg</t>
        </is>
      </c>
      <c r="D37" s="17" t="inlineStr">
        <is>
          <t>C - Cambio obligatorio de polvo (versión anterior de la IRAM 3569)</t>
        </is>
      </c>
      <c r="E37" s="17" t="inlineStr">
        <is>
          <t>Oblea PBA de recarga Ø46 + estampilla precinto 1" × 200 mm válvula-cuerpo</t>
        </is>
      </c>
      <c r="F37" s="33" t="n">
        <v>1</v>
      </c>
      <c r="G37" s="33" t="inlineStr">
        <is>
          <t>u</t>
        </is>
      </c>
      <c r="H37" s="17" t="inlineStr">
        <is>
          <t>Nuevo (venta en PBA)</t>
        </is>
      </c>
      <c r="I37" s="17" t="inlineStr">
        <is>
          <t>IRAM 3517-2:2020 Res. OPDS 522/07</t>
        </is>
      </c>
      <c r="J37" s="33" t="inlineStr">
        <is>
          <t>Sí</t>
        </is>
      </c>
      <c r="K37" s="17" t="inlineStr">
        <is>
          <t>Ministerio de Ambiente PBA (ex OPDS)</t>
        </is>
      </c>
      <c r="L37" s="17" t="inlineStr">
        <is>
          <t>-</t>
        </is>
      </c>
    </row>
    <row r="38">
      <c r="A38" s="33" t="inlineStr">
        <is>
          <t>RK-ABC1-C</t>
        </is>
      </c>
      <c r="B38" s="33" t="inlineStr">
        <is>
          <t>FL_MAT_ABC_1kg</t>
        </is>
      </c>
      <c r="C38" s="33" t="inlineStr">
        <is>
          <t>Extintor ABC 1 kg</t>
        </is>
      </c>
      <c r="D38" s="17" t="inlineStr">
        <is>
          <t>C - Cambio obligatorio de polvo (versión anterior de la IRAM 3569)</t>
        </is>
      </c>
      <c r="E38" s="17" t="inlineStr">
        <is>
          <t>Tarjeta de identificación AGC (módulo papel con QR + etiqueta AGC)</t>
        </is>
      </c>
      <c r="F38" s="33" t="n">
        <v>1</v>
      </c>
      <c r="G38" s="33" t="inlineStr">
        <is>
          <t>u</t>
        </is>
      </c>
      <c r="H38" s="17" t="inlineStr">
        <is>
          <t>Nuevo (destino CABA)</t>
        </is>
      </c>
      <c r="I38" s="17" t="inlineStr">
        <is>
          <t>IRAM 3517-2:2020 Ord. 40.473 art. 6 · Res. AGC 32/15</t>
        </is>
      </c>
      <c r="J38" s="33" t="inlineStr">
        <is>
          <t>Sí</t>
        </is>
      </c>
      <c r="K38" s="17" t="inlineStr">
        <is>
          <t>Agencia Gubernamental de Control (CABA)</t>
        </is>
      </c>
      <c r="L38" s="17" t="inlineStr">
        <is>
          <t>-</t>
        </is>
      </c>
    </row>
    <row r="39">
      <c r="A39" s="33" t="inlineStr">
        <is>
          <t>RK-ABC1-C</t>
        </is>
      </c>
      <c r="B39" s="33" t="inlineStr">
        <is>
          <t>FL_MAT_ABC_1kg</t>
        </is>
      </c>
      <c r="C39" s="33" t="inlineStr">
        <is>
          <t>Extintor ABC 1 kg</t>
        </is>
      </c>
      <c r="D39" s="17" t="inlineStr">
        <is>
          <t>C - Cambio obligatorio de polvo (versión anterior de la IRAM 3569)</t>
        </is>
      </c>
      <c r="E39" s="17" t="inlineStr">
        <is>
          <t>Tarjeta de identificación DPS de revisión / recarga</t>
        </is>
      </c>
      <c r="F39" s="33" t="n">
        <v>1</v>
      </c>
      <c r="G39" s="33" t="inlineStr">
        <is>
          <t>u</t>
        </is>
      </c>
      <c r="H39" s="17" t="inlineStr">
        <is>
          <t>Nuevo (PBA)</t>
        </is>
      </c>
      <c r="I39" s="17" t="inlineStr">
        <is>
          <t>IRAM 3517-2:2020 Res. 349/07 art. 21</t>
        </is>
      </c>
      <c r="J39" s="33" t="inlineStr">
        <is>
          <t>Sí</t>
        </is>
      </c>
      <c r="K39" s="17" t="inlineStr">
        <is>
          <t>Ministerio de Ambiente PBA (ex OPDS)</t>
        </is>
      </c>
      <c r="L39" s="17" t="inlineStr">
        <is>
          <t>-</t>
        </is>
      </c>
    </row>
    <row r="40">
      <c r="A40" s="33" t="inlineStr">
        <is>
          <t>RK-ABC1-C</t>
        </is>
      </c>
      <c r="B40" s="33" t="inlineStr">
        <is>
          <t>FL_MAT_ABC_1kg</t>
        </is>
      </c>
      <c r="C40" s="33" t="inlineStr">
        <is>
          <t>Extintor ABC 1 kg</t>
        </is>
      </c>
      <c r="D40" s="17" t="inlineStr">
        <is>
          <t>C - Cambio obligatorio de polvo (versión anterior de la IRAM 3569)</t>
        </is>
      </c>
      <c r="E40" s="17" t="inlineStr">
        <is>
          <t>Grabado de la fecha del servicio en el tubo de pesca (lápiz vibratorio; en polvo, marcador indeleble)</t>
        </is>
      </c>
      <c r="F40" s="33" t="n">
        <v>1</v>
      </c>
      <c r="G40" s="33" t="inlineStr">
        <is>
          <t>u</t>
        </is>
      </c>
      <c r="H40" s="17" t="inlineStr">
        <is>
          <t>Proceso</t>
        </is>
      </c>
      <c r="I40" s="17" t="inlineStr">
        <is>
          <t>IRAM 3517-2:2020 Res. 349/07 art. 28</t>
        </is>
      </c>
      <c r="J40" s="33" t="inlineStr">
        <is>
          <t>No</t>
        </is>
      </c>
      <c r="K40" s="17" t="n"/>
      <c r="L40" s="17" t="n"/>
    </row>
    <row r="41">
      <c r="A41" s="33" t="inlineStr">
        <is>
          <t>RK-ABC1-C</t>
        </is>
      </c>
      <c r="B41" s="33" t="inlineStr">
        <is>
          <t>FL_MAT_ABC_1kg</t>
        </is>
      </c>
      <c r="C41" s="33"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3" t="n">
        <v>1</v>
      </c>
      <c r="G41" s="33" t="inlineStr">
        <is>
          <t>u</t>
        </is>
      </c>
      <c r="H41" s="17" t="inlineStr">
        <is>
          <t>Proceso</t>
        </is>
      </c>
      <c r="I41" s="17" t="inlineStr">
        <is>
          <t>IRAM 3517-2:2020 Res. 349/07 art. 29 · IRAM 3517-2</t>
        </is>
      </c>
      <c r="J41" s="33" t="inlineStr">
        <is>
          <t>No</t>
        </is>
      </c>
      <c r="K41" s="17" t="n"/>
      <c r="L41" s="17" t="n"/>
    </row>
    <row r="42">
      <c r="A42" s="41" t="inlineStr">
        <is>
          <t>RK-ABC1-C</t>
        </is>
      </c>
      <c r="B42" s="41" t="inlineStr">
        <is>
          <t>FL_MAT_ABC_1kg</t>
        </is>
      </c>
      <c r="C42" s="41" t="inlineStr">
        <is>
          <t>Extintor ABC 1 kg</t>
        </is>
      </c>
      <c r="D42" s="18" t="inlineStr">
        <is>
          <t>C - Cambio obligatorio de polvo (versión anterior de la IRAM 3569)</t>
        </is>
      </c>
      <c r="E42" s="18" t="inlineStr">
        <is>
          <t>Junta tórica de asiento del cuello</t>
        </is>
      </c>
      <c r="F42" s="41" t="n">
        <v>1</v>
      </c>
      <c r="G42" s="41" t="inlineStr">
        <is>
          <t>u</t>
        </is>
      </c>
      <c r="H42" s="18" t="inlineStr">
        <is>
          <t>Nuevo (R: cambio sistemático)</t>
        </is>
      </c>
      <c r="I42" s="18" t="inlineStr"/>
      <c r="J42" s="41" t="inlineStr">
        <is>
          <t>Sí</t>
        </is>
      </c>
      <c r="K42" s="18" t="inlineStr">
        <is>
          <t>Argensold</t>
        </is>
      </c>
      <c r="L42" s="18" t="inlineStr">
        <is>
          <t>Matafuegos Iglesias</t>
        </is>
      </c>
    </row>
    <row r="43">
      <c r="A43" s="33" t="inlineStr">
        <is>
          <t>RK-ABC1-C</t>
        </is>
      </c>
      <c r="B43" s="33" t="inlineStr">
        <is>
          <t>FL_MAT_ABC_1kg</t>
        </is>
      </c>
      <c r="C43" s="33" t="inlineStr">
        <is>
          <t>Extintor ABC 1 kg</t>
        </is>
      </c>
      <c r="D43" s="17" t="inlineStr">
        <is>
          <t>C - Cambio obligatorio de polvo (versión anterior de la IRAM 3569)</t>
        </is>
      </c>
      <c r="E43" s="17" t="inlineStr">
        <is>
          <t>Gas impulsor N₂</t>
        </is>
      </c>
      <c r="F43" s="33" t="n">
        <v>0.0047</v>
      </c>
      <c r="G43" s="33" t="inlineStr">
        <is>
          <t>kg</t>
        </is>
      </c>
      <c r="H43" s="17" t="inlineStr">
        <is>
          <t>Nuevo</t>
        </is>
      </c>
      <c r="I43" s="17" t="inlineStr">
        <is>
          <t>IRAM 3517-2:2020 9.4.9 tabla 2</t>
        </is>
      </c>
      <c r="J43" s="33" t="inlineStr">
        <is>
          <t>Sí</t>
        </is>
      </c>
      <c r="K43" s="17" t="inlineStr">
        <is>
          <t>Air Liquide Argentina - sucursal Piñeyro</t>
        </is>
      </c>
      <c r="L43" s="17" t="inlineStr">
        <is>
          <t>Gogniat</t>
        </is>
      </c>
    </row>
    <row r="44">
      <c r="A44" s="33" t="inlineStr">
        <is>
          <t>RK-ABC1-I</t>
        </is>
      </c>
      <c r="B44" s="33" t="inlineStr">
        <is>
          <t>FL_MAT_ABC_1kg</t>
        </is>
      </c>
      <c r="C44" s="33" t="inlineStr">
        <is>
          <t>Extintor ABC 1 kg</t>
        </is>
      </c>
      <c r="D44" s="17" t="inlineStr">
        <is>
          <t>Según inspección (consumo estadístico a definir)</t>
        </is>
      </c>
      <c r="E44" s="17" t="inlineStr">
        <is>
          <t>Manómetro / manguera / tobera / kit de válvula</t>
        </is>
      </c>
      <c r="F44" s="33" t="inlineStr">
        <is>
          <t>-</t>
        </is>
      </c>
      <c r="G44" s="33" t="inlineStr">
        <is>
          <t>u</t>
        </is>
      </c>
      <c r="H44" s="17" t="inlineStr">
        <is>
          <t>Recambio sólo si falla</t>
        </is>
      </c>
      <c r="I44" s="17" t="inlineStr">
        <is>
          <t>IRAM 3517-2:2020 9.4.11 (cada manguera vuelve a su extintor)</t>
        </is>
      </c>
      <c r="J44" s="33" t="inlineStr">
        <is>
          <t>Sí</t>
        </is>
      </c>
      <c r="K44" s="17" t="inlineStr">
        <is>
          <t>Polvex S.R.L. / Sancibrao</t>
        </is>
      </c>
      <c r="L44" s="17" t="inlineStr">
        <is>
          <t>Yukon / MatafuegosYa S.R.L.</t>
        </is>
      </c>
    </row>
    <row r="45">
      <c r="A45" s="33" t="inlineStr">
        <is>
          <t>RK-ABC2.5-A</t>
        </is>
      </c>
      <c r="B45" s="33" t="inlineStr">
        <is>
          <t>FL_MAT_ABC_2.5kg</t>
        </is>
      </c>
      <c r="C45" s="33" t="inlineStr">
        <is>
          <t>Extintor ABC 2,5 kg</t>
        </is>
      </c>
      <c r="D45" s="17" t="inlineStr">
        <is>
          <t>A - Extintor descargado (uso o descarga parcial)</t>
        </is>
      </c>
      <c r="E45" s="17" t="inlineStr">
        <is>
          <t>Polvo químico seco ABC (fosfato monoamónico)</t>
        </is>
      </c>
      <c r="F45" s="33" t="n">
        <v>2.5</v>
      </c>
      <c r="G45" s="33" t="inlineStr">
        <is>
          <t>kg</t>
        </is>
      </c>
      <c r="H45" s="17" t="inlineStr">
        <is>
          <t>Nuevo 100 %</t>
        </is>
      </c>
      <c r="I45" s="17" t="inlineStr">
        <is>
          <t>IRAM 3517-2:2020 9.9.1.4: el polvo de un extintor accionado no se reutiliza</t>
        </is>
      </c>
      <c r="J45" s="33" t="inlineStr">
        <is>
          <t>Sí</t>
        </is>
      </c>
      <c r="K45" s="17" t="inlineStr">
        <is>
          <t>DEM S.A. (DEMSA)</t>
        </is>
      </c>
      <c r="L45" s="17" t="inlineStr">
        <is>
          <t>Polvex S.R.L. / Sancibrao</t>
        </is>
      </c>
    </row>
    <row r="46">
      <c r="A46" s="33" t="inlineStr">
        <is>
          <t>RK-ABC2.5-A</t>
        </is>
      </c>
      <c r="B46" s="33" t="inlineStr">
        <is>
          <t>FL_MAT_ABC_2.5kg</t>
        </is>
      </c>
      <c r="C46" s="33" t="inlineStr">
        <is>
          <t>Extintor ABC 2,5 kg</t>
        </is>
      </c>
      <c r="D46" s="17" t="inlineStr">
        <is>
          <t>A - Extintor descargado (uso o descarga parcial)</t>
        </is>
      </c>
      <c r="E46" s="17" t="inlineStr">
        <is>
          <t>Precinto plástico numerado, color, con nombre del recargador</t>
        </is>
      </c>
      <c r="F46" s="33" t="n">
        <v>1</v>
      </c>
      <c r="G46" s="33" t="inlineStr">
        <is>
          <t>u</t>
        </is>
      </c>
      <c r="H46" s="17" t="inlineStr">
        <is>
          <t>Nuevo</t>
        </is>
      </c>
      <c r="I46" s="17" t="inlineStr">
        <is>
          <t>IRAM 3517-2:2020 9.4.13</t>
        </is>
      </c>
      <c r="J46" s="33" t="inlineStr">
        <is>
          <t>Sí</t>
        </is>
      </c>
      <c r="K46" s="17" t="inlineStr">
        <is>
          <t>SonFuertes (vía Papelera Damián)</t>
        </is>
      </c>
      <c r="L46" s="17" t="inlineStr">
        <is>
          <t>Precinter S.R.L.</t>
        </is>
      </c>
    </row>
    <row r="47">
      <c r="A47" s="33" t="inlineStr">
        <is>
          <t>RK-ABC2.5-A</t>
        </is>
      </c>
      <c r="B47" s="33" t="inlineStr">
        <is>
          <t>FL_MAT_ABC_2.5kg</t>
        </is>
      </c>
      <c r="C47" s="33" t="inlineStr">
        <is>
          <t>Extintor ABC 2,5 kg</t>
        </is>
      </c>
      <c r="D47" s="17" t="inlineStr">
        <is>
          <t>A - Extintor descargado (uso o descarga parcial)</t>
        </is>
      </c>
      <c r="E47" s="17" t="inlineStr">
        <is>
          <t>Marbete (anillo, color del año)</t>
        </is>
      </c>
      <c r="F47" s="33" t="n">
        <v>1</v>
      </c>
      <c r="G47" s="33" t="inlineStr">
        <is>
          <t>u</t>
        </is>
      </c>
      <c r="H47" s="17" t="inlineStr">
        <is>
          <t>Nuevo</t>
        </is>
      </c>
      <c r="I47" s="17" t="inlineStr">
        <is>
          <t>IRAM 3517-2:2020 9.4.14 · fig. 9 · tabla 4</t>
        </is>
      </c>
      <c r="J47" s="33" t="inlineStr">
        <is>
          <t>Sí</t>
        </is>
      </c>
      <c r="K47" s="17" t="inlineStr">
        <is>
          <t>Astuprint</t>
        </is>
      </c>
      <c r="L47" s="17" t="inlineStr">
        <is>
          <t>Multilabel Argentina S.A.</t>
        </is>
      </c>
    </row>
    <row r="48">
      <c r="A48" s="33" t="inlineStr">
        <is>
          <t>RK-ABC2.5-A</t>
        </is>
      </c>
      <c r="B48" s="33" t="inlineStr">
        <is>
          <t>FL_MAT_ABC_2.5kg</t>
        </is>
      </c>
      <c r="C48" s="33" t="inlineStr">
        <is>
          <t>Extintor ABC 2,5 kg</t>
        </is>
      </c>
      <c r="D48" s="17" t="inlineStr">
        <is>
          <t>A - Extintor descargado (uso o descarga parcial)</t>
        </is>
      </c>
      <c r="E48" s="17" t="inlineStr">
        <is>
          <t>Etiqueta de servicio del recargador (extintor n°, serie, próxima recarga y PH)</t>
        </is>
      </c>
      <c r="F48" s="33" t="n">
        <v>1</v>
      </c>
      <c r="G48" s="33" t="inlineStr">
        <is>
          <t>u</t>
        </is>
      </c>
      <c r="H48" s="17" t="inlineStr">
        <is>
          <t>Nuevo</t>
        </is>
      </c>
      <c r="I48" s="17" t="inlineStr">
        <is>
          <t>IRAM 3517-2:2020 8.3.3 · relevado Suyai/Firegram</t>
        </is>
      </c>
      <c r="J48" s="33" t="inlineStr">
        <is>
          <t>Sí</t>
        </is>
      </c>
      <c r="K48" s="17" t="inlineStr">
        <is>
          <t>Astuprint</t>
        </is>
      </c>
      <c r="L48" s="17" t="inlineStr">
        <is>
          <t>Multilabel Argentina S.A.</t>
        </is>
      </c>
    </row>
    <row r="49">
      <c r="A49" s="33" t="inlineStr">
        <is>
          <t>RK-ABC2.5-A</t>
        </is>
      </c>
      <c r="B49" s="33" t="inlineStr">
        <is>
          <t>FL_MAT_ABC_2.5kg</t>
        </is>
      </c>
      <c r="C49" s="33" t="inlineStr">
        <is>
          <t>Extintor ABC 2,5 kg</t>
        </is>
      </c>
      <c r="D49" s="17" t="inlineStr">
        <is>
          <t>A - Extintor descargado (uso o descarga parcial)</t>
        </is>
      </c>
      <c r="E49" s="17" t="inlineStr">
        <is>
          <t>Oblea PBA de recarga Ø46 + estampilla precinto 1" × 200 mm válvula-cuerpo</t>
        </is>
      </c>
      <c r="F49" s="33" t="n">
        <v>1</v>
      </c>
      <c r="G49" s="33" t="inlineStr">
        <is>
          <t>u</t>
        </is>
      </c>
      <c r="H49" s="17" t="inlineStr">
        <is>
          <t>Nuevo (venta en PBA)</t>
        </is>
      </c>
      <c r="I49" s="17" t="inlineStr">
        <is>
          <t>IRAM 3517-2:2020 Res. OPDS 522/07</t>
        </is>
      </c>
      <c r="J49" s="33" t="inlineStr">
        <is>
          <t>Sí</t>
        </is>
      </c>
      <c r="K49" s="17" t="inlineStr">
        <is>
          <t>Ministerio de Ambiente PBA (ex OPDS)</t>
        </is>
      </c>
      <c r="L49" s="17" t="inlineStr">
        <is>
          <t>-</t>
        </is>
      </c>
    </row>
    <row r="50">
      <c r="A50" s="33" t="inlineStr">
        <is>
          <t>RK-ABC2.5-A</t>
        </is>
      </c>
      <c r="B50" s="33" t="inlineStr">
        <is>
          <t>FL_MAT_ABC_2.5kg</t>
        </is>
      </c>
      <c r="C50" s="33" t="inlineStr">
        <is>
          <t>Extintor ABC 2,5 kg</t>
        </is>
      </c>
      <c r="D50" s="17" t="inlineStr">
        <is>
          <t>A - Extintor descargado (uso o descarga parcial)</t>
        </is>
      </c>
      <c r="E50" s="17" t="inlineStr">
        <is>
          <t>Tarjeta de identificación AGC (módulo papel con QR + etiqueta AGC)</t>
        </is>
      </c>
      <c r="F50" s="33" t="n">
        <v>1</v>
      </c>
      <c r="G50" s="33" t="inlineStr">
        <is>
          <t>u</t>
        </is>
      </c>
      <c r="H50" s="17" t="inlineStr">
        <is>
          <t>Nuevo (destino CABA)</t>
        </is>
      </c>
      <c r="I50" s="17" t="inlineStr">
        <is>
          <t>IRAM 3517-2:2020 Ord. 40.473 art. 6 · Res. AGC 32/15</t>
        </is>
      </c>
      <c r="J50" s="33" t="inlineStr">
        <is>
          <t>Sí</t>
        </is>
      </c>
      <c r="K50" s="17" t="inlineStr">
        <is>
          <t>Agencia Gubernamental de Control (CABA)</t>
        </is>
      </c>
      <c r="L50" s="17" t="inlineStr">
        <is>
          <t>-</t>
        </is>
      </c>
    </row>
    <row r="51">
      <c r="A51" s="33" t="inlineStr">
        <is>
          <t>RK-ABC2.5-A</t>
        </is>
      </c>
      <c r="B51" s="33" t="inlineStr">
        <is>
          <t>FL_MAT_ABC_2.5kg</t>
        </is>
      </c>
      <c r="C51" s="33" t="inlineStr">
        <is>
          <t>Extintor ABC 2,5 kg</t>
        </is>
      </c>
      <c r="D51" s="17" t="inlineStr">
        <is>
          <t>A - Extintor descargado (uso o descarga parcial)</t>
        </is>
      </c>
      <c r="E51" s="17" t="inlineStr">
        <is>
          <t>Tarjeta de identificación DPS de revisión / recarga</t>
        </is>
      </c>
      <c r="F51" s="33" t="n">
        <v>1</v>
      </c>
      <c r="G51" s="33" t="inlineStr">
        <is>
          <t>u</t>
        </is>
      </c>
      <c r="H51" s="17" t="inlineStr">
        <is>
          <t>Nuevo (PBA)</t>
        </is>
      </c>
      <c r="I51" s="17" t="inlineStr">
        <is>
          <t>IRAM 3517-2:2020 Res. 349/07 art. 21</t>
        </is>
      </c>
      <c r="J51" s="33" t="inlineStr">
        <is>
          <t>Sí</t>
        </is>
      </c>
      <c r="K51" s="17" t="inlineStr">
        <is>
          <t>Ministerio de Ambiente PBA (ex OPDS)</t>
        </is>
      </c>
      <c r="L51" s="17" t="inlineStr">
        <is>
          <t>-</t>
        </is>
      </c>
    </row>
    <row r="52">
      <c r="A52" s="33" t="inlineStr">
        <is>
          <t>RK-ABC2.5-A</t>
        </is>
      </c>
      <c r="B52" s="33" t="inlineStr">
        <is>
          <t>FL_MAT_ABC_2.5kg</t>
        </is>
      </c>
      <c r="C52" s="33" t="inlineStr">
        <is>
          <t>Extintor ABC 2,5 kg</t>
        </is>
      </c>
      <c r="D52" s="17" t="inlineStr">
        <is>
          <t>A - Extintor descargado (uso o descarga parcial)</t>
        </is>
      </c>
      <c r="E52" s="17" t="inlineStr">
        <is>
          <t>Grabado de la fecha del servicio en el tubo de pesca (lápiz vibratorio; en polvo, marcador indeleble)</t>
        </is>
      </c>
      <c r="F52" s="33" t="n">
        <v>1</v>
      </c>
      <c r="G52" s="33" t="inlineStr">
        <is>
          <t>u</t>
        </is>
      </c>
      <c r="H52" s="17" t="inlineStr">
        <is>
          <t>Proceso</t>
        </is>
      </c>
      <c r="I52" s="17" t="inlineStr">
        <is>
          <t>IRAM 3517-2:2020 Res. 349/07 art. 28</t>
        </is>
      </c>
      <c r="J52" s="33" t="inlineStr">
        <is>
          <t>No</t>
        </is>
      </c>
      <c r="K52" s="17" t="n"/>
      <c r="L52" s="17" t="n"/>
    </row>
    <row r="53">
      <c r="A53" s="33" t="inlineStr">
        <is>
          <t>RK-ABC2.5-A</t>
        </is>
      </c>
      <c r="B53" s="33" t="inlineStr">
        <is>
          <t>FL_MAT_ABC_2.5kg</t>
        </is>
      </c>
      <c r="C53" s="33"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3" t="n">
        <v>1</v>
      </c>
      <c r="G53" s="33" t="inlineStr">
        <is>
          <t>u</t>
        </is>
      </c>
      <c r="H53" s="17" t="inlineStr">
        <is>
          <t>Proceso</t>
        </is>
      </c>
      <c r="I53" s="17" t="inlineStr">
        <is>
          <t>IRAM 3517-2:2020 Res. 349/07 art. 29 · IRAM 3517-2</t>
        </is>
      </c>
      <c r="J53" s="33" t="inlineStr">
        <is>
          <t>No</t>
        </is>
      </c>
      <c r="K53" s="17" t="n"/>
      <c r="L53" s="17" t="n"/>
    </row>
    <row r="54">
      <c r="A54" s="41" t="inlineStr">
        <is>
          <t>RK-ABC2.5-A</t>
        </is>
      </c>
      <c r="B54" s="41" t="inlineStr">
        <is>
          <t>FL_MAT_ABC_2.5kg</t>
        </is>
      </c>
      <c r="C54" s="41" t="inlineStr">
        <is>
          <t>Extintor ABC 2,5 kg</t>
        </is>
      </c>
      <c r="D54" s="18" t="inlineStr">
        <is>
          <t>A - Extintor descargado (uso o descarga parcial)</t>
        </is>
      </c>
      <c r="E54" s="18" t="inlineStr">
        <is>
          <t>Junta tórica de asiento del cuello</t>
        </is>
      </c>
      <c r="F54" s="41" t="n">
        <v>1</v>
      </c>
      <c r="G54" s="41" t="inlineStr">
        <is>
          <t>u</t>
        </is>
      </c>
      <c r="H54" s="18" t="inlineStr">
        <is>
          <t>Nuevo (R: cambio sistemático)</t>
        </is>
      </c>
      <c r="I54" s="18" t="inlineStr"/>
      <c r="J54" s="41" t="inlineStr">
        <is>
          <t>Sí</t>
        </is>
      </c>
      <c r="K54" s="18" t="inlineStr">
        <is>
          <t>Argensold</t>
        </is>
      </c>
      <c r="L54" s="18" t="inlineStr">
        <is>
          <t>Matafuegos Iglesias</t>
        </is>
      </c>
    </row>
    <row r="55">
      <c r="A55" s="33" t="inlineStr">
        <is>
          <t>RK-ABC2.5-A</t>
        </is>
      </c>
      <c r="B55" s="33" t="inlineStr">
        <is>
          <t>FL_MAT_ABC_2.5kg</t>
        </is>
      </c>
      <c r="C55" s="33" t="inlineStr">
        <is>
          <t>Extintor ABC 2,5 kg</t>
        </is>
      </c>
      <c r="D55" s="17" t="inlineStr">
        <is>
          <t>A - Extintor descargado (uso o descarga parcial)</t>
        </is>
      </c>
      <c r="E55" s="17" t="inlineStr">
        <is>
          <t>Gas impulsor N₂</t>
        </is>
      </c>
      <c r="F55" s="33" t="n">
        <v>0.0212</v>
      </c>
      <c r="G55" s="33" t="inlineStr">
        <is>
          <t>kg</t>
        </is>
      </c>
      <c r="H55" s="17" t="inlineStr">
        <is>
          <t>Nuevo</t>
        </is>
      </c>
      <c r="I55" s="17" t="inlineStr">
        <is>
          <t>IRAM 3517-2:2020 9.4.9 tabla 2</t>
        </is>
      </c>
      <c r="J55" s="33" t="inlineStr">
        <is>
          <t>Sí</t>
        </is>
      </c>
      <c r="K55" s="17" t="inlineStr">
        <is>
          <t>Air Liquide Argentina - sucursal Piñeyro</t>
        </is>
      </c>
      <c r="L55" s="17" t="inlineStr">
        <is>
          <t>Gogniat</t>
        </is>
      </c>
    </row>
    <row r="56">
      <c r="A56" s="33" t="inlineStr">
        <is>
          <t>RK-ABC2.5-B</t>
        </is>
      </c>
      <c r="B56" s="33" t="inlineStr">
        <is>
          <t>FL_MAT_ABC_2.5kg</t>
        </is>
      </c>
      <c r="C56" s="33" t="inlineStr">
        <is>
          <t>Extintor ABC 2,5 kg</t>
        </is>
      </c>
      <c r="D56" s="17" t="inlineStr">
        <is>
          <t>B - Mantenimiento con apertura sin descarga (control interior, PH)</t>
        </is>
      </c>
      <c r="E56" s="17" t="inlineStr">
        <is>
          <t>Polvo químico seco ABC (fosfato monoamónico) recuperado</t>
        </is>
      </c>
      <c r="F56" s="33" t="n">
        <v>2.425</v>
      </c>
      <c r="G56" s="33" t="inlineStr">
        <is>
          <t>kg</t>
        </is>
      </c>
      <c r="H56" s="17" t="inlineStr">
        <is>
          <t>Recuperado en sistema cerrado</t>
        </is>
      </c>
      <c r="I56" s="17" t="inlineStr">
        <is>
          <t>IRAM 3517-2:2020 4.4.1 y) sistema cerrado de recuperación con inspección; 9.9.3 control (puffer IRAM 3672, fusión IRAM 3569 en ABC)</t>
        </is>
      </c>
      <c r="J56" s="33" t="inlineStr">
        <is>
          <t>No</t>
        </is>
      </c>
      <c r="K56" s="17" t="n"/>
      <c r="L56" s="17" t="n"/>
    </row>
    <row r="57">
      <c r="A57" s="41" t="inlineStr">
        <is>
          <t>RK-ABC2.5-B</t>
        </is>
      </c>
      <c r="B57" s="41" t="inlineStr">
        <is>
          <t>FL_MAT_ABC_2.5kg</t>
        </is>
      </c>
      <c r="C57" s="41" t="inlineStr">
        <is>
          <t>Extintor ABC 2,5 kg</t>
        </is>
      </c>
      <c r="D57" s="18" t="inlineStr">
        <is>
          <t>B - Mantenimiento con apertura sin descarga (control interior, PH)</t>
        </is>
      </c>
      <c r="E57" s="18" t="inlineStr">
        <is>
          <t>Polvo químico seco ABC (fosfato monoamónico) de reposición de mermas</t>
        </is>
      </c>
      <c r="F57" s="41" t="n">
        <v>0.075</v>
      </c>
      <c r="G57" s="41" t="inlineStr">
        <is>
          <t>kg</t>
        </is>
      </c>
      <c r="H57" s="18" t="inlineStr">
        <is>
          <t>Nuevo (R: 3 % de merma)</t>
        </is>
      </c>
      <c r="I57" s="18" t="inlineStr">
        <is>
          <t>Mismo tipo y marca (prohibido mezclar ABC con BC, 9.9.1.6)</t>
        </is>
      </c>
      <c r="J57" s="41" t="inlineStr">
        <is>
          <t>Sí</t>
        </is>
      </c>
      <c r="K57" s="18" t="inlineStr">
        <is>
          <t>DEM S.A. (DEMSA)</t>
        </is>
      </c>
      <c r="L57" s="18" t="inlineStr">
        <is>
          <t>Polvex S.R.L. / Sancibrao</t>
        </is>
      </c>
    </row>
    <row r="58">
      <c r="A58" s="33" t="inlineStr">
        <is>
          <t>RK-ABC2.5-B</t>
        </is>
      </c>
      <c r="B58" s="33" t="inlineStr">
        <is>
          <t>FL_MAT_ABC_2.5kg</t>
        </is>
      </c>
      <c r="C58" s="33" t="inlineStr">
        <is>
          <t>Extintor ABC 2,5 kg</t>
        </is>
      </c>
      <c r="D58" s="17" t="inlineStr">
        <is>
          <t>B - Mantenimiento con apertura sin descarga (control interior, PH)</t>
        </is>
      </c>
      <c r="E58" s="17" t="inlineStr">
        <is>
          <t>Precinto plástico numerado, color, con nombre del recargador</t>
        </is>
      </c>
      <c r="F58" s="33" t="n">
        <v>1</v>
      </c>
      <c r="G58" s="33" t="inlineStr">
        <is>
          <t>u</t>
        </is>
      </c>
      <c r="H58" s="17" t="inlineStr">
        <is>
          <t>Nuevo</t>
        </is>
      </c>
      <c r="I58" s="17" t="inlineStr">
        <is>
          <t>IRAM 3517-2:2020 9.4.13</t>
        </is>
      </c>
      <c r="J58" s="33" t="inlineStr">
        <is>
          <t>Sí</t>
        </is>
      </c>
      <c r="K58" s="17" t="inlineStr">
        <is>
          <t>SonFuertes (vía Papelera Damián)</t>
        </is>
      </c>
      <c r="L58" s="17" t="inlineStr">
        <is>
          <t>Precinter S.R.L.</t>
        </is>
      </c>
    </row>
    <row r="59">
      <c r="A59" s="33" t="inlineStr">
        <is>
          <t>RK-ABC2.5-B</t>
        </is>
      </c>
      <c r="B59" s="33" t="inlineStr">
        <is>
          <t>FL_MAT_ABC_2.5kg</t>
        </is>
      </c>
      <c r="C59" s="33" t="inlineStr">
        <is>
          <t>Extintor ABC 2,5 kg</t>
        </is>
      </c>
      <c r="D59" s="17" t="inlineStr">
        <is>
          <t>B - Mantenimiento con apertura sin descarga (control interior, PH)</t>
        </is>
      </c>
      <c r="E59" s="17" t="inlineStr">
        <is>
          <t>Marbete (anillo, color del año)</t>
        </is>
      </c>
      <c r="F59" s="33" t="n">
        <v>1</v>
      </c>
      <c r="G59" s="33" t="inlineStr">
        <is>
          <t>u</t>
        </is>
      </c>
      <c r="H59" s="17" t="inlineStr">
        <is>
          <t>Nuevo</t>
        </is>
      </c>
      <c r="I59" s="17" t="inlineStr">
        <is>
          <t>IRAM 3517-2:2020 9.4.14 · fig. 9 · tabla 4</t>
        </is>
      </c>
      <c r="J59" s="33" t="inlineStr">
        <is>
          <t>Sí</t>
        </is>
      </c>
      <c r="K59" s="17" t="inlineStr">
        <is>
          <t>Astuprint</t>
        </is>
      </c>
      <c r="L59" s="17" t="inlineStr">
        <is>
          <t>Multilabel Argentina S.A.</t>
        </is>
      </c>
    </row>
    <row r="60">
      <c r="A60" s="33" t="inlineStr">
        <is>
          <t>RK-ABC2.5-B</t>
        </is>
      </c>
      <c r="B60" s="33" t="inlineStr">
        <is>
          <t>FL_MAT_ABC_2.5kg</t>
        </is>
      </c>
      <c r="C60" s="33" t="inlineStr">
        <is>
          <t>Extintor ABC 2,5 kg</t>
        </is>
      </c>
      <c r="D60" s="17" t="inlineStr">
        <is>
          <t>B - Mantenimiento con apertura sin descarga (control interior, PH)</t>
        </is>
      </c>
      <c r="E60" s="17" t="inlineStr">
        <is>
          <t>Etiqueta de servicio del recargador (extintor n°, serie, próxima recarga y PH)</t>
        </is>
      </c>
      <c r="F60" s="33" t="n">
        <v>1</v>
      </c>
      <c r="G60" s="33" t="inlineStr">
        <is>
          <t>u</t>
        </is>
      </c>
      <c r="H60" s="17" t="inlineStr">
        <is>
          <t>Nuevo</t>
        </is>
      </c>
      <c r="I60" s="17" t="inlineStr">
        <is>
          <t>IRAM 3517-2:2020 8.3.3 · relevado Suyai/Firegram</t>
        </is>
      </c>
      <c r="J60" s="33" t="inlineStr">
        <is>
          <t>Sí</t>
        </is>
      </c>
      <c r="K60" s="17" t="inlineStr">
        <is>
          <t>Astuprint</t>
        </is>
      </c>
      <c r="L60" s="17" t="inlineStr">
        <is>
          <t>Multilabel Argentina S.A.</t>
        </is>
      </c>
    </row>
    <row r="61">
      <c r="A61" s="33" t="inlineStr">
        <is>
          <t>RK-ABC2.5-B</t>
        </is>
      </c>
      <c r="B61" s="33" t="inlineStr">
        <is>
          <t>FL_MAT_ABC_2.5kg</t>
        </is>
      </c>
      <c r="C61" s="33" t="inlineStr">
        <is>
          <t>Extintor ABC 2,5 kg</t>
        </is>
      </c>
      <c r="D61" s="17" t="inlineStr">
        <is>
          <t>B - Mantenimiento con apertura sin descarga (control interior, PH)</t>
        </is>
      </c>
      <c r="E61" s="17" t="inlineStr">
        <is>
          <t>Oblea PBA de recarga Ø46 + estampilla precinto 1" × 200 mm válvula-cuerpo</t>
        </is>
      </c>
      <c r="F61" s="33" t="n">
        <v>1</v>
      </c>
      <c r="G61" s="33" t="inlineStr">
        <is>
          <t>u</t>
        </is>
      </c>
      <c r="H61" s="17" t="inlineStr">
        <is>
          <t>Nuevo (venta en PBA)</t>
        </is>
      </c>
      <c r="I61" s="17" t="inlineStr">
        <is>
          <t>IRAM 3517-2:2020 Res. OPDS 522/07</t>
        </is>
      </c>
      <c r="J61" s="33" t="inlineStr">
        <is>
          <t>Sí</t>
        </is>
      </c>
      <c r="K61" s="17" t="inlineStr">
        <is>
          <t>Ministerio de Ambiente PBA (ex OPDS)</t>
        </is>
      </c>
      <c r="L61" s="17" t="inlineStr">
        <is>
          <t>-</t>
        </is>
      </c>
    </row>
    <row r="62">
      <c r="A62" s="33" t="inlineStr">
        <is>
          <t>RK-ABC2.5-B</t>
        </is>
      </c>
      <c r="B62" s="33" t="inlineStr">
        <is>
          <t>FL_MAT_ABC_2.5kg</t>
        </is>
      </c>
      <c r="C62" s="33" t="inlineStr">
        <is>
          <t>Extintor ABC 2,5 kg</t>
        </is>
      </c>
      <c r="D62" s="17" t="inlineStr">
        <is>
          <t>B - Mantenimiento con apertura sin descarga (control interior, PH)</t>
        </is>
      </c>
      <c r="E62" s="17" t="inlineStr">
        <is>
          <t>Tarjeta de identificación AGC (módulo papel con QR + etiqueta AGC)</t>
        </is>
      </c>
      <c r="F62" s="33" t="n">
        <v>1</v>
      </c>
      <c r="G62" s="33" t="inlineStr">
        <is>
          <t>u</t>
        </is>
      </c>
      <c r="H62" s="17" t="inlineStr">
        <is>
          <t>Nuevo (destino CABA)</t>
        </is>
      </c>
      <c r="I62" s="17" t="inlineStr">
        <is>
          <t>IRAM 3517-2:2020 Ord. 40.473 art. 6 · Res. AGC 32/15</t>
        </is>
      </c>
      <c r="J62" s="33" t="inlineStr">
        <is>
          <t>Sí</t>
        </is>
      </c>
      <c r="K62" s="17" t="inlineStr">
        <is>
          <t>Agencia Gubernamental de Control (CABA)</t>
        </is>
      </c>
      <c r="L62" s="17" t="inlineStr">
        <is>
          <t>-</t>
        </is>
      </c>
    </row>
    <row r="63">
      <c r="A63" s="33" t="inlineStr">
        <is>
          <t>RK-ABC2.5-B</t>
        </is>
      </c>
      <c r="B63" s="33" t="inlineStr">
        <is>
          <t>FL_MAT_ABC_2.5kg</t>
        </is>
      </c>
      <c r="C63" s="33" t="inlineStr">
        <is>
          <t>Extintor ABC 2,5 kg</t>
        </is>
      </c>
      <c r="D63" s="17" t="inlineStr">
        <is>
          <t>B - Mantenimiento con apertura sin descarga (control interior, PH)</t>
        </is>
      </c>
      <c r="E63" s="17" t="inlineStr">
        <is>
          <t>Tarjeta de identificación DPS de revisión / recarga</t>
        </is>
      </c>
      <c r="F63" s="33" t="n">
        <v>1</v>
      </c>
      <c r="G63" s="33" t="inlineStr">
        <is>
          <t>u</t>
        </is>
      </c>
      <c r="H63" s="17" t="inlineStr">
        <is>
          <t>Nuevo (PBA)</t>
        </is>
      </c>
      <c r="I63" s="17" t="inlineStr">
        <is>
          <t>IRAM 3517-2:2020 Res. 349/07 art. 21</t>
        </is>
      </c>
      <c r="J63" s="33" t="inlineStr">
        <is>
          <t>Sí</t>
        </is>
      </c>
      <c r="K63" s="17" t="inlineStr">
        <is>
          <t>Ministerio de Ambiente PBA (ex OPDS)</t>
        </is>
      </c>
      <c r="L63" s="17" t="inlineStr">
        <is>
          <t>-</t>
        </is>
      </c>
    </row>
    <row r="64">
      <c r="A64" s="33" t="inlineStr">
        <is>
          <t>RK-ABC2.5-B</t>
        </is>
      </c>
      <c r="B64" s="33" t="inlineStr">
        <is>
          <t>FL_MAT_ABC_2.5kg</t>
        </is>
      </c>
      <c r="C64" s="33" t="inlineStr">
        <is>
          <t>Extintor ABC 2,5 kg</t>
        </is>
      </c>
      <c r="D64" s="17" t="inlineStr">
        <is>
          <t>B - Mantenimiento con apertura sin descarga (control interior, PH)</t>
        </is>
      </c>
      <c r="E64" s="17" t="inlineStr">
        <is>
          <t>Grabado de la fecha del servicio en el tubo de pesca (lápiz vibratorio; en polvo, marcador indeleble)</t>
        </is>
      </c>
      <c r="F64" s="33" t="n">
        <v>1</v>
      </c>
      <c r="G64" s="33" t="inlineStr">
        <is>
          <t>u</t>
        </is>
      </c>
      <c r="H64" s="17" t="inlineStr">
        <is>
          <t>Proceso</t>
        </is>
      </c>
      <c r="I64" s="17" t="inlineStr">
        <is>
          <t>IRAM 3517-2:2020 Res. 349/07 art. 28</t>
        </is>
      </c>
      <c r="J64" s="33" t="inlineStr">
        <is>
          <t>No</t>
        </is>
      </c>
      <c r="K64" s="17" t="n"/>
      <c r="L64" s="17" t="n"/>
    </row>
    <row r="65">
      <c r="A65" s="33" t="inlineStr">
        <is>
          <t>RK-ABC2.5-B</t>
        </is>
      </c>
      <c r="B65" s="33" t="inlineStr">
        <is>
          <t>FL_MAT_ABC_2.5kg</t>
        </is>
      </c>
      <c r="C65" s="33"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3" t="n">
        <v>1</v>
      </c>
      <c r="G65" s="33" t="inlineStr">
        <is>
          <t>u</t>
        </is>
      </c>
      <c r="H65" s="17" t="inlineStr">
        <is>
          <t>Proceso</t>
        </is>
      </c>
      <c r="I65" s="17" t="inlineStr">
        <is>
          <t>IRAM 3517-2:2020 Res. 349/07 art. 29 · IRAM 3517-2</t>
        </is>
      </c>
      <c r="J65" s="33" t="inlineStr">
        <is>
          <t>No</t>
        </is>
      </c>
      <c r="K65" s="17" t="n"/>
      <c r="L65" s="17" t="n"/>
    </row>
    <row r="66">
      <c r="A66" s="41" t="inlineStr">
        <is>
          <t>RK-ABC2.5-B</t>
        </is>
      </c>
      <c r="B66" s="41" t="inlineStr">
        <is>
          <t>FL_MAT_ABC_2.5kg</t>
        </is>
      </c>
      <c r="C66" s="41" t="inlineStr">
        <is>
          <t>Extintor ABC 2,5 kg</t>
        </is>
      </c>
      <c r="D66" s="18" t="inlineStr">
        <is>
          <t>B - Mantenimiento con apertura sin descarga (control interior, PH)</t>
        </is>
      </c>
      <c r="E66" s="18" t="inlineStr">
        <is>
          <t>Junta tórica de asiento del cuello</t>
        </is>
      </c>
      <c r="F66" s="41" t="n">
        <v>1</v>
      </c>
      <c r="G66" s="41" t="inlineStr">
        <is>
          <t>u</t>
        </is>
      </c>
      <c r="H66" s="18" t="inlineStr">
        <is>
          <t>Nuevo (R: cambio sistemático)</t>
        </is>
      </c>
      <c r="I66" s="18" t="inlineStr"/>
      <c r="J66" s="41" t="inlineStr">
        <is>
          <t>Sí</t>
        </is>
      </c>
      <c r="K66" s="18" t="inlineStr">
        <is>
          <t>Argensold</t>
        </is>
      </c>
      <c r="L66" s="18" t="inlineStr">
        <is>
          <t>Matafuegos Iglesias</t>
        </is>
      </c>
    </row>
    <row r="67">
      <c r="A67" s="33" t="inlineStr">
        <is>
          <t>RK-ABC2.5-B</t>
        </is>
      </c>
      <c r="B67" s="33" t="inlineStr">
        <is>
          <t>FL_MAT_ABC_2.5kg</t>
        </is>
      </c>
      <c r="C67" s="33" t="inlineStr">
        <is>
          <t>Extintor ABC 2,5 kg</t>
        </is>
      </c>
      <c r="D67" s="17" t="inlineStr">
        <is>
          <t>B - Mantenimiento con apertura sin descarga (control interior, PH)</t>
        </is>
      </c>
      <c r="E67" s="17" t="inlineStr">
        <is>
          <t>Gas impulsor N₂</t>
        </is>
      </c>
      <c r="F67" s="33" t="n">
        <v>0.0212</v>
      </c>
      <c r="G67" s="33" t="inlineStr">
        <is>
          <t>kg</t>
        </is>
      </c>
      <c r="H67" s="17" t="inlineStr">
        <is>
          <t>Nuevo</t>
        </is>
      </c>
      <c r="I67" s="17" t="inlineStr">
        <is>
          <t>IRAM 3517-2:2020 9.4.9 tabla 2</t>
        </is>
      </c>
      <c r="J67" s="33" t="inlineStr">
        <is>
          <t>Sí</t>
        </is>
      </c>
      <c r="K67" s="17" t="inlineStr">
        <is>
          <t>Air Liquide Argentina - sucursal Piñeyro</t>
        </is>
      </c>
      <c r="L67" s="17" t="inlineStr">
        <is>
          <t>Gogniat</t>
        </is>
      </c>
    </row>
    <row r="68">
      <c r="A68" s="33" t="inlineStr">
        <is>
          <t>RK-ABC2.5-C</t>
        </is>
      </c>
      <c r="B68" s="33" t="inlineStr">
        <is>
          <t>FL_MAT_ABC_2.5kg</t>
        </is>
      </c>
      <c r="C68" s="33" t="inlineStr">
        <is>
          <t>Extintor ABC 2,5 kg</t>
        </is>
      </c>
      <c r="D68" s="17" t="inlineStr">
        <is>
          <t>C - Cambio obligatorio de polvo (versión anterior de la IRAM 3569)</t>
        </is>
      </c>
      <c r="E68" s="17" t="inlineStr">
        <is>
          <t>Polvo químico seco ABC (fosfato monoamónico)</t>
        </is>
      </c>
      <c r="F68" s="33" t="n">
        <v>2.5</v>
      </c>
      <c r="G68" s="33" t="inlineStr">
        <is>
          <t>kg</t>
        </is>
      </c>
      <c r="H68" s="17" t="inlineStr">
        <is>
          <t>Nuevo 100 %; el viejo va a residuos (RC-IR)</t>
        </is>
      </c>
      <c r="I68" s="17" t="inlineStr">
        <is>
          <t>IRAM 3517-2:2020 9.9.4</t>
        </is>
      </c>
      <c r="J68" s="33" t="inlineStr">
        <is>
          <t>Sí</t>
        </is>
      </c>
      <c r="K68" s="17" t="inlineStr">
        <is>
          <t>DEM S.A. (DEMSA)</t>
        </is>
      </c>
      <c r="L68" s="17" t="inlineStr">
        <is>
          <t>Polvex S.R.L. / Sancibrao</t>
        </is>
      </c>
    </row>
    <row r="69">
      <c r="A69" s="33" t="inlineStr">
        <is>
          <t>RK-ABC2.5-C</t>
        </is>
      </c>
      <c r="B69" s="33" t="inlineStr">
        <is>
          <t>FL_MAT_ABC_2.5kg</t>
        </is>
      </c>
      <c r="C69" s="33" t="inlineStr">
        <is>
          <t>Extintor ABC 2,5 kg</t>
        </is>
      </c>
      <c r="D69" s="17" t="inlineStr">
        <is>
          <t>C - Cambio obligatorio de polvo (versión anterior de la IRAM 3569)</t>
        </is>
      </c>
      <c r="E69" s="17" t="inlineStr">
        <is>
          <t>Precinto plástico numerado, color, con nombre del recargador</t>
        </is>
      </c>
      <c r="F69" s="33" t="n">
        <v>1</v>
      </c>
      <c r="G69" s="33" t="inlineStr">
        <is>
          <t>u</t>
        </is>
      </c>
      <c r="H69" s="17" t="inlineStr">
        <is>
          <t>Nuevo</t>
        </is>
      </c>
      <c r="I69" s="17" t="inlineStr">
        <is>
          <t>IRAM 3517-2:2020 9.4.13</t>
        </is>
      </c>
      <c r="J69" s="33" t="inlineStr">
        <is>
          <t>Sí</t>
        </is>
      </c>
      <c r="K69" s="17" t="inlineStr">
        <is>
          <t>SonFuertes (vía Papelera Damián)</t>
        </is>
      </c>
      <c r="L69" s="17" t="inlineStr">
        <is>
          <t>Precinter S.R.L.</t>
        </is>
      </c>
    </row>
    <row r="70">
      <c r="A70" s="33" t="inlineStr">
        <is>
          <t>RK-ABC2.5-C</t>
        </is>
      </c>
      <c r="B70" s="33" t="inlineStr">
        <is>
          <t>FL_MAT_ABC_2.5kg</t>
        </is>
      </c>
      <c r="C70" s="33" t="inlineStr">
        <is>
          <t>Extintor ABC 2,5 kg</t>
        </is>
      </c>
      <c r="D70" s="17" t="inlineStr">
        <is>
          <t>C - Cambio obligatorio de polvo (versión anterior de la IRAM 3569)</t>
        </is>
      </c>
      <c r="E70" s="17" t="inlineStr">
        <is>
          <t>Marbete (anillo, color del año)</t>
        </is>
      </c>
      <c r="F70" s="33" t="n">
        <v>1</v>
      </c>
      <c r="G70" s="33" t="inlineStr">
        <is>
          <t>u</t>
        </is>
      </c>
      <c r="H70" s="17" t="inlineStr">
        <is>
          <t>Nuevo</t>
        </is>
      </c>
      <c r="I70" s="17" t="inlineStr">
        <is>
          <t>IRAM 3517-2:2020 9.4.14 · fig. 9 · tabla 4</t>
        </is>
      </c>
      <c r="J70" s="33" t="inlineStr">
        <is>
          <t>Sí</t>
        </is>
      </c>
      <c r="K70" s="17" t="inlineStr">
        <is>
          <t>Astuprint</t>
        </is>
      </c>
      <c r="L70" s="17" t="inlineStr">
        <is>
          <t>Multilabel Argentina S.A.</t>
        </is>
      </c>
    </row>
    <row r="71">
      <c r="A71" s="33" t="inlineStr">
        <is>
          <t>RK-ABC2.5-C</t>
        </is>
      </c>
      <c r="B71" s="33" t="inlineStr">
        <is>
          <t>FL_MAT_ABC_2.5kg</t>
        </is>
      </c>
      <c r="C71" s="33" t="inlineStr">
        <is>
          <t>Extintor ABC 2,5 kg</t>
        </is>
      </c>
      <c r="D71" s="17" t="inlineStr">
        <is>
          <t>C - Cambio obligatorio de polvo (versión anterior de la IRAM 3569)</t>
        </is>
      </c>
      <c r="E71" s="17" t="inlineStr">
        <is>
          <t>Etiqueta de servicio del recargador (extintor n°, serie, próxima recarga y PH)</t>
        </is>
      </c>
      <c r="F71" s="33" t="n">
        <v>1</v>
      </c>
      <c r="G71" s="33" t="inlineStr">
        <is>
          <t>u</t>
        </is>
      </c>
      <c r="H71" s="17" t="inlineStr">
        <is>
          <t>Nuevo</t>
        </is>
      </c>
      <c r="I71" s="17" t="inlineStr">
        <is>
          <t>IRAM 3517-2:2020 8.3.3 · relevado Suyai/Firegram</t>
        </is>
      </c>
      <c r="J71" s="33" t="inlineStr">
        <is>
          <t>Sí</t>
        </is>
      </c>
      <c r="K71" s="17" t="inlineStr">
        <is>
          <t>Astuprint</t>
        </is>
      </c>
      <c r="L71" s="17" t="inlineStr">
        <is>
          <t>Multilabel Argentina S.A.</t>
        </is>
      </c>
    </row>
    <row r="72">
      <c r="A72" s="33" t="inlineStr">
        <is>
          <t>RK-ABC2.5-C</t>
        </is>
      </c>
      <c r="B72" s="33" t="inlineStr">
        <is>
          <t>FL_MAT_ABC_2.5kg</t>
        </is>
      </c>
      <c r="C72" s="33" t="inlineStr">
        <is>
          <t>Extintor ABC 2,5 kg</t>
        </is>
      </c>
      <c r="D72" s="17" t="inlineStr">
        <is>
          <t>C - Cambio obligatorio de polvo (versión anterior de la IRAM 3569)</t>
        </is>
      </c>
      <c r="E72" s="17" t="inlineStr">
        <is>
          <t>Oblea PBA de recarga Ø46 + estampilla precinto 1" × 200 mm válvula-cuerpo</t>
        </is>
      </c>
      <c r="F72" s="33" t="n">
        <v>1</v>
      </c>
      <c r="G72" s="33" t="inlineStr">
        <is>
          <t>u</t>
        </is>
      </c>
      <c r="H72" s="17" t="inlineStr">
        <is>
          <t>Nuevo (venta en PBA)</t>
        </is>
      </c>
      <c r="I72" s="17" t="inlineStr">
        <is>
          <t>IRAM 3517-2:2020 Res. OPDS 522/07</t>
        </is>
      </c>
      <c r="J72" s="33" t="inlineStr">
        <is>
          <t>Sí</t>
        </is>
      </c>
      <c r="K72" s="17" t="inlineStr">
        <is>
          <t>Ministerio de Ambiente PBA (ex OPDS)</t>
        </is>
      </c>
      <c r="L72" s="17" t="inlineStr">
        <is>
          <t>-</t>
        </is>
      </c>
    </row>
    <row r="73">
      <c r="A73" s="33" t="inlineStr">
        <is>
          <t>RK-ABC2.5-C</t>
        </is>
      </c>
      <c r="B73" s="33" t="inlineStr">
        <is>
          <t>FL_MAT_ABC_2.5kg</t>
        </is>
      </c>
      <c r="C73" s="33" t="inlineStr">
        <is>
          <t>Extintor ABC 2,5 kg</t>
        </is>
      </c>
      <c r="D73" s="17" t="inlineStr">
        <is>
          <t>C - Cambio obligatorio de polvo (versión anterior de la IRAM 3569)</t>
        </is>
      </c>
      <c r="E73" s="17" t="inlineStr">
        <is>
          <t>Tarjeta de identificación AGC (módulo papel con QR + etiqueta AGC)</t>
        </is>
      </c>
      <c r="F73" s="33" t="n">
        <v>1</v>
      </c>
      <c r="G73" s="33" t="inlineStr">
        <is>
          <t>u</t>
        </is>
      </c>
      <c r="H73" s="17" t="inlineStr">
        <is>
          <t>Nuevo (destino CABA)</t>
        </is>
      </c>
      <c r="I73" s="17" t="inlineStr">
        <is>
          <t>IRAM 3517-2:2020 Ord. 40.473 art. 6 · Res. AGC 32/15</t>
        </is>
      </c>
      <c r="J73" s="33" t="inlineStr">
        <is>
          <t>Sí</t>
        </is>
      </c>
      <c r="K73" s="17" t="inlineStr">
        <is>
          <t>Agencia Gubernamental de Control (CABA)</t>
        </is>
      </c>
      <c r="L73" s="17" t="inlineStr">
        <is>
          <t>-</t>
        </is>
      </c>
    </row>
    <row r="74">
      <c r="A74" s="33" t="inlineStr">
        <is>
          <t>RK-ABC2.5-C</t>
        </is>
      </c>
      <c r="B74" s="33" t="inlineStr">
        <is>
          <t>FL_MAT_ABC_2.5kg</t>
        </is>
      </c>
      <c r="C74" s="33" t="inlineStr">
        <is>
          <t>Extintor ABC 2,5 kg</t>
        </is>
      </c>
      <c r="D74" s="17" t="inlineStr">
        <is>
          <t>C - Cambio obligatorio de polvo (versión anterior de la IRAM 3569)</t>
        </is>
      </c>
      <c r="E74" s="17" t="inlineStr">
        <is>
          <t>Tarjeta de identificación DPS de revisión / recarga</t>
        </is>
      </c>
      <c r="F74" s="33" t="n">
        <v>1</v>
      </c>
      <c r="G74" s="33" t="inlineStr">
        <is>
          <t>u</t>
        </is>
      </c>
      <c r="H74" s="17" t="inlineStr">
        <is>
          <t>Nuevo (PBA)</t>
        </is>
      </c>
      <c r="I74" s="17" t="inlineStr">
        <is>
          <t>IRAM 3517-2:2020 Res. 349/07 art. 21</t>
        </is>
      </c>
      <c r="J74" s="33" t="inlineStr">
        <is>
          <t>Sí</t>
        </is>
      </c>
      <c r="K74" s="17" t="inlineStr">
        <is>
          <t>Ministerio de Ambiente PBA (ex OPDS)</t>
        </is>
      </c>
      <c r="L74" s="17" t="inlineStr">
        <is>
          <t>-</t>
        </is>
      </c>
    </row>
    <row r="75">
      <c r="A75" s="33" t="inlineStr">
        <is>
          <t>RK-ABC2.5-C</t>
        </is>
      </c>
      <c r="B75" s="33" t="inlineStr">
        <is>
          <t>FL_MAT_ABC_2.5kg</t>
        </is>
      </c>
      <c r="C75" s="33" t="inlineStr">
        <is>
          <t>Extintor ABC 2,5 kg</t>
        </is>
      </c>
      <c r="D75" s="17" t="inlineStr">
        <is>
          <t>C - Cambio obligatorio de polvo (versión anterior de la IRAM 3569)</t>
        </is>
      </c>
      <c r="E75" s="17" t="inlineStr">
        <is>
          <t>Grabado de la fecha del servicio en el tubo de pesca (lápiz vibratorio; en polvo, marcador indeleble)</t>
        </is>
      </c>
      <c r="F75" s="33" t="n">
        <v>1</v>
      </c>
      <c r="G75" s="33" t="inlineStr">
        <is>
          <t>u</t>
        </is>
      </c>
      <c r="H75" s="17" t="inlineStr">
        <is>
          <t>Proceso</t>
        </is>
      </c>
      <c r="I75" s="17" t="inlineStr">
        <is>
          <t>IRAM 3517-2:2020 Res. 349/07 art. 28</t>
        </is>
      </c>
      <c r="J75" s="33" t="inlineStr">
        <is>
          <t>No</t>
        </is>
      </c>
      <c r="K75" s="17" t="n"/>
      <c r="L75" s="17" t="n"/>
    </row>
    <row r="76">
      <c r="A76" s="33" t="inlineStr">
        <is>
          <t>RK-ABC2.5-C</t>
        </is>
      </c>
      <c r="B76" s="33" t="inlineStr">
        <is>
          <t>FL_MAT_ABC_2.5kg</t>
        </is>
      </c>
      <c r="C76" s="33"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3" t="n">
        <v>1</v>
      </c>
      <c r="G76" s="33" t="inlineStr">
        <is>
          <t>u</t>
        </is>
      </c>
      <c r="H76" s="17" t="inlineStr">
        <is>
          <t>Proceso</t>
        </is>
      </c>
      <c r="I76" s="17" t="inlineStr">
        <is>
          <t>IRAM 3517-2:2020 Res. 349/07 art. 29 · IRAM 3517-2</t>
        </is>
      </c>
      <c r="J76" s="33" t="inlineStr">
        <is>
          <t>No</t>
        </is>
      </c>
      <c r="K76" s="17" t="n"/>
      <c r="L76" s="17" t="n"/>
    </row>
    <row r="77">
      <c r="A77" s="41" t="inlineStr">
        <is>
          <t>RK-ABC2.5-C</t>
        </is>
      </c>
      <c r="B77" s="41" t="inlineStr">
        <is>
          <t>FL_MAT_ABC_2.5kg</t>
        </is>
      </c>
      <c r="C77" s="41" t="inlineStr">
        <is>
          <t>Extintor ABC 2,5 kg</t>
        </is>
      </c>
      <c r="D77" s="18" t="inlineStr">
        <is>
          <t>C - Cambio obligatorio de polvo (versión anterior de la IRAM 3569)</t>
        </is>
      </c>
      <c r="E77" s="18" t="inlineStr">
        <is>
          <t>Junta tórica de asiento del cuello</t>
        </is>
      </c>
      <c r="F77" s="41" t="n">
        <v>1</v>
      </c>
      <c r="G77" s="41" t="inlineStr">
        <is>
          <t>u</t>
        </is>
      </c>
      <c r="H77" s="18" t="inlineStr">
        <is>
          <t>Nuevo (R: cambio sistemático)</t>
        </is>
      </c>
      <c r="I77" s="18" t="inlineStr"/>
      <c r="J77" s="41" t="inlineStr">
        <is>
          <t>Sí</t>
        </is>
      </c>
      <c r="K77" s="18" t="inlineStr">
        <is>
          <t>Argensold</t>
        </is>
      </c>
      <c r="L77" s="18" t="inlineStr">
        <is>
          <t>Matafuegos Iglesias</t>
        </is>
      </c>
    </row>
    <row r="78">
      <c r="A78" s="33" t="inlineStr">
        <is>
          <t>RK-ABC2.5-C</t>
        </is>
      </c>
      <c r="B78" s="33" t="inlineStr">
        <is>
          <t>FL_MAT_ABC_2.5kg</t>
        </is>
      </c>
      <c r="C78" s="33" t="inlineStr">
        <is>
          <t>Extintor ABC 2,5 kg</t>
        </is>
      </c>
      <c r="D78" s="17" t="inlineStr">
        <is>
          <t>C - Cambio obligatorio de polvo (versión anterior de la IRAM 3569)</t>
        </is>
      </c>
      <c r="E78" s="17" t="inlineStr">
        <is>
          <t>Gas impulsor N₂</t>
        </is>
      </c>
      <c r="F78" s="33" t="n">
        <v>0.0212</v>
      </c>
      <c r="G78" s="33" t="inlineStr">
        <is>
          <t>kg</t>
        </is>
      </c>
      <c r="H78" s="17" t="inlineStr">
        <is>
          <t>Nuevo</t>
        </is>
      </c>
      <c r="I78" s="17" t="inlineStr">
        <is>
          <t>IRAM 3517-2:2020 9.4.9 tabla 2</t>
        </is>
      </c>
      <c r="J78" s="33" t="inlineStr">
        <is>
          <t>Sí</t>
        </is>
      </c>
      <c r="K78" s="17" t="inlineStr">
        <is>
          <t>Air Liquide Argentina - sucursal Piñeyro</t>
        </is>
      </c>
      <c r="L78" s="17" t="inlineStr">
        <is>
          <t>Gogniat</t>
        </is>
      </c>
    </row>
    <row r="79">
      <c r="A79" s="33" t="inlineStr">
        <is>
          <t>RK-ABC2.5-I</t>
        </is>
      </c>
      <c r="B79" s="33" t="inlineStr">
        <is>
          <t>FL_MAT_ABC_2.5kg</t>
        </is>
      </c>
      <c r="C79" s="33" t="inlineStr">
        <is>
          <t>Extintor ABC 2,5 kg</t>
        </is>
      </c>
      <c r="D79" s="17" t="inlineStr">
        <is>
          <t>Según inspección (consumo estadístico a definir)</t>
        </is>
      </c>
      <c r="E79" s="17" t="inlineStr">
        <is>
          <t>Manómetro / manguera / tobera / kit de válvula</t>
        </is>
      </c>
      <c r="F79" s="33" t="inlineStr">
        <is>
          <t>-</t>
        </is>
      </c>
      <c r="G79" s="33" t="inlineStr">
        <is>
          <t>u</t>
        </is>
      </c>
      <c r="H79" s="17" t="inlineStr">
        <is>
          <t>Recambio sólo si falla</t>
        </is>
      </c>
      <c r="I79" s="17" t="inlineStr">
        <is>
          <t>IRAM 3517-2:2020 9.4.11 (cada manguera vuelve a su extintor)</t>
        </is>
      </c>
      <c r="J79" s="33" t="inlineStr">
        <is>
          <t>Sí</t>
        </is>
      </c>
      <c r="K79" s="17" t="inlineStr">
        <is>
          <t>Polvex S.R.L. / Sancibrao</t>
        </is>
      </c>
      <c r="L79" s="17" t="inlineStr">
        <is>
          <t>Yukon / MatafuegosYa S.R.L.</t>
        </is>
      </c>
    </row>
    <row r="80">
      <c r="A80" s="33" t="inlineStr">
        <is>
          <t>RK-ABC5-A</t>
        </is>
      </c>
      <c r="B80" s="33" t="inlineStr">
        <is>
          <t>FL_MAT_ABC_5kg</t>
        </is>
      </c>
      <c r="C80" s="33" t="inlineStr">
        <is>
          <t>Extintor ABC 5 kg</t>
        </is>
      </c>
      <c r="D80" s="17" t="inlineStr">
        <is>
          <t>A - Extintor descargado (uso o descarga parcial)</t>
        </is>
      </c>
      <c r="E80" s="17" t="inlineStr">
        <is>
          <t>Polvo químico seco ABC (fosfato monoamónico)</t>
        </is>
      </c>
      <c r="F80" s="33" t="n">
        <v>5</v>
      </c>
      <c r="G80" s="33" t="inlineStr">
        <is>
          <t>kg</t>
        </is>
      </c>
      <c r="H80" s="17" t="inlineStr">
        <is>
          <t>Nuevo 100 %</t>
        </is>
      </c>
      <c r="I80" s="17" t="inlineStr">
        <is>
          <t>IRAM 3517-2:2020 9.9.1.4: el polvo de un extintor accionado no se reutiliza</t>
        </is>
      </c>
      <c r="J80" s="33" t="inlineStr">
        <is>
          <t>Sí</t>
        </is>
      </c>
      <c r="K80" s="17" t="inlineStr">
        <is>
          <t>DEM S.A. (DEMSA)</t>
        </is>
      </c>
      <c r="L80" s="17" t="inlineStr">
        <is>
          <t>Polvex S.R.L. / Sancibrao</t>
        </is>
      </c>
    </row>
    <row r="81">
      <c r="A81" s="33" t="inlineStr">
        <is>
          <t>RK-ABC5-A</t>
        </is>
      </c>
      <c r="B81" s="33" t="inlineStr">
        <is>
          <t>FL_MAT_ABC_5kg</t>
        </is>
      </c>
      <c r="C81" s="33" t="inlineStr">
        <is>
          <t>Extintor ABC 5 kg</t>
        </is>
      </c>
      <c r="D81" s="17" t="inlineStr">
        <is>
          <t>A - Extintor descargado (uso o descarga parcial)</t>
        </is>
      </c>
      <c r="E81" s="17" t="inlineStr">
        <is>
          <t>Precinto plástico numerado, color, con nombre del recargador</t>
        </is>
      </c>
      <c r="F81" s="33" t="n">
        <v>1</v>
      </c>
      <c r="G81" s="33" t="inlineStr">
        <is>
          <t>u</t>
        </is>
      </c>
      <c r="H81" s="17" t="inlineStr">
        <is>
          <t>Nuevo</t>
        </is>
      </c>
      <c r="I81" s="17" t="inlineStr">
        <is>
          <t>IRAM 3517-2:2020 9.4.13</t>
        </is>
      </c>
      <c r="J81" s="33" t="inlineStr">
        <is>
          <t>Sí</t>
        </is>
      </c>
      <c r="K81" s="17" t="inlineStr">
        <is>
          <t>SonFuertes (vía Papelera Damián)</t>
        </is>
      </c>
      <c r="L81" s="17" t="inlineStr">
        <is>
          <t>Precinter S.R.L.</t>
        </is>
      </c>
    </row>
    <row r="82">
      <c r="A82" s="33" t="inlineStr">
        <is>
          <t>RK-ABC5-A</t>
        </is>
      </c>
      <c r="B82" s="33" t="inlineStr">
        <is>
          <t>FL_MAT_ABC_5kg</t>
        </is>
      </c>
      <c r="C82" s="33" t="inlineStr">
        <is>
          <t>Extintor ABC 5 kg</t>
        </is>
      </c>
      <c r="D82" s="17" t="inlineStr">
        <is>
          <t>A - Extintor descargado (uso o descarga parcial)</t>
        </is>
      </c>
      <c r="E82" s="17" t="inlineStr">
        <is>
          <t>Marbete (anillo, color del año)</t>
        </is>
      </c>
      <c r="F82" s="33" t="n">
        <v>1</v>
      </c>
      <c r="G82" s="33" t="inlineStr">
        <is>
          <t>u</t>
        </is>
      </c>
      <c r="H82" s="17" t="inlineStr">
        <is>
          <t>Nuevo</t>
        </is>
      </c>
      <c r="I82" s="17" t="inlineStr">
        <is>
          <t>IRAM 3517-2:2020 9.4.14 · fig. 9 · tabla 4</t>
        </is>
      </c>
      <c r="J82" s="33" t="inlineStr">
        <is>
          <t>Sí</t>
        </is>
      </c>
      <c r="K82" s="17" t="inlineStr">
        <is>
          <t>Astuprint</t>
        </is>
      </c>
      <c r="L82" s="17" t="inlineStr">
        <is>
          <t>Multilabel Argentina S.A.</t>
        </is>
      </c>
    </row>
    <row r="83">
      <c r="A83" s="33" t="inlineStr">
        <is>
          <t>RK-ABC5-A</t>
        </is>
      </c>
      <c r="B83" s="33" t="inlineStr">
        <is>
          <t>FL_MAT_ABC_5kg</t>
        </is>
      </c>
      <c r="C83" s="33" t="inlineStr">
        <is>
          <t>Extintor ABC 5 kg</t>
        </is>
      </c>
      <c r="D83" s="17" t="inlineStr">
        <is>
          <t>A - Extintor descargado (uso o descarga parcial)</t>
        </is>
      </c>
      <c r="E83" s="17" t="inlineStr">
        <is>
          <t>Etiqueta de servicio del recargador (extintor n°, serie, próxima recarga y PH)</t>
        </is>
      </c>
      <c r="F83" s="33" t="n">
        <v>1</v>
      </c>
      <c r="G83" s="33" t="inlineStr">
        <is>
          <t>u</t>
        </is>
      </c>
      <c r="H83" s="17" t="inlineStr">
        <is>
          <t>Nuevo</t>
        </is>
      </c>
      <c r="I83" s="17" t="inlineStr">
        <is>
          <t>IRAM 3517-2:2020 8.3.3 · relevado Suyai/Firegram</t>
        </is>
      </c>
      <c r="J83" s="33" t="inlineStr">
        <is>
          <t>Sí</t>
        </is>
      </c>
      <c r="K83" s="17" t="inlineStr">
        <is>
          <t>Astuprint</t>
        </is>
      </c>
      <c r="L83" s="17" t="inlineStr">
        <is>
          <t>Multilabel Argentina S.A.</t>
        </is>
      </c>
    </row>
    <row r="84">
      <c r="A84" s="33" t="inlineStr">
        <is>
          <t>RK-ABC5-A</t>
        </is>
      </c>
      <c r="B84" s="33" t="inlineStr">
        <is>
          <t>FL_MAT_ABC_5kg</t>
        </is>
      </c>
      <c r="C84" s="33" t="inlineStr">
        <is>
          <t>Extintor ABC 5 kg</t>
        </is>
      </c>
      <c r="D84" s="17" t="inlineStr">
        <is>
          <t>A - Extintor descargado (uso o descarga parcial)</t>
        </is>
      </c>
      <c r="E84" s="17" t="inlineStr">
        <is>
          <t>Oblea PBA de recarga Ø46 + estampilla precinto 1" × 200 mm válvula-cuerpo</t>
        </is>
      </c>
      <c r="F84" s="33" t="n">
        <v>1</v>
      </c>
      <c r="G84" s="33" t="inlineStr">
        <is>
          <t>u</t>
        </is>
      </c>
      <c r="H84" s="17" t="inlineStr">
        <is>
          <t>Nuevo (venta en PBA)</t>
        </is>
      </c>
      <c r="I84" s="17" t="inlineStr">
        <is>
          <t>IRAM 3517-2:2020 Res. OPDS 522/07</t>
        </is>
      </c>
      <c r="J84" s="33" t="inlineStr">
        <is>
          <t>Sí</t>
        </is>
      </c>
      <c r="K84" s="17" t="inlineStr">
        <is>
          <t>Ministerio de Ambiente PBA (ex OPDS)</t>
        </is>
      </c>
      <c r="L84" s="17" t="inlineStr">
        <is>
          <t>-</t>
        </is>
      </c>
    </row>
    <row r="85">
      <c r="A85" s="33" t="inlineStr">
        <is>
          <t>RK-ABC5-A</t>
        </is>
      </c>
      <c r="B85" s="33" t="inlineStr">
        <is>
          <t>FL_MAT_ABC_5kg</t>
        </is>
      </c>
      <c r="C85" s="33" t="inlineStr">
        <is>
          <t>Extintor ABC 5 kg</t>
        </is>
      </c>
      <c r="D85" s="17" t="inlineStr">
        <is>
          <t>A - Extintor descargado (uso o descarga parcial)</t>
        </is>
      </c>
      <c r="E85" s="17" t="inlineStr">
        <is>
          <t>Tarjeta de identificación AGC (módulo papel con QR + etiqueta AGC)</t>
        </is>
      </c>
      <c r="F85" s="33" t="n">
        <v>1</v>
      </c>
      <c r="G85" s="33" t="inlineStr">
        <is>
          <t>u</t>
        </is>
      </c>
      <c r="H85" s="17" t="inlineStr">
        <is>
          <t>Nuevo (destino CABA)</t>
        </is>
      </c>
      <c r="I85" s="17" t="inlineStr">
        <is>
          <t>IRAM 3517-2:2020 Ord. 40.473 art. 6 · Res. AGC 32/15</t>
        </is>
      </c>
      <c r="J85" s="33" t="inlineStr">
        <is>
          <t>Sí</t>
        </is>
      </c>
      <c r="K85" s="17" t="inlineStr">
        <is>
          <t>Agencia Gubernamental de Control (CABA)</t>
        </is>
      </c>
      <c r="L85" s="17" t="inlineStr">
        <is>
          <t>-</t>
        </is>
      </c>
    </row>
    <row r="86">
      <c r="A86" s="33" t="inlineStr">
        <is>
          <t>RK-ABC5-A</t>
        </is>
      </c>
      <c r="B86" s="33" t="inlineStr">
        <is>
          <t>FL_MAT_ABC_5kg</t>
        </is>
      </c>
      <c r="C86" s="33" t="inlineStr">
        <is>
          <t>Extintor ABC 5 kg</t>
        </is>
      </c>
      <c r="D86" s="17" t="inlineStr">
        <is>
          <t>A - Extintor descargado (uso o descarga parcial)</t>
        </is>
      </c>
      <c r="E86" s="17" t="inlineStr">
        <is>
          <t>Tarjeta de identificación DPS de revisión / recarga</t>
        </is>
      </c>
      <c r="F86" s="33" t="n">
        <v>1</v>
      </c>
      <c r="G86" s="33" t="inlineStr">
        <is>
          <t>u</t>
        </is>
      </c>
      <c r="H86" s="17" t="inlineStr">
        <is>
          <t>Nuevo (PBA)</t>
        </is>
      </c>
      <c r="I86" s="17" t="inlineStr">
        <is>
          <t>IRAM 3517-2:2020 Res. 349/07 art. 21</t>
        </is>
      </c>
      <c r="J86" s="33" t="inlineStr">
        <is>
          <t>Sí</t>
        </is>
      </c>
      <c r="K86" s="17" t="inlineStr">
        <is>
          <t>Ministerio de Ambiente PBA (ex OPDS)</t>
        </is>
      </c>
      <c r="L86" s="17" t="inlineStr">
        <is>
          <t>-</t>
        </is>
      </c>
    </row>
    <row r="87">
      <c r="A87" s="33" t="inlineStr">
        <is>
          <t>RK-ABC5-A</t>
        </is>
      </c>
      <c r="B87" s="33" t="inlineStr">
        <is>
          <t>FL_MAT_ABC_5kg</t>
        </is>
      </c>
      <c r="C87" s="33" t="inlineStr">
        <is>
          <t>Extintor ABC 5 kg</t>
        </is>
      </c>
      <c r="D87" s="17" t="inlineStr">
        <is>
          <t>A - Extintor descargado (uso o descarga parcial)</t>
        </is>
      </c>
      <c r="E87" s="17" t="inlineStr">
        <is>
          <t>Grabado de la fecha del servicio en el tubo de pesca (lápiz vibratorio; en polvo, marcador indeleble)</t>
        </is>
      </c>
      <c r="F87" s="33" t="n">
        <v>1</v>
      </c>
      <c r="G87" s="33" t="inlineStr">
        <is>
          <t>u</t>
        </is>
      </c>
      <c r="H87" s="17" t="inlineStr">
        <is>
          <t>Proceso</t>
        </is>
      </c>
      <c r="I87" s="17" t="inlineStr">
        <is>
          <t>IRAM 3517-2:2020 Res. 349/07 art. 28</t>
        </is>
      </c>
      <c r="J87" s="33" t="inlineStr">
        <is>
          <t>No</t>
        </is>
      </c>
      <c r="K87" s="17" t="n"/>
      <c r="L87" s="17" t="n"/>
    </row>
    <row r="88">
      <c r="A88" s="33" t="inlineStr">
        <is>
          <t>RK-ABC5-A</t>
        </is>
      </c>
      <c r="B88" s="33" t="inlineStr">
        <is>
          <t>FL_MAT_ABC_5kg</t>
        </is>
      </c>
      <c r="C88" s="33"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3" t="n">
        <v>1</v>
      </c>
      <c r="G88" s="33" t="inlineStr">
        <is>
          <t>u</t>
        </is>
      </c>
      <c r="H88" s="17" t="inlineStr">
        <is>
          <t>Proceso</t>
        </is>
      </c>
      <c r="I88" s="17" t="inlineStr">
        <is>
          <t>IRAM 3517-2:2020 Res. 349/07 art. 29 · IRAM 3517-2</t>
        </is>
      </c>
      <c r="J88" s="33" t="inlineStr">
        <is>
          <t>No</t>
        </is>
      </c>
      <c r="K88" s="17" t="n"/>
      <c r="L88" s="17" t="n"/>
    </row>
    <row r="89">
      <c r="A89" s="41" t="inlineStr">
        <is>
          <t>RK-ABC5-A</t>
        </is>
      </c>
      <c r="B89" s="41" t="inlineStr">
        <is>
          <t>FL_MAT_ABC_5kg</t>
        </is>
      </c>
      <c r="C89" s="41" t="inlineStr">
        <is>
          <t>Extintor ABC 5 kg</t>
        </is>
      </c>
      <c r="D89" s="18" t="inlineStr">
        <is>
          <t>A - Extintor descargado (uso o descarga parcial)</t>
        </is>
      </c>
      <c r="E89" s="18" t="inlineStr">
        <is>
          <t>Junta tórica de asiento del cuello</t>
        </is>
      </c>
      <c r="F89" s="41" t="n">
        <v>1</v>
      </c>
      <c r="G89" s="41" t="inlineStr">
        <is>
          <t>u</t>
        </is>
      </c>
      <c r="H89" s="18" t="inlineStr">
        <is>
          <t>Nuevo (R: cambio sistemático)</t>
        </is>
      </c>
      <c r="I89" s="18" t="inlineStr"/>
      <c r="J89" s="41" t="inlineStr">
        <is>
          <t>Sí</t>
        </is>
      </c>
      <c r="K89" s="18" t="inlineStr">
        <is>
          <t>Argensold</t>
        </is>
      </c>
      <c r="L89" s="18" t="inlineStr">
        <is>
          <t>Matafuegos Iglesias</t>
        </is>
      </c>
    </row>
    <row r="90">
      <c r="A90" s="33" t="inlineStr">
        <is>
          <t>RK-ABC5-A</t>
        </is>
      </c>
      <c r="B90" s="33" t="inlineStr">
        <is>
          <t>FL_MAT_ABC_5kg</t>
        </is>
      </c>
      <c r="C90" s="33" t="inlineStr">
        <is>
          <t>Extintor ABC 5 kg</t>
        </is>
      </c>
      <c r="D90" s="17" t="inlineStr">
        <is>
          <t>A - Extintor descargado (uso o descarga parcial)</t>
        </is>
      </c>
      <c r="E90" s="17" t="inlineStr">
        <is>
          <t>Gas impulsor N₂</t>
        </is>
      </c>
      <c r="F90" s="33" t="n">
        <v>0.0251</v>
      </c>
      <c r="G90" s="33" t="inlineStr">
        <is>
          <t>kg</t>
        </is>
      </c>
      <c r="H90" s="17" t="inlineStr">
        <is>
          <t>Nuevo</t>
        </is>
      </c>
      <c r="I90" s="17" t="inlineStr">
        <is>
          <t>IRAM 3517-2:2020 9.4.9 tabla 2</t>
        </is>
      </c>
      <c r="J90" s="33" t="inlineStr">
        <is>
          <t>Sí</t>
        </is>
      </c>
      <c r="K90" s="17" t="inlineStr">
        <is>
          <t>Air Liquide Argentina - sucursal Piñeyro</t>
        </is>
      </c>
      <c r="L90" s="17" t="inlineStr">
        <is>
          <t>Gogniat</t>
        </is>
      </c>
    </row>
    <row r="91">
      <c r="A91" s="33" t="inlineStr">
        <is>
          <t>RK-ABC5-B</t>
        </is>
      </c>
      <c r="B91" s="33" t="inlineStr">
        <is>
          <t>FL_MAT_ABC_5kg</t>
        </is>
      </c>
      <c r="C91" s="33" t="inlineStr">
        <is>
          <t>Extintor ABC 5 kg</t>
        </is>
      </c>
      <c r="D91" s="17" t="inlineStr">
        <is>
          <t>B - Mantenimiento con apertura sin descarga (control interior, PH)</t>
        </is>
      </c>
      <c r="E91" s="17" t="inlineStr">
        <is>
          <t>Polvo químico seco ABC (fosfato monoamónico) recuperado</t>
        </is>
      </c>
      <c r="F91" s="33" t="n">
        <v>4.85</v>
      </c>
      <c r="G91" s="33" t="inlineStr">
        <is>
          <t>kg</t>
        </is>
      </c>
      <c r="H91" s="17" t="inlineStr">
        <is>
          <t>Recuperado en sistema cerrado</t>
        </is>
      </c>
      <c r="I91" s="17" t="inlineStr">
        <is>
          <t>IRAM 3517-2:2020 4.4.1 y) sistema cerrado de recuperación con inspección; 9.9.3 control (puffer IRAM 3672, fusión IRAM 3569 en ABC)</t>
        </is>
      </c>
      <c r="J91" s="33" t="inlineStr">
        <is>
          <t>No</t>
        </is>
      </c>
      <c r="K91" s="17" t="n"/>
      <c r="L91" s="17" t="n"/>
    </row>
    <row r="92">
      <c r="A92" s="41" t="inlineStr">
        <is>
          <t>RK-ABC5-B</t>
        </is>
      </c>
      <c r="B92" s="41" t="inlineStr">
        <is>
          <t>FL_MAT_ABC_5kg</t>
        </is>
      </c>
      <c r="C92" s="41" t="inlineStr">
        <is>
          <t>Extintor ABC 5 kg</t>
        </is>
      </c>
      <c r="D92" s="18" t="inlineStr">
        <is>
          <t>B - Mantenimiento con apertura sin descarga (control interior, PH)</t>
        </is>
      </c>
      <c r="E92" s="18" t="inlineStr">
        <is>
          <t>Polvo químico seco ABC (fosfato monoamónico) de reposición de mermas</t>
        </is>
      </c>
      <c r="F92" s="41" t="n">
        <v>0.15</v>
      </c>
      <c r="G92" s="41" t="inlineStr">
        <is>
          <t>kg</t>
        </is>
      </c>
      <c r="H92" s="18" t="inlineStr">
        <is>
          <t>Nuevo (R: 3 % de merma)</t>
        </is>
      </c>
      <c r="I92" s="18" t="inlineStr">
        <is>
          <t>Mismo tipo y marca (prohibido mezclar ABC con BC, 9.9.1.6)</t>
        </is>
      </c>
      <c r="J92" s="41" t="inlineStr">
        <is>
          <t>Sí</t>
        </is>
      </c>
      <c r="K92" s="18" t="inlineStr">
        <is>
          <t>DEM S.A. (DEMSA)</t>
        </is>
      </c>
      <c r="L92" s="18" t="inlineStr">
        <is>
          <t>Polvex S.R.L. / Sancibrao</t>
        </is>
      </c>
    </row>
    <row r="93">
      <c r="A93" s="33" t="inlineStr">
        <is>
          <t>RK-ABC5-B</t>
        </is>
      </c>
      <c r="B93" s="33" t="inlineStr">
        <is>
          <t>FL_MAT_ABC_5kg</t>
        </is>
      </c>
      <c r="C93" s="33" t="inlineStr">
        <is>
          <t>Extintor ABC 5 kg</t>
        </is>
      </c>
      <c r="D93" s="17" t="inlineStr">
        <is>
          <t>B - Mantenimiento con apertura sin descarga (control interior, PH)</t>
        </is>
      </c>
      <c r="E93" s="17" t="inlineStr">
        <is>
          <t>Precinto plástico numerado, color, con nombre del recargador</t>
        </is>
      </c>
      <c r="F93" s="33" t="n">
        <v>1</v>
      </c>
      <c r="G93" s="33" t="inlineStr">
        <is>
          <t>u</t>
        </is>
      </c>
      <c r="H93" s="17" t="inlineStr">
        <is>
          <t>Nuevo</t>
        </is>
      </c>
      <c r="I93" s="17" t="inlineStr">
        <is>
          <t>IRAM 3517-2:2020 9.4.13</t>
        </is>
      </c>
      <c r="J93" s="33" t="inlineStr">
        <is>
          <t>Sí</t>
        </is>
      </c>
      <c r="K93" s="17" t="inlineStr">
        <is>
          <t>SonFuertes (vía Papelera Damián)</t>
        </is>
      </c>
      <c r="L93" s="17" t="inlineStr">
        <is>
          <t>Precinter S.R.L.</t>
        </is>
      </c>
    </row>
    <row r="94">
      <c r="A94" s="33" t="inlineStr">
        <is>
          <t>RK-ABC5-B</t>
        </is>
      </c>
      <c r="B94" s="33" t="inlineStr">
        <is>
          <t>FL_MAT_ABC_5kg</t>
        </is>
      </c>
      <c r="C94" s="33" t="inlineStr">
        <is>
          <t>Extintor ABC 5 kg</t>
        </is>
      </c>
      <c r="D94" s="17" t="inlineStr">
        <is>
          <t>B - Mantenimiento con apertura sin descarga (control interior, PH)</t>
        </is>
      </c>
      <c r="E94" s="17" t="inlineStr">
        <is>
          <t>Marbete (anillo, color del año)</t>
        </is>
      </c>
      <c r="F94" s="33" t="n">
        <v>1</v>
      </c>
      <c r="G94" s="33" t="inlineStr">
        <is>
          <t>u</t>
        </is>
      </c>
      <c r="H94" s="17" t="inlineStr">
        <is>
          <t>Nuevo</t>
        </is>
      </c>
      <c r="I94" s="17" t="inlineStr">
        <is>
          <t>IRAM 3517-2:2020 9.4.14 · fig. 9 · tabla 4</t>
        </is>
      </c>
      <c r="J94" s="33" t="inlineStr">
        <is>
          <t>Sí</t>
        </is>
      </c>
      <c r="K94" s="17" t="inlineStr">
        <is>
          <t>Astuprint</t>
        </is>
      </c>
      <c r="L94" s="17" t="inlineStr">
        <is>
          <t>Multilabel Argentina S.A.</t>
        </is>
      </c>
    </row>
    <row r="95">
      <c r="A95" s="33" t="inlineStr">
        <is>
          <t>RK-ABC5-B</t>
        </is>
      </c>
      <c r="B95" s="33" t="inlineStr">
        <is>
          <t>FL_MAT_ABC_5kg</t>
        </is>
      </c>
      <c r="C95" s="33" t="inlineStr">
        <is>
          <t>Extintor ABC 5 kg</t>
        </is>
      </c>
      <c r="D95" s="17" t="inlineStr">
        <is>
          <t>B - Mantenimiento con apertura sin descarga (control interior, PH)</t>
        </is>
      </c>
      <c r="E95" s="17" t="inlineStr">
        <is>
          <t>Etiqueta de servicio del recargador (extintor n°, serie, próxima recarga y PH)</t>
        </is>
      </c>
      <c r="F95" s="33" t="n">
        <v>1</v>
      </c>
      <c r="G95" s="33" t="inlineStr">
        <is>
          <t>u</t>
        </is>
      </c>
      <c r="H95" s="17" t="inlineStr">
        <is>
          <t>Nuevo</t>
        </is>
      </c>
      <c r="I95" s="17" t="inlineStr">
        <is>
          <t>IRAM 3517-2:2020 8.3.3 · relevado Suyai/Firegram</t>
        </is>
      </c>
      <c r="J95" s="33" t="inlineStr">
        <is>
          <t>Sí</t>
        </is>
      </c>
      <c r="K95" s="17" t="inlineStr">
        <is>
          <t>Astuprint</t>
        </is>
      </c>
      <c r="L95" s="17" t="inlineStr">
        <is>
          <t>Multilabel Argentina S.A.</t>
        </is>
      </c>
    </row>
    <row r="96">
      <c r="A96" s="33" t="inlineStr">
        <is>
          <t>RK-ABC5-B</t>
        </is>
      </c>
      <c r="B96" s="33" t="inlineStr">
        <is>
          <t>FL_MAT_ABC_5kg</t>
        </is>
      </c>
      <c r="C96" s="33" t="inlineStr">
        <is>
          <t>Extintor ABC 5 kg</t>
        </is>
      </c>
      <c r="D96" s="17" t="inlineStr">
        <is>
          <t>B - Mantenimiento con apertura sin descarga (control interior, PH)</t>
        </is>
      </c>
      <c r="E96" s="17" t="inlineStr">
        <is>
          <t>Oblea PBA de recarga Ø46 + estampilla precinto 1" × 200 mm válvula-cuerpo</t>
        </is>
      </c>
      <c r="F96" s="33" t="n">
        <v>1</v>
      </c>
      <c r="G96" s="33" t="inlineStr">
        <is>
          <t>u</t>
        </is>
      </c>
      <c r="H96" s="17" t="inlineStr">
        <is>
          <t>Nuevo (venta en PBA)</t>
        </is>
      </c>
      <c r="I96" s="17" t="inlineStr">
        <is>
          <t>IRAM 3517-2:2020 Res. OPDS 522/07</t>
        </is>
      </c>
      <c r="J96" s="33" t="inlineStr">
        <is>
          <t>Sí</t>
        </is>
      </c>
      <c r="K96" s="17" t="inlineStr">
        <is>
          <t>Ministerio de Ambiente PBA (ex OPDS)</t>
        </is>
      </c>
      <c r="L96" s="17" t="inlineStr">
        <is>
          <t>-</t>
        </is>
      </c>
    </row>
    <row r="97">
      <c r="A97" s="33" t="inlineStr">
        <is>
          <t>RK-ABC5-B</t>
        </is>
      </c>
      <c r="B97" s="33" t="inlineStr">
        <is>
          <t>FL_MAT_ABC_5kg</t>
        </is>
      </c>
      <c r="C97" s="33" t="inlineStr">
        <is>
          <t>Extintor ABC 5 kg</t>
        </is>
      </c>
      <c r="D97" s="17" t="inlineStr">
        <is>
          <t>B - Mantenimiento con apertura sin descarga (control interior, PH)</t>
        </is>
      </c>
      <c r="E97" s="17" t="inlineStr">
        <is>
          <t>Tarjeta de identificación AGC (módulo papel con QR + etiqueta AGC)</t>
        </is>
      </c>
      <c r="F97" s="33" t="n">
        <v>1</v>
      </c>
      <c r="G97" s="33" t="inlineStr">
        <is>
          <t>u</t>
        </is>
      </c>
      <c r="H97" s="17" t="inlineStr">
        <is>
          <t>Nuevo (destino CABA)</t>
        </is>
      </c>
      <c r="I97" s="17" t="inlineStr">
        <is>
          <t>IRAM 3517-2:2020 Ord. 40.473 art. 6 · Res. AGC 32/15</t>
        </is>
      </c>
      <c r="J97" s="33" t="inlineStr">
        <is>
          <t>Sí</t>
        </is>
      </c>
      <c r="K97" s="17" t="inlineStr">
        <is>
          <t>Agencia Gubernamental de Control (CABA)</t>
        </is>
      </c>
      <c r="L97" s="17" t="inlineStr">
        <is>
          <t>-</t>
        </is>
      </c>
    </row>
    <row r="98">
      <c r="A98" s="33" t="inlineStr">
        <is>
          <t>RK-ABC5-B</t>
        </is>
      </c>
      <c r="B98" s="33" t="inlineStr">
        <is>
          <t>FL_MAT_ABC_5kg</t>
        </is>
      </c>
      <c r="C98" s="33" t="inlineStr">
        <is>
          <t>Extintor ABC 5 kg</t>
        </is>
      </c>
      <c r="D98" s="17" t="inlineStr">
        <is>
          <t>B - Mantenimiento con apertura sin descarga (control interior, PH)</t>
        </is>
      </c>
      <c r="E98" s="17" t="inlineStr">
        <is>
          <t>Tarjeta de identificación DPS de revisión / recarga</t>
        </is>
      </c>
      <c r="F98" s="33" t="n">
        <v>1</v>
      </c>
      <c r="G98" s="33" t="inlineStr">
        <is>
          <t>u</t>
        </is>
      </c>
      <c r="H98" s="17" t="inlineStr">
        <is>
          <t>Nuevo (PBA)</t>
        </is>
      </c>
      <c r="I98" s="17" t="inlineStr">
        <is>
          <t>IRAM 3517-2:2020 Res. 349/07 art. 21</t>
        </is>
      </c>
      <c r="J98" s="33" t="inlineStr">
        <is>
          <t>Sí</t>
        </is>
      </c>
      <c r="K98" s="17" t="inlineStr">
        <is>
          <t>Ministerio de Ambiente PBA (ex OPDS)</t>
        </is>
      </c>
      <c r="L98" s="17" t="inlineStr">
        <is>
          <t>-</t>
        </is>
      </c>
    </row>
    <row r="99">
      <c r="A99" s="33" t="inlineStr">
        <is>
          <t>RK-ABC5-B</t>
        </is>
      </c>
      <c r="B99" s="33" t="inlineStr">
        <is>
          <t>FL_MAT_ABC_5kg</t>
        </is>
      </c>
      <c r="C99" s="33" t="inlineStr">
        <is>
          <t>Extintor ABC 5 kg</t>
        </is>
      </c>
      <c r="D99" s="17" t="inlineStr">
        <is>
          <t>B - Mantenimiento con apertura sin descarga (control interior, PH)</t>
        </is>
      </c>
      <c r="E99" s="17" t="inlineStr">
        <is>
          <t>Grabado de la fecha del servicio en el tubo de pesca (lápiz vibratorio; en polvo, marcador indeleble)</t>
        </is>
      </c>
      <c r="F99" s="33" t="n">
        <v>1</v>
      </c>
      <c r="G99" s="33" t="inlineStr">
        <is>
          <t>u</t>
        </is>
      </c>
      <c r="H99" s="17" t="inlineStr">
        <is>
          <t>Proceso</t>
        </is>
      </c>
      <c r="I99" s="17" t="inlineStr">
        <is>
          <t>IRAM 3517-2:2020 Res. 349/07 art. 28</t>
        </is>
      </c>
      <c r="J99" s="33" t="inlineStr">
        <is>
          <t>No</t>
        </is>
      </c>
      <c r="K99" s="17" t="n"/>
      <c r="L99" s="17" t="n"/>
    </row>
    <row r="100">
      <c r="A100" s="33" t="inlineStr">
        <is>
          <t>RK-ABC5-B</t>
        </is>
      </c>
      <c r="B100" s="33" t="inlineStr">
        <is>
          <t>FL_MAT_ABC_5kg</t>
        </is>
      </c>
      <c r="C100" s="33"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3" t="n">
        <v>1</v>
      </c>
      <c r="G100" s="33" t="inlineStr">
        <is>
          <t>u</t>
        </is>
      </c>
      <c r="H100" s="17" t="inlineStr">
        <is>
          <t>Proceso</t>
        </is>
      </c>
      <c r="I100" s="17" t="inlineStr">
        <is>
          <t>IRAM 3517-2:2020 Res. 349/07 art. 29 · IRAM 3517-2</t>
        </is>
      </c>
      <c r="J100" s="33" t="inlineStr">
        <is>
          <t>No</t>
        </is>
      </c>
      <c r="K100" s="17" t="n"/>
      <c r="L100" s="17" t="n"/>
    </row>
    <row r="101">
      <c r="A101" s="41" t="inlineStr">
        <is>
          <t>RK-ABC5-B</t>
        </is>
      </c>
      <c r="B101" s="41" t="inlineStr">
        <is>
          <t>FL_MAT_ABC_5kg</t>
        </is>
      </c>
      <c r="C101" s="41" t="inlineStr">
        <is>
          <t>Extintor ABC 5 kg</t>
        </is>
      </c>
      <c r="D101" s="18" t="inlineStr">
        <is>
          <t>B - Mantenimiento con apertura sin descarga (control interior, PH)</t>
        </is>
      </c>
      <c r="E101" s="18" t="inlineStr">
        <is>
          <t>Junta tórica de asiento del cuello</t>
        </is>
      </c>
      <c r="F101" s="41" t="n">
        <v>1</v>
      </c>
      <c r="G101" s="41" t="inlineStr">
        <is>
          <t>u</t>
        </is>
      </c>
      <c r="H101" s="18" t="inlineStr">
        <is>
          <t>Nuevo (R: cambio sistemático)</t>
        </is>
      </c>
      <c r="I101" s="18" t="inlineStr"/>
      <c r="J101" s="41" t="inlineStr">
        <is>
          <t>Sí</t>
        </is>
      </c>
      <c r="K101" s="18" t="inlineStr">
        <is>
          <t>Argensold</t>
        </is>
      </c>
      <c r="L101" s="18" t="inlineStr">
        <is>
          <t>Matafuegos Iglesias</t>
        </is>
      </c>
    </row>
    <row r="102">
      <c r="A102" s="33" t="inlineStr">
        <is>
          <t>RK-ABC5-B</t>
        </is>
      </c>
      <c r="B102" s="33" t="inlineStr">
        <is>
          <t>FL_MAT_ABC_5kg</t>
        </is>
      </c>
      <c r="C102" s="33" t="inlineStr">
        <is>
          <t>Extintor ABC 5 kg</t>
        </is>
      </c>
      <c r="D102" s="17" t="inlineStr">
        <is>
          <t>B - Mantenimiento con apertura sin descarga (control interior, PH)</t>
        </is>
      </c>
      <c r="E102" s="17" t="inlineStr">
        <is>
          <t>Gas impulsor N₂</t>
        </is>
      </c>
      <c r="F102" s="33" t="n">
        <v>0.0251</v>
      </c>
      <c r="G102" s="33" t="inlineStr">
        <is>
          <t>kg</t>
        </is>
      </c>
      <c r="H102" s="17" t="inlineStr">
        <is>
          <t>Nuevo</t>
        </is>
      </c>
      <c r="I102" s="17" t="inlineStr">
        <is>
          <t>IRAM 3517-2:2020 9.4.9 tabla 2</t>
        </is>
      </c>
      <c r="J102" s="33" t="inlineStr">
        <is>
          <t>Sí</t>
        </is>
      </c>
      <c r="K102" s="17" t="inlineStr">
        <is>
          <t>Air Liquide Argentina - sucursal Piñeyro</t>
        </is>
      </c>
      <c r="L102" s="17" t="inlineStr">
        <is>
          <t>Gogniat</t>
        </is>
      </c>
    </row>
    <row r="103">
      <c r="A103" s="33" t="inlineStr">
        <is>
          <t>RK-ABC5-C</t>
        </is>
      </c>
      <c r="B103" s="33" t="inlineStr">
        <is>
          <t>FL_MAT_ABC_5kg</t>
        </is>
      </c>
      <c r="C103" s="33" t="inlineStr">
        <is>
          <t>Extintor ABC 5 kg</t>
        </is>
      </c>
      <c r="D103" s="17" t="inlineStr">
        <is>
          <t>C - Cambio obligatorio de polvo (versión anterior de la IRAM 3569)</t>
        </is>
      </c>
      <c r="E103" s="17" t="inlineStr">
        <is>
          <t>Polvo químico seco ABC (fosfato monoamónico)</t>
        </is>
      </c>
      <c r="F103" s="33" t="n">
        <v>5</v>
      </c>
      <c r="G103" s="33" t="inlineStr">
        <is>
          <t>kg</t>
        </is>
      </c>
      <c r="H103" s="17" t="inlineStr">
        <is>
          <t>Nuevo 100 %; el viejo va a residuos (RC-IR)</t>
        </is>
      </c>
      <c r="I103" s="17" t="inlineStr">
        <is>
          <t>IRAM 3517-2:2020 9.9.4</t>
        </is>
      </c>
      <c r="J103" s="33" t="inlineStr">
        <is>
          <t>Sí</t>
        </is>
      </c>
      <c r="K103" s="17" t="inlineStr">
        <is>
          <t>DEM S.A. (DEMSA)</t>
        </is>
      </c>
      <c r="L103" s="17" t="inlineStr">
        <is>
          <t>Polvex S.R.L. / Sancibrao</t>
        </is>
      </c>
    </row>
    <row r="104">
      <c r="A104" s="33" t="inlineStr">
        <is>
          <t>RK-ABC5-C</t>
        </is>
      </c>
      <c r="B104" s="33" t="inlineStr">
        <is>
          <t>FL_MAT_ABC_5kg</t>
        </is>
      </c>
      <c r="C104" s="33" t="inlineStr">
        <is>
          <t>Extintor ABC 5 kg</t>
        </is>
      </c>
      <c r="D104" s="17" t="inlineStr">
        <is>
          <t>C - Cambio obligatorio de polvo (versión anterior de la IRAM 3569)</t>
        </is>
      </c>
      <c r="E104" s="17" t="inlineStr">
        <is>
          <t>Precinto plástico numerado, color, con nombre del recargador</t>
        </is>
      </c>
      <c r="F104" s="33" t="n">
        <v>1</v>
      </c>
      <c r="G104" s="33" t="inlineStr">
        <is>
          <t>u</t>
        </is>
      </c>
      <c r="H104" s="17" t="inlineStr">
        <is>
          <t>Nuevo</t>
        </is>
      </c>
      <c r="I104" s="17" t="inlineStr">
        <is>
          <t>IRAM 3517-2:2020 9.4.13</t>
        </is>
      </c>
      <c r="J104" s="33" t="inlineStr">
        <is>
          <t>Sí</t>
        </is>
      </c>
      <c r="K104" s="17" t="inlineStr">
        <is>
          <t>SonFuertes (vía Papelera Damián)</t>
        </is>
      </c>
      <c r="L104" s="17" t="inlineStr">
        <is>
          <t>Precinter S.R.L.</t>
        </is>
      </c>
    </row>
    <row r="105">
      <c r="A105" s="33" t="inlineStr">
        <is>
          <t>RK-ABC5-C</t>
        </is>
      </c>
      <c r="B105" s="33" t="inlineStr">
        <is>
          <t>FL_MAT_ABC_5kg</t>
        </is>
      </c>
      <c r="C105" s="33" t="inlineStr">
        <is>
          <t>Extintor ABC 5 kg</t>
        </is>
      </c>
      <c r="D105" s="17" t="inlineStr">
        <is>
          <t>C - Cambio obligatorio de polvo (versión anterior de la IRAM 3569)</t>
        </is>
      </c>
      <c r="E105" s="17" t="inlineStr">
        <is>
          <t>Marbete (anillo, color del año)</t>
        </is>
      </c>
      <c r="F105" s="33" t="n">
        <v>1</v>
      </c>
      <c r="G105" s="33" t="inlineStr">
        <is>
          <t>u</t>
        </is>
      </c>
      <c r="H105" s="17" t="inlineStr">
        <is>
          <t>Nuevo</t>
        </is>
      </c>
      <c r="I105" s="17" t="inlineStr">
        <is>
          <t>IRAM 3517-2:2020 9.4.14 · fig. 9 · tabla 4</t>
        </is>
      </c>
      <c r="J105" s="33" t="inlineStr">
        <is>
          <t>Sí</t>
        </is>
      </c>
      <c r="K105" s="17" t="inlineStr">
        <is>
          <t>Astuprint</t>
        </is>
      </c>
      <c r="L105" s="17" t="inlineStr">
        <is>
          <t>Multilabel Argentina S.A.</t>
        </is>
      </c>
    </row>
    <row r="106">
      <c r="A106" s="33" t="inlineStr">
        <is>
          <t>RK-ABC5-C</t>
        </is>
      </c>
      <c r="B106" s="33" t="inlineStr">
        <is>
          <t>FL_MAT_ABC_5kg</t>
        </is>
      </c>
      <c r="C106" s="33" t="inlineStr">
        <is>
          <t>Extintor ABC 5 kg</t>
        </is>
      </c>
      <c r="D106" s="17" t="inlineStr">
        <is>
          <t>C - Cambio obligatorio de polvo (versión anterior de la IRAM 3569)</t>
        </is>
      </c>
      <c r="E106" s="17" t="inlineStr">
        <is>
          <t>Etiqueta de servicio del recargador (extintor n°, serie, próxima recarga y PH)</t>
        </is>
      </c>
      <c r="F106" s="33" t="n">
        <v>1</v>
      </c>
      <c r="G106" s="33" t="inlineStr">
        <is>
          <t>u</t>
        </is>
      </c>
      <c r="H106" s="17" t="inlineStr">
        <is>
          <t>Nuevo</t>
        </is>
      </c>
      <c r="I106" s="17" t="inlineStr">
        <is>
          <t>IRAM 3517-2:2020 8.3.3 · relevado Suyai/Firegram</t>
        </is>
      </c>
      <c r="J106" s="33" t="inlineStr">
        <is>
          <t>Sí</t>
        </is>
      </c>
      <c r="K106" s="17" t="inlineStr">
        <is>
          <t>Astuprint</t>
        </is>
      </c>
      <c r="L106" s="17" t="inlineStr">
        <is>
          <t>Multilabel Argentina S.A.</t>
        </is>
      </c>
    </row>
    <row r="107">
      <c r="A107" s="33" t="inlineStr">
        <is>
          <t>RK-ABC5-C</t>
        </is>
      </c>
      <c r="B107" s="33" t="inlineStr">
        <is>
          <t>FL_MAT_ABC_5kg</t>
        </is>
      </c>
      <c r="C107" s="33" t="inlineStr">
        <is>
          <t>Extintor ABC 5 kg</t>
        </is>
      </c>
      <c r="D107" s="17" t="inlineStr">
        <is>
          <t>C - Cambio obligatorio de polvo (versión anterior de la IRAM 3569)</t>
        </is>
      </c>
      <c r="E107" s="17" t="inlineStr">
        <is>
          <t>Oblea PBA de recarga Ø46 + estampilla precinto 1" × 200 mm válvula-cuerpo</t>
        </is>
      </c>
      <c r="F107" s="33" t="n">
        <v>1</v>
      </c>
      <c r="G107" s="33" t="inlineStr">
        <is>
          <t>u</t>
        </is>
      </c>
      <c r="H107" s="17" t="inlineStr">
        <is>
          <t>Nuevo (venta en PBA)</t>
        </is>
      </c>
      <c r="I107" s="17" t="inlineStr">
        <is>
          <t>IRAM 3517-2:2020 Res. OPDS 522/07</t>
        </is>
      </c>
      <c r="J107" s="33" t="inlineStr">
        <is>
          <t>Sí</t>
        </is>
      </c>
      <c r="K107" s="17" t="inlineStr">
        <is>
          <t>Ministerio de Ambiente PBA (ex OPDS)</t>
        </is>
      </c>
      <c r="L107" s="17" t="inlineStr">
        <is>
          <t>-</t>
        </is>
      </c>
    </row>
    <row r="108">
      <c r="A108" s="33" t="inlineStr">
        <is>
          <t>RK-ABC5-C</t>
        </is>
      </c>
      <c r="B108" s="33" t="inlineStr">
        <is>
          <t>FL_MAT_ABC_5kg</t>
        </is>
      </c>
      <c r="C108" s="33" t="inlineStr">
        <is>
          <t>Extintor ABC 5 kg</t>
        </is>
      </c>
      <c r="D108" s="17" t="inlineStr">
        <is>
          <t>C - Cambio obligatorio de polvo (versión anterior de la IRAM 3569)</t>
        </is>
      </c>
      <c r="E108" s="17" t="inlineStr">
        <is>
          <t>Tarjeta de identificación AGC (módulo papel con QR + etiqueta AGC)</t>
        </is>
      </c>
      <c r="F108" s="33" t="n">
        <v>1</v>
      </c>
      <c r="G108" s="33" t="inlineStr">
        <is>
          <t>u</t>
        </is>
      </c>
      <c r="H108" s="17" t="inlineStr">
        <is>
          <t>Nuevo (destino CABA)</t>
        </is>
      </c>
      <c r="I108" s="17" t="inlineStr">
        <is>
          <t>IRAM 3517-2:2020 Ord. 40.473 art. 6 · Res. AGC 32/15</t>
        </is>
      </c>
      <c r="J108" s="33" t="inlineStr">
        <is>
          <t>Sí</t>
        </is>
      </c>
      <c r="K108" s="17" t="inlineStr">
        <is>
          <t>Agencia Gubernamental de Control (CABA)</t>
        </is>
      </c>
      <c r="L108" s="17" t="inlineStr">
        <is>
          <t>-</t>
        </is>
      </c>
    </row>
    <row r="109">
      <c r="A109" s="33" t="inlineStr">
        <is>
          <t>RK-ABC5-C</t>
        </is>
      </c>
      <c r="B109" s="33" t="inlineStr">
        <is>
          <t>FL_MAT_ABC_5kg</t>
        </is>
      </c>
      <c r="C109" s="33" t="inlineStr">
        <is>
          <t>Extintor ABC 5 kg</t>
        </is>
      </c>
      <c r="D109" s="17" t="inlineStr">
        <is>
          <t>C - Cambio obligatorio de polvo (versión anterior de la IRAM 3569)</t>
        </is>
      </c>
      <c r="E109" s="17" t="inlineStr">
        <is>
          <t>Tarjeta de identificación DPS de revisión / recarga</t>
        </is>
      </c>
      <c r="F109" s="33" t="n">
        <v>1</v>
      </c>
      <c r="G109" s="33" t="inlineStr">
        <is>
          <t>u</t>
        </is>
      </c>
      <c r="H109" s="17" t="inlineStr">
        <is>
          <t>Nuevo (PBA)</t>
        </is>
      </c>
      <c r="I109" s="17" t="inlineStr">
        <is>
          <t>IRAM 3517-2:2020 Res. 349/07 art. 21</t>
        </is>
      </c>
      <c r="J109" s="33" t="inlineStr">
        <is>
          <t>Sí</t>
        </is>
      </c>
      <c r="K109" s="17" t="inlineStr">
        <is>
          <t>Ministerio de Ambiente PBA (ex OPDS)</t>
        </is>
      </c>
      <c r="L109" s="17" t="inlineStr">
        <is>
          <t>-</t>
        </is>
      </c>
    </row>
    <row r="110">
      <c r="A110" s="33" t="inlineStr">
        <is>
          <t>RK-ABC5-C</t>
        </is>
      </c>
      <c r="B110" s="33" t="inlineStr">
        <is>
          <t>FL_MAT_ABC_5kg</t>
        </is>
      </c>
      <c r="C110" s="33"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3" t="n">
        <v>1</v>
      </c>
      <c r="G110" s="33" t="inlineStr">
        <is>
          <t>u</t>
        </is>
      </c>
      <c r="H110" s="17" t="inlineStr">
        <is>
          <t>Proceso</t>
        </is>
      </c>
      <c r="I110" s="17" t="inlineStr">
        <is>
          <t>IRAM 3517-2:2020 Res. 349/07 art. 28</t>
        </is>
      </c>
      <c r="J110" s="33" t="inlineStr">
        <is>
          <t>No</t>
        </is>
      </c>
      <c r="K110" s="17" t="n"/>
      <c r="L110" s="17" t="n"/>
    </row>
    <row r="111">
      <c r="A111" s="33" t="inlineStr">
        <is>
          <t>RK-ABC5-C</t>
        </is>
      </c>
      <c r="B111" s="33" t="inlineStr">
        <is>
          <t>FL_MAT_ABC_5kg</t>
        </is>
      </c>
      <c r="C111" s="33"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3" t="n">
        <v>1</v>
      </c>
      <c r="G111" s="33" t="inlineStr">
        <is>
          <t>u</t>
        </is>
      </c>
      <c r="H111" s="17" t="inlineStr">
        <is>
          <t>Proceso</t>
        </is>
      </c>
      <c r="I111" s="17" t="inlineStr">
        <is>
          <t>IRAM 3517-2:2020 Res. 349/07 art. 29 · IRAM 3517-2</t>
        </is>
      </c>
      <c r="J111" s="33" t="inlineStr">
        <is>
          <t>No</t>
        </is>
      </c>
      <c r="K111" s="17" t="n"/>
      <c r="L111" s="17" t="n"/>
    </row>
    <row r="112">
      <c r="A112" s="41" t="inlineStr">
        <is>
          <t>RK-ABC5-C</t>
        </is>
      </c>
      <c r="B112" s="41" t="inlineStr">
        <is>
          <t>FL_MAT_ABC_5kg</t>
        </is>
      </c>
      <c r="C112" s="41" t="inlineStr">
        <is>
          <t>Extintor ABC 5 kg</t>
        </is>
      </c>
      <c r="D112" s="18" t="inlineStr">
        <is>
          <t>C - Cambio obligatorio de polvo (versión anterior de la IRAM 3569)</t>
        </is>
      </c>
      <c r="E112" s="18" t="inlineStr">
        <is>
          <t>Junta tórica de asiento del cuello</t>
        </is>
      </c>
      <c r="F112" s="41" t="n">
        <v>1</v>
      </c>
      <c r="G112" s="41" t="inlineStr">
        <is>
          <t>u</t>
        </is>
      </c>
      <c r="H112" s="18" t="inlineStr">
        <is>
          <t>Nuevo (R: cambio sistemático)</t>
        </is>
      </c>
      <c r="I112" s="18" t="inlineStr"/>
      <c r="J112" s="41" t="inlineStr">
        <is>
          <t>Sí</t>
        </is>
      </c>
      <c r="K112" s="18" t="inlineStr">
        <is>
          <t>Argensold</t>
        </is>
      </c>
      <c r="L112" s="18" t="inlineStr">
        <is>
          <t>Matafuegos Iglesias</t>
        </is>
      </c>
    </row>
    <row r="113">
      <c r="A113" s="33" t="inlineStr">
        <is>
          <t>RK-ABC5-C</t>
        </is>
      </c>
      <c r="B113" s="33" t="inlineStr">
        <is>
          <t>FL_MAT_ABC_5kg</t>
        </is>
      </c>
      <c r="C113" s="33" t="inlineStr">
        <is>
          <t>Extintor ABC 5 kg</t>
        </is>
      </c>
      <c r="D113" s="17" t="inlineStr">
        <is>
          <t>C - Cambio obligatorio de polvo (versión anterior de la IRAM 3569)</t>
        </is>
      </c>
      <c r="E113" s="17" t="inlineStr">
        <is>
          <t>Gas impulsor N₂</t>
        </is>
      </c>
      <c r="F113" s="33" t="n">
        <v>0.0251</v>
      </c>
      <c r="G113" s="33" t="inlineStr">
        <is>
          <t>kg</t>
        </is>
      </c>
      <c r="H113" s="17" t="inlineStr">
        <is>
          <t>Nuevo</t>
        </is>
      </c>
      <c r="I113" s="17" t="inlineStr">
        <is>
          <t>IRAM 3517-2:2020 9.4.9 tabla 2</t>
        </is>
      </c>
      <c r="J113" s="33" t="inlineStr">
        <is>
          <t>Sí</t>
        </is>
      </c>
      <c r="K113" s="17" t="inlineStr">
        <is>
          <t>Air Liquide Argentina - sucursal Piñeyro</t>
        </is>
      </c>
      <c r="L113" s="17" t="inlineStr">
        <is>
          <t>Gogniat</t>
        </is>
      </c>
    </row>
    <row r="114">
      <c r="A114" s="33" t="inlineStr">
        <is>
          <t>RK-ABC5-I</t>
        </is>
      </c>
      <c r="B114" s="33" t="inlineStr">
        <is>
          <t>FL_MAT_ABC_5kg</t>
        </is>
      </c>
      <c r="C114" s="33" t="inlineStr">
        <is>
          <t>Extintor ABC 5 kg</t>
        </is>
      </c>
      <c r="D114" s="17" t="inlineStr">
        <is>
          <t>Según inspección (consumo estadístico a definir)</t>
        </is>
      </c>
      <c r="E114" s="17" t="inlineStr">
        <is>
          <t>Manómetro / manguera / tobera / kit de válvula</t>
        </is>
      </c>
      <c r="F114" s="33" t="inlineStr">
        <is>
          <t>-</t>
        </is>
      </c>
      <c r="G114" s="33" t="inlineStr">
        <is>
          <t>u</t>
        </is>
      </c>
      <c r="H114" s="17" t="inlineStr">
        <is>
          <t>Recambio sólo si falla</t>
        </is>
      </c>
      <c r="I114" s="17" t="inlineStr">
        <is>
          <t>IRAM 3517-2:2020 9.4.11 (cada manguera vuelve a su extintor)</t>
        </is>
      </c>
      <c r="J114" s="33" t="inlineStr">
        <is>
          <t>Sí</t>
        </is>
      </c>
      <c r="K114" s="17" t="inlineStr">
        <is>
          <t>Polvex S.R.L. / Sancibrao</t>
        </is>
      </c>
      <c r="L114" s="17" t="inlineStr">
        <is>
          <t>Yukon / MatafuegosYa S.R.L.</t>
        </is>
      </c>
    </row>
    <row r="115">
      <c r="A115" s="33" t="inlineStr">
        <is>
          <t>RK-ABC10-A</t>
        </is>
      </c>
      <c r="B115" s="33" t="inlineStr">
        <is>
          <t>FL_MAT_ABC_10kg</t>
        </is>
      </c>
      <c r="C115" s="33" t="inlineStr">
        <is>
          <t>Extintor ABC 10 kg</t>
        </is>
      </c>
      <c r="D115" s="17" t="inlineStr">
        <is>
          <t>A - Extintor descargado (uso o descarga parcial)</t>
        </is>
      </c>
      <c r="E115" s="17" t="inlineStr">
        <is>
          <t>Polvo químico seco ABC (fosfato monoamónico)</t>
        </is>
      </c>
      <c r="F115" s="33" t="n">
        <v>10</v>
      </c>
      <c r="G115" s="33" t="inlineStr">
        <is>
          <t>kg</t>
        </is>
      </c>
      <c r="H115" s="17" t="inlineStr">
        <is>
          <t>Nuevo 100 %</t>
        </is>
      </c>
      <c r="I115" s="17" t="inlineStr">
        <is>
          <t>IRAM 3517-2:2020 9.9.1.4: el polvo de un extintor accionado no se reutiliza</t>
        </is>
      </c>
      <c r="J115" s="33" t="inlineStr">
        <is>
          <t>Sí</t>
        </is>
      </c>
      <c r="K115" s="17" t="inlineStr">
        <is>
          <t>DEM S.A. (DEMSA)</t>
        </is>
      </c>
      <c r="L115" s="17" t="inlineStr">
        <is>
          <t>Polvex S.R.L. / Sancibrao</t>
        </is>
      </c>
    </row>
    <row r="116">
      <c r="A116" s="33" t="inlineStr">
        <is>
          <t>RK-ABC10-A</t>
        </is>
      </c>
      <c r="B116" s="33" t="inlineStr">
        <is>
          <t>FL_MAT_ABC_10kg</t>
        </is>
      </c>
      <c r="C116" s="33" t="inlineStr">
        <is>
          <t>Extintor ABC 10 kg</t>
        </is>
      </c>
      <c r="D116" s="17" t="inlineStr">
        <is>
          <t>A - Extintor descargado (uso o descarga parcial)</t>
        </is>
      </c>
      <c r="E116" s="17" t="inlineStr">
        <is>
          <t>Precinto plástico numerado, color, con nombre del recargador</t>
        </is>
      </c>
      <c r="F116" s="33" t="n">
        <v>1</v>
      </c>
      <c r="G116" s="33" t="inlineStr">
        <is>
          <t>u</t>
        </is>
      </c>
      <c r="H116" s="17" t="inlineStr">
        <is>
          <t>Nuevo</t>
        </is>
      </c>
      <c r="I116" s="17" t="inlineStr">
        <is>
          <t>IRAM 3517-2:2020 9.4.13</t>
        </is>
      </c>
      <c r="J116" s="33" t="inlineStr">
        <is>
          <t>Sí</t>
        </is>
      </c>
      <c r="K116" s="17" t="inlineStr">
        <is>
          <t>SonFuertes (vía Papelera Damián)</t>
        </is>
      </c>
      <c r="L116" s="17" t="inlineStr">
        <is>
          <t>Precinter S.R.L.</t>
        </is>
      </c>
    </row>
    <row r="117">
      <c r="A117" s="33" t="inlineStr">
        <is>
          <t>RK-ABC10-A</t>
        </is>
      </c>
      <c r="B117" s="33" t="inlineStr">
        <is>
          <t>FL_MAT_ABC_10kg</t>
        </is>
      </c>
      <c r="C117" s="33" t="inlineStr">
        <is>
          <t>Extintor ABC 10 kg</t>
        </is>
      </c>
      <c r="D117" s="17" t="inlineStr">
        <is>
          <t>A - Extintor descargado (uso o descarga parcial)</t>
        </is>
      </c>
      <c r="E117" s="17" t="inlineStr">
        <is>
          <t>Marbete (anillo, color del año)</t>
        </is>
      </c>
      <c r="F117" s="33" t="n">
        <v>1</v>
      </c>
      <c r="G117" s="33" t="inlineStr">
        <is>
          <t>u</t>
        </is>
      </c>
      <c r="H117" s="17" t="inlineStr">
        <is>
          <t>Nuevo</t>
        </is>
      </c>
      <c r="I117" s="17" t="inlineStr">
        <is>
          <t>IRAM 3517-2:2020 9.4.14 · fig. 9 · tabla 4</t>
        </is>
      </c>
      <c r="J117" s="33" t="inlineStr">
        <is>
          <t>Sí</t>
        </is>
      </c>
      <c r="K117" s="17" t="inlineStr">
        <is>
          <t>Astuprint</t>
        </is>
      </c>
      <c r="L117" s="17" t="inlineStr">
        <is>
          <t>Multilabel Argentina S.A.</t>
        </is>
      </c>
    </row>
    <row r="118">
      <c r="A118" s="33" t="inlineStr">
        <is>
          <t>RK-ABC10-A</t>
        </is>
      </c>
      <c r="B118" s="33" t="inlineStr">
        <is>
          <t>FL_MAT_ABC_10kg</t>
        </is>
      </c>
      <c r="C118" s="33" t="inlineStr">
        <is>
          <t>Extintor ABC 10 kg</t>
        </is>
      </c>
      <c r="D118" s="17" t="inlineStr">
        <is>
          <t>A - Extintor descargado (uso o descarga parcial)</t>
        </is>
      </c>
      <c r="E118" s="17" t="inlineStr">
        <is>
          <t>Etiqueta de servicio del recargador (extintor n°, serie, próxima recarga y PH)</t>
        </is>
      </c>
      <c r="F118" s="33" t="n">
        <v>1</v>
      </c>
      <c r="G118" s="33" t="inlineStr">
        <is>
          <t>u</t>
        </is>
      </c>
      <c r="H118" s="17" t="inlineStr">
        <is>
          <t>Nuevo</t>
        </is>
      </c>
      <c r="I118" s="17" t="inlineStr">
        <is>
          <t>IRAM 3517-2:2020 8.3.3 · relevado Suyai/Firegram</t>
        </is>
      </c>
      <c r="J118" s="33" t="inlineStr">
        <is>
          <t>Sí</t>
        </is>
      </c>
      <c r="K118" s="17" t="inlineStr">
        <is>
          <t>Astuprint</t>
        </is>
      </c>
      <c r="L118" s="17" t="inlineStr">
        <is>
          <t>Multilabel Argentina S.A.</t>
        </is>
      </c>
    </row>
    <row r="119">
      <c r="A119" s="33" t="inlineStr">
        <is>
          <t>RK-ABC10-A</t>
        </is>
      </c>
      <c r="B119" s="33" t="inlineStr">
        <is>
          <t>FL_MAT_ABC_10kg</t>
        </is>
      </c>
      <c r="C119" s="33" t="inlineStr">
        <is>
          <t>Extintor ABC 10 kg</t>
        </is>
      </c>
      <c r="D119" s="17" t="inlineStr">
        <is>
          <t>A - Extintor descargado (uso o descarga parcial)</t>
        </is>
      </c>
      <c r="E119" s="17" t="inlineStr">
        <is>
          <t>Oblea PBA de recarga Ø46 + estampilla precinto 1" × 200 mm válvula-cuerpo</t>
        </is>
      </c>
      <c r="F119" s="33" t="n">
        <v>1</v>
      </c>
      <c r="G119" s="33" t="inlineStr">
        <is>
          <t>u</t>
        </is>
      </c>
      <c r="H119" s="17" t="inlineStr">
        <is>
          <t>Nuevo (venta en PBA)</t>
        </is>
      </c>
      <c r="I119" s="17" t="inlineStr">
        <is>
          <t>IRAM 3517-2:2020 Res. OPDS 522/07</t>
        </is>
      </c>
      <c r="J119" s="33" t="inlineStr">
        <is>
          <t>Sí</t>
        </is>
      </c>
      <c r="K119" s="17" t="inlineStr">
        <is>
          <t>Ministerio de Ambiente PBA (ex OPDS)</t>
        </is>
      </c>
      <c r="L119" s="17" t="inlineStr">
        <is>
          <t>-</t>
        </is>
      </c>
    </row>
    <row r="120">
      <c r="A120" s="33" t="inlineStr">
        <is>
          <t>RK-ABC10-A</t>
        </is>
      </c>
      <c r="B120" s="33" t="inlineStr">
        <is>
          <t>FL_MAT_ABC_10kg</t>
        </is>
      </c>
      <c r="C120" s="33" t="inlineStr">
        <is>
          <t>Extintor ABC 10 kg</t>
        </is>
      </c>
      <c r="D120" s="17" t="inlineStr">
        <is>
          <t>A - Extintor descargado (uso o descarga parcial)</t>
        </is>
      </c>
      <c r="E120" s="17" t="inlineStr">
        <is>
          <t>Tarjeta de identificación AGC (módulo papel con QR + etiqueta AGC)</t>
        </is>
      </c>
      <c r="F120" s="33" t="n">
        <v>1</v>
      </c>
      <c r="G120" s="33" t="inlineStr">
        <is>
          <t>u</t>
        </is>
      </c>
      <c r="H120" s="17" t="inlineStr">
        <is>
          <t>Nuevo (destino CABA)</t>
        </is>
      </c>
      <c r="I120" s="17" t="inlineStr">
        <is>
          <t>IRAM 3517-2:2020 Ord. 40.473 art. 6 · Res. AGC 32/15</t>
        </is>
      </c>
      <c r="J120" s="33" t="inlineStr">
        <is>
          <t>Sí</t>
        </is>
      </c>
      <c r="K120" s="17" t="inlineStr">
        <is>
          <t>Agencia Gubernamental de Control (CABA)</t>
        </is>
      </c>
      <c r="L120" s="17" t="inlineStr">
        <is>
          <t>-</t>
        </is>
      </c>
    </row>
    <row r="121">
      <c r="A121" s="33" t="inlineStr">
        <is>
          <t>RK-ABC10-A</t>
        </is>
      </c>
      <c r="B121" s="33" t="inlineStr">
        <is>
          <t>FL_MAT_ABC_10kg</t>
        </is>
      </c>
      <c r="C121" s="33" t="inlineStr">
        <is>
          <t>Extintor ABC 10 kg</t>
        </is>
      </c>
      <c r="D121" s="17" t="inlineStr">
        <is>
          <t>A - Extintor descargado (uso o descarga parcial)</t>
        </is>
      </c>
      <c r="E121" s="17" t="inlineStr">
        <is>
          <t>Tarjeta de identificación DPS de revisión / recarga</t>
        </is>
      </c>
      <c r="F121" s="33" t="n">
        <v>1</v>
      </c>
      <c r="G121" s="33" t="inlineStr">
        <is>
          <t>u</t>
        </is>
      </c>
      <c r="H121" s="17" t="inlineStr">
        <is>
          <t>Nuevo (PBA)</t>
        </is>
      </c>
      <c r="I121" s="17" t="inlineStr">
        <is>
          <t>IRAM 3517-2:2020 Res. 349/07 art. 21</t>
        </is>
      </c>
      <c r="J121" s="33" t="inlineStr">
        <is>
          <t>Sí</t>
        </is>
      </c>
      <c r="K121" s="17" t="inlineStr">
        <is>
          <t>Ministerio de Ambiente PBA (ex OPDS)</t>
        </is>
      </c>
      <c r="L121" s="17" t="inlineStr">
        <is>
          <t>-</t>
        </is>
      </c>
    </row>
    <row r="122">
      <c r="A122" s="33" t="inlineStr">
        <is>
          <t>RK-ABC10-A</t>
        </is>
      </c>
      <c r="B122" s="33" t="inlineStr">
        <is>
          <t>FL_MAT_ABC_10kg</t>
        </is>
      </c>
      <c r="C122" s="33" t="inlineStr">
        <is>
          <t>Extintor ABC 10 kg</t>
        </is>
      </c>
      <c r="D122" s="17" t="inlineStr">
        <is>
          <t>A - Extintor descargado (uso o descarga parcial)</t>
        </is>
      </c>
      <c r="E122" s="17" t="inlineStr">
        <is>
          <t>Grabado de la fecha del servicio en el tubo de pesca (lápiz vibratorio; en polvo, marcador indeleble)</t>
        </is>
      </c>
      <c r="F122" s="33" t="n">
        <v>1</v>
      </c>
      <c r="G122" s="33" t="inlineStr">
        <is>
          <t>u</t>
        </is>
      </c>
      <c r="H122" s="17" t="inlineStr">
        <is>
          <t>Proceso</t>
        </is>
      </c>
      <c r="I122" s="17" t="inlineStr">
        <is>
          <t>IRAM 3517-2:2020 Res. 349/07 art. 28</t>
        </is>
      </c>
      <c r="J122" s="33" t="inlineStr">
        <is>
          <t>No</t>
        </is>
      </c>
      <c r="K122" s="17" t="n"/>
      <c r="L122" s="17" t="n"/>
    </row>
    <row r="123">
      <c r="A123" s="33" t="inlineStr">
        <is>
          <t>RK-ABC10-A</t>
        </is>
      </c>
      <c r="B123" s="33" t="inlineStr">
        <is>
          <t>FL_MAT_ABC_10kg</t>
        </is>
      </c>
      <c r="C123" s="33"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3" t="n">
        <v>1</v>
      </c>
      <c r="G123" s="33" t="inlineStr">
        <is>
          <t>u</t>
        </is>
      </c>
      <c r="H123" s="17" t="inlineStr">
        <is>
          <t>Proceso</t>
        </is>
      </c>
      <c r="I123" s="17" t="inlineStr">
        <is>
          <t>IRAM 3517-2:2020 Res. 349/07 art. 29 · IRAM 3517-2</t>
        </is>
      </c>
      <c r="J123" s="33" t="inlineStr">
        <is>
          <t>No</t>
        </is>
      </c>
      <c r="K123" s="17" t="n"/>
      <c r="L123" s="17" t="n"/>
    </row>
    <row r="124">
      <c r="A124" s="41" t="inlineStr">
        <is>
          <t>RK-ABC10-A</t>
        </is>
      </c>
      <c r="B124" s="41" t="inlineStr">
        <is>
          <t>FL_MAT_ABC_10kg</t>
        </is>
      </c>
      <c r="C124" s="41" t="inlineStr">
        <is>
          <t>Extintor ABC 10 kg</t>
        </is>
      </c>
      <c r="D124" s="18" t="inlineStr">
        <is>
          <t>A - Extintor descargado (uso o descarga parcial)</t>
        </is>
      </c>
      <c r="E124" s="18" t="inlineStr">
        <is>
          <t>Junta tórica de asiento del cuello</t>
        </is>
      </c>
      <c r="F124" s="41" t="n">
        <v>1</v>
      </c>
      <c r="G124" s="41" t="inlineStr">
        <is>
          <t>u</t>
        </is>
      </c>
      <c r="H124" s="18" t="inlineStr">
        <is>
          <t>Nuevo (R: cambio sistemático)</t>
        </is>
      </c>
      <c r="I124" s="18" t="inlineStr"/>
      <c r="J124" s="41" t="inlineStr">
        <is>
          <t>Sí</t>
        </is>
      </c>
      <c r="K124" s="18" t="inlineStr">
        <is>
          <t>Argensold</t>
        </is>
      </c>
      <c r="L124" s="18" t="inlineStr">
        <is>
          <t>Matafuegos Iglesias</t>
        </is>
      </c>
    </row>
    <row r="125">
      <c r="A125" s="33" t="inlineStr">
        <is>
          <t>RK-ABC10-A</t>
        </is>
      </c>
      <c r="B125" s="33" t="inlineStr">
        <is>
          <t>FL_MAT_ABC_10kg</t>
        </is>
      </c>
      <c r="C125" s="33" t="inlineStr">
        <is>
          <t>Extintor ABC 10 kg</t>
        </is>
      </c>
      <c r="D125" s="17" t="inlineStr">
        <is>
          <t>A - Extintor descargado (uso o descarga parcial)</t>
        </is>
      </c>
      <c r="E125" s="17" t="inlineStr">
        <is>
          <t>Gas impulsor N₂</t>
        </is>
      </c>
      <c r="F125" s="33" t="n">
        <v>0.0588</v>
      </c>
      <c r="G125" s="33" t="inlineStr">
        <is>
          <t>kg</t>
        </is>
      </c>
      <c r="H125" s="17" t="inlineStr">
        <is>
          <t>Nuevo</t>
        </is>
      </c>
      <c r="I125" s="17" t="inlineStr">
        <is>
          <t>IRAM 3517-2:2020 9.4.9 tabla 2</t>
        </is>
      </c>
      <c r="J125" s="33" t="inlineStr">
        <is>
          <t>Sí</t>
        </is>
      </c>
      <c r="K125" s="17" t="inlineStr">
        <is>
          <t>Air Liquide Argentina - sucursal Piñeyro</t>
        </is>
      </c>
      <c r="L125" s="17" t="inlineStr">
        <is>
          <t>Gogniat</t>
        </is>
      </c>
    </row>
    <row r="126">
      <c r="A126" s="33" t="inlineStr">
        <is>
          <t>RK-ABC10-B</t>
        </is>
      </c>
      <c r="B126" s="33" t="inlineStr">
        <is>
          <t>FL_MAT_ABC_10kg</t>
        </is>
      </c>
      <c r="C126" s="33" t="inlineStr">
        <is>
          <t>Extintor ABC 10 kg</t>
        </is>
      </c>
      <c r="D126" s="17" t="inlineStr">
        <is>
          <t>B - Mantenimiento con apertura sin descarga (control interior, PH)</t>
        </is>
      </c>
      <c r="E126" s="17" t="inlineStr">
        <is>
          <t>Polvo químico seco ABC (fosfato monoamónico) recuperado</t>
        </is>
      </c>
      <c r="F126" s="33" t="n">
        <v>9.699999999999999</v>
      </c>
      <c r="G126" s="33" t="inlineStr">
        <is>
          <t>kg</t>
        </is>
      </c>
      <c r="H126" s="17" t="inlineStr">
        <is>
          <t>Recuperado en sistema cerrado</t>
        </is>
      </c>
      <c r="I126" s="17" t="inlineStr">
        <is>
          <t>IRAM 3517-2:2020 4.4.1 y) sistema cerrado de recuperación con inspección; 9.9.3 control (puffer IRAM 3672, fusión IRAM 3569 en ABC)</t>
        </is>
      </c>
      <c r="J126" s="33" t="inlineStr">
        <is>
          <t>No</t>
        </is>
      </c>
      <c r="K126" s="17" t="n"/>
      <c r="L126" s="17" t="n"/>
    </row>
    <row r="127">
      <c r="A127" s="41" t="inlineStr">
        <is>
          <t>RK-ABC10-B</t>
        </is>
      </c>
      <c r="B127" s="41" t="inlineStr">
        <is>
          <t>FL_MAT_ABC_10kg</t>
        </is>
      </c>
      <c r="C127" s="41" t="inlineStr">
        <is>
          <t>Extintor ABC 10 kg</t>
        </is>
      </c>
      <c r="D127" s="18" t="inlineStr">
        <is>
          <t>B - Mantenimiento con apertura sin descarga (control interior, PH)</t>
        </is>
      </c>
      <c r="E127" s="18" t="inlineStr">
        <is>
          <t>Polvo químico seco ABC (fosfato monoamónico) de reposición de mermas</t>
        </is>
      </c>
      <c r="F127" s="41" t="n">
        <v>0.3</v>
      </c>
      <c r="G127" s="41" t="inlineStr">
        <is>
          <t>kg</t>
        </is>
      </c>
      <c r="H127" s="18" t="inlineStr">
        <is>
          <t>Nuevo (R: 3 % de merma)</t>
        </is>
      </c>
      <c r="I127" s="18" t="inlineStr">
        <is>
          <t>Mismo tipo y marca (prohibido mezclar ABC con BC, 9.9.1.6)</t>
        </is>
      </c>
      <c r="J127" s="41" t="inlineStr">
        <is>
          <t>Sí</t>
        </is>
      </c>
      <c r="K127" s="18" t="inlineStr">
        <is>
          <t>DEM S.A. (DEMSA)</t>
        </is>
      </c>
      <c r="L127" s="18" t="inlineStr">
        <is>
          <t>Polvex S.R.L. / Sancibrao</t>
        </is>
      </c>
    </row>
    <row r="128">
      <c r="A128" s="33" t="inlineStr">
        <is>
          <t>RK-ABC10-B</t>
        </is>
      </c>
      <c r="B128" s="33" t="inlineStr">
        <is>
          <t>FL_MAT_ABC_10kg</t>
        </is>
      </c>
      <c r="C128" s="33" t="inlineStr">
        <is>
          <t>Extintor ABC 10 kg</t>
        </is>
      </c>
      <c r="D128" s="17" t="inlineStr">
        <is>
          <t>B - Mantenimiento con apertura sin descarga (control interior, PH)</t>
        </is>
      </c>
      <c r="E128" s="17" t="inlineStr">
        <is>
          <t>Precinto plástico numerado, color, con nombre del recargador</t>
        </is>
      </c>
      <c r="F128" s="33" t="n">
        <v>1</v>
      </c>
      <c r="G128" s="33" t="inlineStr">
        <is>
          <t>u</t>
        </is>
      </c>
      <c r="H128" s="17" t="inlineStr">
        <is>
          <t>Nuevo</t>
        </is>
      </c>
      <c r="I128" s="17" t="inlineStr">
        <is>
          <t>IRAM 3517-2:2020 9.4.13</t>
        </is>
      </c>
      <c r="J128" s="33" t="inlineStr">
        <is>
          <t>Sí</t>
        </is>
      </c>
      <c r="K128" s="17" t="inlineStr">
        <is>
          <t>SonFuertes (vía Papelera Damián)</t>
        </is>
      </c>
      <c r="L128" s="17" t="inlineStr">
        <is>
          <t>Precinter S.R.L.</t>
        </is>
      </c>
    </row>
    <row r="129">
      <c r="A129" s="33" t="inlineStr">
        <is>
          <t>RK-ABC10-B</t>
        </is>
      </c>
      <c r="B129" s="33" t="inlineStr">
        <is>
          <t>FL_MAT_ABC_10kg</t>
        </is>
      </c>
      <c r="C129" s="33" t="inlineStr">
        <is>
          <t>Extintor ABC 10 kg</t>
        </is>
      </c>
      <c r="D129" s="17" t="inlineStr">
        <is>
          <t>B - Mantenimiento con apertura sin descarga (control interior, PH)</t>
        </is>
      </c>
      <c r="E129" s="17" t="inlineStr">
        <is>
          <t>Marbete (anillo, color del año)</t>
        </is>
      </c>
      <c r="F129" s="33" t="n">
        <v>1</v>
      </c>
      <c r="G129" s="33" t="inlineStr">
        <is>
          <t>u</t>
        </is>
      </c>
      <c r="H129" s="17" t="inlineStr">
        <is>
          <t>Nuevo</t>
        </is>
      </c>
      <c r="I129" s="17" t="inlineStr">
        <is>
          <t>IRAM 3517-2:2020 9.4.14 · fig. 9 · tabla 4</t>
        </is>
      </c>
      <c r="J129" s="33" t="inlineStr">
        <is>
          <t>Sí</t>
        </is>
      </c>
      <c r="K129" s="17" t="inlineStr">
        <is>
          <t>Astuprint</t>
        </is>
      </c>
      <c r="L129" s="17" t="inlineStr">
        <is>
          <t>Multilabel Argentina S.A.</t>
        </is>
      </c>
    </row>
    <row r="130">
      <c r="A130" s="33" t="inlineStr">
        <is>
          <t>RK-ABC10-B</t>
        </is>
      </c>
      <c r="B130" s="33" t="inlineStr">
        <is>
          <t>FL_MAT_ABC_10kg</t>
        </is>
      </c>
      <c r="C130" s="33" t="inlineStr">
        <is>
          <t>Extintor ABC 10 kg</t>
        </is>
      </c>
      <c r="D130" s="17" t="inlineStr">
        <is>
          <t>B - Mantenimiento con apertura sin descarga (control interior, PH)</t>
        </is>
      </c>
      <c r="E130" s="17" t="inlineStr">
        <is>
          <t>Etiqueta de servicio del recargador (extintor n°, serie, próxima recarga y PH)</t>
        </is>
      </c>
      <c r="F130" s="33" t="n">
        <v>1</v>
      </c>
      <c r="G130" s="33" t="inlineStr">
        <is>
          <t>u</t>
        </is>
      </c>
      <c r="H130" s="17" t="inlineStr">
        <is>
          <t>Nuevo</t>
        </is>
      </c>
      <c r="I130" s="17" t="inlineStr">
        <is>
          <t>IRAM 3517-2:2020 8.3.3 · relevado Suyai/Firegram</t>
        </is>
      </c>
      <c r="J130" s="33" t="inlineStr">
        <is>
          <t>Sí</t>
        </is>
      </c>
      <c r="K130" s="17" t="inlineStr">
        <is>
          <t>Astuprint</t>
        </is>
      </c>
      <c r="L130" s="17" t="inlineStr">
        <is>
          <t>Multilabel Argentina S.A.</t>
        </is>
      </c>
    </row>
    <row r="131">
      <c r="A131" s="33" t="inlineStr">
        <is>
          <t>RK-ABC10-B</t>
        </is>
      </c>
      <c r="B131" s="33" t="inlineStr">
        <is>
          <t>FL_MAT_ABC_10kg</t>
        </is>
      </c>
      <c r="C131" s="33" t="inlineStr">
        <is>
          <t>Extintor ABC 10 kg</t>
        </is>
      </c>
      <c r="D131" s="17" t="inlineStr">
        <is>
          <t>B - Mantenimiento con apertura sin descarga (control interior, PH)</t>
        </is>
      </c>
      <c r="E131" s="17" t="inlineStr">
        <is>
          <t>Oblea PBA de recarga Ø46 + estampilla precinto 1" × 200 mm válvula-cuerpo</t>
        </is>
      </c>
      <c r="F131" s="33" t="n">
        <v>1</v>
      </c>
      <c r="G131" s="33" t="inlineStr">
        <is>
          <t>u</t>
        </is>
      </c>
      <c r="H131" s="17" t="inlineStr">
        <is>
          <t>Nuevo (venta en PBA)</t>
        </is>
      </c>
      <c r="I131" s="17" t="inlineStr">
        <is>
          <t>IRAM 3517-2:2020 Res. OPDS 522/07</t>
        </is>
      </c>
      <c r="J131" s="33" t="inlineStr">
        <is>
          <t>Sí</t>
        </is>
      </c>
      <c r="K131" s="17" t="inlineStr">
        <is>
          <t>Ministerio de Ambiente PBA (ex OPDS)</t>
        </is>
      </c>
      <c r="L131" s="17" t="inlineStr">
        <is>
          <t>-</t>
        </is>
      </c>
    </row>
    <row r="132">
      <c r="A132" s="33" t="inlineStr">
        <is>
          <t>RK-ABC10-B</t>
        </is>
      </c>
      <c r="B132" s="33" t="inlineStr">
        <is>
          <t>FL_MAT_ABC_10kg</t>
        </is>
      </c>
      <c r="C132" s="33" t="inlineStr">
        <is>
          <t>Extintor ABC 10 kg</t>
        </is>
      </c>
      <c r="D132" s="17" t="inlineStr">
        <is>
          <t>B - Mantenimiento con apertura sin descarga (control interior, PH)</t>
        </is>
      </c>
      <c r="E132" s="17" t="inlineStr">
        <is>
          <t>Tarjeta de identificación AGC (módulo papel con QR + etiqueta AGC)</t>
        </is>
      </c>
      <c r="F132" s="33" t="n">
        <v>1</v>
      </c>
      <c r="G132" s="33" t="inlineStr">
        <is>
          <t>u</t>
        </is>
      </c>
      <c r="H132" s="17" t="inlineStr">
        <is>
          <t>Nuevo (destino CABA)</t>
        </is>
      </c>
      <c r="I132" s="17" t="inlineStr">
        <is>
          <t>IRAM 3517-2:2020 Ord. 40.473 art. 6 · Res. AGC 32/15</t>
        </is>
      </c>
      <c r="J132" s="33" t="inlineStr">
        <is>
          <t>Sí</t>
        </is>
      </c>
      <c r="K132" s="17" t="inlineStr">
        <is>
          <t>Agencia Gubernamental de Control (CABA)</t>
        </is>
      </c>
      <c r="L132" s="17" t="inlineStr">
        <is>
          <t>-</t>
        </is>
      </c>
    </row>
    <row r="133">
      <c r="A133" s="33" t="inlineStr">
        <is>
          <t>RK-ABC10-B</t>
        </is>
      </c>
      <c r="B133" s="33" t="inlineStr">
        <is>
          <t>FL_MAT_ABC_10kg</t>
        </is>
      </c>
      <c r="C133" s="33" t="inlineStr">
        <is>
          <t>Extintor ABC 10 kg</t>
        </is>
      </c>
      <c r="D133" s="17" t="inlineStr">
        <is>
          <t>B - Mantenimiento con apertura sin descarga (control interior, PH)</t>
        </is>
      </c>
      <c r="E133" s="17" t="inlineStr">
        <is>
          <t>Tarjeta de identificación DPS de revisión / recarga</t>
        </is>
      </c>
      <c r="F133" s="33" t="n">
        <v>1</v>
      </c>
      <c r="G133" s="33" t="inlineStr">
        <is>
          <t>u</t>
        </is>
      </c>
      <c r="H133" s="17" t="inlineStr">
        <is>
          <t>Nuevo (PBA)</t>
        </is>
      </c>
      <c r="I133" s="17" t="inlineStr">
        <is>
          <t>IRAM 3517-2:2020 Res. 349/07 art. 21</t>
        </is>
      </c>
      <c r="J133" s="33" t="inlineStr">
        <is>
          <t>Sí</t>
        </is>
      </c>
      <c r="K133" s="17" t="inlineStr">
        <is>
          <t>Ministerio de Ambiente PBA (ex OPDS)</t>
        </is>
      </c>
      <c r="L133" s="17" t="inlineStr">
        <is>
          <t>-</t>
        </is>
      </c>
    </row>
    <row r="134">
      <c r="A134" s="33" t="inlineStr">
        <is>
          <t>RK-ABC10-B</t>
        </is>
      </c>
      <c r="B134" s="33" t="inlineStr">
        <is>
          <t>FL_MAT_ABC_10kg</t>
        </is>
      </c>
      <c r="C134" s="33" t="inlineStr">
        <is>
          <t>Extintor ABC 10 kg</t>
        </is>
      </c>
      <c r="D134" s="17" t="inlineStr">
        <is>
          <t>B - Mantenimiento con apertura sin descarga (control interior, PH)</t>
        </is>
      </c>
      <c r="E134" s="17" t="inlineStr">
        <is>
          <t>Grabado de la fecha del servicio en el tubo de pesca (lápiz vibratorio; en polvo, marcador indeleble)</t>
        </is>
      </c>
      <c r="F134" s="33" t="n">
        <v>1</v>
      </c>
      <c r="G134" s="33" t="inlineStr">
        <is>
          <t>u</t>
        </is>
      </c>
      <c r="H134" s="17" t="inlineStr">
        <is>
          <t>Proceso</t>
        </is>
      </c>
      <c r="I134" s="17" t="inlineStr">
        <is>
          <t>IRAM 3517-2:2020 Res. 349/07 art. 28</t>
        </is>
      </c>
      <c r="J134" s="33" t="inlineStr">
        <is>
          <t>No</t>
        </is>
      </c>
      <c r="K134" s="17" t="n"/>
      <c r="L134" s="17" t="n"/>
    </row>
    <row r="135">
      <c r="A135" s="33" t="inlineStr">
        <is>
          <t>RK-ABC10-B</t>
        </is>
      </c>
      <c r="B135" s="33" t="inlineStr">
        <is>
          <t>FL_MAT_ABC_10kg</t>
        </is>
      </c>
      <c r="C135" s="33"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3" t="n">
        <v>1</v>
      </c>
      <c r="G135" s="33" t="inlineStr">
        <is>
          <t>u</t>
        </is>
      </c>
      <c r="H135" s="17" t="inlineStr">
        <is>
          <t>Proceso</t>
        </is>
      </c>
      <c r="I135" s="17" t="inlineStr">
        <is>
          <t>IRAM 3517-2:2020 Res. 349/07 art. 29 · IRAM 3517-2</t>
        </is>
      </c>
      <c r="J135" s="33" t="inlineStr">
        <is>
          <t>No</t>
        </is>
      </c>
      <c r="K135" s="17" t="n"/>
      <c r="L135" s="17" t="n"/>
    </row>
    <row r="136">
      <c r="A136" s="41" t="inlineStr">
        <is>
          <t>RK-ABC10-B</t>
        </is>
      </c>
      <c r="B136" s="41" t="inlineStr">
        <is>
          <t>FL_MAT_ABC_10kg</t>
        </is>
      </c>
      <c r="C136" s="41" t="inlineStr">
        <is>
          <t>Extintor ABC 10 kg</t>
        </is>
      </c>
      <c r="D136" s="18" t="inlineStr">
        <is>
          <t>B - Mantenimiento con apertura sin descarga (control interior, PH)</t>
        </is>
      </c>
      <c r="E136" s="18" t="inlineStr">
        <is>
          <t>Junta tórica de asiento del cuello</t>
        </is>
      </c>
      <c r="F136" s="41" t="n">
        <v>1</v>
      </c>
      <c r="G136" s="41" t="inlineStr">
        <is>
          <t>u</t>
        </is>
      </c>
      <c r="H136" s="18" t="inlineStr">
        <is>
          <t>Nuevo (R: cambio sistemático)</t>
        </is>
      </c>
      <c r="I136" s="18" t="inlineStr"/>
      <c r="J136" s="41" t="inlineStr">
        <is>
          <t>Sí</t>
        </is>
      </c>
      <c r="K136" s="18" t="inlineStr">
        <is>
          <t>Argensold</t>
        </is>
      </c>
      <c r="L136" s="18" t="inlineStr">
        <is>
          <t>Matafuegos Iglesias</t>
        </is>
      </c>
    </row>
    <row r="137">
      <c r="A137" s="33" t="inlineStr">
        <is>
          <t>RK-ABC10-B</t>
        </is>
      </c>
      <c r="B137" s="33" t="inlineStr">
        <is>
          <t>FL_MAT_ABC_10kg</t>
        </is>
      </c>
      <c r="C137" s="33" t="inlineStr">
        <is>
          <t>Extintor ABC 10 kg</t>
        </is>
      </c>
      <c r="D137" s="17" t="inlineStr">
        <is>
          <t>B - Mantenimiento con apertura sin descarga (control interior, PH)</t>
        </is>
      </c>
      <c r="E137" s="17" t="inlineStr">
        <is>
          <t>Gas impulsor N₂</t>
        </is>
      </c>
      <c r="F137" s="33" t="n">
        <v>0.0588</v>
      </c>
      <c r="G137" s="33" t="inlineStr">
        <is>
          <t>kg</t>
        </is>
      </c>
      <c r="H137" s="17" t="inlineStr">
        <is>
          <t>Nuevo</t>
        </is>
      </c>
      <c r="I137" s="17" t="inlineStr">
        <is>
          <t>IRAM 3517-2:2020 9.4.9 tabla 2</t>
        </is>
      </c>
      <c r="J137" s="33" t="inlineStr">
        <is>
          <t>Sí</t>
        </is>
      </c>
      <c r="K137" s="17" t="inlineStr">
        <is>
          <t>Air Liquide Argentina - sucursal Piñeyro</t>
        </is>
      </c>
      <c r="L137" s="17" t="inlineStr">
        <is>
          <t>Gogniat</t>
        </is>
      </c>
    </row>
    <row r="138">
      <c r="A138" s="33" t="inlineStr">
        <is>
          <t>RK-ABC10-C</t>
        </is>
      </c>
      <c r="B138" s="33" t="inlineStr">
        <is>
          <t>FL_MAT_ABC_10kg</t>
        </is>
      </c>
      <c r="C138" s="33" t="inlineStr">
        <is>
          <t>Extintor ABC 10 kg</t>
        </is>
      </c>
      <c r="D138" s="17" t="inlineStr">
        <is>
          <t>C - Cambio obligatorio de polvo (versión anterior de la IRAM 3569)</t>
        </is>
      </c>
      <c r="E138" s="17" t="inlineStr">
        <is>
          <t>Polvo químico seco ABC (fosfato monoamónico)</t>
        </is>
      </c>
      <c r="F138" s="33" t="n">
        <v>10</v>
      </c>
      <c r="G138" s="33" t="inlineStr">
        <is>
          <t>kg</t>
        </is>
      </c>
      <c r="H138" s="17" t="inlineStr">
        <is>
          <t>Nuevo 100 %; el viejo va a residuos (RC-IR)</t>
        </is>
      </c>
      <c r="I138" s="17" t="inlineStr">
        <is>
          <t>IRAM 3517-2:2020 9.9.4</t>
        </is>
      </c>
      <c r="J138" s="33" t="inlineStr">
        <is>
          <t>Sí</t>
        </is>
      </c>
      <c r="K138" s="17" t="inlineStr">
        <is>
          <t>DEM S.A. (DEMSA)</t>
        </is>
      </c>
      <c r="L138" s="17" t="inlineStr">
        <is>
          <t>Polvex S.R.L. / Sancibrao</t>
        </is>
      </c>
    </row>
    <row r="139">
      <c r="A139" s="33" t="inlineStr">
        <is>
          <t>RK-ABC10-C</t>
        </is>
      </c>
      <c r="B139" s="33" t="inlineStr">
        <is>
          <t>FL_MAT_ABC_10kg</t>
        </is>
      </c>
      <c r="C139" s="33" t="inlineStr">
        <is>
          <t>Extintor ABC 10 kg</t>
        </is>
      </c>
      <c r="D139" s="17" t="inlineStr">
        <is>
          <t>C - Cambio obligatorio de polvo (versión anterior de la IRAM 3569)</t>
        </is>
      </c>
      <c r="E139" s="17" t="inlineStr">
        <is>
          <t>Precinto plástico numerado, color, con nombre del recargador</t>
        </is>
      </c>
      <c r="F139" s="33" t="n">
        <v>1</v>
      </c>
      <c r="G139" s="33" t="inlineStr">
        <is>
          <t>u</t>
        </is>
      </c>
      <c r="H139" s="17" t="inlineStr">
        <is>
          <t>Nuevo</t>
        </is>
      </c>
      <c r="I139" s="17" t="inlineStr">
        <is>
          <t>IRAM 3517-2:2020 9.4.13</t>
        </is>
      </c>
      <c r="J139" s="33" t="inlineStr">
        <is>
          <t>Sí</t>
        </is>
      </c>
      <c r="K139" s="17" t="inlineStr">
        <is>
          <t>SonFuertes (vía Papelera Damián)</t>
        </is>
      </c>
      <c r="L139" s="17" t="inlineStr">
        <is>
          <t>Precinter S.R.L.</t>
        </is>
      </c>
    </row>
    <row r="140">
      <c r="A140" s="33" t="inlineStr">
        <is>
          <t>RK-ABC10-C</t>
        </is>
      </c>
      <c r="B140" s="33" t="inlineStr">
        <is>
          <t>FL_MAT_ABC_10kg</t>
        </is>
      </c>
      <c r="C140" s="33" t="inlineStr">
        <is>
          <t>Extintor ABC 10 kg</t>
        </is>
      </c>
      <c r="D140" s="17" t="inlineStr">
        <is>
          <t>C - Cambio obligatorio de polvo (versión anterior de la IRAM 3569)</t>
        </is>
      </c>
      <c r="E140" s="17" t="inlineStr">
        <is>
          <t>Marbete (anillo, color del año)</t>
        </is>
      </c>
      <c r="F140" s="33" t="n">
        <v>1</v>
      </c>
      <c r="G140" s="33" t="inlineStr">
        <is>
          <t>u</t>
        </is>
      </c>
      <c r="H140" s="17" t="inlineStr">
        <is>
          <t>Nuevo</t>
        </is>
      </c>
      <c r="I140" s="17" t="inlineStr">
        <is>
          <t>IRAM 3517-2:2020 9.4.14 · fig. 9 · tabla 4</t>
        </is>
      </c>
      <c r="J140" s="33" t="inlineStr">
        <is>
          <t>Sí</t>
        </is>
      </c>
      <c r="K140" s="17" t="inlineStr">
        <is>
          <t>Astuprint</t>
        </is>
      </c>
      <c r="L140" s="17" t="inlineStr">
        <is>
          <t>Multilabel Argentina S.A.</t>
        </is>
      </c>
    </row>
    <row r="141">
      <c r="A141" s="33" t="inlineStr">
        <is>
          <t>RK-ABC10-C</t>
        </is>
      </c>
      <c r="B141" s="33" t="inlineStr">
        <is>
          <t>FL_MAT_ABC_10kg</t>
        </is>
      </c>
      <c r="C141" s="33" t="inlineStr">
        <is>
          <t>Extintor ABC 10 kg</t>
        </is>
      </c>
      <c r="D141" s="17" t="inlineStr">
        <is>
          <t>C - Cambio obligatorio de polvo (versión anterior de la IRAM 3569)</t>
        </is>
      </c>
      <c r="E141" s="17" t="inlineStr">
        <is>
          <t>Etiqueta de servicio del recargador (extintor n°, serie, próxima recarga y PH)</t>
        </is>
      </c>
      <c r="F141" s="33" t="n">
        <v>1</v>
      </c>
      <c r="G141" s="33" t="inlineStr">
        <is>
          <t>u</t>
        </is>
      </c>
      <c r="H141" s="17" t="inlineStr">
        <is>
          <t>Nuevo</t>
        </is>
      </c>
      <c r="I141" s="17" t="inlineStr">
        <is>
          <t>IRAM 3517-2:2020 8.3.3 · relevado Suyai/Firegram</t>
        </is>
      </c>
      <c r="J141" s="33" t="inlineStr">
        <is>
          <t>Sí</t>
        </is>
      </c>
      <c r="K141" s="17" t="inlineStr">
        <is>
          <t>Astuprint</t>
        </is>
      </c>
      <c r="L141" s="17" t="inlineStr">
        <is>
          <t>Multilabel Argentina S.A.</t>
        </is>
      </c>
    </row>
    <row r="142">
      <c r="A142" s="33" t="inlineStr">
        <is>
          <t>RK-ABC10-C</t>
        </is>
      </c>
      <c r="B142" s="33" t="inlineStr">
        <is>
          <t>FL_MAT_ABC_10kg</t>
        </is>
      </c>
      <c r="C142" s="33" t="inlineStr">
        <is>
          <t>Extintor ABC 10 kg</t>
        </is>
      </c>
      <c r="D142" s="17" t="inlineStr">
        <is>
          <t>C - Cambio obligatorio de polvo (versión anterior de la IRAM 3569)</t>
        </is>
      </c>
      <c r="E142" s="17" t="inlineStr">
        <is>
          <t>Oblea PBA de recarga Ø46 + estampilla precinto 1" × 200 mm válvula-cuerpo</t>
        </is>
      </c>
      <c r="F142" s="33" t="n">
        <v>1</v>
      </c>
      <c r="G142" s="33" t="inlineStr">
        <is>
          <t>u</t>
        </is>
      </c>
      <c r="H142" s="17" t="inlineStr">
        <is>
          <t>Nuevo (venta en PBA)</t>
        </is>
      </c>
      <c r="I142" s="17" t="inlineStr">
        <is>
          <t>IRAM 3517-2:2020 Res. OPDS 522/07</t>
        </is>
      </c>
      <c r="J142" s="33" t="inlineStr">
        <is>
          <t>Sí</t>
        </is>
      </c>
      <c r="K142" s="17" t="inlineStr">
        <is>
          <t>Ministerio de Ambiente PBA (ex OPDS)</t>
        </is>
      </c>
      <c r="L142" s="17" t="inlineStr">
        <is>
          <t>-</t>
        </is>
      </c>
    </row>
    <row r="143">
      <c r="A143" s="33" t="inlineStr">
        <is>
          <t>RK-ABC10-C</t>
        </is>
      </c>
      <c r="B143" s="33" t="inlineStr">
        <is>
          <t>FL_MAT_ABC_10kg</t>
        </is>
      </c>
      <c r="C143" s="33" t="inlineStr">
        <is>
          <t>Extintor ABC 10 kg</t>
        </is>
      </c>
      <c r="D143" s="17" t="inlineStr">
        <is>
          <t>C - Cambio obligatorio de polvo (versión anterior de la IRAM 3569)</t>
        </is>
      </c>
      <c r="E143" s="17" t="inlineStr">
        <is>
          <t>Tarjeta de identificación AGC (módulo papel con QR + etiqueta AGC)</t>
        </is>
      </c>
      <c r="F143" s="33" t="n">
        <v>1</v>
      </c>
      <c r="G143" s="33" t="inlineStr">
        <is>
          <t>u</t>
        </is>
      </c>
      <c r="H143" s="17" t="inlineStr">
        <is>
          <t>Nuevo (destino CABA)</t>
        </is>
      </c>
      <c r="I143" s="17" t="inlineStr">
        <is>
          <t>IRAM 3517-2:2020 Ord. 40.473 art. 6 · Res. AGC 32/15</t>
        </is>
      </c>
      <c r="J143" s="33" t="inlineStr">
        <is>
          <t>Sí</t>
        </is>
      </c>
      <c r="K143" s="17" t="inlineStr">
        <is>
          <t>Agencia Gubernamental de Control (CABA)</t>
        </is>
      </c>
      <c r="L143" s="17" t="inlineStr">
        <is>
          <t>-</t>
        </is>
      </c>
    </row>
    <row r="144">
      <c r="A144" s="33" t="inlineStr">
        <is>
          <t>RK-ABC10-C</t>
        </is>
      </c>
      <c r="B144" s="33" t="inlineStr">
        <is>
          <t>FL_MAT_ABC_10kg</t>
        </is>
      </c>
      <c r="C144" s="33" t="inlineStr">
        <is>
          <t>Extintor ABC 10 kg</t>
        </is>
      </c>
      <c r="D144" s="17" t="inlineStr">
        <is>
          <t>C - Cambio obligatorio de polvo (versión anterior de la IRAM 3569)</t>
        </is>
      </c>
      <c r="E144" s="17" t="inlineStr">
        <is>
          <t>Tarjeta de identificación DPS de revisión / recarga</t>
        </is>
      </c>
      <c r="F144" s="33" t="n">
        <v>1</v>
      </c>
      <c r="G144" s="33" t="inlineStr">
        <is>
          <t>u</t>
        </is>
      </c>
      <c r="H144" s="17" t="inlineStr">
        <is>
          <t>Nuevo (PBA)</t>
        </is>
      </c>
      <c r="I144" s="17" t="inlineStr">
        <is>
          <t>IRAM 3517-2:2020 Res. 349/07 art. 21</t>
        </is>
      </c>
      <c r="J144" s="33" t="inlineStr">
        <is>
          <t>Sí</t>
        </is>
      </c>
      <c r="K144" s="17" t="inlineStr">
        <is>
          <t>Ministerio de Ambiente PBA (ex OPDS)</t>
        </is>
      </c>
      <c r="L144" s="17" t="inlineStr">
        <is>
          <t>-</t>
        </is>
      </c>
    </row>
    <row r="145">
      <c r="A145" s="33" t="inlineStr">
        <is>
          <t>RK-ABC10-C</t>
        </is>
      </c>
      <c r="B145" s="33" t="inlineStr">
        <is>
          <t>FL_MAT_ABC_10kg</t>
        </is>
      </c>
      <c r="C145" s="33"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3" t="n">
        <v>1</v>
      </c>
      <c r="G145" s="33" t="inlineStr">
        <is>
          <t>u</t>
        </is>
      </c>
      <c r="H145" s="17" t="inlineStr">
        <is>
          <t>Proceso</t>
        </is>
      </c>
      <c r="I145" s="17" t="inlineStr">
        <is>
          <t>IRAM 3517-2:2020 Res. 349/07 art. 28</t>
        </is>
      </c>
      <c r="J145" s="33" t="inlineStr">
        <is>
          <t>No</t>
        </is>
      </c>
      <c r="K145" s="17" t="n"/>
      <c r="L145" s="17" t="n"/>
    </row>
    <row r="146">
      <c r="A146" s="33" t="inlineStr">
        <is>
          <t>RK-ABC10-C</t>
        </is>
      </c>
      <c r="B146" s="33" t="inlineStr">
        <is>
          <t>FL_MAT_ABC_10kg</t>
        </is>
      </c>
      <c r="C146" s="33"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3" t="n">
        <v>1</v>
      </c>
      <c r="G146" s="33" t="inlineStr">
        <is>
          <t>u</t>
        </is>
      </c>
      <c r="H146" s="17" t="inlineStr">
        <is>
          <t>Proceso</t>
        </is>
      </c>
      <c r="I146" s="17" t="inlineStr">
        <is>
          <t>IRAM 3517-2:2020 Res. 349/07 art. 29 · IRAM 3517-2</t>
        </is>
      </c>
      <c r="J146" s="33" t="inlineStr">
        <is>
          <t>No</t>
        </is>
      </c>
      <c r="K146" s="17" t="n"/>
      <c r="L146" s="17" t="n"/>
    </row>
    <row r="147">
      <c r="A147" s="41" t="inlineStr">
        <is>
          <t>RK-ABC10-C</t>
        </is>
      </c>
      <c r="B147" s="41" t="inlineStr">
        <is>
          <t>FL_MAT_ABC_10kg</t>
        </is>
      </c>
      <c r="C147" s="41" t="inlineStr">
        <is>
          <t>Extintor ABC 10 kg</t>
        </is>
      </c>
      <c r="D147" s="18" t="inlineStr">
        <is>
          <t>C - Cambio obligatorio de polvo (versión anterior de la IRAM 3569)</t>
        </is>
      </c>
      <c r="E147" s="18" t="inlineStr">
        <is>
          <t>Junta tórica de asiento del cuello</t>
        </is>
      </c>
      <c r="F147" s="41" t="n">
        <v>1</v>
      </c>
      <c r="G147" s="41" t="inlineStr">
        <is>
          <t>u</t>
        </is>
      </c>
      <c r="H147" s="18" t="inlineStr">
        <is>
          <t>Nuevo (R: cambio sistemático)</t>
        </is>
      </c>
      <c r="I147" s="18" t="inlineStr"/>
      <c r="J147" s="41" t="inlineStr">
        <is>
          <t>Sí</t>
        </is>
      </c>
      <c r="K147" s="18" t="inlineStr">
        <is>
          <t>Argensold</t>
        </is>
      </c>
      <c r="L147" s="18" t="inlineStr">
        <is>
          <t>Matafuegos Iglesias</t>
        </is>
      </c>
    </row>
    <row r="148">
      <c r="A148" s="33" t="inlineStr">
        <is>
          <t>RK-ABC10-C</t>
        </is>
      </c>
      <c r="B148" s="33" t="inlineStr">
        <is>
          <t>FL_MAT_ABC_10kg</t>
        </is>
      </c>
      <c r="C148" s="33" t="inlineStr">
        <is>
          <t>Extintor ABC 10 kg</t>
        </is>
      </c>
      <c r="D148" s="17" t="inlineStr">
        <is>
          <t>C - Cambio obligatorio de polvo (versión anterior de la IRAM 3569)</t>
        </is>
      </c>
      <c r="E148" s="17" t="inlineStr">
        <is>
          <t>Gas impulsor N₂</t>
        </is>
      </c>
      <c r="F148" s="33" t="n">
        <v>0.0588</v>
      </c>
      <c r="G148" s="33" t="inlineStr">
        <is>
          <t>kg</t>
        </is>
      </c>
      <c r="H148" s="17" t="inlineStr">
        <is>
          <t>Nuevo</t>
        </is>
      </c>
      <c r="I148" s="17" t="inlineStr">
        <is>
          <t>IRAM 3517-2:2020 9.4.9 tabla 2</t>
        </is>
      </c>
      <c r="J148" s="33" t="inlineStr">
        <is>
          <t>Sí</t>
        </is>
      </c>
      <c r="K148" s="17" t="inlineStr">
        <is>
          <t>Air Liquide Argentina - sucursal Piñeyro</t>
        </is>
      </c>
      <c r="L148" s="17" t="inlineStr">
        <is>
          <t>Gogniat</t>
        </is>
      </c>
    </row>
    <row r="149">
      <c r="A149" s="33" t="inlineStr">
        <is>
          <t>RK-ABC10-I</t>
        </is>
      </c>
      <c r="B149" s="33" t="inlineStr">
        <is>
          <t>FL_MAT_ABC_10kg</t>
        </is>
      </c>
      <c r="C149" s="33" t="inlineStr">
        <is>
          <t>Extintor ABC 10 kg</t>
        </is>
      </c>
      <c r="D149" s="17" t="inlineStr">
        <is>
          <t>Según inspección (consumo estadístico a definir)</t>
        </is>
      </c>
      <c r="E149" s="17" t="inlineStr">
        <is>
          <t>Manómetro / manguera / tobera / kit de válvula</t>
        </is>
      </c>
      <c r="F149" s="33" t="inlineStr">
        <is>
          <t>-</t>
        </is>
      </c>
      <c r="G149" s="33" t="inlineStr">
        <is>
          <t>u</t>
        </is>
      </c>
      <c r="H149" s="17" t="inlineStr">
        <is>
          <t>Recambio sólo si falla</t>
        </is>
      </c>
      <c r="I149" s="17" t="inlineStr">
        <is>
          <t>IRAM 3517-2:2020 9.4.11 (cada manguera vuelve a su extintor)</t>
        </is>
      </c>
      <c r="J149" s="33" t="inlineStr">
        <is>
          <t>Sí</t>
        </is>
      </c>
      <c r="K149" s="17" t="inlineStr">
        <is>
          <t>Polvex S.R.L. / Sancibrao</t>
        </is>
      </c>
      <c r="L149" s="17" t="inlineStr">
        <is>
          <t>Yukon / MatafuegosYa S.R.L.</t>
        </is>
      </c>
    </row>
    <row r="150">
      <c r="A150" s="33" t="inlineStr">
        <is>
          <t>RK-AGUA10-A</t>
        </is>
      </c>
      <c r="B150" s="33" t="inlineStr">
        <is>
          <t>FL_MAT_AGUA_10l</t>
        </is>
      </c>
      <c r="C150" s="33" t="inlineStr">
        <is>
          <t>Extintor Agua 10 l</t>
        </is>
      </c>
      <c r="D150" s="17" t="inlineStr">
        <is>
          <t>A - Extintor descargado</t>
        </is>
      </c>
      <c r="E150" s="17" t="inlineStr">
        <is>
          <t>Agua</t>
        </is>
      </c>
      <c r="F150" s="33" t="n">
        <v>10</v>
      </c>
      <c r="G150" s="33" t="inlineStr">
        <is>
          <t>L</t>
        </is>
      </c>
      <c r="H150" s="17" t="inlineStr">
        <is>
          <t>Nuevo</t>
        </is>
      </c>
      <c r="I150" s="17" t="inlineStr">
        <is>
          <t>IRAM 3517-2:2020 9.9 tabla 6</t>
        </is>
      </c>
      <c r="J150" s="33" t="inlineStr">
        <is>
          <t>No</t>
        </is>
      </c>
      <c r="K150" s="17" t="n"/>
      <c r="L150" s="17" t="n"/>
    </row>
    <row r="151">
      <c r="A151" s="33" t="inlineStr">
        <is>
          <t>RK-AGUA10-A</t>
        </is>
      </c>
      <c r="B151" s="33" t="inlineStr">
        <is>
          <t>FL_MAT_AGUA_10l</t>
        </is>
      </c>
      <c r="C151" s="33" t="inlineStr">
        <is>
          <t>Extintor Agua 10 l</t>
        </is>
      </c>
      <c r="D151" s="17" t="inlineStr">
        <is>
          <t>A - Extintor descargado</t>
        </is>
      </c>
      <c r="E151" s="17" t="inlineStr">
        <is>
          <t>Precinto plástico numerado, color, con nombre del recargador</t>
        </is>
      </c>
      <c r="F151" s="33" t="n">
        <v>1</v>
      </c>
      <c r="G151" s="33" t="inlineStr">
        <is>
          <t>u</t>
        </is>
      </c>
      <c r="H151" s="17" t="inlineStr">
        <is>
          <t>Nuevo</t>
        </is>
      </c>
      <c r="I151" s="17" t="inlineStr">
        <is>
          <t>IRAM 3517-2:2020 9.4.13</t>
        </is>
      </c>
      <c r="J151" s="33" t="inlineStr">
        <is>
          <t>Sí</t>
        </is>
      </c>
      <c r="K151" s="17" t="inlineStr">
        <is>
          <t>SonFuertes (vía Papelera Damián)</t>
        </is>
      </c>
      <c r="L151" s="17" t="inlineStr">
        <is>
          <t>Precinter S.R.L.</t>
        </is>
      </c>
    </row>
    <row r="152">
      <c r="A152" s="33" t="inlineStr">
        <is>
          <t>RK-AGUA10-A</t>
        </is>
      </c>
      <c r="B152" s="33" t="inlineStr">
        <is>
          <t>FL_MAT_AGUA_10l</t>
        </is>
      </c>
      <c r="C152" s="33" t="inlineStr">
        <is>
          <t>Extintor Agua 10 l</t>
        </is>
      </c>
      <c r="D152" s="17" t="inlineStr">
        <is>
          <t>A - Extintor descargado</t>
        </is>
      </c>
      <c r="E152" s="17" t="inlineStr">
        <is>
          <t>Marbete (anillo, color del año)</t>
        </is>
      </c>
      <c r="F152" s="33" t="n">
        <v>1</v>
      </c>
      <c r="G152" s="33" t="inlineStr">
        <is>
          <t>u</t>
        </is>
      </c>
      <c r="H152" s="17" t="inlineStr">
        <is>
          <t>Nuevo</t>
        </is>
      </c>
      <c r="I152" s="17" t="inlineStr">
        <is>
          <t>IRAM 3517-2:2020 9.4.14 · fig. 9 · tabla 4</t>
        </is>
      </c>
      <c r="J152" s="33" t="inlineStr">
        <is>
          <t>Sí</t>
        </is>
      </c>
      <c r="K152" s="17" t="inlineStr">
        <is>
          <t>Astuprint</t>
        </is>
      </c>
      <c r="L152" s="17" t="inlineStr">
        <is>
          <t>Multilabel Argentina S.A.</t>
        </is>
      </c>
    </row>
    <row r="153">
      <c r="A153" s="33" t="inlineStr">
        <is>
          <t>RK-AGUA10-A</t>
        </is>
      </c>
      <c r="B153" s="33" t="inlineStr">
        <is>
          <t>FL_MAT_AGUA_10l</t>
        </is>
      </c>
      <c r="C153" s="33" t="inlineStr">
        <is>
          <t>Extintor Agua 10 l</t>
        </is>
      </c>
      <c r="D153" s="17" t="inlineStr">
        <is>
          <t>A - Extintor descargado</t>
        </is>
      </c>
      <c r="E153" s="17" t="inlineStr">
        <is>
          <t>Etiqueta de servicio del recargador (extintor n°, serie, próxima recarga y PH)</t>
        </is>
      </c>
      <c r="F153" s="33" t="n">
        <v>1</v>
      </c>
      <c r="G153" s="33" t="inlineStr">
        <is>
          <t>u</t>
        </is>
      </c>
      <c r="H153" s="17" t="inlineStr">
        <is>
          <t>Nuevo</t>
        </is>
      </c>
      <c r="I153" s="17" t="inlineStr">
        <is>
          <t>IRAM 3517-2:2020 8.3.3 · relevado Suyai/Firegram</t>
        </is>
      </c>
      <c r="J153" s="33" t="inlineStr">
        <is>
          <t>Sí</t>
        </is>
      </c>
      <c r="K153" s="17" t="inlineStr">
        <is>
          <t>Astuprint</t>
        </is>
      </c>
      <c r="L153" s="17" t="inlineStr">
        <is>
          <t>Multilabel Argentina S.A.</t>
        </is>
      </c>
    </row>
    <row r="154">
      <c r="A154" s="33" t="inlineStr">
        <is>
          <t>RK-AGUA10-A</t>
        </is>
      </c>
      <c r="B154" s="33" t="inlineStr">
        <is>
          <t>FL_MAT_AGUA_10l</t>
        </is>
      </c>
      <c r="C154" s="33" t="inlineStr">
        <is>
          <t>Extintor Agua 10 l</t>
        </is>
      </c>
      <c r="D154" s="17" t="inlineStr">
        <is>
          <t>A - Extintor descargado</t>
        </is>
      </c>
      <c r="E154" s="17" t="inlineStr">
        <is>
          <t>Oblea PBA de recarga Ø46 + estampilla precinto 1" × 200 mm válvula-cuerpo</t>
        </is>
      </c>
      <c r="F154" s="33" t="n">
        <v>1</v>
      </c>
      <c r="G154" s="33" t="inlineStr">
        <is>
          <t>u</t>
        </is>
      </c>
      <c r="H154" s="17" t="inlineStr">
        <is>
          <t>Nuevo (venta en PBA)</t>
        </is>
      </c>
      <c r="I154" s="17" t="inlineStr">
        <is>
          <t>IRAM 3517-2:2020 Res. OPDS 522/07</t>
        </is>
      </c>
      <c r="J154" s="33" t="inlineStr">
        <is>
          <t>Sí</t>
        </is>
      </c>
      <c r="K154" s="17" t="inlineStr">
        <is>
          <t>Ministerio de Ambiente PBA (ex OPDS)</t>
        </is>
      </c>
      <c r="L154" s="17" t="inlineStr">
        <is>
          <t>-</t>
        </is>
      </c>
    </row>
    <row r="155">
      <c r="A155" s="33" t="inlineStr">
        <is>
          <t>RK-AGUA10-A</t>
        </is>
      </c>
      <c r="B155" s="33" t="inlineStr">
        <is>
          <t>FL_MAT_AGUA_10l</t>
        </is>
      </c>
      <c r="C155" s="33" t="inlineStr">
        <is>
          <t>Extintor Agua 10 l</t>
        </is>
      </c>
      <c r="D155" s="17" t="inlineStr">
        <is>
          <t>A - Extintor descargado</t>
        </is>
      </c>
      <c r="E155" s="17" t="inlineStr">
        <is>
          <t>Tarjeta de identificación AGC (módulo papel con QR + etiqueta AGC)</t>
        </is>
      </c>
      <c r="F155" s="33" t="n">
        <v>1</v>
      </c>
      <c r="G155" s="33" t="inlineStr">
        <is>
          <t>u</t>
        </is>
      </c>
      <c r="H155" s="17" t="inlineStr">
        <is>
          <t>Nuevo (destino CABA)</t>
        </is>
      </c>
      <c r="I155" s="17" t="inlineStr">
        <is>
          <t>IRAM 3517-2:2020 Ord. 40.473 art. 6 · Res. AGC 32/15</t>
        </is>
      </c>
      <c r="J155" s="33" t="inlineStr">
        <is>
          <t>Sí</t>
        </is>
      </c>
      <c r="K155" s="17" t="inlineStr">
        <is>
          <t>Agencia Gubernamental de Control (CABA)</t>
        </is>
      </c>
      <c r="L155" s="17" t="inlineStr">
        <is>
          <t>-</t>
        </is>
      </c>
    </row>
    <row r="156">
      <c r="A156" s="33" t="inlineStr">
        <is>
          <t>RK-AGUA10-A</t>
        </is>
      </c>
      <c r="B156" s="33" t="inlineStr">
        <is>
          <t>FL_MAT_AGUA_10l</t>
        </is>
      </c>
      <c r="C156" s="33" t="inlineStr">
        <is>
          <t>Extintor Agua 10 l</t>
        </is>
      </c>
      <c r="D156" s="17" t="inlineStr">
        <is>
          <t>A - Extintor descargado</t>
        </is>
      </c>
      <c r="E156" s="17" t="inlineStr">
        <is>
          <t>Tarjeta de identificación DPS de revisión / recarga</t>
        </is>
      </c>
      <c r="F156" s="33" t="n">
        <v>1</v>
      </c>
      <c r="G156" s="33" t="inlineStr">
        <is>
          <t>u</t>
        </is>
      </c>
      <c r="H156" s="17" t="inlineStr">
        <is>
          <t>Nuevo (PBA)</t>
        </is>
      </c>
      <c r="I156" s="17" t="inlineStr">
        <is>
          <t>IRAM 3517-2:2020 Res. 349/07 art. 21</t>
        </is>
      </c>
      <c r="J156" s="33" t="inlineStr">
        <is>
          <t>Sí</t>
        </is>
      </c>
      <c r="K156" s="17" t="inlineStr">
        <is>
          <t>Ministerio de Ambiente PBA (ex OPDS)</t>
        </is>
      </c>
      <c r="L156" s="17" t="inlineStr">
        <is>
          <t>-</t>
        </is>
      </c>
    </row>
    <row r="157">
      <c r="A157" s="33" t="inlineStr">
        <is>
          <t>RK-AGUA10-A</t>
        </is>
      </c>
      <c r="B157" s="33" t="inlineStr">
        <is>
          <t>FL_MAT_AGUA_10l</t>
        </is>
      </c>
      <c r="C157" s="33" t="inlineStr">
        <is>
          <t>Extintor Agua 10 l</t>
        </is>
      </c>
      <c r="D157" s="17" t="inlineStr">
        <is>
          <t>A - Extintor descargado</t>
        </is>
      </c>
      <c r="E157" s="17" t="inlineStr">
        <is>
          <t>Grabado de la fecha del servicio en el tubo de pesca (lápiz vibratorio; en polvo, marcador indeleble)</t>
        </is>
      </c>
      <c r="F157" s="33" t="n">
        <v>1</v>
      </c>
      <c r="G157" s="33" t="inlineStr">
        <is>
          <t>u</t>
        </is>
      </c>
      <c r="H157" s="17" t="inlineStr">
        <is>
          <t>Proceso</t>
        </is>
      </c>
      <c r="I157" s="17" t="inlineStr">
        <is>
          <t>IRAM 3517-2:2020 Res. 349/07 art. 28</t>
        </is>
      </c>
      <c r="J157" s="33" t="inlineStr">
        <is>
          <t>No</t>
        </is>
      </c>
      <c r="K157" s="17" t="n"/>
      <c r="L157" s="17" t="n"/>
    </row>
    <row r="158">
      <c r="A158" s="33" t="inlineStr">
        <is>
          <t>RK-AGUA10-A</t>
        </is>
      </c>
      <c r="B158" s="33" t="inlineStr">
        <is>
          <t>FL_MAT_AGUA_10l</t>
        </is>
      </c>
      <c r="C158" s="33" t="inlineStr">
        <is>
          <t>Extintor Agua 10 l</t>
        </is>
      </c>
      <c r="D158" s="17" t="inlineStr">
        <is>
          <t>A - Extintor descargado</t>
        </is>
      </c>
      <c r="E158" s="17" t="inlineStr">
        <is>
          <t>Si hubo PH: oblea de vencimiento de PH + «PH» y fecha grabados en el tubo de pesca (CO₂: fecha y logo estampados en la ojiva)</t>
        </is>
      </c>
      <c r="F158" s="33" t="n">
        <v>1</v>
      </c>
      <c r="G158" s="33" t="inlineStr">
        <is>
          <t>u</t>
        </is>
      </c>
      <c r="H158" s="17" t="inlineStr">
        <is>
          <t>Proceso</t>
        </is>
      </c>
      <c r="I158" s="17" t="inlineStr">
        <is>
          <t>IRAM 3517-2:2020 Res. 349/07 art. 29 · IRAM 3517-2</t>
        </is>
      </c>
      <c r="J158" s="33" t="inlineStr">
        <is>
          <t>No</t>
        </is>
      </c>
      <c r="K158" s="17" t="n"/>
      <c r="L158" s="17" t="n"/>
    </row>
    <row r="159">
      <c r="A159" s="41" t="inlineStr">
        <is>
          <t>RK-AGUA10-A</t>
        </is>
      </c>
      <c r="B159" s="41" t="inlineStr">
        <is>
          <t>FL_MAT_AGUA_10l</t>
        </is>
      </c>
      <c r="C159" s="41" t="inlineStr">
        <is>
          <t>Extintor Agua 10 l</t>
        </is>
      </c>
      <c r="D159" s="18" t="inlineStr">
        <is>
          <t>A - Extintor descargado</t>
        </is>
      </c>
      <c r="E159" s="18" t="inlineStr">
        <is>
          <t>Junta tórica de asiento del cuello</t>
        </is>
      </c>
      <c r="F159" s="41" t="n">
        <v>1</v>
      </c>
      <c r="G159" s="41" t="inlineStr">
        <is>
          <t>u</t>
        </is>
      </c>
      <c r="H159" s="18" t="inlineStr">
        <is>
          <t>Nuevo (R: cambio sistemático)</t>
        </is>
      </c>
      <c r="I159" s="18" t="inlineStr"/>
      <c r="J159" s="41" t="inlineStr">
        <is>
          <t>Sí</t>
        </is>
      </c>
      <c r="K159" s="18" t="inlineStr">
        <is>
          <t>Argensold</t>
        </is>
      </c>
      <c r="L159" s="18" t="inlineStr">
        <is>
          <t>Matafuegos Iglesias</t>
        </is>
      </c>
    </row>
    <row r="160">
      <c r="A160" s="33" t="inlineStr">
        <is>
          <t>RK-AGUA10-A</t>
        </is>
      </c>
      <c r="B160" s="33" t="inlineStr">
        <is>
          <t>FL_MAT_AGUA_10l</t>
        </is>
      </c>
      <c r="C160" s="33" t="inlineStr">
        <is>
          <t>Extintor Agua 10 l</t>
        </is>
      </c>
      <c r="D160" s="17" t="inlineStr">
        <is>
          <t>A - Extintor descargado</t>
        </is>
      </c>
      <c r="E160" s="17" t="inlineStr">
        <is>
          <t>Gas impulsor Aire comprimido</t>
        </is>
      </c>
      <c r="F160" s="33" t="n">
        <v>0.0427</v>
      </c>
      <c r="G160" s="33" t="inlineStr">
        <is>
          <t>kg</t>
        </is>
      </c>
      <c r="H160" s="17" t="inlineStr">
        <is>
          <t>Nuevo</t>
        </is>
      </c>
      <c r="I160" s="17" t="inlineStr">
        <is>
          <t>IRAM 3517-2:2020 9.4.9 tabla 2</t>
        </is>
      </c>
      <c r="J160" s="33" t="inlineStr">
        <is>
          <t>No</t>
        </is>
      </c>
      <c r="K160" s="17" t="n"/>
      <c r="L160" s="17" t="n"/>
    </row>
    <row r="161">
      <c r="A161" s="41" t="inlineStr">
        <is>
          <t>RK-AGUA10-B</t>
        </is>
      </c>
      <c r="B161" s="41" t="inlineStr">
        <is>
          <t>FL_MAT_AGUA_10l</t>
        </is>
      </c>
      <c r="C161" s="41" t="inlineStr">
        <is>
          <t>Extintor Agua 10 l</t>
        </is>
      </c>
      <c r="D161" s="18" t="inlineStr">
        <is>
          <t>B - Mantenimiento (PH cada 2 años en inoxidables y AFFF)</t>
        </is>
      </c>
      <c r="E161" s="18" t="inlineStr">
        <is>
          <t>Agua</t>
        </is>
      </c>
      <c r="F161" s="41" t="n">
        <v>10</v>
      </c>
      <c r="G161" s="41" t="inlineStr">
        <is>
          <t>L</t>
        </is>
      </c>
      <c r="H161" s="18" t="inlineStr">
        <is>
          <t>Nuevo (R: la carga líquida no se recupera; confirmar vida útil del concentrado con el fabricante)</t>
        </is>
      </c>
      <c r="I161" s="18" t="inlineStr">
        <is>
          <t>IRAM 3517-2:2020 9.9</t>
        </is>
      </c>
      <c r="J161" s="41" t="inlineStr">
        <is>
          <t>No</t>
        </is>
      </c>
      <c r="K161" s="18" t="n"/>
      <c r="L161" s="18" t="n"/>
    </row>
    <row r="162">
      <c r="A162" s="33" t="inlineStr">
        <is>
          <t>RK-AGUA10-B</t>
        </is>
      </c>
      <c r="B162" s="33" t="inlineStr">
        <is>
          <t>FL_MAT_AGUA_10l</t>
        </is>
      </c>
      <c r="C162" s="33" t="inlineStr">
        <is>
          <t>Extintor Agua 10 l</t>
        </is>
      </c>
      <c r="D162" s="17" t="inlineStr">
        <is>
          <t>B - Mantenimiento (PH cada 2 años en inoxidables y AFFF)</t>
        </is>
      </c>
      <c r="E162" s="17" t="inlineStr">
        <is>
          <t>Precinto plástico numerado, color, con nombre del recargador</t>
        </is>
      </c>
      <c r="F162" s="33" t="n">
        <v>1</v>
      </c>
      <c r="G162" s="33" t="inlineStr">
        <is>
          <t>u</t>
        </is>
      </c>
      <c r="H162" s="17" t="inlineStr">
        <is>
          <t>Nuevo</t>
        </is>
      </c>
      <c r="I162" s="17" t="inlineStr">
        <is>
          <t>IRAM 3517-2:2020 9.4.13</t>
        </is>
      </c>
      <c r="J162" s="33" t="inlineStr">
        <is>
          <t>Sí</t>
        </is>
      </c>
      <c r="K162" s="17" t="inlineStr">
        <is>
          <t>SonFuertes (vía Papelera Damián)</t>
        </is>
      </c>
      <c r="L162" s="17" t="inlineStr">
        <is>
          <t>Precinter S.R.L.</t>
        </is>
      </c>
    </row>
    <row r="163">
      <c r="A163" s="33" t="inlineStr">
        <is>
          <t>RK-AGUA10-B</t>
        </is>
      </c>
      <c r="B163" s="33" t="inlineStr">
        <is>
          <t>FL_MAT_AGUA_10l</t>
        </is>
      </c>
      <c r="C163" s="33" t="inlineStr">
        <is>
          <t>Extintor Agua 10 l</t>
        </is>
      </c>
      <c r="D163" s="17" t="inlineStr">
        <is>
          <t>B - Mantenimiento (PH cada 2 años en inoxidables y AFFF)</t>
        </is>
      </c>
      <c r="E163" s="17" t="inlineStr">
        <is>
          <t>Marbete (anillo, color del año)</t>
        </is>
      </c>
      <c r="F163" s="33" t="n">
        <v>1</v>
      </c>
      <c r="G163" s="33" t="inlineStr">
        <is>
          <t>u</t>
        </is>
      </c>
      <c r="H163" s="17" t="inlineStr">
        <is>
          <t>Nuevo</t>
        </is>
      </c>
      <c r="I163" s="17" t="inlineStr">
        <is>
          <t>IRAM 3517-2:2020 9.4.14 · fig. 9 · tabla 4</t>
        </is>
      </c>
      <c r="J163" s="33" t="inlineStr">
        <is>
          <t>Sí</t>
        </is>
      </c>
      <c r="K163" s="17" t="inlineStr">
        <is>
          <t>Astuprint</t>
        </is>
      </c>
      <c r="L163" s="17" t="inlineStr">
        <is>
          <t>Multilabel Argentina S.A.</t>
        </is>
      </c>
    </row>
    <row r="164">
      <c r="A164" s="33" t="inlineStr">
        <is>
          <t>RK-AGUA10-B</t>
        </is>
      </c>
      <c r="B164" s="33" t="inlineStr">
        <is>
          <t>FL_MAT_AGUA_10l</t>
        </is>
      </c>
      <c r="C164" s="33" t="inlineStr">
        <is>
          <t>Extintor Agua 10 l</t>
        </is>
      </c>
      <c r="D164" s="17" t="inlineStr">
        <is>
          <t>B - Mantenimiento (PH cada 2 años en inoxidables y AFFF)</t>
        </is>
      </c>
      <c r="E164" s="17" t="inlineStr">
        <is>
          <t>Etiqueta de servicio del recargador (extintor n°, serie, próxima recarga y PH)</t>
        </is>
      </c>
      <c r="F164" s="33" t="n">
        <v>1</v>
      </c>
      <c r="G164" s="33" t="inlineStr">
        <is>
          <t>u</t>
        </is>
      </c>
      <c r="H164" s="17" t="inlineStr">
        <is>
          <t>Nuevo</t>
        </is>
      </c>
      <c r="I164" s="17" t="inlineStr">
        <is>
          <t>IRAM 3517-2:2020 8.3.3 · relevado Suyai/Firegram</t>
        </is>
      </c>
      <c r="J164" s="33" t="inlineStr">
        <is>
          <t>Sí</t>
        </is>
      </c>
      <c r="K164" s="17" t="inlineStr">
        <is>
          <t>Astuprint</t>
        </is>
      </c>
      <c r="L164" s="17" t="inlineStr">
        <is>
          <t>Multilabel Argentina S.A.</t>
        </is>
      </c>
    </row>
    <row r="165">
      <c r="A165" s="33" t="inlineStr">
        <is>
          <t>RK-AGUA10-B</t>
        </is>
      </c>
      <c r="B165" s="33" t="inlineStr">
        <is>
          <t>FL_MAT_AGUA_10l</t>
        </is>
      </c>
      <c r="C165" s="33" t="inlineStr">
        <is>
          <t>Extintor Agua 10 l</t>
        </is>
      </c>
      <c r="D165" s="17" t="inlineStr">
        <is>
          <t>B - Mantenimiento (PH cada 2 años en inoxidables y AFFF)</t>
        </is>
      </c>
      <c r="E165" s="17" t="inlineStr">
        <is>
          <t>Oblea PBA de recarga Ø46 + estampilla precinto 1" × 200 mm válvula-cuerpo</t>
        </is>
      </c>
      <c r="F165" s="33" t="n">
        <v>1</v>
      </c>
      <c r="G165" s="33" t="inlineStr">
        <is>
          <t>u</t>
        </is>
      </c>
      <c r="H165" s="17" t="inlineStr">
        <is>
          <t>Nuevo (venta en PBA)</t>
        </is>
      </c>
      <c r="I165" s="17" t="inlineStr">
        <is>
          <t>IRAM 3517-2:2020 Res. OPDS 522/07</t>
        </is>
      </c>
      <c r="J165" s="33" t="inlineStr">
        <is>
          <t>Sí</t>
        </is>
      </c>
      <c r="K165" s="17" t="inlineStr">
        <is>
          <t>Ministerio de Ambiente PBA (ex OPDS)</t>
        </is>
      </c>
      <c r="L165" s="17" t="inlineStr">
        <is>
          <t>-</t>
        </is>
      </c>
    </row>
    <row r="166">
      <c r="A166" s="33" t="inlineStr">
        <is>
          <t>RK-AGUA10-B</t>
        </is>
      </c>
      <c r="B166" s="33" t="inlineStr">
        <is>
          <t>FL_MAT_AGUA_10l</t>
        </is>
      </c>
      <c r="C166" s="33" t="inlineStr">
        <is>
          <t>Extintor Agua 10 l</t>
        </is>
      </c>
      <c r="D166" s="17" t="inlineStr">
        <is>
          <t>B - Mantenimiento (PH cada 2 años en inoxidables y AFFF)</t>
        </is>
      </c>
      <c r="E166" s="17" t="inlineStr">
        <is>
          <t>Tarjeta de identificación AGC (módulo papel con QR + etiqueta AGC)</t>
        </is>
      </c>
      <c r="F166" s="33" t="n">
        <v>1</v>
      </c>
      <c r="G166" s="33" t="inlineStr">
        <is>
          <t>u</t>
        </is>
      </c>
      <c r="H166" s="17" t="inlineStr">
        <is>
          <t>Nuevo (destino CABA)</t>
        </is>
      </c>
      <c r="I166" s="17" t="inlineStr">
        <is>
          <t>IRAM 3517-2:2020 Ord. 40.473 art. 6 · Res. AGC 32/15</t>
        </is>
      </c>
      <c r="J166" s="33" t="inlineStr">
        <is>
          <t>Sí</t>
        </is>
      </c>
      <c r="K166" s="17" t="inlineStr">
        <is>
          <t>Agencia Gubernamental de Control (CABA)</t>
        </is>
      </c>
      <c r="L166" s="17" t="inlineStr">
        <is>
          <t>-</t>
        </is>
      </c>
    </row>
    <row r="167">
      <c r="A167" s="33" t="inlineStr">
        <is>
          <t>RK-AGUA10-B</t>
        </is>
      </c>
      <c r="B167" s="33" t="inlineStr">
        <is>
          <t>FL_MAT_AGUA_10l</t>
        </is>
      </c>
      <c r="C167" s="33" t="inlineStr">
        <is>
          <t>Extintor Agua 10 l</t>
        </is>
      </c>
      <c r="D167" s="17" t="inlineStr">
        <is>
          <t>B - Mantenimiento (PH cada 2 años en inoxidables y AFFF)</t>
        </is>
      </c>
      <c r="E167" s="17" t="inlineStr">
        <is>
          <t>Tarjeta de identificación DPS de revisión / recarga</t>
        </is>
      </c>
      <c r="F167" s="33" t="n">
        <v>1</v>
      </c>
      <c r="G167" s="33" t="inlineStr">
        <is>
          <t>u</t>
        </is>
      </c>
      <c r="H167" s="17" t="inlineStr">
        <is>
          <t>Nuevo (PBA)</t>
        </is>
      </c>
      <c r="I167" s="17" t="inlineStr">
        <is>
          <t>IRAM 3517-2:2020 Res. 349/07 art. 21</t>
        </is>
      </c>
      <c r="J167" s="33" t="inlineStr">
        <is>
          <t>Sí</t>
        </is>
      </c>
      <c r="K167" s="17" t="inlineStr">
        <is>
          <t>Ministerio de Ambiente PBA (ex OPDS)</t>
        </is>
      </c>
      <c r="L167" s="17" t="inlineStr">
        <is>
          <t>-</t>
        </is>
      </c>
    </row>
    <row r="168">
      <c r="A168" s="33" t="inlineStr">
        <is>
          <t>RK-AGUA10-B</t>
        </is>
      </c>
      <c r="B168" s="33" t="inlineStr">
        <is>
          <t>FL_MAT_AGUA_10l</t>
        </is>
      </c>
      <c r="C168" s="33" t="inlineStr">
        <is>
          <t>Extintor Agua 10 l</t>
        </is>
      </c>
      <c r="D168" s="17" t="inlineStr">
        <is>
          <t>B - Mantenimiento (PH cada 2 años en inoxidables y AFFF)</t>
        </is>
      </c>
      <c r="E168" s="17" t="inlineStr">
        <is>
          <t>Grabado de la fecha del servicio en el tubo de pesca (lápiz vibratorio; en polvo, marcador indeleble)</t>
        </is>
      </c>
      <c r="F168" s="33" t="n">
        <v>1</v>
      </c>
      <c r="G168" s="33" t="inlineStr">
        <is>
          <t>u</t>
        </is>
      </c>
      <c r="H168" s="17" t="inlineStr">
        <is>
          <t>Proceso</t>
        </is>
      </c>
      <c r="I168" s="17" t="inlineStr">
        <is>
          <t>IRAM 3517-2:2020 Res. 349/07 art. 28</t>
        </is>
      </c>
      <c r="J168" s="33" t="inlineStr">
        <is>
          <t>No</t>
        </is>
      </c>
      <c r="K168" s="17" t="n"/>
      <c r="L168" s="17" t="n"/>
    </row>
    <row r="169">
      <c r="A169" s="33" t="inlineStr">
        <is>
          <t>RK-AGUA10-B</t>
        </is>
      </c>
      <c r="B169" s="33" t="inlineStr">
        <is>
          <t>FL_MAT_AGUA_10l</t>
        </is>
      </c>
      <c r="C169" s="33"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3" t="n">
        <v>1</v>
      </c>
      <c r="G169" s="33" t="inlineStr">
        <is>
          <t>u</t>
        </is>
      </c>
      <c r="H169" s="17" t="inlineStr">
        <is>
          <t>Proceso</t>
        </is>
      </c>
      <c r="I169" s="17" t="inlineStr">
        <is>
          <t>IRAM 3517-2:2020 Res. 349/07 art. 29 · IRAM 3517-2</t>
        </is>
      </c>
      <c r="J169" s="33" t="inlineStr">
        <is>
          <t>No</t>
        </is>
      </c>
      <c r="K169" s="17" t="n"/>
      <c r="L169" s="17" t="n"/>
    </row>
    <row r="170">
      <c r="A170" s="41" t="inlineStr">
        <is>
          <t>RK-AGUA10-B</t>
        </is>
      </c>
      <c r="B170" s="41" t="inlineStr">
        <is>
          <t>FL_MAT_AGUA_10l</t>
        </is>
      </c>
      <c r="C170" s="41" t="inlineStr">
        <is>
          <t>Extintor Agua 10 l</t>
        </is>
      </c>
      <c r="D170" s="18" t="inlineStr">
        <is>
          <t>B - Mantenimiento (PH cada 2 años en inoxidables y AFFF)</t>
        </is>
      </c>
      <c r="E170" s="18" t="inlineStr">
        <is>
          <t>Junta tórica de asiento del cuello</t>
        </is>
      </c>
      <c r="F170" s="41" t="n">
        <v>1</v>
      </c>
      <c r="G170" s="41" t="inlineStr">
        <is>
          <t>u</t>
        </is>
      </c>
      <c r="H170" s="18" t="inlineStr">
        <is>
          <t>Nuevo (R: cambio sistemático)</t>
        </is>
      </c>
      <c r="I170" s="18" t="inlineStr"/>
      <c r="J170" s="41" t="inlineStr">
        <is>
          <t>Sí</t>
        </is>
      </c>
      <c r="K170" s="18" t="inlineStr">
        <is>
          <t>Argensold</t>
        </is>
      </c>
      <c r="L170" s="18" t="inlineStr">
        <is>
          <t>Matafuegos Iglesias</t>
        </is>
      </c>
    </row>
    <row r="171">
      <c r="A171" s="33" t="inlineStr">
        <is>
          <t>RK-AGUA10-B</t>
        </is>
      </c>
      <c r="B171" s="33" t="inlineStr">
        <is>
          <t>FL_MAT_AGUA_10l</t>
        </is>
      </c>
      <c r="C171" s="33" t="inlineStr">
        <is>
          <t>Extintor Agua 10 l</t>
        </is>
      </c>
      <c r="D171" s="17" t="inlineStr">
        <is>
          <t>B - Mantenimiento (PH cada 2 años en inoxidables y AFFF)</t>
        </is>
      </c>
      <c r="E171" s="17" t="inlineStr">
        <is>
          <t>Gas impulsor Aire comprimido</t>
        </is>
      </c>
      <c r="F171" s="33" t="n">
        <v>0.0427</v>
      </c>
      <c r="G171" s="33" t="inlineStr">
        <is>
          <t>kg</t>
        </is>
      </c>
      <c r="H171" s="17" t="inlineStr">
        <is>
          <t>Nuevo</t>
        </is>
      </c>
      <c r="I171" s="17" t="inlineStr">
        <is>
          <t>IRAM 3517-2:2020 9.4.9 tabla 2</t>
        </is>
      </c>
      <c r="J171" s="33" t="inlineStr">
        <is>
          <t>No</t>
        </is>
      </c>
      <c r="K171" s="17" t="n"/>
      <c r="L171" s="17" t="n"/>
    </row>
    <row r="172">
      <c r="A172" s="33" t="inlineStr">
        <is>
          <t>RK-AGUA10-I</t>
        </is>
      </c>
      <c r="B172" s="33" t="inlineStr">
        <is>
          <t>FL_MAT_AGUA_10l</t>
        </is>
      </c>
      <c r="C172" s="33" t="inlineStr">
        <is>
          <t>Extintor Agua 10 l</t>
        </is>
      </c>
      <c r="D172" s="17" t="inlineStr">
        <is>
          <t>Según inspección (consumo estadístico a definir)</t>
        </is>
      </c>
      <c r="E172" s="17" t="inlineStr">
        <is>
          <t>Manómetro / manguera / tobera / kit de válvula</t>
        </is>
      </c>
      <c r="F172" s="33" t="inlineStr">
        <is>
          <t>-</t>
        </is>
      </c>
      <c r="G172" s="33" t="inlineStr">
        <is>
          <t>u</t>
        </is>
      </c>
      <c r="H172" s="17" t="inlineStr">
        <is>
          <t>Recambio sólo si falla</t>
        </is>
      </c>
      <c r="I172" s="17" t="inlineStr">
        <is>
          <t>IRAM 3517-2:2020 9.4.11 (cada manguera vuelve a su extintor)</t>
        </is>
      </c>
      <c r="J172" s="33" t="inlineStr">
        <is>
          <t>Sí</t>
        </is>
      </c>
      <c r="K172" s="17" t="inlineStr">
        <is>
          <t>Polvex S.R.L. / Sancibrao</t>
        </is>
      </c>
      <c r="L172" s="17" t="inlineStr">
        <is>
          <t>Yukon / MatafuegosYa S.R.L.</t>
        </is>
      </c>
    </row>
    <row r="173">
      <c r="A173" s="33" t="inlineStr">
        <is>
          <t>RK-AFFF10-A</t>
        </is>
      </c>
      <c r="B173" s="33" t="inlineStr">
        <is>
          <t>FL_MAT_AFFF_10l</t>
        </is>
      </c>
      <c r="C173" s="33" t="inlineStr">
        <is>
          <t>Extintor AFFF 10 l</t>
        </is>
      </c>
      <c r="D173" s="17" t="inlineStr">
        <is>
          <t>A - Extintor descargado</t>
        </is>
      </c>
      <c r="E173" s="17" t="inlineStr">
        <is>
          <t>Agua + espumígeno AFFF 3 % (DEMSA 203 MN, IRAM 3515)</t>
        </is>
      </c>
      <c r="F173" s="33" t="n">
        <v>10</v>
      </c>
      <c r="G173" s="33" t="inlineStr">
        <is>
          <t>L</t>
        </is>
      </c>
      <c r="H173" s="17" t="inlineStr">
        <is>
          <t>Nuevo</t>
        </is>
      </c>
      <c r="I173" s="17" t="inlineStr">
        <is>
          <t>IRAM 3517-2:2020 9.9 tabla 6</t>
        </is>
      </c>
      <c r="J173" s="33" t="inlineStr">
        <is>
          <t>Sí</t>
        </is>
      </c>
      <c r="K173" s="17" t="inlineStr">
        <is>
          <t>DEM S.A. (DEMSA)</t>
        </is>
      </c>
      <c r="L173" s="17" t="inlineStr">
        <is>
          <t>Polvex S.R.L. / Sancibrao</t>
        </is>
      </c>
    </row>
    <row r="174">
      <c r="A174" s="33" t="inlineStr">
        <is>
          <t>RK-AFFF10-A</t>
        </is>
      </c>
      <c r="B174" s="33" t="inlineStr">
        <is>
          <t>FL_MAT_AFFF_10l</t>
        </is>
      </c>
      <c r="C174" s="33" t="inlineStr">
        <is>
          <t>Extintor AFFF 10 l</t>
        </is>
      </c>
      <c r="D174" s="17" t="inlineStr">
        <is>
          <t>A - Extintor descargado</t>
        </is>
      </c>
      <c r="E174" s="17" t="inlineStr">
        <is>
          <t>Precinto plástico numerado, color, con nombre del recargador</t>
        </is>
      </c>
      <c r="F174" s="33" t="n">
        <v>1</v>
      </c>
      <c r="G174" s="33" t="inlineStr">
        <is>
          <t>u</t>
        </is>
      </c>
      <c r="H174" s="17" t="inlineStr">
        <is>
          <t>Nuevo</t>
        </is>
      </c>
      <c r="I174" s="17" t="inlineStr">
        <is>
          <t>IRAM 3517-2:2020 9.4.13</t>
        </is>
      </c>
      <c r="J174" s="33" t="inlineStr">
        <is>
          <t>Sí</t>
        </is>
      </c>
      <c r="K174" s="17" t="inlineStr">
        <is>
          <t>SonFuertes (vía Papelera Damián)</t>
        </is>
      </c>
      <c r="L174" s="17" t="inlineStr">
        <is>
          <t>Precinter S.R.L.</t>
        </is>
      </c>
    </row>
    <row r="175">
      <c r="A175" s="33" t="inlineStr">
        <is>
          <t>RK-AFFF10-A</t>
        </is>
      </c>
      <c r="B175" s="33" t="inlineStr">
        <is>
          <t>FL_MAT_AFFF_10l</t>
        </is>
      </c>
      <c r="C175" s="33" t="inlineStr">
        <is>
          <t>Extintor AFFF 10 l</t>
        </is>
      </c>
      <c r="D175" s="17" t="inlineStr">
        <is>
          <t>A - Extintor descargado</t>
        </is>
      </c>
      <c r="E175" s="17" t="inlineStr">
        <is>
          <t>Marbete (anillo, color del año)</t>
        </is>
      </c>
      <c r="F175" s="33" t="n">
        <v>1</v>
      </c>
      <c r="G175" s="33" t="inlineStr">
        <is>
          <t>u</t>
        </is>
      </c>
      <c r="H175" s="17" t="inlineStr">
        <is>
          <t>Nuevo</t>
        </is>
      </c>
      <c r="I175" s="17" t="inlineStr">
        <is>
          <t>IRAM 3517-2:2020 9.4.14 · fig. 9 · tabla 4</t>
        </is>
      </c>
      <c r="J175" s="33" t="inlineStr">
        <is>
          <t>Sí</t>
        </is>
      </c>
      <c r="K175" s="17" t="inlineStr">
        <is>
          <t>Astuprint</t>
        </is>
      </c>
      <c r="L175" s="17" t="inlineStr">
        <is>
          <t>Multilabel Argentina S.A.</t>
        </is>
      </c>
    </row>
    <row r="176">
      <c r="A176" s="33" t="inlineStr">
        <is>
          <t>RK-AFFF10-A</t>
        </is>
      </c>
      <c r="B176" s="33" t="inlineStr">
        <is>
          <t>FL_MAT_AFFF_10l</t>
        </is>
      </c>
      <c r="C176" s="33" t="inlineStr">
        <is>
          <t>Extintor AFFF 10 l</t>
        </is>
      </c>
      <c r="D176" s="17" t="inlineStr">
        <is>
          <t>A - Extintor descargado</t>
        </is>
      </c>
      <c r="E176" s="17" t="inlineStr">
        <is>
          <t>Etiqueta de servicio del recargador (extintor n°, serie, próxima recarga y PH)</t>
        </is>
      </c>
      <c r="F176" s="33" t="n">
        <v>1</v>
      </c>
      <c r="G176" s="33" t="inlineStr">
        <is>
          <t>u</t>
        </is>
      </c>
      <c r="H176" s="17" t="inlineStr">
        <is>
          <t>Nuevo</t>
        </is>
      </c>
      <c r="I176" s="17" t="inlineStr">
        <is>
          <t>IRAM 3517-2:2020 8.3.3 · relevado Suyai/Firegram</t>
        </is>
      </c>
      <c r="J176" s="33" t="inlineStr">
        <is>
          <t>Sí</t>
        </is>
      </c>
      <c r="K176" s="17" t="inlineStr">
        <is>
          <t>Astuprint</t>
        </is>
      </c>
      <c r="L176" s="17" t="inlineStr">
        <is>
          <t>Multilabel Argentina S.A.</t>
        </is>
      </c>
    </row>
    <row r="177">
      <c r="A177" s="33" t="inlineStr">
        <is>
          <t>RK-AFFF10-A</t>
        </is>
      </c>
      <c r="B177" s="33" t="inlineStr">
        <is>
          <t>FL_MAT_AFFF_10l</t>
        </is>
      </c>
      <c r="C177" s="33" t="inlineStr">
        <is>
          <t>Extintor AFFF 10 l</t>
        </is>
      </c>
      <c r="D177" s="17" t="inlineStr">
        <is>
          <t>A - Extintor descargado</t>
        </is>
      </c>
      <c r="E177" s="17" t="inlineStr">
        <is>
          <t>Oblea PBA de recarga Ø46 + estampilla precinto 1" × 200 mm válvula-cuerpo</t>
        </is>
      </c>
      <c r="F177" s="33" t="n">
        <v>1</v>
      </c>
      <c r="G177" s="33" t="inlineStr">
        <is>
          <t>u</t>
        </is>
      </c>
      <c r="H177" s="17" t="inlineStr">
        <is>
          <t>Nuevo (venta en PBA)</t>
        </is>
      </c>
      <c r="I177" s="17" t="inlineStr">
        <is>
          <t>IRAM 3517-2:2020 Res. OPDS 522/07</t>
        </is>
      </c>
      <c r="J177" s="33" t="inlineStr">
        <is>
          <t>Sí</t>
        </is>
      </c>
      <c r="K177" s="17" t="inlineStr">
        <is>
          <t>Ministerio de Ambiente PBA (ex OPDS)</t>
        </is>
      </c>
      <c r="L177" s="17" t="inlineStr">
        <is>
          <t>-</t>
        </is>
      </c>
    </row>
    <row r="178">
      <c r="A178" s="33" t="inlineStr">
        <is>
          <t>RK-AFFF10-A</t>
        </is>
      </c>
      <c r="B178" s="33" t="inlineStr">
        <is>
          <t>FL_MAT_AFFF_10l</t>
        </is>
      </c>
      <c r="C178" s="33" t="inlineStr">
        <is>
          <t>Extintor AFFF 10 l</t>
        </is>
      </c>
      <c r="D178" s="17" t="inlineStr">
        <is>
          <t>A - Extintor descargado</t>
        </is>
      </c>
      <c r="E178" s="17" t="inlineStr">
        <is>
          <t>Tarjeta de identificación AGC (módulo papel con QR + etiqueta AGC)</t>
        </is>
      </c>
      <c r="F178" s="33" t="n">
        <v>1</v>
      </c>
      <c r="G178" s="33" t="inlineStr">
        <is>
          <t>u</t>
        </is>
      </c>
      <c r="H178" s="17" t="inlineStr">
        <is>
          <t>Nuevo (destino CABA)</t>
        </is>
      </c>
      <c r="I178" s="17" t="inlineStr">
        <is>
          <t>IRAM 3517-2:2020 Ord. 40.473 art. 6 · Res. AGC 32/15</t>
        </is>
      </c>
      <c r="J178" s="33" t="inlineStr">
        <is>
          <t>Sí</t>
        </is>
      </c>
      <c r="K178" s="17" t="inlineStr">
        <is>
          <t>Agencia Gubernamental de Control (CABA)</t>
        </is>
      </c>
      <c r="L178" s="17" t="inlineStr">
        <is>
          <t>-</t>
        </is>
      </c>
    </row>
    <row r="179">
      <c r="A179" s="33" t="inlineStr">
        <is>
          <t>RK-AFFF10-A</t>
        </is>
      </c>
      <c r="B179" s="33" t="inlineStr">
        <is>
          <t>FL_MAT_AFFF_10l</t>
        </is>
      </c>
      <c r="C179" s="33" t="inlineStr">
        <is>
          <t>Extintor AFFF 10 l</t>
        </is>
      </c>
      <c r="D179" s="17" t="inlineStr">
        <is>
          <t>A - Extintor descargado</t>
        </is>
      </c>
      <c r="E179" s="17" t="inlineStr">
        <is>
          <t>Tarjeta de identificación DPS de revisión / recarga</t>
        </is>
      </c>
      <c r="F179" s="33" t="n">
        <v>1</v>
      </c>
      <c r="G179" s="33" t="inlineStr">
        <is>
          <t>u</t>
        </is>
      </c>
      <c r="H179" s="17" t="inlineStr">
        <is>
          <t>Nuevo (PBA)</t>
        </is>
      </c>
      <c r="I179" s="17" t="inlineStr">
        <is>
          <t>IRAM 3517-2:2020 Res. 349/07 art. 21</t>
        </is>
      </c>
      <c r="J179" s="33" t="inlineStr">
        <is>
          <t>Sí</t>
        </is>
      </c>
      <c r="K179" s="17" t="inlineStr">
        <is>
          <t>Ministerio de Ambiente PBA (ex OPDS)</t>
        </is>
      </c>
      <c r="L179" s="17" t="inlineStr">
        <is>
          <t>-</t>
        </is>
      </c>
    </row>
    <row r="180">
      <c r="A180" s="33" t="inlineStr">
        <is>
          <t>RK-AFFF10-A</t>
        </is>
      </c>
      <c r="B180" s="33" t="inlineStr">
        <is>
          <t>FL_MAT_AFFF_10l</t>
        </is>
      </c>
      <c r="C180" s="33" t="inlineStr">
        <is>
          <t>Extintor AFFF 10 l</t>
        </is>
      </c>
      <c r="D180" s="17" t="inlineStr">
        <is>
          <t>A - Extintor descargado</t>
        </is>
      </c>
      <c r="E180" s="17" t="inlineStr">
        <is>
          <t>Grabado de la fecha del servicio en el tubo de pesca (lápiz vibratorio; en polvo, marcador indeleble)</t>
        </is>
      </c>
      <c r="F180" s="33" t="n">
        <v>1</v>
      </c>
      <c r="G180" s="33" t="inlineStr">
        <is>
          <t>u</t>
        </is>
      </c>
      <c r="H180" s="17" t="inlineStr">
        <is>
          <t>Proceso</t>
        </is>
      </c>
      <c r="I180" s="17" t="inlineStr">
        <is>
          <t>IRAM 3517-2:2020 Res. 349/07 art. 28</t>
        </is>
      </c>
      <c r="J180" s="33" t="inlineStr">
        <is>
          <t>No</t>
        </is>
      </c>
      <c r="K180" s="17" t="n"/>
      <c r="L180" s="17" t="n"/>
    </row>
    <row r="181">
      <c r="A181" s="33" t="inlineStr">
        <is>
          <t>RK-AFFF10-A</t>
        </is>
      </c>
      <c r="B181" s="33" t="inlineStr">
        <is>
          <t>FL_MAT_AFFF_10l</t>
        </is>
      </c>
      <c r="C181" s="33" t="inlineStr">
        <is>
          <t>Extintor AFFF 10 l</t>
        </is>
      </c>
      <c r="D181" s="17" t="inlineStr">
        <is>
          <t>A - Extintor descargado</t>
        </is>
      </c>
      <c r="E181" s="17" t="inlineStr">
        <is>
          <t>Si hubo PH: oblea de vencimiento de PH + «PH» y fecha grabados en el tubo de pesca (CO₂: fecha y logo estampados en la ojiva)</t>
        </is>
      </c>
      <c r="F181" s="33" t="n">
        <v>1</v>
      </c>
      <c r="G181" s="33" t="inlineStr">
        <is>
          <t>u</t>
        </is>
      </c>
      <c r="H181" s="17" t="inlineStr">
        <is>
          <t>Proceso</t>
        </is>
      </c>
      <c r="I181" s="17" t="inlineStr">
        <is>
          <t>IRAM 3517-2:2020 Res. 349/07 art. 29 · IRAM 3517-2</t>
        </is>
      </c>
      <c r="J181" s="33" t="inlineStr">
        <is>
          <t>No</t>
        </is>
      </c>
      <c r="K181" s="17" t="n"/>
      <c r="L181" s="17" t="n"/>
    </row>
    <row r="182">
      <c r="A182" s="41" t="inlineStr">
        <is>
          <t>RK-AFFF10-A</t>
        </is>
      </c>
      <c r="B182" s="41" t="inlineStr">
        <is>
          <t>FL_MAT_AFFF_10l</t>
        </is>
      </c>
      <c r="C182" s="41" t="inlineStr">
        <is>
          <t>Extintor AFFF 10 l</t>
        </is>
      </c>
      <c r="D182" s="18" t="inlineStr">
        <is>
          <t>A - Extintor descargado</t>
        </is>
      </c>
      <c r="E182" s="18" t="inlineStr">
        <is>
          <t>Junta tórica de asiento del cuello</t>
        </is>
      </c>
      <c r="F182" s="41" t="n">
        <v>1</v>
      </c>
      <c r="G182" s="41" t="inlineStr">
        <is>
          <t>u</t>
        </is>
      </c>
      <c r="H182" s="18" t="inlineStr">
        <is>
          <t>Nuevo (R: cambio sistemático)</t>
        </is>
      </c>
      <c r="I182" s="18" t="inlineStr"/>
      <c r="J182" s="41" t="inlineStr">
        <is>
          <t>Sí</t>
        </is>
      </c>
      <c r="K182" s="18" t="inlineStr">
        <is>
          <t>Argensold</t>
        </is>
      </c>
      <c r="L182" s="18" t="inlineStr">
        <is>
          <t>Matafuegos Iglesias</t>
        </is>
      </c>
    </row>
    <row r="183">
      <c r="A183" s="33" t="inlineStr">
        <is>
          <t>RK-AFFF10-A</t>
        </is>
      </c>
      <c r="B183" s="33" t="inlineStr">
        <is>
          <t>FL_MAT_AFFF_10l</t>
        </is>
      </c>
      <c r="C183" s="33" t="inlineStr">
        <is>
          <t>Extintor AFFF 10 l</t>
        </is>
      </c>
      <c r="D183" s="17" t="inlineStr">
        <is>
          <t>A - Extintor descargado</t>
        </is>
      </c>
      <c r="E183" s="17" t="inlineStr">
        <is>
          <t>Gas impulsor Aire comprimido</t>
        </is>
      </c>
      <c r="F183" s="33" t="n">
        <v>0.0427</v>
      </c>
      <c r="G183" s="33" t="inlineStr">
        <is>
          <t>kg</t>
        </is>
      </c>
      <c r="H183" s="17" t="inlineStr">
        <is>
          <t>Nuevo</t>
        </is>
      </c>
      <c r="I183" s="17" t="inlineStr">
        <is>
          <t>IRAM 3517-2:2020 9.4.9 tabla 2</t>
        </is>
      </c>
      <c r="J183" s="33" t="inlineStr">
        <is>
          <t>No</t>
        </is>
      </c>
      <c r="K183" s="17" t="n"/>
      <c r="L183" s="17" t="n"/>
    </row>
    <row r="184">
      <c r="A184" s="41" t="inlineStr">
        <is>
          <t>RK-AFFF10-B</t>
        </is>
      </c>
      <c r="B184" s="41" t="inlineStr">
        <is>
          <t>FL_MAT_AFFF_10l</t>
        </is>
      </c>
      <c r="C184" s="41" t="inlineStr">
        <is>
          <t>Extintor AFFF 10 l</t>
        </is>
      </c>
      <c r="D184" s="18" t="inlineStr">
        <is>
          <t>B - Mantenimiento (PH cada 2 años en inoxidables y AFFF)</t>
        </is>
      </c>
      <c r="E184" s="18" t="inlineStr">
        <is>
          <t>Agua + espumígeno AFFF 3 % (DEMSA 203 MN, IRAM 3515)</t>
        </is>
      </c>
      <c r="F184" s="41" t="n">
        <v>10</v>
      </c>
      <c r="G184" s="41" t="inlineStr">
        <is>
          <t>L</t>
        </is>
      </c>
      <c r="H184" s="18" t="inlineStr">
        <is>
          <t>Nuevo (R: la carga líquida no se recupera; confirmar vida útil del concentrado con el fabricante)</t>
        </is>
      </c>
      <c r="I184" s="18" t="inlineStr">
        <is>
          <t>IRAM 3517-2:2020 9.9</t>
        </is>
      </c>
      <c r="J184" s="41" t="inlineStr">
        <is>
          <t>Sí</t>
        </is>
      </c>
      <c r="K184" s="18" t="inlineStr">
        <is>
          <t>DEM S.A. (DEMSA)</t>
        </is>
      </c>
      <c r="L184" s="18" t="inlineStr">
        <is>
          <t>Polvex S.R.L. / Sancibrao</t>
        </is>
      </c>
    </row>
    <row r="185">
      <c r="A185" s="33" t="inlineStr">
        <is>
          <t>RK-AFFF10-B</t>
        </is>
      </c>
      <c r="B185" s="33" t="inlineStr">
        <is>
          <t>FL_MAT_AFFF_10l</t>
        </is>
      </c>
      <c r="C185" s="33" t="inlineStr">
        <is>
          <t>Extintor AFFF 10 l</t>
        </is>
      </c>
      <c r="D185" s="17" t="inlineStr">
        <is>
          <t>B - Mantenimiento (PH cada 2 años en inoxidables y AFFF)</t>
        </is>
      </c>
      <c r="E185" s="17" t="inlineStr">
        <is>
          <t>Precinto plástico numerado, color, con nombre del recargador</t>
        </is>
      </c>
      <c r="F185" s="33" t="n">
        <v>1</v>
      </c>
      <c r="G185" s="33" t="inlineStr">
        <is>
          <t>u</t>
        </is>
      </c>
      <c r="H185" s="17" t="inlineStr">
        <is>
          <t>Nuevo</t>
        </is>
      </c>
      <c r="I185" s="17" t="inlineStr">
        <is>
          <t>IRAM 3517-2:2020 9.4.13</t>
        </is>
      </c>
      <c r="J185" s="33" t="inlineStr">
        <is>
          <t>Sí</t>
        </is>
      </c>
      <c r="K185" s="17" t="inlineStr">
        <is>
          <t>SonFuertes (vía Papelera Damián)</t>
        </is>
      </c>
      <c r="L185" s="17" t="inlineStr">
        <is>
          <t>Precinter S.R.L.</t>
        </is>
      </c>
    </row>
    <row r="186">
      <c r="A186" s="33" t="inlineStr">
        <is>
          <t>RK-AFFF10-B</t>
        </is>
      </c>
      <c r="B186" s="33" t="inlineStr">
        <is>
          <t>FL_MAT_AFFF_10l</t>
        </is>
      </c>
      <c r="C186" s="33" t="inlineStr">
        <is>
          <t>Extintor AFFF 10 l</t>
        </is>
      </c>
      <c r="D186" s="17" t="inlineStr">
        <is>
          <t>B - Mantenimiento (PH cada 2 años en inoxidables y AFFF)</t>
        </is>
      </c>
      <c r="E186" s="17" t="inlineStr">
        <is>
          <t>Marbete (anillo, color del año)</t>
        </is>
      </c>
      <c r="F186" s="33" t="n">
        <v>1</v>
      </c>
      <c r="G186" s="33" t="inlineStr">
        <is>
          <t>u</t>
        </is>
      </c>
      <c r="H186" s="17" t="inlineStr">
        <is>
          <t>Nuevo</t>
        </is>
      </c>
      <c r="I186" s="17" t="inlineStr">
        <is>
          <t>IRAM 3517-2:2020 9.4.14 · fig. 9 · tabla 4</t>
        </is>
      </c>
      <c r="J186" s="33" t="inlineStr">
        <is>
          <t>Sí</t>
        </is>
      </c>
      <c r="K186" s="17" t="inlineStr">
        <is>
          <t>Astuprint</t>
        </is>
      </c>
      <c r="L186" s="17" t="inlineStr">
        <is>
          <t>Multilabel Argentina S.A.</t>
        </is>
      </c>
    </row>
    <row r="187">
      <c r="A187" s="33" t="inlineStr">
        <is>
          <t>RK-AFFF10-B</t>
        </is>
      </c>
      <c r="B187" s="33" t="inlineStr">
        <is>
          <t>FL_MAT_AFFF_10l</t>
        </is>
      </c>
      <c r="C187" s="33" t="inlineStr">
        <is>
          <t>Extintor AFFF 10 l</t>
        </is>
      </c>
      <c r="D187" s="17" t="inlineStr">
        <is>
          <t>B - Mantenimiento (PH cada 2 años en inoxidables y AFFF)</t>
        </is>
      </c>
      <c r="E187" s="17" t="inlineStr">
        <is>
          <t>Etiqueta de servicio del recargador (extintor n°, serie, próxima recarga y PH)</t>
        </is>
      </c>
      <c r="F187" s="33" t="n">
        <v>1</v>
      </c>
      <c r="G187" s="33" t="inlineStr">
        <is>
          <t>u</t>
        </is>
      </c>
      <c r="H187" s="17" t="inlineStr">
        <is>
          <t>Nuevo</t>
        </is>
      </c>
      <c r="I187" s="17" t="inlineStr">
        <is>
          <t>IRAM 3517-2:2020 8.3.3 · relevado Suyai/Firegram</t>
        </is>
      </c>
      <c r="J187" s="33" t="inlineStr">
        <is>
          <t>Sí</t>
        </is>
      </c>
      <c r="K187" s="17" t="inlineStr">
        <is>
          <t>Astuprint</t>
        </is>
      </c>
      <c r="L187" s="17" t="inlineStr">
        <is>
          <t>Multilabel Argentina S.A.</t>
        </is>
      </c>
    </row>
    <row r="188">
      <c r="A188" s="33" t="inlineStr">
        <is>
          <t>RK-AFFF10-B</t>
        </is>
      </c>
      <c r="B188" s="33" t="inlineStr">
        <is>
          <t>FL_MAT_AFFF_10l</t>
        </is>
      </c>
      <c r="C188" s="33" t="inlineStr">
        <is>
          <t>Extintor AFFF 10 l</t>
        </is>
      </c>
      <c r="D188" s="17" t="inlineStr">
        <is>
          <t>B - Mantenimiento (PH cada 2 años en inoxidables y AFFF)</t>
        </is>
      </c>
      <c r="E188" s="17" t="inlineStr">
        <is>
          <t>Oblea PBA de recarga Ø46 + estampilla precinto 1" × 200 mm válvula-cuerpo</t>
        </is>
      </c>
      <c r="F188" s="33" t="n">
        <v>1</v>
      </c>
      <c r="G188" s="33" t="inlineStr">
        <is>
          <t>u</t>
        </is>
      </c>
      <c r="H188" s="17" t="inlineStr">
        <is>
          <t>Nuevo (venta en PBA)</t>
        </is>
      </c>
      <c r="I188" s="17" t="inlineStr">
        <is>
          <t>IRAM 3517-2:2020 Res. OPDS 522/07</t>
        </is>
      </c>
      <c r="J188" s="33" t="inlineStr">
        <is>
          <t>Sí</t>
        </is>
      </c>
      <c r="K188" s="17" t="inlineStr">
        <is>
          <t>Ministerio de Ambiente PBA (ex OPDS)</t>
        </is>
      </c>
      <c r="L188" s="17" t="inlineStr">
        <is>
          <t>-</t>
        </is>
      </c>
    </row>
    <row r="189">
      <c r="A189" s="33" t="inlineStr">
        <is>
          <t>RK-AFFF10-B</t>
        </is>
      </c>
      <c r="B189" s="33" t="inlineStr">
        <is>
          <t>FL_MAT_AFFF_10l</t>
        </is>
      </c>
      <c r="C189" s="33" t="inlineStr">
        <is>
          <t>Extintor AFFF 10 l</t>
        </is>
      </c>
      <c r="D189" s="17" t="inlineStr">
        <is>
          <t>B - Mantenimiento (PH cada 2 años en inoxidables y AFFF)</t>
        </is>
      </c>
      <c r="E189" s="17" t="inlineStr">
        <is>
          <t>Tarjeta de identificación AGC (módulo papel con QR + etiqueta AGC)</t>
        </is>
      </c>
      <c r="F189" s="33" t="n">
        <v>1</v>
      </c>
      <c r="G189" s="33" t="inlineStr">
        <is>
          <t>u</t>
        </is>
      </c>
      <c r="H189" s="17" t="inlineStr">
        <is>
          <t>Nuevo (destino CABA)</t>
        </is>
      </c>
      <c r="I189" s="17" t="inlineStr">
        <is>
          <t>IRAM 3517-2:2020 Ord. 40.473 art. 6 · Res. AGC 32/15</t>
        </is>
      </c>
      <c r="J189" s="33" t="inlineStr">
        <is>
          <t>Sí</t>
        </is>
      </c>
      <c r="K189" s="17" t="inlineStr">
        <is>
          <t>Agencia Gubernamental de Control (CABA)</t>
        </is>
      </c>
      <c r="L189" s="17" t="inlineStr">
        <is>
          <t>-</t>
        </is>
      </c>
    </row>
    <row r="190">
      <c r="A190" s="33" t="inlineStr">
        <is>
          <t>RK-AFFF10-B</t>
        </is>
      </c>
      <c r="B190" s="33" t="inlineStr">
        <is>
          <t>FL_MAT_AFFF_10l</t>
        </is>
      </c>
      <c r="C190" s="33" t="inlineStr">
        <is>
          <t>Extintor AFFF 10 l</t>
        </is>
      </c>
      <c r="D190" s="17" t="inlineStr">
        <is>
          <t>B - Mantenimiento (PH cada 2 años en inoxidables y AFFF)</t>
        </is>
      </c>
      <c r="E190" s="17" t="inlineStr">
        <is>
          <t>Tarjeta de identificación DPS de revisión / recarga</t>
        </is>
      </c>
      <c r="F190" s="33" t="n">
        <v>1</v>
      </c>
      <c r="G190" s="33" t="inlineStr">
        <is>
          <t>u</t>
        </is>
      </c>
      <c r="H190" s="17" t="inlineStr">
        <is>
          <t>Nuevo (PBA)</t>
        </is>
      </c>
      <c r="I190" s="17" t="inlineStr">
        <is>
          <t>IRAM 3517-2:2020 Res. 349/07 art. 21</t>
        </is>
      </c>
      <c r="J190" s="33" t="inlineStr">
        <is>
          <t>Sí</t>
        </is>
      </c>
      <c r="K190" s="17" t="inlineStr">
        <is>
          <t>Ministerio de Ambiente PBA (ex OPDS)</t>
        </is>
      </c>
      <c r="L190" s="17" t="inlineStr">
        <is>
          <t>-</t>
        </is>
      </c>
    </row>
    <row r="191">
      <c r="A191" s="33" t="inlineStr">
        <is>
          <t>RK-AFFF10-B</t>
        </is>
      </c>
      <c r="B191" s="33" t="inlineStr">
        <is>
          <t>FL_MAT_AFFF_10l</t>
        </is>
      </c>
      <c r="C191" s="33" t="inlineStr">
        <is>
          <t>Extintor AFFF 10 l</t>
        </is>
      </c>
      <c r="D191" s="17" t="inlineStr">
        <is>
          <t>B - Mantenimiento (PH cada 2 años en inoxidables y AFFF)</t>
        </is>
      </c>
      <c r="E191" s="17" t="inlineStr">
        <is>
          <t>Grabado de la fecha del servicio en el tubo de pesca (lápiz vibratorio; en polvo, marcador indeleble)</t>
        </is>
      </c>
      <c r="F191" s="33" t="n">
        <v>1</v>
      </c>
      <c r="G191" s="33" t="inlineStr">
        <is>
          <t>u</t>
        </is>
      </c>
      <c r="H191" s="17" t="inlineStr">
        <is>
          <t>Proceso</t>
        </is>
      </c>
      <c r="I191" s="17" t="inlineStr">
        <is>
          <t>IRAM 3517-2:2020 Res. 349/07 art. 28</t>
        </is>
      </c>
      <c r="J191" s="33" t="inlineStr">
        <is>
          <t>No</t>
        </is>
      </c>
      <c r="K191" s="17" t="n"/>
      <c r="L191" s="17" t="n"/>
    </row>
    <row r="192">
      <c r="A192" s="33" t="inlineStr">
        <is>
          <t>RK-AFFF10-B</t>
        </is>
      </c>
      <c r="B192" s="33" t="inlineStr">
        <is>
          <t>FL_MAT_AFFF_10l</t>
        </is>
      </c>
      <c r="C192" s="33" t="inlineStr">
        <is>
          <t>Extintor AFFF 10 l</t>
        </is>
      </c>
      <c r="D192" s="17" t="inlineStr">
        <is>
          <t>B - Mantenimiento (PH cada 2 años en inoxidables y AFFF)</t>
        </is>
      </c>
      <c r="E192" s="17" t="inlineStr">
        <is>
          <t>Si hubo PH: oblea de vencimiento de PH + «PH» y fecha grabados en el tubo de pesca (CO₂: fecha y logo estampados en la ojiva)</t>
        </is>
      </c>
      <c r="F192" s="33" t="n">
        <v>1</v>
      </c>
      <c r="G192" s="33" t="inlineStr">
        <is>
          <t>u</t>
        </is>
      </c>
      <c r="H192" s="17" t="inlineStr">
        <is>
          <t>Proceso</t>
        </is>
      </c>
      <c r="I192" s="17" t="inlineStr">
        <is>
          <t>IRAM 3517-2:2020 Res. 349/07 art. 29 · IRAM 3517-2</t>
        </is>
      </c>
      <c r="J192" s="33" t="inlineStr">
        <is>
          <t>No</t>
        </is>
      </c>
      <c r="K192" s="17" t="n"/>
      <c r="L192" s="17" t="n"/>
    </row>
    <row r="193">
      <c r="A193" s="41" t="inlineStr">
        <is>
          <t>RK-AFFF10-B</t>
        </is>
      </c>
      <c r="B193" s="41" t="inlineStr">
        <is>
          <t>FL_MAT_AFFF_10l</t>
        </is>
      </c>
      <c r="C193" s="41" t="inlineStr">
        <is>
          <t>Extintor AFFF 10 l</t>
        </is>
      </c>
      <c r="D193" s="18" t="inlineStr">
        <is>
          <t>B - Mantenimiento (PH cada 2 años en inoxidables y AFFF)</t>
        </is>
      </c>
      <c r="E193" s="18" t="inlineStr">
        <is>
          <t>Junta tórica de asiento del cuello</t>
        </is>
      </c>
      <c r="F193" s="41" t="n">
        <v>1</v>
      </c>
      <c r="G193" s="41" t="inlineStr">
        <is>
          <t>u</t>
        </is>
      </c>
      <c r="H193" s="18" t="inlineStr">
        <is>
          <t>Nuevo (R: cambio sistemático)</t>
        </is>
      </c>
      <c r="I193" s="18" t="inlineStr"/>
      <c r="J193" s="41" t="inlineStr">
        <is>
          <t>Sí</t>
        </is>
      </c>
      <c r="K193" s="18" t="inlineStr">
        <is>
          <t>Argensold</t>
        </is>
      </c>
      <c r="L193" s="18" t="inlineStr">
        <is>
          <t>Matafuegos Iglesias</t>
        </is>
      </c>
    </row>
    <row r="194">
      <c r="A194" s="33" t="inlineStr">
        <is>
          <t>RK-AFFF10-B</t>
        </is>
      </c>
      <c r="B194" s="33" t="inlineStr">
        <is>
          <t>FL_MAT_AFFF_10l</t>
        </is>
      </c>
      <c r="C194" s="33" t="inlineStr">
        <is>
          <t>Extintor AFFF 10 l</t>
        </is>
      </c>
      <c r="D194" s="17" t="inlineStr">
        <is>
          <t>B - Mantenimiento (PH cada 2 años en inoxidables y AFFF)</t>
        </is>
      </c>
      <c r="E194" s="17" t="inlineStr">
        <is>
          <t>Gas impulsor Aire comprimido</t>
        </is>
      </c>
      <c r="F194" s="33" t="n">
        <v>0.0427</v>
      </c>
      <c r="G194" s="33" t="inlineStr">
        <is>
          <t>kg</t>
        </is>
      </c>
      <c r="H194" s="17" t="inlineStr">
        <is>
          <t>Nuevo</t>
        </is>
      </c>
      <c r="I194" s="17" t="inlineStr">
        <is>
          <t>IRAM 3517-2:2020 9.4.9 tabla 2</t>
        </is>
      </c>
      <c r="J194" s="33" t="inlineStr">
        <is>
          <t>No</t>
        </is>
      </c>
      <c r="K194" s="17" t="n"/>
      <c r="L194" s="17" t="n"/>
    </row>
    <row r="195">
      <c r="A195" s="33" t="inlineStr">
        <is>
          <t>RK-AFFF10-I</t>
        </is>
      </c>
      <c r="B195" s="33" t="inlineStr">
        <is>
          <t>FL_MAT_AFFF_10l</t>
        </is>
      </c>
      <c r="C195" s="33" t="inlineStr">
        <is>
          <t>Extintor AFFF 10 l</t>
        </is>
      </c>
      <c r="D195" s="17" t="inlineStr">
        <is>
          <t>Según inspección (consumo estadístico a definir)</t>
        </is>
      </c>
      <c r="E195" s="17" t="inlineStr">
        <is>
          <t>Manómetro / manguera / tobera / kit de válvula</t>
        </is>
      </c>
      <c r="F195" s="33" t="inlineStr">
        <is>
          <t>-</t>
        </is>
      </c>
      <c r="G195" s="33" t="inlineStr">
        <is>
          <t>u</t>
        </is>
      </c>
      <c r="H195" s="17" t="inlineStr">
        <is>
          <t>Recambio sólo si falla</t>
        </is>
      </c>
      <c r="I195" s="17" t="inlineStr">
        <is>
          <t>IRAM 3517-2:2020 9.4.11 (cada manguera vuelve a su extintor)</t>
        </is>
      </c>
      <c r="J195" s="33" t="inlineStr">
        <is>
          <t>Sí</t>
        </is>
      </c>
      <c r="K195" s="17" t="inlineStr">
        <is>
          <t>Polvex S.R.L. / Sancibrao</t>
        </is>
      </c>
      <c r="L195" s="17" t="inlineStr">
        <is>
          <t>Yukon / MatafuegosYa S.R.L.</t>
        </is>
      </c>
    </row>
    <row r="196">
      <c r="A196" s="33" t="inlineStr">
        <is>
          <t>RK-AFFF50-A</t>
        </is>
      </c>
      <c r="B196" s="33" t="inlineStr">
        <is>
          <t>FL_MAT_AFFF_50l</t>
        </is>
      </c>
      <c r="C196" s="33" t="inlineStr">
        <is>
          <t>Extintor AFFF 50 l sobre ruedas</t>
        </is>
      </c>
      <c r="D196" s="17" t="inlineStr">
        <is>
          <t>A - Extintor descargado</t>
        </is>
      </c>
      <c r="E196" s="17" t="inlineStr">
        <is>
          <t>Agua + espumígeno AFFF 3 % (DEMSA 203 MN, IRAM 3515)</t>
        </is>
      </c>
      <c r="F196" s="33" t="n">
        <v>50</v>
      </c>
      <c r="G196" s="33" t="inlineStr">
        <is>
          <t>L</t>
        </is>
      </c>
      <c r="H196" s="17" t="inlineStr">
        <is>
          <t>Nuevo</t>
        </is>
      </c>
      <c r="I196" s="17" t="inlineStr">
        <is>
          <t>IRAM 3517-2:2020 9.9 tabla 6</t>
        </is>
      </c>
      <c r="J196" s="33" t="inlineStr">
        <is>
          <t>Sí</t>
        </is>
      </c>
      <c r="K196" s="17" t="inlineStr">
        <is>
          <t>DEM S.A. (DEMSA)</t>
        </is>
      </c>
      <c r="L196" s="17" t="inlineStr">
        <is>
          <t>Polvex S.R.L. / Sancibrao</t>
        </is>
      </c>
    </row>
    <row r="197">
      <c r="A197" s="33" t="inlineStr">
        <is>
          <t>RK-AFFF50-A</t>
        </is>
      </c>
      <c r="B197" s="33" t="inlineStr">
        <is>
          <t>FL_MAT_AFFF_50l</t>
        </is>
      </c>
      <c r="C197" s="33" t="inlineStr">
        <is>
          <t>Extintor AFFF 50 l sobre ruedas</t>
        </is>
      </c>
      <c r="D197" s="17" t="inlineStr">
        <is>
          <t>A - Extintor descargado</t>
        </is>
      </c>
      <c r="E197" s="17" t="inlineStr">
        <is>
          <t>Precinto plástico numerado, color, con nombre del recargador</t>
        </is>
      </c>
      <c r="F197" s="33" t="n">
        <v>1</v>
      </c>
      <c r="G197" s="33" t="inlineStr">
        <is>
          <t>u</t>
        </is>
      </c>
      <c r="H197" s="17" t="inlineStr">
        <is>
          <t>Nuevo</t>
        </is>
      </c>
      <c r="I197" s="17" t="inlineStr">
        <is>
          <t>IRAM 3517-2:2020 9.4.13</t>
        </is>
      </c>
      <c r="J197" s="33" t="inlineStr">
        <is>
          <t>Sí</t>
        </is>
      </c>
      <c r="K197" s="17" t="inlineStr">
        <is>
          <t>SonFuertes (vía Papelera Damián)</t>
        </is>
      </c>
      <c r="L197" s="17" t="inlineStr">
        <is>
          <t>Precinter S.R.L.</t>
        </is>
      </c>
    </row>
    <row r="198">
      <c r="A198" s="33" t="inlineStr">
        <is>
          <t>RK-AFFF50-A</t>
        </is>
      </c>
      <c r="B198" s="33" t="inlineStr">
        <is>
          <t>FL_MAT_AFFF_50l</t>
        </is>
      </c>
      <c r="C198" s="33" t="inlineStr">
        <is>
          <t>Extintor AFFF 50 l sobre ruedas</t>
        </is>
      </c>
      <c r="D198" s="17" t="inlineStr">
        <is>
          <t>A - Extintor descargado</t>
        </is>
      </c>
      <c r="E198" s="17" t="inlineStr">
        <is>
          <t>Marbete (anillo, color del año)</t>
        </is>
      </c>
      <c r="F198" s="33" t="n">
        <v>1</v>
      </c>
      <c r="G198" s="33" t="inlineStr">
        <is>
          <t>u</t>
        </is>
      </c>
      <c r="H198" s="17" t="inlineStr">
        <is>
          <t>Nuevo</t>
        </is>
      </c>
      <c r="I198" s="17" t="inlineStr">
        <is>
          <t>IRAM 3517-2:2020 9.4.14 · fig. 9 · tabla 4</t>
        </is>
      </c>
      <c r="J198" s="33" t="inlineStr">
        <is>
          <t>Sí</t>
        </is>
      </c>
      <c r="K198" s="17" t="inlineStr">
        <is>
          <t>Astuprint</t>
        </is>
      </c>
      <c r="L198" s="17" t="inlineStr">
        <is>
          <t>Multilabel Argentina S.A.</t>
        </is>
      </c>
    </row>
    <row r="199">
      <c r="A199" s="33" t="inlineStr">
        <is>
          <t>RK-AFFF50-A</t>
        </is>
      </c>
      <c r="B199" s="33" t="inlineStr">
        <is>
          <t>FL_MAT_AFFF_50l</t>
        </is>
      </c>
      <c r="C199" s="33" t="inlineStr">
        <is>
          <t>Extintor AFFF 50 l sobre ruedas</t>
        </is>
      </c>
      <c r="D199" s="17" t="inlineStr">
        <is>
          <t>A - Extintor descargado</t>
        </is>
      </c>
      <c r="E199" s="17" t="inlineStr">
        <is>
          <t>Etiqueta de servicio del recargador (extintor n°, serie, próxima recarga y PH)</t>
        </is>
      </c>
      <c r="F199" s="33" t="n">
        <v>1</v>
      </c>
      <c r="G199" s="33" t="inlineStr">
        <is>
          <t>u</t>
        </is>
      </c>
      <c r="H199" s="17" t="inlineStr">
        <is>
          <t>Nuevo</t>
        </is>
      </c>
      <c r="I199" s="17" t="inlineStr">
        <is>
          <t>IRAM 3517-2:2020 8.3.3 · relevado Suyai/Firegram</t>
        </is>
      </c>
      <c r="J199" s="33" t="inlineStr">
        <is>
          <t>Sí</t>
        </is>
      </c>
      <c r="K199" s="17" t="inlineStr">
        <is>
          <t>Astuprint</t>
        </is>
      </c>
      <c r="L199" s="17" t="inlineStr">
        <is>
          <t>Multilabel Argentina S.A.</t>
        </is>
      </c>
    </row>
    <row r="200">
      <c r="A200" s="33" t="inlineStr">
        <is>
          <t>RK-AFFF50-A</t>
        </is>
      </c>
      <c r="B200" s="33" t="inlineStr">
        <is>
          <t>FL_MAT_AFFF_50l</t>
        </is>
      </c>
      <c r="C200" s="33" t="inlineStr">
        <is>
          <t>Extintor AFFF 50 l sobre ruedas</t>
        </is>
      </c>
      <c r="D200" s="17" t="inlineStr">
        <is>
          <t>A - Extintor descargado</t>
        </is>
      </c>
      <c r="E200" s="17" t="inlineStr">
        <is>
          <t>Oblea PBA de recarga Ø46 + estampilla precinto 1" × 200 mm válvula-cuerpo</t>
        </is>
      </c>
      <c r="F200" s="33" t="n">
        <v>1</v>
      </c>
      <c r="G200" s="33" t="inlineStr">
        <is>
          <t>u</t>
        </is>
      </c>
      <c r="H200" s="17" t="inlineStr">
        <is>
          <t>Nuevo (venta en PBA)</t>
        </is>
      </c>
      <c r="I200" s="17" t="inlineStr">
        <is>
          <t>IRAM 3517-2:2020 Res. OPDS 522/07</t>
        </is>
      </c>
      <c r="J200" s="33" t="inlineStr">
        <is>
          <t>Sí</t>
        </is>
      </c>
      <c r="K200" s="17" t="inlineStr">
        <is>
          <t>Ministerio de Ambiente PBA (ex OPDS)</t>
        </is>
      </c>
      <c r="L200" s="17" t="inlineStr">
        <is>
          <t>-</t>
        </is>
      </c>
    </row>
    <row r="201">
      <c r="A201" s="33" t="inlineStr">
        <is>
          <t>RK-AFFF50-A</t>
        </is>
      </c>
      <c r="B201" s="33" t="inlineStr">
        <is>
          <t>FL_MAT_AFFF_50l</t>
        </is>
      </c>
      <c r="C201" s="33" t="inlineStr">
        <is>
          <t>Extintor AFFF 50 l sobre ruedas</t>
        </is>
      </c>
      <c r="D201" s="17" t="inlineStr">
        <is>
          <t>A - Extintor descargado</t>
        </is>
      </c>
      <c r="E201" s="17" t="inlineStr">
        <is>
          <t>Tarjeta de identificación AGC (módulo papel con QR + etiqueta AGC)</t>
        </is>
      </c>
      <c r="F201" s="33" t="n">
        <v>1</v>
      </c>
      <c r="G201" s="33" t="inlineStr">
        <is>
          <t>u</t>
        </is>
      </c>
      <c r="H201" s="17" t="inlineStr">
        <is>
          <t>Nuevo (destino CABA)</t>
        </is>
      </c>
      <c r="I201" s="17" t="inlineStr">
        <is>
          <t>IRAM 3517-2:2020 Ord. 40.473 art. 6 · Res. AGC 32/15</t>
        </is>
      </c>
      <c r="J201" s="33" t="inlineStr">
        <is>
          <t>Sí</t>
        </is>
      </c>
      <c r="K201" s="17" t="inlineStr">
        <is>
          <t>Agencia Gubernamental de Control (CABA)</t>
        </is>
      </c>
      <c r="L201" s="17" t="inlineStr">
        <is>
          <t>-</t>
        </is>
      </c>
    </row>
    <row r="202">
      <c r="A202" s="33" t="inlineStr">
        <is>
          <t>RK-AFFF50-A</t>
        </is>
      </c>
      <c r="B202" s="33" t="inlineStr">
        <is>
          <t>FL_MAT_AFFF_50l</t>
        </is>
      </c>
      <c r="C202" s="33" t="inlineStr">
        <is>
          <t>Extintor AFFF 50 l sobre ruedas</t>
        </is>
      </c>
      <c r="D202" s="17" t="inlineStr">
        <is>
          <t>A - Extintor descargado</t>
        </is>
      </c>
      <c r="E202" s="17" t="inlineStr">
        <is>
          <t>Tarjeta de identificación DPS de revisión / recarga</t>
        </is>
      </c>
      <c r="F202" s="33" t="n">
        <v>1</v>
      </c>
      <c r="G202" s="33" t="inlineStr">
        <is>
          <t>u</t>
        </is>
      </c>
      <c r="H202" s="17" t="inlineStr">
        <is>
          <t>Nuevo (PBA)</t>
        </is>
      </c>
      <c r="I202" s="17" t="inlineStr">
        <is>
          <t>IRAM 3517-2:2020 Res. 349/07 art. 21</t>
        </is>
      </c>
      <c r="J202" s="33" t="inlineStr">
        <is>
          <t>Sí</t>
        </is>
      </c>
      <c r="K202" s="17" t="inlineStr">
        <is>
          <t>Ministerio de Ambiente PBA (ex OPDS)</t>
        </is>
      </c>
      <c r="L202" s="17" t="inlineStr">
        <is>
          <t>-</t>
        </is>
      </c>
    </row>
    <row r="203">
      <c r="A203" s="33" t="inlineStr">
        <is>
          <t>RK-AFFF50-A</t>
        </is>
      </c>
      <c r="B203" s="33" t="inlineStr">
        <is>
          <t>FL_MAT_AFFF_50l</t>
        </is>
      </c>
      <c r="C203" s="33" t="inlineStr">
        <is>
          <t>Extintor AFFF 50 l sobre ruedas</t>
        </is>
      </c>
      <c r="D203" s="17" t="inlineStr">
        <is>
          <t>A - Extintor descargado</t>
        </is>
      </c>
      <c r="E203" s="17" t="inlineStr">
        <is>
          <t>Grabado de la fecha del servicio en el tubo de pesca (lápiz vibratorio; en polvo, marcador indeleble)</t>
        </is>
      </c>
      <c r="F203" s="33" t="n">
        <v>1</v>
      </c>
      <c r="G203" s="33" t="inlineStr">
        <is>
          <t>u</t>
        </is>
      </c>
      <c r="H203" s="17" t="inlineStr">
        <is>
          <t>Proceso</t>
        </is>
      </c>
      <c r="I203" s="17" t="inlineStr">
        <is>
          <t>IRAM 3517-2:2020 Res. 349/07 art. 28</t>
        </is>
      </c>
      <c r="J203" s="33" t="inlineStr">
        <is>
          <t>No</t>
        </is>
      </c>
      <c r="K203" s="17" t="n"/>
      <c r="L203" s="17" t="n"/>
    </row>
    <row r="204">
      <c r="A204" s="33" t="inlineStr">
        <is>
          <t>RK-AFFF50-A</t>
        </is>
      </c>
      <c r="B204" s="33" t="inlineStr">
        <is>
          <t>FL_MAT_AFFF_50l</t>
        </is>
      </c>
      <c r="C204" s="33" t="inlineStr">
        <is>
          <t>Extintor AFFF 50 l sobre ruedas</t>
        </is>
      </c>
      <c r="D204" s="17" t="inlineStr">
        <is>
          <t>A - Extintor descargado</t>
        </is>
      </c>
      <c r="E204" s="17" t="inlineStr">
        <is>
          <t>Si hubo PH: oblea de vencimiento de PH + «PH» y fecha grabados en el tubo de pesca (CO₂: fecha y logo estampados en la ojiva)</t>
        </is>
      </c>
      <c r="F204" s="33" t="n">
        <v>1</v>
      </c>
      <c r="G204" s="33" t="inlineStr">
        <is>
          <t>u</t>
        </is>
      </c>
      <c r="H204" s="17" t="inlineStr">
        <is>
          <t>Proceso</t>
        </is>
      </c>
      <c r="I204" s="17" t="inlineStr">
        <is>
          <t>IRAM 3517-2:2020 Res. 349/07 art. 29 · IRAM 3517-2</t>
        </is>
      </c>
      <c r="J204" s="33" t="inlineStr">
        <is>
          <t>No</t>
        </is>
      </c>
      <c r="K204" s="17" t="n"/>
      <c r="L204" s="17" t="n"/>
    </row>
    <row r="205">
      <c r="A205" s="41" t="inlineStr">
        <is>
          <t>RK-AFFF50-A</t>
        </is>
      </c>
      <c r="B205" s="41" t="inlineStr">
        <is>
          <t>FL_MAT_AFFF_50l</t>
        </is>
      </c>
      <c r="C205" s="41" t="inlineStr">
        <is>
          <t>Extintor AFFF 50 l sobre ruedas</t>
        </is>
      </c>
      <c r="D205" s="18" t="inlineStr">
        <is>
          <t>A - Extintor descargado</t>
        </is>
      </c>
      <c r="E205" s="18" t="inlineStr">
        <is>
          <t>Junta tórica de asiento del cuello</t>
        </is>
      </c>
      <c r="F205" s="41" t="n">
        <v>1</v>
      </c>
      <c r="G205" s="41" t="inlineStr">
        <is>
          <t>u</t>
        </is>
      </c>
      <c r="H205" s="18" t="inlineStr">
        <is>
          <t>Nuevo (R: cambio sistemático)</t>
        </is>
      </c>
      <c r="I205" s="18" t="inlineStr"/>
      <c r="J205" s="41" t="inlineStr">
        <is>
          <t>Sí</t>
        </is>
      </c>
      <c r="K205" s="18" t="inlineStr">
        <is>
          <t>Argensold</t>
        </is>
      </c>
      <c r="L205" s="18" t="inlineStr">
        <is>
          <t>Matafuegos Iglesias</t>
        </is>
      </c>
    </row>
    <row r="206">
      <c r="A206" s="33" t="inlineStr">
        <is>
          <t>RK-AFFF50-A</t>
        </is>
      </c>
      <c r="B206" s="33" t="inlineStr">
        <is>
          <t>FL_MAT_AFFF_50l</t>
        </is>
      </c>
      <c r="C206" s="33" t="inlineStr">
        <is>
          <t>Extintor AFFF 50 l sobre ruedas</t>
        </is>
      </c>
      <c r="D206" s="17" t="inlineStr">
        <is>
          <t>A - Extintor descargado</t>
        </is>
      </c>
      <c r="E206" s="17" t="inlineStr">
        <is>
          <t>Gas impulsor Aire comprimido</t>
        </is>
      </c>
      <c r="F206" s="33" t="n">
        <v>0.1265</v>
      </c>
      <c r="G206" s="33" t="inlineStr">
        <is>
          <t>kg</t>
        </is>
      </c>
      <c r="H206" s="17" t="inlineStr">
        <is>
          <t>Nuevo</t>
        </is>
      </c>
      <c r="I206" s="17" t="inlineStr">
        <is>
          <t>IRAM 3517-2:2020 9.4.9 tabla 2</t>
        </is>
      </c>
      <c r="J206" s="33" t="inlineStr">
        <is>
          <t>No</t>
        </is>
      </c>
      <c r="K206" s="17" t="n"/>
      <c r="L206" s="17" t="n"/>
    </row>
    <row r="207">
      <c r="A207" s="41" t="inlineStr">
        <is>
          <t>RK-AFFF50-B</t>
        </is>
      </c>
      <c r="B207" s="41" t="inlineStr">
        <is>
          <t>FL_MAT_AFFF_50l</t>
        </is>
      </c>
      <c r="C207" s="41" t="inlineStr">
        <is>
          <t>Extintor AFFF 50 l sobre ruedas</t>
        </is>
      </c>
      <c r="D207" s="18" t="inlineStr">
        <is>
          <t>B - Mantenimiento (PH cada 2 años en inoxidables y AFFF)</t>
        </is>
      </c>
      <c r="E207" s="18" t="inlineStr">
        <is>
          <t>Agua + espumígeno AFFF 3 % (DEMSA 203 MN, IRAM 3515)</t>
        </is>
      </c>
      <c r="F207" s="41" t="n">
        <v>50</v>
      </c>
      <c r="G207" s="41" t="inlineStr">
        <is>
          <t>L</t>
        </is>
      </c>
      <c r="H207" s="18" t="inlineStr">
        <is>
          <t>Nuevo (R: la carga líquida no se recupera; confirmar vida útil del concentrado con el fabricante)</t>
        </is>
      </c>
      <c r="I207" s="18" t="inlineStr">
        <is>
          <t>IRAM 3517-2:2020 9.9</t>
        </is>
      </c>
      <c r="J207" s="41" t="inlineStr">
        <is>
          <t>Sí</t>
        </is>
      </c>
      <c r="K207" s="18" t="inlineStr">
        <is>
          <t>DEM S.A. (DEMSA)</t>
        </is>
      </c>
      <c r="L207" s="18" t="inlineStr">
        <is>
          <t>Polvex S.R.L. / Sancibrao</t>
        </is>
      </c>
    </row>
    <row r="208">
      <c r="A208" s="33" t="inlineStr">
        <is>
          <t>RK-AFFF50-B</t>
        </is>
      </c>
      <c r="B208" s="33" t="inlineStr">
        <is>
          <t>FL_MAT_AFFF_50l</t>
        </is>
      </c>
      <c r="C208" s="33" t="inlineStr">
        <is>
          <t>Extintor AFFF 50 l sobre ruedas</t>
        </is>
      </c>
      <c r="D208" s="17" t="inlineStr">
        <is>
          <t>B - Mantenimiento (PH cada 2 años en inoxidables y AFFF)</t>
        </is>
      </c>
      <c r="E208" s="17" t="inlineStr">
        <is>
          <t>Precinto plástico numerado, color, con nombre del recargador</t>
        </is>
      </c>
      <c r="F208" s="33" t="n">
        <v>1</v>
      </c>
      <c r="G208" s="33" t="inlineStr">
        <is>
          <t>u</t>
        </is>
      </c>
      <c r="H208" s="17" t="inlineStr">
        <is>
          <t>Nuevo</t>
        </is>
      </c>
      <c r="I208" s="17" t="inlineStr">
        <is>
          <t>IRAM 3517-2:2020 9.4.13</t>
        </is>
      </c>
      <c r="J208" s="33" t="inlineStr">
        <is>
          <t>Sí</t>
        </is>
      </c>
      <c r="K208" s="17" t="inlineStr">
        <is>
          <t>SonFuertes (vía Papelera Damián)</t>
        </is>
      </c>
      <c r="L208" s="17" t="inlineStr">
        <is>
          <t>Precinter S.R.L.</t>
        </is>
      </c>
    </row>
    <row r="209">
      <c r="A209" s="33" t="inlineStr">
        <is>
          <t>RK-AFFF50-B</t>
        </is>
      </c>
      <c r="B209" s="33" t="inlineStr">
        <is>
          <t>FL_MAT_AFFF_50l</t>
        </is>
      </c>
      <c r="C209" s="33" t="inlineStr">
        <is>
          <t>Extintor AFFF 50 l sobre ruedas</t>
        </is>
      </c>
      <c r="D209" s="17" t="inlineStr">
        <is>
          <t>B - Mantenimiento (PH cada 2 años en inoxidables y AFFF)</t>
        </is>
      </c>
      <c r="E209" s="17" t="inlineStr">
        <is>
          <t>Marbete (anillo, color del año)</t>
        </is>
      </c>
      <c r="F209" s="33" t="n">
        <v>1</v>
      </c>
      <c r="G209" s="33" t="inlineStr">
        <is>
          <t>u</t>
        </is>
      </c>
      <c r="H209" s="17" t="inlineStr">
        <is>
          <t>Nuevo</t>
        </is>
      </c>
      <c r="I209" s="17" t="inlineStr">
        <is>
          <t>IRAM 3517-2:2020 9.4.14 · fig. 9 · tabla 4</t>
        </is>
      </c>
      <c r="J209" s="33" t="inlineStr">
        <is>
          <t>Sí</t>
        </is>
      </c>
      <c r="K209" s="17" t="inlineStr">
        <is>
          <t>Astuprint</t>
        </is>
      </c>
      <c r="L209" s="17" t="inlineStr">
        <is>
          <t>Multilabel Argentina S.A.</t>
        </is>
      </c>
    </row>
    <row r="210">
      <c r="A210" s="33" t="inlineStr">
        <is>
          <t>RK-AFFF50-B</t>
        </is>
      </c>
      <c r="B210" s="33" t="inlineStr">
        <is>
          <t>FL_MAT_AFFF_50l</t>
        </is>
      </c>
      <c r="C210" s="33" t="inlineStr">
        <is>
          <t>Extintor AFFF 50 l sobre ruedas</t>
        </is>
      </c>
      <c r="D210" s="17" t="inlineStr">
        <is>
          <t>B - Mantenimiento (PH cada 2 años en inoxidables y AFFF)</t>
        </is>
      </c>
      <c r="E210" s="17" t="inlineStr">
        <is>
          <t>Etiqueta de servicio del recargador (extintor n°, serie, próxima recarga y PH)</t>
        </is>
      </c>
      <c r="F210" s="33" t="n">
        <v>1</v>
      </c>
      <c r="G210" s="33" t="inlineStr">
        <is>
          <t>u</t>
        </is>
      </c>
      <c r="H210" s="17" t="inlineStr">
        <is>
          <t>Nuevo</t>
        </is>
      </c>
      <c r="I210" s="17" t="inlineStr">
        <is>
          <t>IRAM 3517-2:2020 8.3.3 · relevado Suyai/Firegram</t>
        </is>
      </c>
      <c r="J210" s="33" t="inlineStr">
        <is>
          <t>Sí</t>
        </is>
      </c>
      <c r="K210" s="17" t="inlineStr">
        <is>
          <t>Astuprint</t>
        </is>
      </c>
      <c r="L210" s="17" t="inlineStr">
        <is>
          <t>Multilabel Argentina S.A.</t>
        </is>
      </c>
    </row>
    <row r="211">
      <c r="A211" s="33" t="inlineStr">
        <is>
          <t>RK-AFFF50-B</t>
        </is>
      </c>
      <c r="B211" s="33" t="inlineStr">
        <is>
          <t>FL_MAT_AFFF_50l</t>
        </is>
      </c>
      <c r="C211" s="33" t="inlineStr">
        <is>
          <t>Extintor AFFF 50 l sobre ruedas</t>
        </is>
      </c>
      <c r="D211" s="17" t="inlineStr">
        <is>
          <t>B - Mantenimiento (PH cada 2 años en inoxidables y AFFF)</t>
        </is>
      </c>
      <c r="E211" s="17" t="inlineStr">
        <is>
          <t>Oblea PBA de recarga Ø46 + estampilla precinto 1" × 200 mm válvula-cuerpo</t>
        </is>
      </c>
      <c r="F211" s="33" t="n">
        <v>1</v>
      </c>
      <c r="G211" s="33" t="inlineStr">
        <is>
          <t>u</t>
        </is>
      </c>
      <c r="H211" s="17" t="inlineStr">
        <is>
          <t>Nuevo (venta en PBA)</t>
        </is>
      </c>
      <c r="I211" s="17" t="inlineStr">
        <is>
          <t>IRAM 3517-2:2020 Res. OPDS 522/07</t>
        </is>
      </c>
      <c r="J211" s="33" t="inlineStr">
        <is>
          <t>Sí</t>
        </is>
      </c>
      <c r="K211" s="17" t="inlineStr">
        <is>
          <t>Ministerio de Ambiente PBA (ex OPDS)</t>
        </is>
      </c>
      <c r="L211" s="17" t="inlineStr">
        <is>
          <t>-</t>
        </is>
      </c>
    </row>
    <row r="212">
      <c r="A212" s="33" t="inlineStr">
        <is>
          <t>RK-AFFF50-B</t>
        </is>
      </c>
      <c r="B212" s="33" t="inlineStr">
        <is>
          <t>FL_MAT_AFFF_50l</t>
        </is>
      </c>
      <c r="C212" s="33" t="inlineStr">
        <is>
          <t>Extintor AFFF 50 l sobre ruedas</t>
        </is>
      </c>
      <c r="D212" s="17" t="inlineStr">
        <is>
          <t>B - Mantenimiento (PH cada 2 años en inoxidables y AFFF)</t>
        </is>
      </c>
      <c r="E212" s="17" t="inlineStr">
        <is>
          <t>Tarjeta de identificación AGC (módulo papel con QR + etiqueta AGC)</t>
        </is>
      </c>
      <c r="F212" s="33" t="n">
        <v>1</v>
      </c>
      <c r="G212" s="33" t="inlineStr">
        <is>
          <t>u</t>
        </is>
      </c>
      <c r="H212" s="17" t="inlineStr">
        <is>
          <t>Nuevo (destino CABA)</t>
        </is>
      </c>
      <c r="I212" s="17" t="inlineStr">
        <is>
          <t>IRAM 3517-2:2020 Ord. 40.473 art. 6 · Res. AGC 32/15</t>
        </is>
      </c>
      <c r="J212" s="33" t="inlineStr">
        <is>
          <t>Sí</t>
        </is>
      </c>
      <c r="K212" s="17" t="inlineStr">
        <is>
          <t>Agencia Gubernamental de Control (CABA)</t>
        </is>
      </c>
      <c r="L212" s="17" t="inlineStr">
        <is>
          <t>-</t>
        </is>
      </c>
    </row>
    <row r="213">
      <c r="A213" s="33" t="inlineStr">
        <is>
          <t>RK-AFFF50-B</t>
        </is>
      </c>
      <c r="B213" s="33" t="inlineStr">
        <is>
          <t>FL_MAT_AFFF_50l</t>
        </is>
      </c>
      <c r="C213" s="33" t="inlineStr">
        <is>
          <t>Extintor AFFF 50 l sobre ruedas</t>
        </is>
      </c>
      <c r="D213" s="17" t="inlineStr">
        <is>
          <t>B - Mantenimiento (PH cada 2 años en inoxidables y AFFF)</t>
        </is>
      </c>
      <c r="E213" s="17" t="inlineStr">
        <is>
          <t>Tarjeta de identificación DPS de revisión / recarga</t>
        </is>
      </c>
      <c r="F213" s="33" t="n">
        <v>1</v>
      </c>
      <c r="G213" s="33" t="inlineStr">
        <is>
          <t>u</t>
        </is>
      </c>
      <c r="H213" s="17" t="inlineStr">
        <is>
          <t>Nuevo (PBA)</t>
        </is>
      </c>
      <c r="I213" s="17" t="inlineStr">
        <is>
          <t>IRAM 3517-2:2020 Res. 349/07 art. 21</t>
        </is>
      </c>
      <c r="J213" s="33" t="inlineStr">
        <is>
          <t>Sí</t>
        </is>
      </c>
      <c r="K213" s="17" t="inlineStr">
        <is>
          <t>Ministerio de Ambiente PBA (ex OPDS)</t>
        </is>
      </c>
      <c r="L213" s="17" t="inlineStr">
        <is>
          <t>-</t>
        </is>
      </c>
    </row>
    <row r="214">
      <c r="A214" s="33" t="inlineStr">
        <is>
          <t>RK-AFFF50-B</t>
        </is>
      </c>
      <c r="B214" s="33" t="inlineStr">
        <is>
          <t>FL_MAT_AFFF_50l</t>
        </is>
      </c>
      <c r="C214" s="33" t="inlineStr">
        <is>
          <t>Extintor AFFF 50 l sobre ruedas</t>
        </is>
      </c>
      <c r="D214" s="17" t="inlineStr">
        <is>
          <t>B - Mantenimiento (PH cada 2 años en inoxidables y AFFF)</t>
        </is>
      </c>
      <c r="E214" s="17" t="inlineStr">
        <is>
          <t>Grabado de la fecha del servicio en el tubo de pesca (lápiz vibratorio; en polvo, marcador indeleble)</t>
        </is>
      </c>
      <c r="F214" s="33" t="n">
        <v>1</v>
      </c>
      <c r="G214" s="33" t="inlineStr">
        <is>
          <t>u</t>
        </is>
      </c>
      <c r="H214" s="17" t="inlineStr">
        <is>
          <t>Proceso</t>
        </is>
      </c>
      <c r="I214" s="17" t="inlineStr">
        <is>
          <t>IRAM 3517-2:2020 Res. 349/07 art. 28</t>
        </is>
      </c>
      <c r="J214" s="33" t="inlineStr">
        <is>
          <t>No</t>
        </is>
      </c>
      <c r="K214" s="17" t="n"/>
      <c r="L214" s="17" t="n"/>
    </row>
    <row r="215">
      <c r="A215" s="33" t="inlineStr">
        <is>
          <t>RK-AFFF50-B</t>
        </is>
      </c>
      <c r="B215" s="33" t="inlineStr">
        <is>
          <t>FL_MAT_AFFF_50l</t>
        </is>
      </c>
      <c r="C215" s="33" t="inlineStr">
        <is>
          <t>Extintor AFFF 50 l sobre ruedas</t>
        </is>
      </c>
      <c r="D215" s="17" t="inlineStr">
        <is>
          <t>B - Mantenimiento (PH cada 2 años en inoxidables y AFFF)</t>
        </is>
      </c>
      <c r="E215" s="17" t="inlineStr">
        <is>
          <t>Si hubo PH: oblea de vencimiento de PH + «PH» y fecha grabados en el tubo de pesca (CO₂: fecha y logo estampados en la ojiva)</t>
        </is>
      </c>
      <c r="F215" s="33" t="n">
        <v>1</v>
      </c>
      <c r="G215" s="33" t="inlineStr">
        <is>
          <t>u</t>
        </is>
      </c>
      <c r="H215" s="17" t="inlineStr">
        <is>
          <t>Proceso</t>
        </is>
      </c>
      <c r="I215" s="17" t="inlineStr">
        <is>
          <t>IRAM 3517-2:2020 Res. 349/07 art. 29 · IRAM 3517-2</t>
        </is>
      </c>
      <c r="J215" s="33" t="inlineStr">
        <is>
          <t>No</t>
        </is>
      </c>
      <c r="K215" s="17" t="n"/>
      <c r="L215" s="17" t="n"/>
    </row>
    <row r="216">
      <c r="A216" s="41" t="inlineStr">
        <is>
          <t>RK-AFFF50-B</t>
        </is>
      </c>
      <c r="B216" s="41" t="inlineStr">
        <is>
          <t>FL_MAT_AFFF_50l</t>
        </is>
      </c>
      <c r="C216" s="41" t="inlineStr">
        <is>
          <t>Extintor AFFF 50 l sobre ruedas</t>
        </is>
      </c>
      <c r="D216" s="18" t="inlineStr">
        <is>
          <t>B - Mantenimiento (PH cada 2 años en inoxidables y AFFF)</t>
        </is>
      </c>
      <c r="E216" s="18" t="inlineStr">
        <is>
          <t>Junta tórica de asiento del cuello</t>
        </is>
      </c>
      <c r="F216" s="41" t="n">
        <v>1</v>
      </c>
      <c r="G216" s="41" t="inlineStr">
        <is>
          <t>u</t>
        </is>
      </c>
      <c r="H216" s="18" t="inlineStr">
        <is>
          <t>Nuevo (R: cambio sistemático)</t>
        </is>
      </c>
      <c r="I216" s="18" t="inlineStr"/>
      <c r="J216" s="41" t="inlineStr">
        <is>
          <t>Sí</t>
        </is>
      </c>
      <c r="K216" s="18" t="inlineStr">
        <is>
          <t>Argensold</t>
        </is>
      </c>
      <c r="L216" s="18" t="inlineStr">
        <is>
          <t>Matafuegos Iglesias</t>
        </is>
      </c>
    </row>
    <row r="217">
      <c r="A217" s="33" t="inlineStr">
        <is>
          <t>RK-AFFF50-B</t>
        </is>
      </c>
      <c r="B217" s="33" t="inlineStr">
        <is>
          <t>FL_MAT_AFFF_50l</t>
        </is>
      </c>
      <c r="C217" s="33" t="inlineStr">
        <is>
          <t>Extintor AFFF 50 l sobre ruedas</t>
        </is>
      </c>
      <c r="D217" s="17" t="inlineStr">
        <is>
          <t>B - Mantenimiento (PH cada 2 años en inoxidables y AFFF)</t>
        </is>
      </c>
      <c r="E217" s="17" t="inlineStr">
        <is>
          <t>Gas impulsor Aire comprimido</t>
        </is>
      </c>
      <c r="F217" s="33" t="n">
        <v>0.1265</v>
      </c>
      <c r="G217" s="33" t="inlineStr">
        <is>
          <t>kg</t>
        </is>
      </c>
      <c r="H217" s="17" t="inlineStr">
        <is>
          <t>Nuevo</t>
        </is>
      </c>
      <c r="I217" s="17" t="inlineStr">
        <is>
          <t>IRAM 3517-2:2020 9.4.9 tabla 2</t>
        </is>
      </c>
      <c r="J217" s="33" t="inlineStr">
        <is>
          <t>No</t>
        </is>
      </c>
      <c r="K217" s="17" t="n"/>
      <c r="L217" s="17" t="n"/>
    </row>
    <row r="218">
      <c r="A218" s="33" t="inlineStr">
        <is>
          <t>RK-AFFF50-I</t>
        </is>
      </c>
      <c r="B218" s="33" t="inlineStr">
        <is>
          <t>FL_MAT_AFFF_50l</t>
        </is>
      </c>
      <c r="C218" s="33" t="inlineStr">
        <is>
          <t>Extintor AFFF 50 l sobre ruedas</t>
        </is>
      </c>
      <c r="D218" s="17" t="inlineStr">
        <is>
          <t>Según inspección (consumo estadístico a definir)</t>
        </is>
      </c>
      <c r="E218" s="17" t="inlineStr">
        <is>
          <t>Manómetro / manguera / tobera / kit de válvula</t>
        </is>
      </c>
      <c r="F218" s="33" t="inlineStr">
        <is>
          <t>-</t>
        </is>
      </c>
      <c r="G218" s="33" t="inlineStr">
        <is>
          <t>u</t>
        </is>
      </c>
      <c r="H218" s="17" t="inlineStr">
        <is>
          <t>Recambio sólo si falla</t>
        </is>
      </c>
      <c r="I218" s="17" t="inlineStr">
        <is>
          <t>IRAM 3517-2:2020 9.4.11 (cada manguera vuelve a su extintor)</t>
        </is>
      </c>
      <c r="J218" s="33" t="inlineStr">
        <is>
          <t>Sí</t>
        </is>
      </c>
      <c r="K218" s="17" t="inlineStr">
        <is>
          <t>Polvex S.R.L. / Sancibrao</t>
        </is>
      </c>
      <c r="L218" s="17" t="inlineStr">
        <is>
          <t>Yukon / MatafuegosYa S.R.L.</t>
        </is>
      </c>
    </row>
    <row r="219">
      <c r="A219" s="33" t="inlineStr">
        <is>
          <t>RK-BC5-A</t>
        </is>
      </c>
      <c r="B219" s="33" t="inlineStr">
        <is>
          <t>FL_MAT_BC_5kg</t>
        </is>
      </c>
      <c r="C219" s="33" t="inlineStr">
        <is>
          <t>Extintor BC 5 kg</t>
        </is>
      </c>
      <c r="D219" s="17" t="inlineStr">
        <is>
          <t>A - Extintor descargado (uso o descarga parcial)</t>
        </is>
      </c>
      <c r="E219" s="17" t="inlineStr">
        <is>
          <t>Polvo químico seco BC (bicarbonato)</t>
        </is>
      </c>
      <c r="F219" s="33" t="n">
        <v>5</v>
      </c>
      <c r="G219" s="33" t="inlineStr">
        <is>
          <t>kg</t>
        </is>
      </c>
      <c r="H219" s="17" t="inlineStr">
        <is>
          <t>Nuevo 100 %</t>
        </is>
      </c>
      <c r="I219" s="17" t="inlineStr">
        <is>
          <t>IRAM 3517-2:2020 9.9.1.4: el polvo de un extintor accionado no se reutiliza</t>
        </is>
      </c>
      <c r="J219" s="33" t="inlineStr">
        <is>
          <t>Sí</t>
        </is>
      </c>
      <c r="K219" s="17" t="inlineStr">
        <is>
          <t>Polvex S.R.L. / Sancibrao</t>
        </is>
      </c>
      <c r="L219" s="17" t="inlineStr">
        <is>
          <t>DEM S.A. (DEMSA)</t>
        </is>
      </c>
    </row>
    <row r="220">
      <c r="A220" s="33" t="inlineStr">
        <is>
          <t>RK-BC5-A</t>
        </is>
      </c>
      <c r="B220" s="33" t="inlineStr">
        <is>
          <t>FL_MAT_BC_5kg</t>
        </is>
      </c>
      <c r="C220" s="33" t="inlineStr">
        <is>
          <t>Extintor BC 5 kg</t>
        </is>
      </c>
      <c r="D220" s="17" t="inlineStr">
        <is>
          <t>A - Extintor descargado (uso o descarga parcial)</t>
        </is>
      </c>
      <c r="E220" s="17" t="inlineStr">
        <is>
          <t>Precinto plástico numerado, color, con nombre del recargador</t>
        </is>
      </c>
      <c r="F220" s="33" t="n">
        <v>1</v>
      </c>
      <c r="G220" s="33" t="inlineStr">
        <is>
          <t>u</t>
        </is>
      </c>
      <c r="H220" s="17" t="inlineStr">
        <is>
          <t>Nuevo</t>
        </is>
      </c>
      <c r="I220" s="17" t="inlineStr">
        <is>
          <t>IRAM 3517-2:2020 9.4.13</t>
        </is>
      </c>
      <c r="J220" s="33" t="inlineStr">
        <is>
          <t>Sí</t>
        </is>
      </c>
      <c r="K220" s="17" t="inlineStr">
        <is>
          <t>SonFuertes (vía Papelera Damián)</t>
        </is>
      </c>
      <c r="L220" s="17" t="inlineStr">
        <is>
          <t>Precinter S.R.L.</t>
        </is>
      </c>
    </row>
    <row r="221">
      <c r="A221" s="33" t="inlineStr">
        <is>
          <t>RK-BC5-A</t>
        </is>
      </c>
      <c r="B221" s="33" t="inlineStr">
        <is>
          <t>FL_MAT_BC_5kg</t>
        </is>
      </c>
      <c r="C221" s="33" t="inlineStr">
        <is>
          <t>Extintor BC 5 kg</t>
        </is>
      </c>
      <c r="D221" s="17" t="inlineStr">
        <is>
          <t>A - Extintor descargado (uso o descarga parcial)</t>
        </is>
      </c>
      <c r="E221" s="17" t="inlineStr">
        <is>
          <t>Marbete (anillo, color del año)</t>
        </is>
      </c>
      <c r="F221" s="33" t="n">
        <v>1</v>
      </c>
      <c r="G221" s="33" t="inlineStr">
        <is>
          <t>u</t>
        </is>
      </c>
      <c r="H221" s="17" t="inlineStr">
        <is>
          <t>Nuevo</t>
        </is>
      </c>
      <c r="I221" s="17" t="inlineStr">
        <is>
          <t>IRAM 3517-2:2020 9.4.14 · fig. 9 · tabla 4</t>
        </is>
      </c>
      <c r="J221" s="33" t="inlineStr">
        <is>
          <t>Sí</t>
        </is>
      </c>
      <c r="K221" s="17" t="inlineStr">
        <is>
          <t>Astuprint</t>
        </is>
      </c>
      <c r="L221" s="17" t="inlineStr">
        <is>
          <t>Multilabel Argentina S.A.</t>
        </is>
      </c>
    </row>
    <row r="222">
      <c r="A222" s="33" t="inlineStr">
        <is>
          <t>RK-BC5-A</t>
        </is>
      </c>
      <c r="B222" s="33" t="inlineStr">
        <is>
          <t>FL_MAT_BC_5kg</t>
        </is>
      </c>
      <c r="C222" s="33" t="inlineStr">
        <is>
          <t>Extintor BC 5 kg</t>
        </is>
      </c>
      <c r="D222" s="17" t="inlineStr">
        <is>
          <t>A - Extintor descargado (uso o descarga parcial)</t>
        </is>
      </c>
      <c r="E222" s="17" t="inlineStr">
        <is>
          <t>Etiqueta de servicio del recargador (extintor n°, serie, próxima recarga y PH)</t>
        </is>
      </c>
      <c r="F222" s="33" t="n">
        <v>1</v>
      </c>
      <c r="G222" s="33" t="inlineStr">
        <is>
          <t>u</t>
        </is>
      </c>
      <c r="H222" s="17" t="inlineStr">
        <is>
          <t>Nuevo</t>
        </is>
      </c>
      <c r="I222" s="17" t="inlineStr">
        <is>
          <t>IRAM 3517-2:2020 8.3.3 · relevado Suyai/Firegram</t>
        </is>
      </c>
      <c r="J222" s="33" t="inlineStr">
        <is>
          <t>Sí</t>
        </is>
      </c>
      <c r="K222" s="17" t="inlineStr">
        <is>
          <t>Astuprint</t>
        </is>
      </c>
      <c r="L222" s="17" t="inlineStr">
        <is>
          <t>Multilabel Argentina S.A.</t>
        </is>
      </c>
    </row>
    <row r="223">
      <c r="A223" s="33" t="inlineStr">
        <is>
          <t>RK-BC5-A</t>
        </is>
      </c>
      <c r="B223" s="33" t="inlineStr">
        <is>
          <t>FL_MAT_BC_5kg</t>
        </is>
      </c>
      <c r="C223" s="33" t="inlineStr">
        <is>
          <t>Extintor BC 5 kg</t>
        </is>
      </c>
      <c r="D223" s="17" t="inlineStr">
        <is>
          <t>A - Extintor descargado (uso o descarga parcial)</t>
        </is>
      </c>
      <c r="E223" s="17" t="inlineStr">
        <is>
          <t>Oblea PBA de recarga Ø46 + estampilla precinto 1" × 200 mm válvula-cuerpo</t>
        </is>
      </c>
      <c r="F223" s="33" t="n">
        <v>1</v>
      </c>
      <c r="G223" s="33" t="inlineStr">
        <is>
          <t>u</t>
        </is>
      </c>
      <c r="H223" s="17" t="inlineStr">
        <is>
          <t>Nuevo (venta en PBA)</t>
        </is>
      </c>
      <c r="I223" s="17" t="inlineStr">
        <is>
          <t>IRAM 3517-2:2020 Res. OPDS 522/07</t>
        </is>
      </c>
      <c r="J223" s="33" t="inlineStr">
        <is>
          <t>Sí</t>
        </is>
      </c>
      <c r="K223" s="17" t="inlineStr">
        <is>
          <t>Ministerio de Ambiente PBA (ex OPDS)</t>
        </is>
      </c>
      <c r="L223" s="17" t="inlineStr">
        <is>
          <t>-</t>
        </is>
      </c>
    </row>
    <row r="224">
      <c r="A224" s="33" t="inlineStr">
        <is>
          <t>RK-BC5-A</t>
        </is>
      </c>
      <c r="B224" s="33" t="inlineStr">
        <is>
          <t>FL_MAT_BC_5kg</t>
        </is>
      </c>
      <c r="C224" s="33" t="inlineStr">
        <is>
          <t>Extintor BC 5 kg</t>
        </is>
      </c>
      <c r="D224" s="17" t="inlineStr">
        <is>
          <t>A - Extintor descargado (uso o descarga parcial)</t>
        </is>
      </c>
      <c r="E224" s="17" t="inlineStr">
        <is>
          <t>Tarjeta de identificación AGC (módulo papel con QR + etiqueta AGC)</t>
        </is>
      </c>
      <c r="F224" s="33" t="n">
        <v>1</v>
      </c>
      <c r="G224" s="33" t="inlineStr">
        <is>
          <t>u</t>
        </is>
      </c>
      <c r="H224" s="17" t="inlineStr">
        <is>
          <t>Nuevo (destino CABA)</t>
        </is>
      </c>
      <c r="I224" s="17" t="inlineStr">
        <is>
          <t>IRAM 3517-2:2020 Ord. 40.473 art. 6 · Res. AGC 32/15</t>
        </is>
      </c>
      <c r="J224" s="33" t="inlineStr">
        <is>
          <t>Sí</t>
        </is>
      </c>
      <c r="K224" s="17" t="inlineStr">
        <is>
          <t>Agencia Gubernamental de Control (CABA)</t>
        </is>
      </c>
      <c r="L224" s="17" t="inlineStr">
        <is>
          <t>-</t>
        </is>
      </c>
    </row>
    <row r="225">
      <c r="A225" s="33" t="inlineStr">
        <is>
          <t>RK-BC5-A</t>
        </is>
      </c>
      <c r="B225" s="33" t="inlineStr">
        <is>
          <t>FL_MAT_BC_5kg</t>
        </is>
      </c>
      <c r="C225" s="33" t="inlineStr">
        <is>
          <t>Extintor BC 5 kg</t>
        </is>
      </c>
      <c r="D225" s="17" t="inlineStr">
        <is>
          <t>A - Extintor descargado (uso o descarga parcial)</t>
        </is>
      </c>
      <c r="E225" s="17" t="inlineStr">
        <is>
          <t>Tarjeta de identificación DPS de revisión / recarga</t>
        </is>
      </c>
      <c r="F225" s="33" t="n">
        <v>1</v>
      </c>
      <c r="G225" s="33" t="inlineStr">
        <is>
          <t>u</t>
        </is>
      </c>
      <c r="H225" s="17" t="inlineStr">
        <is>
          <t>Nuevo (PBA)</t>
        </is>
      </c>
      <c r="I225" s="17" t="inlineStr">
        <is>
          <t>IRAM 3517-2:2020 Res. 349/07 art. 21</t>
        </is>
      </c>
      <c r="J225" s="33" t="inlineStr">
        <is>
          <t>Sí</t>
        </is>
      </c>
      <c r="K225" s="17" t="inlineStr">
        <is>
          <t>Ministerio de Ambiente PBA (ex OPDS)</t>
        </is>
      </c>
      <c r="L225" s="17" t="inlineStr">
        <is>
          <t>-</t>
        </is>
      </c>
    </row>
    <row r="226">
      <c r="A226" s="33" t="inlineStr">
        <is>
          <t>RK-BC5-A</t>
        </is>
      </c>
      <c r="B226" s="33" t="inlineStr">
        <is>
          <t>FL_MAT_BC_5kg</t>
        </is>
      </c>
      <c r="C226" s="33" t="inlineStr">
        <is>
          <t>Extintor BC 5 kg</t>
        </is>
      </c>
      <c r="D226" s="17" t="inlineStr">
        <is>
          <t>A - Extintor descargado (uso o descarga parcial)</t>
        </is>
      </c>
      <c r="E226" s="17" t="inlineStr">
        <is>
          <t>Grabado de la fecha del servicio en el tubo de pesca (lápiz vibratorio; en polvo, marcador indeleble)</t>
        </is>
      </c>
      <c r="F226" s="33" t="n">
        <v>1</v>
      </c>
      <c r="G226" s="33" t="inlineStr">
        <is>
          <t>u</t>
        </is>
      </c>
      <c r="H226" s="17" t="inlineStr">
        <is>
          <t>Proceso</t>
        </is>
      </c>
      <c r="I226" s="17" t="inlineStr">
        <is>
          <t>IRAM 3517-2:2020 Res. 349/07 art. 28</t>
        </is>
      </c>
      <c r="J226" s="33" t="inlineStr">
        <is>
          <t>No</t>
        </is>
      </c>
      <c r="K226" s="17" t="n"/>
      <c r="L226" s="17" t="n"/>
    </row>
    <row r="227">
      <c r="A227" s="33" t="inlineStr">
        <is>
          <t>RK-BC5-A</t>
        </is>
      </c>
      <c r="B227" s="33" t="inlineStr">
        <is>
          <t>FL_MAT_BC_5kg</t>
        </is>
      </c>
      <c r="C227" s="33" t="inlineStr">
        <is>
          <t>Extintor BC 5 kg</t>
        </is>
      </c>
      <c r="D227" s="17" t="inlineStr">
        <is>
          <t>A - Extintor descargado (uso o descarga parcial)</t>
        </is>
      </c>
      <c r="E227" s="17" t="inlineStr">
        <is>
          <t>Si hubo PH: oblea de vencimiento de PH + «PH» y fecha grabados en el tubo de pesca (CO₂: fecha y logo estampados en la ojiva)</t>
        </is>
      </c>
      <c r="F227" s="33" t="n">
        <v>1</v>
      </c>
      <c r="G227" s="33" t="inlineStr">
        <is>
          <t>u</t>
        </is>
      </c>
      <c r="H227" s="17" t="inlineStr">
        <is>
          <t>Proceso</t>
        </is>
      </c>
      <c r="I227" s="17" t="inlineStr">
        <is>
          <t>IRAM 3517-2:2020 Res. 349/07 art. 29 · IRAM 3517-2</t>
        </is>
      </c>
      <c r="J227" s="33" t="inlineStr">
        <is>
          <t>No</t>
        </is>
      </c>
      <c r="K227" s="17" t="n"/>
      <c r="L227" s="17" t="n"/>
    </row>
    <row r="228">
      <c r="A228" s="41" t="inlineStr">
        <is>
          <t>RK-BC5-A</t>
        </is>
      </c>
      <c r="B228" s="41" t="inlineStr">
        <is>
          <t>FL_MAT_BC_5kg</t>
        </is>
      </c>
      <c r="C228" s="41" t="inlineStr">
        <is>
          <t>Extintor BC 5 kg</t>
        </is>
      </c>
      <c r="D228" s="18" t="inlineStr">
        <is>
          <t>A - Extintor descargado (uso o descarga parcial)</t>
        </is>
      </c>
      <c r="E228" s="18" t="inlineStr">
        <is>
          <t>Junta tórica de asiento del cuello</t>
        </is>
      </c>
      <c r="F228" s="41" t="n">
        <v>1</v>
      </c>
      <c r="G228" s="41" t="inlineStr">
        <is>
          <t>u</t>
        </is>
      </c>
      <c r="H228" s="18" t="inlineStr">
        <is>
          <t>Nuevo (R: cambio sistemático)</t>
        </is>
      </c>
      <c r="I228" s="18" t="inlineStr"/>
      <c r="J228" s="41" t="inlineStr">
        <is>
          <t>Sí</t>
        </is>
      </c>
      <c r="K228" s="18" t="inlineStr">
        <is>
          <t>Argensold</t>
        </is>
      </c>
      <c r="L228" s="18" t="inlineStr">
        <is>
          <t>Matafuegos Iglesias</t>
        </is>
      </c>
    </row>
    <row r="229">
      <c r="A229" s="33" t="inlineStr">
        <is>
          <t>RK-BC5-A</t>
        </is>
      </c>
      <c r="B229" s="33" t="inlineStr">
        <is>
          <t>FL_MAT_BC_5kg</t>
        </is>
      </c>
      <c r="C229" s="33" t="inlineStr">
        <is>
          <t>Extintor BC 5 kg</t>
        </is>
      </c>
      <c r="D229" s="17" t="inlineStr">
        <is>
          <t>A - Extintor descargado (uso o descarga parcial)</t>
        </is>
      </c>
      <c r="E229" s="17" t="inlineStr">
        <is>
          <t>Gas impulsor N₂</t>
        </is>
      </c>
      <c r="F229" s="33" t="n">
        <v>0.0077</v>
      </c>
      <c r="G229" s="33" t="inlineStr">
        <is>
          <t>kg</t>
        </is>
      </c>
      <c r="H229" s="17" t="inlineStr">
        <is>
          <t>Nuevo</t>
        </is>
      </c>
      <c r="I229" s="17" t="inlineStr">
        <is>
          <t>IRAM 3517-2:2020 9.4.9 tabla 2</t>
        </is>
      </c>
      <c r="J229" s="33" t="inlineStr">
        <is>
          <t>Sí</t>
        </is>
      </c>
      <c r="K229" s="17" t="inlineStr">
        <is>
          <t>Air Liquide Argentina - sucursal Piñeyro</t>
        </is>
      </c>
      <c r="L229" s="17" t="inlineStr">
        <is>
          <t>Gogniat</t>
        </is>
      </c>
    </row>
    <row r="230">
      <c r="A230" s="33" t="inlineStr">
        <is>
          <t>RK-BC5-B</t>
        </is>
      </c>
      <c r="B230" s="33" t="inlineStr">
        <is>
          <t>FL_MAT_BC_5kg</t>
        </is>
      </c>
      <c r="C230" s="33" t="inlineStr">
        <is>
          <t>Extintor BC 5 kg</t>
        </is>
      </c>
      <c r="D230" s="17" t="inlineStr">
        <is>
          <t>B - Mantenimiento con apertura sin descarga (control interior, PH)</t>
        </is>
      </c>
      <c r="E230" s="17" t="inlineStr">
        <is>
          <t>Polvo químico seco BC (bicarbonato) recuperado</t>
        </is>
      </c>
      <c r="F230" s="33" t="n">
        <v>4.85</v>
      </c>
      <c r="G230" s="33" t="inlineStr">
        <is>
          <t>kg</t>
        </is>
      </c>
      <c r="H230" s="17" t="inlineStr">
        <is>
          <t>Recuperado en sistema cerrado</t>
        </is>
      </c>
      <c r="I230" s="17" t="inlineStr">
        <is>
          <t>IRAM 3517-2:2020 4.4.1 y) sistema cerrado de recuperación con inspección; 9.9.3 control (puffer IRAM 3672, fusión IRAM 3569 en ABC)</t>
        </is>
      </c>
      <c r="J230" s="33" t="inlineStr">
        <is>
          <t>No</t>
        </is>
      </c>
      <c r="K230" s="17" t="n"/>
      <c r="L230" s="17" t="n"/>
    </row>
    <row r="231">
      <c r="A231" s="41" t="inlineStr">
        <is>
          <t>RK-BC5-B</t>
        </is>
      </c>
      <c r="B231" s="41" t="inlineStr">
        <is>
          <t>FL_MAT_BC_5kg</t>
        </is>
      </c>
      <c r="C231" s="41" t="inlineStr">
        <is>
          <t>Extintor BC 5 kg</t>
        </is>
      </c>
      <c r="D231" s="18" t="inlineStr">
        <is>
          <t>B - Mantenimiento con apertura sin descarga (control interior, PH)</t>
        </is>
      </c>
      <c r="E231" s="18" t="inlineStr">
        <is>
          <t>Polvo químico seco BC (bicarbonato) de reposición de mermas</t>
        </is>
      </c>
      <c r="F231" s="41" t="n">
        <v>0.15</v>
      </c>
      <c r="G231" s="41" t="inlineStr">
        <is>
          <t>kg</t>
        </is>
      </c>
      <c r="H231" s="18" t="inlineStr">
        <is>
          <t>Nuevo (R: 3 % de merma)</t>
        </is>
      </c>
      <c r="I231" s="18" t="inlineStr">
        <is>
          <t>Mismo tipo y marca (prohibido mezclar ABC con BC, 9.9.1.6)</t>
        </is>
      </c>
      <c r="J231" s="41" t="inlineStr">
        <is>
          <t>Sí</t>
        </is>
      </c>
      <c r="K231" s="18" t="inlineStr">
        <is>
          <t>Polvex S.R.L. / Sancibrao</t>
        </is>
      </c>
      <c r="L231" s="18" t="inlineStr">
        <is>
          <t>DEM S.A. (DEMSA)</t>
        </is>
      </c>
    </row>
    <row r="232">
      <c r="A232" s="33" t="inlineStr">
        <is>
          <t>RK-BC5-B</t>
        </is>
      </c>
      <c r="B232" s="33" t="inlineStr">
        <is>
          <t>FL_MAT_BC_5kg</t>
        </is>
      </c>
      <c r="C232" s="33" t="inlineStr">
        <is>
          <t>Extintor BC 5 kg</t>
        </is>
      </c>
      <c r="D232" s="17" t="inlineStr">
        <is>
          <t>B - Mantenimiento con apertura sin descarga (control interior, PH)</t>
        </is>
      </c>
      <c r="E232" s="17" t="inlineStr">
        <is>
          <t>Precinto plástico numerado, color, con nombre del recargador</t>
        </is>
      </c>
      <c r="F232" s="33" t="n">
        <v>1</v>
      </c>
      <c r="G232" s="33" t="inlineStr">
        <is>
          <t>u</t>
        </is>
      </c>
      <c r="H232" s="17" t="inlineStr">
        <is>
          <t>Nuevo</t>
        </is>
      </c>
      <c r="I232" s="17" t="inlineStr">
        <is>
          <t>IRAM 3517-2:2020 9.4.13</t>
        </is>
      </c>
      <c r="J232" s="33" t="inlineStr">
        <is>
          <t>Sí</t>
        </is>
      </c>
      <c r="K232" s="17" t="inlineStr">
        <is>
          <t>SonFuertes (vía Papelera Damián)</t>
        </is>
      </c>
      <c r="L232" s="17" t="inlineStr">
        <is>
          <t>Precinter S.R.L.</t>
        </is>
      </c>
    </row>
    <row r="233">
      <c r="A233" s="33" t="inlineStr">
        <is>
          <t>RK-BC5-B</t>
        </is>
      </c>
      <c r="B233" s="33" t="inlineStr">
        <is>
          <t>FL_MAT_BC_5kg</t>
        </is>
      </c>
      <c r="C233" s="33" t="inlineStr">
        <is>
          <t>Extintor BC 5 kg</t>
        </is>
      </c>
      <c r="D233" s="17" t="inlineStr">
        <is>
          <t>B - Mantenimiento con apertura sin descarga (control interior, PH)</t>
        </is>
      </c>
      <c r="E233" s="17" t="inlineStr">
        <is>
          <t>Marbete (anillo, color del año)</t>
        </is>
      </c>
      <c r="F233" s="33" t="n">
        <v>1</v>
      </c>
      <c r="G233" s="33" t="inlineStr">
        <is>
          <t>u</t>
        </is>
      </c>
      <c r="H233" s="17" t="inlineStr">
        <is>
          <t>Nuevo</t>
        </is>
      </c>
      <c r="I233" s="17" t="inlineStr">
        <is>
          <t>IRAM 3517-2:2020 9.4.14 · fig. 9 · tabla 4</t>
        </is>
      </c>
      <c r="J233" s="33" t="inlineStr">
        <is>
          <t>Sí</t>
        </is>
      </c>
      <c r="K233" s="17" t="inlineStr">
        <is>
          <t>Astuprint</t>
        </is>
      </c>
      <c r="L233" s="17" t="inlineStr">
        <is>
          <t>Multilabel Argentina S.A.</t>
        </is>
      </c>
    </row>
    <row r="234">
      <c r="A234" s="33" t="inlineStr">
        <is>
          <t>RK-BC5-B</t>
        </is>
      </c>
      <c r="B234" s="33" t="inlineStr">
        <is>
          <t>FL_MAT_BC_5kg</t>
        </is>
      </c>
      <c r="C234" s="33" t="inlineStr">
        <is>
          <t>Extintor BC 5 kg</t>
        </is>
      </c>
      <c r="D234" s="17" t="inlineStr">
        <is>
          <t>B - Mantenimiento con apertura sin descarga (control interior, PH)</t>
        </is>
      </c>
      <c r="E234" s="17" t="inlineStr">
        <is>
          <t>Etiqueta de servicio del recargador (extintor n°, serie, próxima recarga y PH)</t>
        </is>
      </c>
      <c r="F234" s="33" t="n">
        <v>1</v>
      </c>
      <c r="G234" s="33" t="inlineStr">
        <is>
          <t>u</t>
        </is>
      </c>
      <c r="H234" s="17" t="inlineStr">
        <is>
          <t>Nuevo</t>
        </is>
      </c>
      <c r="I234" s="17" t="inlineStr">
        <is>
          <t>IRAM 3517-2:2020 8.3.3 · relevado Suyai/Firegram</t>
        </is>
      </c>
      <c r="J234" s="33" t="inlineStr">
        <is>
          <t>Sí</t>
        </is>
      </c>
      <c r="K234" s="17" t="inlineStr">
        <is>
          <t>Astuprint</t>
        </is>
      </c>
      <c r="L234" s="17" t="inlineStr">
        <is>
          <t>Multilabel Argentina S.A.</t>
        </is>
      </c>
    </row>
    <row r="235">
      <c r="A235" s="33" t="inlineStr">
        <is>
          <t>RK-BC5-B</t>
        </is>
      </c>
      <c r="B235" s="33" t="inlineStr">
        <is>
          <t>FL_MAT_BC_5kg</t>
        </is>
      </c>
      <c r="C235" s="33" t="inlineStr">
        <is>
          <t>Extintor BC 5 kg</t>
        </is>
      </c>
      <c r="D235" s="17" t="inlineStr">
        <is>
          <t>B - Mantenimiento con apertura sin descarga (control interior, PH)</t>
        </is>
      </c>
      <c r="E235" s="17" t="inlineStr">
        <is>
          <t>Oblea PBA de recarga Ø46 + estampilla precinto 1" × 200 mm válvula-cuerpo</t>
        </is>
      </c>
      <c r="F235" s="33" t="n">
        <v>1</v>
      </c>
      <c r="G235" s="33" t="inlineStr">
        <is>
          <t>u</t>
        </is>
      </c>
      <c r="H235" s="17" t="inlineStr">
        <is>
          <t>Nuevo (venta en PBA)</t>
        </is>
      </c>
      <c r="I235" s="17" t="inlineStr">
        <is>
          <t>IRAM 3517-2:2020 Res. OPDS 522/07</t>
        </is>
      </c>
      <c r="J235" s="33" t="inlineStr">
        <is>
          <t>Sí</t>
        </is>
      </c>
      <c r="K235" s="17" t="inlineStr">
        <is>
          <t>Ministerio de Ambiente PBA (ex OPDS)</t>
        </is>
      </c>
      <c r="L235" s="17" t="inlineStr">
        <is>
          <t>-</t>
        </is>
      </c>
    </row>
    <row r="236">
      <c r="A236" s="33" t="inlineStr">
        <is>
          <t>RK-BC5-B</t>
        </is>
      </c>
      <c r="B236" s="33" t="inlineStr">
        <is>
          <t>FL_MAT_BC_5kg</t>
        </is>
      </c>
      <c r="C236" s="33" t="inlineStr">
        <is>
          <t>Extintor BC 5 kg</t>
        </is>
      </c>
      <c r="D236" s="17" t="inlineStr">
        <is>
          <t>B - Mantenimiento con apertura sin descarga (control interior, PH)</t>
        </is>
      </c>
      <c r="E236" s="17" t="inlineStr">
        <is>
          <t>Tarjeta de identificación AGC (módulo papel con QR + etiqueta AGC)</t>
        </is>
      </c>
      <c r="F236" s="33" t="n">
        <v>1</v>
      </c>
      <c r="G236" s="33" t="inlineStr">
        <is>
          <t>u</t>
        </is>
      </c>
      <c r="H236" s="17" t="inlineStr">
        <is>
          <t>Nuevo (destino CABA)</t>
        </is>
      </c>
      <c r="I236" s="17" t="inlineStr">
        <is>
          <t>IRAM 3517-2:2020 Ord. 40.473 art. 6 · Res. AGC 32/15</t>
        </is>
      </c>
      <c r="J236" s="33" t="inlineStr">
        <is>
          <t>Sí</t>
        </is>
      </c>
      <c r="K236" s="17" t="inlineStr">
        <is>
          <t>Agencia Gubernamental de Control (CABA)</t>
        </is>
      </c>
      <c r="L236" s="17" t="inlineStr">
        <is>
          <t>-</t>
        </is>
      </c>
    </row>
    <row r="237">
      <c r="A237" s="33" t="inlineStr">
        <is>
          <t>RK-BC5-B</t>
        </is>
      </c>
      <c r="B237" s="33" t="inlineStr">
        <is>
          <t>FL_MAT_BC_5kg</t>
        </is>
      </c>
      <c r="C237" s="33" t="inlineStr">
        <is>
          <t>Extintor BC 5 kg</t>
        </is>
      </c>
      <c r="D237" s="17" t="inlineStr">
        <is>
          <t>B - Mantenimiento con apertura sin descarga (control interior, PH)</t>
        </is>
      </c>
      <c r="E237" s="17" t="inlineStr">
        <is>
          <t>Tarjeta de identificación DPS de revisión / recarga</t>
        </is>
      </c>
      <c r="F237" s="33" t="n">
        <v>1</v>
      </c>
      <c r="G237" s="33" t="inlineStr">
        <is>
          <t>u</t>
        </is>
      </c>
      <c r="H237" s="17" t="inlineStr">
        <is>
          <t>Nuevo (PBA)</t>
        </is>
      </c>
      <c r="I237" s="17" t="inlineStr">
        <is>
          <t>IRAM 3517-2:2020 Res. 349/07 art. 21</t>
        </is>
      </c>
      <c r="J237" s="33" t="inlineStr">
        <is>
          <t>Sí</t>
        </is>
      </c>
      <c r="K237" s="17" t="inlineStr">
        <is>
          <t>Ministerio de Ambiente PBA (ex OPDS)</t>
        </is>
      </c>
      <c r="L237" s="17" t="inlineStr">
        <is>
          <t>-</t>
        </is>
      </c>
    </row>
    <row r="238">
      <c r="A238" s="33" t="inlineStr">
        <is>
          <t>RK-BC5-B</t>
        </is>
      </c>
      <c r="B238" s="33" t="inlineStr">
        <is>
          <t>FL_MAT_BC_5kg</t>
        </is>
      </c>
      <c r="C238" s="33" t="inlineStr">
        <is>
          <t>Extintor BC 5 kg</t>
        </is>
      </c>
      <c r="D238" s="17" t="inlineStr">
        <is>
          <t>B - Mantenimiento con apertura sin descarga (control interior, PH)</t>
        </is>
      </c>
      <c r="E238" s="17" t="inlineStr">
        <is>
          <t>Grabado de la fecha del servicio en el tubo de pesca (lápiz vibratorio; en polvo, marcador indeleble)</t>
        </is>
      </c>
      <c r="F238" s="33" t="n">
        <v>1</v>
      </c>
      <c r="G238" s="33" t="inlineStr">
        <is>
          <t>u</t>
        </is>
      </c>
      <c r="H238" s="17" t="inlineStr">
        <is>
          <t>Proceso</t>
        </is>
      </c>
      <c r="I238" s="17" t="inlineStr">
        <is>
          <t>IRAM 3517-2:2020 Res. 349/07 art. 28</t>
        </is>
      </c>
      <c r="J238" s="33" t="inlineStr">
        <is>
          <t>No</t>
        </is>
      </c>
      <c r="K238" s="17" t="n"/>
      <c r="L238" s="17" t="n"/>
    </row>
    <row r="239">
      <c r="A239" s="33" t="inlineStr">
        <is>
          <t>RK-BC5-B</t>
        </is>
      </c>
      <c r="B239" s="33" t="inlineStr">
        <is>
          <t>FL_MAT_BC_5kg</t>
        </is>
      </c>
      <c r="C239" s="33" t="inlineStr">
        <is>
          <t>Extintor BC 5 kg</t>
        </is>
      </c>
      <c r="D239" s="17" t="inlineStr">
        <is>
          <t>B - Mantenimiento con apertura sin descarga (control interior, PH)</t>
        </is>
      </c>
      <c r="E239" s="17" t="inlineStr">
        <is>
          <t>Si hubo PH: oblea de vencimiento de PH + «PH» y fecha grabados en el tubo de pesca (CO₂: fecha y logo estampados en la ojiva)</t>
        </is>
      </c>
      <c r="F239" s="33" t="n">
        <v>1</v>
      </c>
      <c r="G239" s="33" t="inlineStr">
        <is>
          <t>u</t>
        </is>
      </c>
      <c r="H239" s="17" t="inlineStr">
        <is>
          <t>Proceso</t>
        </is>
      </c>
      <c r="I239" s="17" t="inlineStr">
        <is>
          <t>IRAM 3517-2:2020 Res. 349/07 art. 29 · IRAM 3517-2</t>
        </is>
      </c>
      <c r="J239" s="33" t="inlineStr">
        <is>
          <t>No</t>
        </is>
      </c>
      <c r="K239" s="17" t="n"/>
      <c r="L239" s="17" t="n"/>
    </row>
    <row r="240">
      <c r="A240" s="41" t="inlineStr">
        <is>
          <t>RK-BC5-B</t>
        </is>
      </c>
      <c r="B240" s="41" t="inlineStr">
        <is>
          <t>FL_MAT_BC_5kg</t>
        </is>
      </c>
      <c r="C240" s="41" t="inlineStr">
        <is>
          <t>Extintor BC 5 kg</t>
        </is>
      </c>
      <c r="D240" s="18" t="inlineStr">
        <is>
          <t>B - Mantenimiento con apertura sin descarga (control interior, PH)</t>
        </is>
      </c>
      <c r="E240" s="18" t="inlineStr">
        <is>
          <t>Junta tórica de asiento del cuello</t>
        </is>
      </c>
      <c r="F240" s="41" t="n">
        <v>1</v>
      </c>
      <c r="G240" s="41" t="inlineStr">
        <is>
          <t>u</t>
        </is>
      </c>
      <c r="H240" s="18" t="inlineStr">
        <is>
          <t>Nuevo (R: cambio sistemático)</t>
        </is>
      </c>
      <c r="I240" s="18" t="inlineStr"/>
      <c r="J240" s="41" t="inlineStr">
        <is>
          <t>Sí</t>
        </is>
      </c>
      <c r="K240" s="18" t="inlineStr">
        <is>
          <t>Argensold</t>
        </is>
      </c>
      <c r="L240" s="18" t="inlineStr">
        <is>
          <t>Matafuegos Iglesias</t>
        </is>
      </c>
    </row>
    <row r="241">
      <c r="A241" s="33" t="inlineStr">
        <is>
          <t>RK-BC5-B</t>
        </is>
      </c>
      <c r="B241" s="33" t="inlineStr">
        <is>
          <t>FL_MAT_BC_5kg</t>
        </is>
      </c>
      <c r="C241" s="33" t="inlineStr">
        <is>
          <t>Extintor BC 5 kg</t>
        </is>
      </c>
      <c r="D241" s="17" t="inlineStr">
        <is>
          <t>B - Mantenimiento con apertura sin descarga (control interior, PH)</t>
        </is>
      </c>
      <c r="E241" s="17" t="inlineStr">
        <is>
          <t>Gas impulsor N₂</t>
        </is>
      </c>
      <c r="F241" s="33" t="n">
        <v>0.0077</v>
      </c>
      <c r="G241" s="33" t="inlineStr">
        <is>
          <t>kg</t>
        </is>
      </c>
      <c r="H241" s="17" t="inlineStr">
        <is>
          <t>Nuevo</t>
        </is>
      </c>
      <c r="I241" s="17" t="inlineStr">
        <is>
          <t>IRAM 3517-2:2020 9.4.9 tabla 2</t>
        </is>
      </c>
      <c r="J241" s="33" t="inlineStr">
        <is>
          <t>Sí</t>
        </is>
      </c>
      <c r="K241" s="17" t="inlineStr">
        <is>
          <t>Air Liquide Argentina - sucursal Piñeyro</t>
        </is>
      </c>
      <c r="L241" s="17" t="inlineStr">
        <is>
          <t>Gogniat</t>
        </is>
      </c>
    </row>
    <row r="242">
      <c r="A242" s="33" t="inlineStr">
        <is>
          <t>RK-BC5-C</t>
        </is>
      </c>
      <c r="B242" s="33" t="inlineStr">
        <is>
          <t>FL_MAT_BC_5kg</t>
        </is>
      </c>
      <c r="C242" s="33" t="inlineStr">
        <is>
          <t>Extintor BC 5 kg</t>
        </is>
      </c>
      <c r="D242" s="17" t="inlineStr">
        <is>
          <t>C - Cambio obligatorio de polvo (versión anterior de la IRAM 3569)</t>
        </is>
      </c>
      <c r="E242" s="17" t="inlineStr">
        <is>
          <t>Polvo químico seco BC (bicarbonato)</t>
        </is>
      </c>
      <c r="F242" s="33" t="n">
        <v>5</v>
      </c>
      <c r="G242" s="33" t="inlineStr">
        <is>
          <t>kg</t>
        </is>
      </c>
      <c r="H242" s="17" t="inlineStr">
        <is>
          <t>Nuevo 100 %; el viejo va a residuos (RC-IR)</t>
        </is>
      </c>
      <c r="I242" s="17" t="inlineStr">
        <is>
          <t>IRAM 3517-2:2020 9.9.4</t>
        </is>
      </c>
      <c r="J242" s="33" t="inlineStr">
        <is>
          <t>Sí</t>
        </is>
      </c>
      <c r="K242" s="17" t="inlineStr">
        <is>
          <t>Polvex S.R.L. / Sancibrao</t>
        </is>
      </c>
      <c r="L242" s="17" t="inlineStr">
        <is>
          <t>DEM S.A. (DEMSA)</t>
        </is>
      </c>
    </row>
    <row r="243">
      <c r="A243" s="33" t="inlineStr">
        <is>
          <t>RK-BC5-C</t>
        </is>
      </c>
      <c r="B243" s="33" t="inlineStr">
        <is>
          <t>FL_MAT_BC_5kg</t>
        </is>
      </c>
      <c r="C243" s="33" t="inlineStr">
        <is>
          <t>Extintor BC 5 kg</t>
        </is>
      </c>
      <c r="D243" s="17" t="inlineStr">
        <is>
          <t>C - Cambio obligatorio de polvo (versión anterior de la IRAM 3569)</t>
        </is>
      </c>
      <c r="E243" s="17" t="inlineStr">
        <is>
          <t>Precinto plástico numerado, color, con nombre del recargador</t>
        </is>
      </c>
      <c r="F243" s="33" t="n">
        <v>1</v>
      </c>
      <c r="G243" s="33" t="inlineStr">
        <is>
          <t>u</t>
        </is>
      </c>
      <c r="H243" s="17" t="inlineStr">
        <is>
          <t>Nuevo</t>
        </is>
      </c>
      <c r="I243" s="17" t="inlineStr">
        <is>
          <t>IRAM 3517-2:2020 9.4.13</t>
        </is>
      </c>
      <c r="J243" s="33" t="inlineStr">
        <is>
          <t>Sí</t>
        </is>
      </c>
      <c r="K243" s="17" t="inlineStr">
        <is>
          <t>SonFuertes (vía Papelera Damián)</t>
        </is>
      </c>
      <c r="L243" s="17" t="inlineStr">
        <is>
          <t>Precinter S.R.L.</t>
        </is>
      </c>
    </row>
    <row r="244">
      <c r="A244" s="33" t="inlineStr">
        <is>
          <t>RK-BC5-C</t>
        </is>
      </c>
      <c r="B244" s="33" t="inlineStr">
        <is>
          <t>FL_MAT_BC_5kg</t>
        </is>
      </c>
      <c r="C244" s="33" t="inlineStr">
        <is>
          <t>Extintor BC 5 kg</t>
        </is>
      </c>
      <c r="D244" s="17" t="inlineStr">
        <is>
          <t>C - Cambio obligatorio de polvo (versión anterior de la IRAM 3569)</t>
        </is>
      </c>
      <c r="E244" s="17" t="inlineStr">
        <is>
          <t>Marbete (anillo, color del año)</t>
        </is>
      </c>
      <c r="F244" s="33" t="n">
        <v>1</v>
      </c>
      <c r="G244" s="33" t="inlineStr">
        <is>
          <t>u</t>
        </is>
      </c>
      <c r="H244" s="17" t="inlineStr">
        <is>
          <t>Nuevo</t>
        </is>
      </c>
      <c r="I244" s="17" t="inlineStr">
        <is>
          <t>IRAM 3517-2:2020 9.4.14 · fig. 9 · tabla 4</t>
        </is>
      </c>
      <c r="J244" s="33" t="inlineStr">
        <is>
          <t>Sí</t>
        </is>
      </c>
      <c r="K244" s="17" t="inlineStr">
        <is>
          <t>Astuprint</t>
        </is>
      </c>
      <c r="L244" s="17" t="inlineStr">
        <is>
          <t>Multilabel Argentina S.A.</t>
        </is>
      </c>
    </row>
    <row r="245">
      <c r="A245" s="33" t="inlineStr">
        <is>
          <t>RK-BC5-C</t>
        </is>
      </c>
      <c r="B245" s="33" t="inlineStr">
        <is>
          <t>FL_MAT_BC_5kg</t>
        </is>
      </c>
      <c r="C245" s="33" t="inlineStr">
        <is>
          <t>Extintor BC 5 kg</t>
        </is>
      </c>
      <c r="D245" s="17" t="inlineStr">
        <is>
          <t>C - Cambio obligatorio de polvo (versión anterior de la IRAM 3569)</t>
        </is>
      </c>
      <c r="E245" s="17" t="inlineStr">
        <is>
          <t>Etiqueta de servicio del recargador (extintor n°, serie, próxima recarga y PH)</t>
        </is>
      </c>
      <c r="F245" s="33" t="n">
        <v>1</v>
      </c>
      <c r="G245" s="33" t="inlineStr">
        <is>
          <t>u</t>
        </is>
      </c>
      <c r="H245" s="17" t="inlineStr">
        <is>
          <t>Nuevo</t>
        </is>
      </c>
      <c r="I245" s="17" t="inlineStr">
        <is>
          <t>IRAM 3517-2:2020 8.3.3 · relevado Suyai/Firegram</t>
        </is>
      </c>
      <c r="J245" s="33" t="inlineStr">
        <is>
          <t>Sí</t>
        </is>
      </c>
      <c r="K245" s="17" t="inlineStr">
        <is>
          <t>Astuprint</t>
        </is>
      </c>
      <c r="L245" s="17" t="inlineStr">
        <is>
          <t>Multilabel Argentina S.A.</t>
        </is>
      </c>
    </row>
    <row r="246">
      <c r="A246" s="33" t="inlineStr">
        <is>
          <t>RK-BC5-C</t>
        </is>
      </c>
      <c r="B246" s="33" t="inlineStr">
        <is>
          <t>FL_MAT_BC_5kg</t>
        </is>
      </c>
      <c r="C246" s="33" t="inlineStr">
        <is>
          <t>Extintor BC 5 kg</t>
        </is>
      </c>
      <c r="D246" s="17" t="inlineStr">
        <is>
          <t>C - Cambio obligatorio de polvo (versión anterior de la IRAM 3569)</t>
        </is>
      </c>
      <c r="E246" s="17" t="inlineStr">
        <is>
          <t>Oblea PBA de recarga Ø46 + estampilla precinto 1" × 200 mm válvula-cuerpo</t>
        </is>
      </c>
      <c r="F246" s="33" t="n">
        <v>1</v>
      </c>
      <c r="G246" s="33" t="inlineStr">
        <is>
          <t>u</t>
        </is>
      </c>
      <c r="H246" s="17" t="inlineStr">
        <is>
          <t>Nuevo (venta en PBA)</t>
        </is>
      </c>
      <c r="I246" s="17" t="inlineStr">
        <is>
          <t>IRAM 3517-2:2020 Res. OPDS 522/07</t>
        </is>
      </c>
      <c r="J246" s="33" t="inlineStr">
        <is>
          <t>Sí</t>
        </is>
      </c>
      <c r="K246" s="17" t="inlineStr">
        <is>
          <t>Ministerio de Ambiente PBA (ex OPDS)</t>
        </is>
      </c>
      <c r="L246" s="17" t="inlineStr">
        <is>
          <t>-</t>
        </is>
      </c>
    </row>
    <row r="247">
      <c r="A247" s="33" t="inlineStr">
        <is>
          <t>RK-BC5-C</t>
        </is>
      </c>
      <c r="B247" s="33" t="inlineStr">
        <is>
          <t>FL_MAT_BC_5kg</t>
        </is>
      </c>
      <c r="C247" s="33" t="inlineStr">
        <is>
          <t>Extintor BC 5 kg</t>
        </is>
      </c>
      <c r="D247" s="17" t="inlineStr">
        <is>
          <t>C - Cambio obligatorio de polvo (versión anterior de la IRAM 3569)</t>
        </is>
      </c>
      <c r="E247" s="17" t="inlineStr">
        <is>
          <t>Tarjeta de identificación AGC (módulo papel con QR + etiqueta AGC)</t>
        </is>
      </c>
      <c r="F247" s="33" t="n">
        <v>1</v>
      </c>
      <c r="G247" s="33" t="inlineStr">
        <is>
          <t>u</t>
        </is>
      </c>
      <c r="H247" s="17" t="inlineStr">
        <is>
          <t>Nuevo (destino CABA)</t>
        </is>
      </c>
      <c r="I247" s="17" t="inlineStr">
        <is>
          <t>IRAM 3517-2:2020 Ord. 40.473 art. 6 · Res. AGC 32/15</t>
        </is>
      </c>
      <c r="J247" s="33" t="inlineStr">
        <is>
          <t>Sí</t>
        </is>
      </c>
      <c r="K247" s="17" t="inlineStr">
        <is>
          <t>Agencia Gubernamental de Control (CABA)</t>
        </is>
      </c>
      <c r="L247" s="17" t="inlineStr">
        <is>
          <t>-</t>
        </is>
      </c>
    </row>
    <row r="248">
      <c r="A248" s="33" t="inlineStr">
        <is>
          <t>RK-BC5-C</t>
        </is>
      </c>
      <c r="B248" s="33" t="inlineStr">
        <is>
          <t>FL_MAT_BC_5kg</t>
        </is>
      </c>
      <c r="C248" s="33" t="inlineStr">
        <is>
          <t>Extintor BC 5 kg</t>
        </is>
      </c>
      <c r="D248" s="17" t="inlineStr">
        <is>
          <t>C - Cambio obligatorio de polvo (versión anterior de la IRAM 3569)</t>
        </is>
      </c>
      <c r="E248" s="17" t="inlineStr">
        <is>
          <t>Tarjeta de identificación DPS de revisión / recarga</t>
        </is>
      </c>
      <c r="F248" s="33" t="n">
        <v>1</v>
      </c>
      <c r="G248" s="33" t="inlineStr">
        <is>
          <t>u</t>
        </is>
      </c>
      <c r="H248" s="17" t="inlineStr">
        <is>
          <t>Nuevo (PBA)</t>
        </is>
      </c>
      <c r="I248" s="17" t="inlineStr">
        <is>
          <t>IRAM 3517-2:2020 Res. 349/07 art. 21</t>
        </is>
      </c>
      <c r="J248" s="33" t="inlineStr">
        <is>
          <t>Sí</t>
        </is>
      </c>
      <c r="K248" s="17" t="inlineStr">
        <is>
          <t>Ministerio de Ambiente PBA (ex OPDS)</t>
        </is>
      </c>
      <c r="L248" s="17" t="inlineStr">
        <is>
          <t>-</t>
        </is>
      </c>
    </row>
    <row r="249">
      <c r="A249" s="33" t="inlineStr">
        <is>
          <t>RK-BC5-C</t>
        </is>
      </c>
      <c r="B249" s="33" t="inlineStr">
        <is>
          <t>FL_MAT_BC_5kg</t>
        </is>
      </c>
      <c r="C249" s="33" t="inlineStr">
        <is>
          <t>Extintor BC 5 kg</t>
        </is>
      </c>
      <c r="D249" s="17" t="inlineStr">
        <is>
          <t>C - Cambio obligatorio de polvo (versión anterior de la IRAM 3569)</t>
        </is>
      </c>
      <c r="E249" s="17" t="inlineStr">
        <is>
          <t>Grabado de la fecha del servicio en el tubo de pesca (lápiz vibratorio; en polvo, marcador indeleble)</t>
        </is>
      </c>
      <c r="F249" s="33" t="n">
        <v>1</v>
      </c>
      <c r="G249" s="33" t="inlineStr">
        <is>
          <t>u</t>
        </is>
      </c>
      <c r="H249" s="17" t="inlineStr">
        <is>
          <t>Proceso</t>
        </is>
      </c>
      <c r="I249" s="17" t="inlineStr">
        <is>
          <t>IRAM 3517-2:2020 Res. 349/07 art. 28</t>
        </is>
      </c>
      <c r="J249" s="33" t="inlineStr">
        <is>
          <t>No</t>
        </is>
      </c>
      <c r="K249" s="17" t="n"/>
      <c r="L249" s="17" t="n"/>
    </row>
    <row r="250">
      <c r="A250" s="33" t="inlineStr">
        <is>
          <t>RK-BC5-C</t>
        </is>
      </c>
      <c r="B250" s="33" t="inlineStr">
        <is>
          <t>FL_MAT_BC_5kg</t>
        </is>
      </c>
      <c r="C250" s="33" t="inlineStr">
        <is>
          <t>Extintor BC 5 kg</t>
        </is>
      </c>
      <c r="D250" s="17" t="inlineStr">
        <is>
          <t>C - Cambio obligatorio de polvo (versión anterior de la IRAM 3569)</t>
        </is>
      </c>
      <c r="E250" s="17" t="inlineStr">
        <is>
          <t>Si hubo PH: oblea de vencimiento de PH + «PH» y fecha grabados en el tubo de pesca (CO₂: fecha y logo estampados en la ojiva)</t>
        </is>
      </c>
      <c r="F250" s="33" t="n">
        <v>1</v>
      </c>
      <c r="G250" s="33" t="inlineStr">
        <is>
          <t>u</t>
        </is>
      </c>
      <c r="H250" s="17" t="inlineStr">
        <is>
          <t>Proceso</t>
        </is>
      </c>
      <c r="I250" s="17" t="inlineStr">
        <is>
          <t>IRAM 3517-2:2020 Res. 349/07 art. 29 · IRAM 3517-2</t>
        </is>
      </c>
      <c r="J250" s="33" t="inlineStr">
        <is>
          <t>No</t>
        </is>
      </c>
      <c r="K250" s="17" t="n"/>
      <c r="L250" s="17" t="n"/>
    </row>
    <row r="251">
      <c r="A251" s="41" t="inlineStr">
        <is>
          <t>RK-BC5-C</t>
        </is>
      </c>
      <c r="B251" s="41" t="inlineStr">
        <is>
          <t>FL_MAT_BC_5kg</t>
        </is>
      </c>
      <c r="C251" s="41" t="inlineStr">
        <is>
          <t>Extintor BC 5 kg</t>
        </is>
      </c>
      <c r="D251" s="18" t="inlineStr">
        <is>
          <t>C - Cambio obligatorio de polvo (versión anterior de la IRAM 3569)</t>
        </is>
      </c>
      <c r="E251" s="18" t="inlineStr">
        <is>
          <t>Junta tórica de asiento del cuello</t>
        </is>
      </c>
      <c r="F251" s="41" t="n">
        <v>1</v>
      </c>
      <c r="G251" s="41" t="inlineStr">
        <is>
          <t>u</t>
        </is>
      </c>
      <c r="H251" s="18" t="inlineStr">
        <is>
          <t>Nuevo (R: cambio sistemático)</t>
        </is>
      </c>
      <c r="I251" s="18" t="inlineStr"/>
      <c r="J251" s="41" t="inlineStr">
        <is>
          <t>Sí</t>
        </is>
      </c>
      <c r="K251" s="18" t="inlineStr">
        <is>
          <t>Argensold</t>
        </is>
      </c>
      <c r="L251" s="18" t="inlineStr">
        <is>
          <t>Matafuegos Iglesias</t>
        </is>
      </c>
    </row>
    <row r="252">
      <c r="A252" s="33" t="inlineStr">
        <is>
          <t>RK-BC5-C</t>
        </is>
      </c>
      <c r="B252" s="33" t="inlineStr">
        <is>
          <t>FL_MAT_BC_5kg</t>
        </is>
      </c>
      <c r="C252" s="33" t="inlineStr">
        <is>
          <t>Extintor BC 5 kg</t>
        </is>
      </c>
      <c r="D252" s="17" t="inlineStr">
        <is>
          <t>C - Cambio obligatorio de polvo (versión anterior de la IRAM 3569)</t>
        </is>
      </c>
      <c r="E252" s="17" t="inlineStr">
        <is>
          <t>Gas impulsor N₂</t>
        </is>
      </c>
      <c r="F252" s="33" t="n">
        <v>0.0077</v>
      </c>
      <c r="G252" s="33" t="inlineStr">
        <is>
          <t>kg</t>
        </is>
      </c>
      <c r="H252" s="17" t="inlineStr">
        <is>
          <t>Nuevo</t>
        </is>
      </c>
      <c r="I252" s="17" t="inlineStr">
        <is>
          <t>IRAM 3517-2:2020 9.4.9 tabla 2</t>
        </is>
      </c>
      <c r="J252" s="33" t="inlineStr">
        <is>
          <t>Sí</t>
        </is>
      </c>
      <c r="K252" s="17" t="inlineStr">
        <is>
          <t>Air Liquide Argentina - sucursal Piñeyro</t>
        </is>
      </c>
      <c r="L252" s="17" t="inlineStr">
        <is>
          <t>Gogniat</t>
        </is>
      </c>
    </row>
    <row r="253">
      <c r="A253" s="33" t="inlineStr">
        <is>
          <t>RK-BC5-I</t>
        </is>
      </c>
      <c r="B253" s="33" t="inlineStr">
        <is>
          <t>FL_MAT_BC_5kg</t>
        </is>
      </c>
      <c r="C253" s="33" t="inlineStr">
        <is>
          <t>Extintor BC 5 kg</t>
        </is>
      </c>
      <c r="D253" s="17" t="inlineStr">
        <is>
          <t>Según inspección (consumo estadístico a definir)</t>
        </is>
      </c>
      <c r="E253" s="17" t="inlineStr">
        <is>
          <t>Manómetro / manguera / tobera / kit de válvula</t>
        </is>
      </c>
      <c r="F253" s="33" t="inlineStr">
        <is>
          <t>-</t>
        </is>
      </c>
      <c r="G253" s="33" t="inlineStr">
        <is>
          <t>u</t>
        </is>
      </c>
      <c r="H253" s="17" t="inlineStr">
        <is>
          <t>Recambio sólo si falla</t>
        </is>
      </c>
      <c r="I253" s="17" t="inlineStr">
        <is>
          <t>IRAM 3517-2:2020 9.4.11 (cada manguera vuelve a su extintor)</t>
        </is>
      </c>
      <c r="J253" s="33" t="inlineStr">
        <is>
          <t>Sí</t>
        </is>
      </c>
      <c r="K253" s="17" t="inlineStr">
        <is>
          <t>Polvex S.R.L. / Sancibrao</t>
        </is>
      </c>
      <c r="L253" s="17" t="inlineStr">
        <is>
          <t>Yukon / MatafuegosYa S.R.L.</t>
        </is>
      </c>
    </row>
    <row r="254">
      <c r="A254" s="33" t="inlineStr">
        <is>
          <t>RK-SALESK6-A</t>
        </is>
      </c>
      <c r="B254" s="33" t="inlineStr">
        <is>
          <t>FL_MAT_SALESK_6l</t>
        </is>
      </c>
      <c r="C254" s="33" t="inlineStr">
        <is>
          <t>Extintor Sales K 6 l</t>
        </is>
      </c>
      <c r="D254" s="17" t="inlineStr">
        <is>
          <t>A - Extintor descargado</t>
        </is>
      </c>
      <c r="E254" s="17" t="inlineStr">
        <is>
          <t>Acetato de potasio - DEMSA Kitchen (IRAM 3697)</t>
        </is>
      </c>
      <c r="F254" s="33" t="n">
        <v>6</v>
      </c>
      <c r="G254" s="33" t="inlineStr">
        <is>
          <t>L</t>
        </is>
      </c>
      <c r="H254" s="17" t="inlineStr">
        <is>
          <t>Nuevo</t>
        </is>
      </c>
      <c r="I254" s="17" t="inlineStr">
        <is>
          <t>IRAM 3517-2:2020 9.9 tabla 6</t>
        </is>
      </c>
      <c r="J254" s="33" t="inlineStr">
        <is>
          <t>Sí</t>
        </is>
      </c>
      <c r="K254" s="17" t="inlineStr">
        <is>
          <t>Polvex S.R.L. / Sancibrao</t>
        </is>
      </c>
      <c r="L254" s="17" t="inlineStr">
        <is>
          <t>DEM S.A. (DEMSA)</t>
        </is>
      </c>
    </row>
    <row r="255">
      <c r="A255" s="33" t="inlineStr">
        <is>
          <t>RK-SALESK6-A</t>
        </is>
      </c>
      <c r="B255" s="33" t="inlineStr">
        <is>
          <t>FL_MAT_SALESK_6l</t>
        </is>
      </c>
      <c r="C255" s="33" t="inlineStr">
        <is>
          <t>Extintor Sales K 6 l</t>
        </is>
      </c>
      <c r="D255" s="17" t="inlineStr">
        <is>
          <t>A - Extintor descargado</t>
        </is>
      </c>
      <c r="E255" s="17" t="inlineStr">
        <is>
          <t>Precinto plástico numerado, color, con nombre del recargador</t>
        </is>
      </c>
      <c r="F255" s="33" t="n">
        <v>1</v>
      </c>
      <c r="G255" s="33" t="inlineStr">
        <is>
          <t>u</t>
        </is>
      </c>
      <c r="H255" s="17" t="inlineStr">
        <is>
          <t>Nuevo</t>
        </is>
      </c>
      <c r="I255" s="17" t="inlineStr">
        <is>
          <t>IRAM 3517-2:2020 9.4.13</t>
        </is>
      </c>
      <c r="J255" s="33" t="inlineStr">
        <is>
          <t>Sí</t>
        </is>
      </c>
      <c r="K255" s="17" t="inlineStr">
        <is>
          <t>SonFuertes (vía Papelera Damián)</t>
        </is>
      </c>
      <c r="L255" s="17" t="inlineStr">
        <is>
          <t>Precinter S.R.L.</t>
        </is>
      </c>
    </row>
    <row r="256">
      <c r="A256" s="33" t="inlineStr">
        <is>
          <t>RK-SALESK6-A</t>
        </is>
      </c>
      <c r="B256" s="33" t="inlineStr">
        <is>
          <t>FL_MAT_SALESK_6l</t>
        </is>
      </c>
      <c r="C256" s="33" t="inlineStr">
        <is>
          <t>Extintor Sales K 6 l</t>
        </is>
      </c>
      <c r="D256" s="17" t="inlineStr">
        <is>
          <t>A - Extintor descargado</t>
        </is>
      </c>
      <c r="E256" s="17" t="inlineStr">
        <is>
          <t>Marbete (anillo, color del año)</t>
        </is>
      </c>
      <c r="F256" s="33" t="n">
        <v>1</v>
      </c>
      <c r="G256" s="33" t="inlineStr">
        <is>
          <t>u</t>
        </is>
      </c>
      <c r="H256" s="17" t="inlineStr">
        <is>
          <t>Nuevo</t>
        </is>
      </c>
      <c r="I256" s="17" t="inlineStr">
        <is>
          <t>IRAM 3517-2:2020 9.4.14 · fig. 9 · tabla 4</t>
        </is>
      </c>
      <c r="J256" s="33" t="inlineStr">
        <is>
          <t>Sí</t>
        </is>
      </c>
      <c r="K256" s="17" t="inlineStr">
        <is>
          <t>Astuprint</t>
        </is>
      </c>
      <c r="L256" s="17" t="inlineStr">
        <is>
          <t>Multilabel Argentina S.A.</t>
        </is>
      </c>
    </row>
    <row r="257">
      <c r="A257" s="33" t="inlineStr">
        <is>
          <t>RK-SALESK6-A</t>
        </is>
      </c>
      <c r="B257" s="33" t="inlineStr">
        <is>
          <t>FL_MAT_SALESK_6l</t>
        </is>
      </c>
      <c r="C257" s="33" t="inlineStr">
        <is>
          <t>Extintor Sales K 6 l</t>
        </is>
      </c>
      <c r="D257" s="17" t="inlineStr">
        <is>
          <t>A - Extintor descargado</t>
        </is>
      </c>
      <c r="E257" s="17" t="inlineStr">
        <is>
          <t>Etiqueta de servicio del recargador (extintor n°, serie, próxima recarga y PH)</t>
        </is>
      </c>
      <c r="F257" s="33" t="n">
        <v>1</v>
      </c>
      <c r="G257" s="33" t="inlineStr">
        <is>
          <t>u</t>
        </is>
      </c>
      <c r="H257" s="17" t="inlineStr">
        <is>
          <t>Nuevo</t>
        </is>
      </c>
      <c r="I257" s="17" t="inlineStr">
        <is>
          <t>IRAM 3517-2:2020 8.3.3 · relevado Suyai/Firegram</t>
        </is>
      </c>
      <c r="J257" s="33" t="inlineStr">
        <is>
          <t>Sí</t>
        </is>
      </c>
      <c r="K257" s="17" t="inlineStr">
        <is>
          <t>Astuprint</t>
        </is>
      </c>
      <c r="L257" s="17" t="inlineStr">
        <is>
          <t>Multilabel Argentina S.A.</t>
        </is>
      </c>
    </row>
    <row r="258">
      <c r="A258" s="33" t="inlineStr">
        <is>
          <t>RK-SALESK6-A</t>
        </is>
      </c>
      <c r="B258" s="33" t="inlineStr">
        <is>
          <t>FL_MAT_SALESK_6l</t>
        </is>
      </c>
      <c r="C258" s="33" t="inlineStr">
        <is>
          <t>Extintor Sales K 6 l</t>
        </is>
      </c>
      <c r="D258" s="17" t="inlineStr">
        <is>
          <t>A - Extintor descargado</t>
        </is>
      </c>
      <c r="E258" s="17" t="inlineStr">
        <is>
          <t>Oblea PBA de recarga Ø46 + estampilla precinto 1" × 200 mm válvula-cuerpo</t>
        </is>
      </c>
      <c r="F258" s="33" t="n">
        <v>1</v>
      </c>
      <c r="G258" s="33" t="inlineStr">
        <is>
          <t>u</t>
        </is>
      </c>
      <c r="H258" s="17" t="inlineStr">
        <is>
          <t>Nuevo (venta en PBA)</t>
        </is>
      </c>
      <c r="I258" s="17" t="inlineStr">
        <is>
          <t>IRAM 3517-2:2020 Res. OPDS 522/07</t>
        </is>
      </c>
      <c r="J258" s="33" t="inlineStr">
        <is>
          <t>Sí</t>
        </is>
      </c>
      <c r="K258" s="17" t="inlineStr">
        <is>
          <t>Ministerio de Ambiente PBA (ex OPDS)</t>
        </is>
      </c>
      <c r="L258" s="17" t="inlineStr">
        <is>
          <t>-</t>
        </is>
      </c>
    </row>
    <row r="259">
      <c r="A259" s="33" t="inlineStr">
        <is>
          <t>RK-SALESK6-A</t>
        </is>
      </c>
      <c r="B259" s="33" t="inlineStr">
        <is>
          <t>FL_MAT_SALESK_6l</t>
        </is>
      </c>
      <c r="C259" s="33" t="inlineStr">
        <is>
          <t>Extintor Sales K 6 l</t>
        </is>
      </c>
      <c r="D259" s="17" t="inlineStr">
        <is>
          <t>A - Extintor descargado</t>
        </is>
      </c>
      <c r="E259" s="17" t="inlineStr">
        <is>
          <t>Tarjeta de identificación AGC (módulo papel con QR + etiqueta AGC)</t>
        </is>
      </c>
      <c r="F259" s="33" t="n">
        <v>1</v>
      </c>
      <c r="G259" s="33" t="inlineStr">
        <is>
          <t>u</t>
        </is>
      </c>
      <c r="H259" s="17" t="inlineStr">
        <is>
          <t>Nuevo (destino CABA)</t>
        </is>
      </c>
      <c r="I259" s="17" t="inlineStr">
        <is>
          <t>IRAM 3517-2:2020 Ord. 40.473 art. 6 · Res. AGC 32/15</t>
        </is>
      </c>
      <c r="J259" s="33" t="inlineStr">
        <is>
          <t>Sí</t>
        </is>
      </c>
      <c r="K259" s="17" t="inlineStr">
        <is>
          <t>Agencia Gubernamental de Control (CABA)</t>
        </is>
      </c>
      <c r="L259" s="17" t="inlineStr">
        <is>
          <t>-</t>
        </is>
      </c>
    </row>
    <row r="260">
      <c r="A260" s="33" t="inlineStr">
        <is>
          <t>RK-SALESK6-A</t>
        </is>
      </c>
      <c r="B260" s="33" t="inlineStr">
        <is>
          <t>FL_MAT_SALESK_6l</t>
        </is>
      </c>
      <c r="C260" s="33" t="inlineStr">
        <is>
          <t>Extintor Sales K 6 l</t>
        </is>
      </c>
      <c r="D260" s="17" t="inlineStr">
        <is>
          <t>A - Extintor descargado</t>
        </is>
      </c>
      <c r="E260" s="17" t="inlineStr">
        <is>
          <t>Tarjeta de identificación DPS de revisión / recarga</t>
        </is>
      </c>
      <c r="F260" s="33" t="n">
        <v>1</v>
      </c>
      <c r="G260" s="33" t="inlineStr">
        <is>
          <t>u</t>
        </is>
      </c>
      <c r="H260" s="17" t="inlineStr">
        <is>
          <t>Nuevo (PBA)</t>
        </is>
      </c>
      <c r="I260" s="17" t="inlineStr">
        <is>
          <t>IRAM 3517-2:2020 Res. 349/07 art. 21</t>
        </is>
      </c>
      <c r="J260" s="33" t="inlineStr">
        <is>
          <t>Sí</t>
        </is>
      </c>
      <c r="K260" s="17" t="inlineStr">
        <is>
          <t>Ministerio de Ambiente PBA (ex OPDS)</t>
        </is>
      </c>
      <c r="L260" s="17" t="inlineStr">
        <is>
          <t>-</t>
        </is>
      </c>
    </row>
    <row r="261">
      <c r="A261" s="33" t="inlineStr">
        <is>
          <t>RK-SALESK6-A</t>
        </is>
      </c>
      <c r="B261" s="33" t="inlineStr">
        <is>
          <t>FL_MAT_SALESK_6l</t>
        </is>
      </c>
      <c r="C261" s="33" t="inlineStr">
        <is>
          <t>Extintor Sales K 6 l</t>
        </is>
      </c>
      <c r="D261" s="17" t="inlineStr">
        <is>
          <t>A - Extintor descargado</t>
        </is>
      </c>
      <c r="E261" s="17" t="inlineStr">
        <is>
          <t>Grabado de la fecha del servicio en el tubo de pesca (lápiz vibratorio; en polvo, marcador indeleble)</t>
        </is>
      </c>
      <c r="F261" s="33" t="n">
        <v>1</v>
      </c>
      <c r="G261" s="33" t="inlineStr">
        <is>
          <t>u</t>
        </is>
      </c>
      <c r="H261" s="17" t="inlineStr">
        <is>
          <t>Proceso</t>
        </is>
      </c>
      <c r="I261" s="17" t="inlineStr">
        <is>
          <t>IRAM 3517-2:2020 Res. 349/07 art. 28</t>
        </is>
      </c>
      <c r="J261" s="33" t="inlineStr">
        <is>
          <t>No</t>
        </is>
      </c>
      <c r="K261" s="17" t="n"/>
      <c r="L261" s="17" t="n"/>
    </row>
    <row r="262">
      <c r="A262" s="33" t="inlineStr">
        <is>
          <t>RK-SALESK6-A</t>
        </is>
      </c>
      <c r="B262" s="33" t="inlineStr">
        <is>
          <t>FL_MAT_SALESK_6l</t>
        </is>
      </c>
      <c r="C262" s="33" t="inlineStr">
        <is>
          <t>Extintor Sales K 6 l</t>
        </is>
      </c>
      <c r="D262" s="17" t="inlineStr">
        <is>
          <t>A - Extintor descargado</t>
        </is>
      </c>
      <c r="E262" s="17" t="inlineStr">
        <is>
          <t>Si hubo PH: oblea de vencimiento de PH + «PH» y fecha grabados en el tubo de pesca (CO₂: fecha y logo estampados en la ojiva)</t>
        </is>
      </c>
      <c r="F262" s="33" t="n">
        <v>1</v>
      </c>
      <c r="G262" s="33" t="inlineStr">
        <is>
          <t>u</t>
        </is>
      </c>
      <c r="H262" s="17" t="inlineStr">
        <is>
          <t>Proceso</t>
        </is>
      </c>
      <c r="I262" s="17" t="inlineStr">
        <is>
          <t>IRAM 3517-2:2020 Res. 349/07 art. 29 · IRAM 3517-2</t>
        </is>
      </c>
      <c r="J262" s="33" t="inlineStr">
        <is>
          <t>No</t>
        </is>
      </c>
      <c r="K262" s="17" t="n"/>
      <c r="L262" s="17" t="n"/>
    </row>
    <row r="263">
      <c r="A263" s="41" t="inlineStr">
        <is>
          <t>RK-SALESK6-A</t>
        </is>
      </c>
      <c r="B263" s="41" t="inlineStr">
        <is>
          <t>FL_MAT_SALESK_6l</t>
        </is>
      </c>
      <c r="C263" s="41" t="inlineStr">
        <is>
          <t>Extintor Sales K 6 l</t>
        </is>
      </c>
      <c r="D263" s="18" t="inlineStr">
        <is>
          <t>A - Extintor descargado</t>
        </is>
      </c>
      <c r="E263" s="18" t="inlineStr">
        <is>
          <t>Junta tórica de asiento del cuello</t>
        </is>
      </c>
      <c r="F263" s="41" t="n">
        <v>1</v>
      </c>
      <c r="G263" s="41" t="inlineStr">
        <is>
          <t>u</t>
        </is>
      </c>
      <c r="H263" s="18" t="inlineStr">
        <is>
          <t>Nuevo (R: cambio sistemático)</t>
        </is>
      </c>
      <c r="I263" s="18" t="inlineStr"/>
      <c r="J263" s="41" t="inlineStr">
        <is>
          <t>Sí</t>
        </is>
      </c>
      <c r="K263" s="18" t="inlineStr">
        <is>
          <t>Argensold</t>
        </is>
      </c>
      <c r="L263" s="18" t="inlineStr">
        <is>
          <t>Matafuegos Iglesias</t>
        </is>
      </c>
    </row>
    <row r="264">
      <c r="A264" s="33" t="inlineStr">
        <is>
          <t>RK-SALESK6-A</t>
        </is>
      </c>
      <c r="B264" s="33" t="inlineStr">
        <is>
          <t>FL_MAT_SALESK_6l</t>
        </is>
      </c>
      <c r="C264" s="33" t="inlineStr">
        <is>
          <t>Extintor Sales K 6 l</t>
        </is>
      </c>
      <c r="D264" s="17" t="inlineStr">
        <is>
          <t>A - Extintor descargado</t>
        </is>
      </c>
      <c r="E264" s="17" t="inlineStr">
        <is>
          <t>Gas impulsor N₂</t>
        </is>
      </c>
      <c r="F264" s="33" t="n">
        <v>0.0306</v>
      </c>
      <c r="G264" s="33" t="inlineStr">
        <is>
          <t>kg</t>
        </is>
      </c>
      <c r="H264" s="17" t="inlineStr">
        <is>
          <t>Nuevo</t>
        </is>
      </c>
      <c r="I264" s="17" t="inlineStr">
        <is>
          <t>IRAM 3517-2:2020 9.4.9 tabla 2</t>
        </is>
      </c>
      <c r="J264" s="33" t="inlineStr">
        <is>
          <t>Sí</t>
        </is>
      </c>
      <c r="K264" s="17" t="inlineStr">
        <is>
          <t>Air Liquide Argentina - sucursal Piñeyro</t>
        </is>
      </c>
      <c r="L264" s="17" t="inlineStr">
        <is>
          <t>Gogniat</t>
        </is>
      </c>
    </row>
    <row r="265">
      <c r="A265" s="41" t="inlineStr">
        <is>
          <t>RK-SALESK6-B</t>
        </is>
      </c>
      <c r="B265" s="41" t="inlineStr">
        <is>
          <t>FL_MAT_SALESK_6l</t>
        </is>
      </c>
      <c r="C265" s="41" t="inlineStr">
        <is>
          <t>Extintor Sales K 6 l</t>
        </is>
      </c>
      <c r="D265" s="18" t="inlineStr">
        <is>
          <t>B - Mantenimiento (PH cada 2 años en inoxidables y AFFF)</t>
        </is>
      </c>
      <c r="E265" s="18" t="inlineStr">
        <is>
          <t>Acetato de potasio - DEMSA Kitchen (IRAM 3697)</t>
        </is>
      </c>
      <c r="F265" s="41" t="n">
        <v>6</v>
      </c>
      <c r="G265" s="41" t="inlineStr">
        <is>
          <t>L</t>
        </is>
      </c>
      <c r="H265" s="18" t="inlineStr">
        <is>
          <t>Nuevo (R: la carga líquida no se recupera; confirmar vida útil del concentrado con el fabricante)</t>
        </is>
      </c>
      <c r="I265" s="18" t="inlineStr">
        <is>
          <t>IRAM 3517-2:2020 9.9</t>
        </is>
      </c>
      <c r="J265" s="41" t="inlineStr">
        <is>
          <t>Sí</t>
        </is>
      </c>
      <c r="K265" s="18" t="inlineStr">
        <is>
          <t>Polvex S.R.L. / Sancibrao</t>
        </is>
      </c>
      <c r="L265" s="18" t="inlineStr">
        <is>
          <t>DEM S.A. (DEMSA)</t>
        </is>
      </c>
    </row>
    <row r="266">
      <c r="A266" s="33" t="inlineStr">
        <is>
          <t>RK-SALESK6-B</t>
        </is>
      </c>
      <c r="B266" s="33" t="inlineStr">
        <is>
          <t>FL_MAT_SALESK_6l</t>
        </is>
      </c>
      <c r="C266" s="33" t="inlineStr">
        <is>
          <t>Extintor Sales K 6 l</t>
        </is>
      </c>
      <c r="D266" s="17" t="inlineStr">
        <is>
          <t>B - Mantenimiento (PH cada 2 años en inoxidables y AFFF)</t>
        </is>
      </c>
      <c r="E266" s="17" t="inlineStr">
        <is>
          <t>Precinto plástico numerado, color, con nombre del recargador</t>
        </is>
      </c>
      <c r="F266" s="33" t="n">
        <v>1</v>
      </c>
      <c r="G266" s="33" t="inlineStr">
        <is>
          <t>u</t>
        </is>
      </c>
      <c r="H266" s="17" t="inlineStr">
        <is>
          <t>Nuevo</t>
        </is>
      </c>
      <c r="I266" s="17" t="inlineStr">
        <is>
          <t>IRAM 3517-2:2020 9.4.13</t>
        </is>
      </c>
      <c r="J266" s="33" t="inlineStr">
        <is>
          <t>Sí</t>
        </is>
      </c>
      <c r="K266" s="17" t="inlineStr">
        <is>
          <t>SonFuertes (vía Papelera Damián)</t>
        </is>
      </c>
      <c r="L266" s="17" t="inlineStr">
        <is>
          <t>Precinter S.R.L.</t>
        </is>
      </c>
    </row>
    <row r="267">
      <c r="A267" s="33" t="inlineStr">
        <is>
          <t>RK-SALESK6-B</t>
        </is>
      </c>
      <c r="B267" s="33" t="inlineStr">
        <is>
          <t>FL_MAT_SALESK_6l</t>
        </is>
      </c>
      <c r="C267" s="33" t="inlineStr">
        <is>
          <t>Extintor Sales K 6 l</t>
        </is>
      </c>
      <c r="D267" s="17" t="inlineStr">
        <is>
          <t>B - Mantenimiento (PH cada 2 años en inoxidables y AFFF)</t>
        </is>
      </c>
      <c r="E267" s="17" t="inlineStr">
        <is>
          <t>Marbete (anillo, color del año)</t>
        </is>
      </c>
      <c r="F267" s="33" t="n">
        <v>1</v>
      </c>
      <c r="G267" s="33" t="inlineStr">
        <is>
          <t>u</t>
        </is>
      </c>
      <c r="H267" s="17" t="inlineStr">
        <is>
          <t>Nuevo</t>
        </is>
      </c>
      <c r="I267" s="17" t="inlineStr">
        <is>
          <t>IRAM 3517-2:2020 9.4.14 · fig. 9 · tabla 4</t>
        </is>
      </c>
      <c r="J267" s="33" t="inlineStr">
        <is>
          <t>Sí</t>
        </is>
      </c>
      <c r="K267" s="17" t="inlineStr">
        <is>
          <t>Astuprint</t>
        </is>
      </c>
      <c r="L267" s="17" t="inlineStr">
        <is>
          <t>Multilabel Argentina S.A.</t>
        </is>
      </c>
    </row>
    <row r="268">
      <c r="A268" s="33" t="inlineStr">
        <is>
          <t>RK-SALESK6-B</t>
        </is>
      </c>
      <c r="B268" s="33" t="inlineStr">
        <is>
          <t>FL_MAT_SALESK_6l</t>
        </is>
      </c>
      <c r="C268" s="33" t="inlineStr">
        <is>
          <t>Extintor Sales K 6 l</t>
        </is>
      </c>
      <c r="D268" s="17" t="inlineStr">
        <is>
          <t>B - Mantenimiento (PH cada 2 años en inoxidables y AFFF)</t>
        </is>
      </c>
      <c r="E268" s="17" t="inlineStr">
        <is>
          <t>Etiqueta de servicio del recargador (extintor n°, serie, próxima recarga y PH)</t>
        </is>
      </c>
      <c r="F268" s="33" t="n">
        <v>1</v>
      </c>
      <c r="G268" s="33" t="inlineStr">
        <is>
          <t>u</t>
        </is>
      </c>
      <c r="H268" s="17" t="inlineStr">
        <is>
          <t>Nuevo</t>
        </is>
      </c>
      <c r="I268" s="17" t="inlineStr">
        <is>
          <t>IRAM 3517-2:2020 8.3.3 · relevado Suyai/Firegram</t>
        </is>
      </c>
      <c r="J268" s="33" t="inlineStr">
        <is>
          <t>Sí</t>
        </is>
      </c>
      <c r="K268" s="17" t="inlineStr">
        <is>
          <t>Astuprint</t>
        </is>
      </c>
      <c r="L268" s="17" t="inlineStr">
        <is>
          <t>Multilabel Argentina S.A.</t>
        </is>
      </c>
    </row>
    <row r="269">
      <c r="A269" s="33" t="inlineStr">
        <is>
          <t>RK-SALESK6-B</t>
        </is>
      </c>
      <c r="B269" s="33" t="inlineStr">
        <is>
          <t>FL_MAT_SALESK_6l</t>
        </is>
      </c>
      <c r="C269" s="33" t="inlineStr">
        <is>
          <t>Extintor Sales K 6 l</t>
        </is>
      </c>
      <c r="D269" s="17" t="inlineStr">
        <is>
          <t>B - Mantenimiento (PH cada 2 años en inoxidables y AFFF)</t>
        </is>
      </c>
      <c r="E269" s="17" t="inlineStr">
        <is>
          <t>Oblea PBA de recarga Ø46 + estampilla precinto 1" × 200 mm válvula-cuerpo</t>
        </is>
      </c>
      <c r="F269" s="33" t="n">
        <v>1</v>
      </c>
      <c r="G269" s="33" t="inlineStr">
        <is>
          <t>u</t>
        </is>
      </c>
      <c r="H269" s="17" t="inlineStr">
        <is>
          <t>Nuevo (venta en PBA)</t>
        </is>
      </c>
      <c r="I269" s="17" t="inlineStr">
        <is>
          <t>IRAM 3517-2:2020 Res. OPDS 522/07</t>
        </is>
      </c>
      <c r="J269" s="33" t="inlineStr">
        <is>
          <t>Sí</t>
        </is>
      </c>
      <c r="K269" s="17" t="inlineStr">
        <is>
          <t>Ministerio de Ambiente PBA (ex OPDS)</t>
        </is>
      </c>
      <c r="L269" s="17" t="inlineStr">
        <is>
          <t>-</t>
        </is>
      </c>
    </row>
    <row r="270">
      <c r="A270" s="33" t="inlineStr">
        <is>
          <t>RK-SALESK6-B</t>
        </is>
      </c>
      <c r="B270" s="33" t="inlineStr">
        <is>
          <t>FL_MAT_SALESK_6l</t>
        </is>
      </c>
      <c r="C270" s="33" t="inlineStr">
        <is>
          <t>Extintor Sales K 6 l</t>
        </is>
      </c>
      <c r="D270" s="17" t="inlineStr">
        <is>
          <t>B - Mantenimiento (PH cada 2 años en inoxidables y AFFF)</t>
        </is>
      </c>
      <c r="E270" s="17" t="inlineStr">
        <is>
          <t>Tarjeta de identificación AGC (módulo papel con QR + etiqueta AGC)</t>
        </is>
      </c>
      <c r="F270" s="33" t="n">
        <v>1</v>
      </c>
      <c r="G270" s="33" t="inlineStr">
        <is>
          <t>u</t>
        </is>
      </c>
      <c r="H270" s="17" t="inlineStr">
        <is>
          <t>Nuevo (destino CABA)</t>
        </is>
      </c>
      <c r="I270" s="17" t="inlineStr">
        <is>
          <t>IRAM 3517-2:2020 Ord. 40.473 art. 6 · Res. AGC 32/15</t>
        </is>
      </c>
      <c r="J270" s="33" t="inlineStr">
        <is>
          <t>Sí</t>
        </is>
      </c>
      <c r="K270" s="17" t="inlineStr">
        <is>
          <t>Agencia Gubernamental de Control (CABA)</t>
        </is>
      </c>
      <c r="L270" s="17" t="inlineStr">
        <is>
          <t>-</t>
        </is>
      </c>
    </row>
    <row r="271">
      <c r="A271" s="33" t="inlineStr">
        <is>
          <t>RK-SALESK6-B</t>
        </is>
      </c>
      <c r="B271" s="33" t="inlineStr">
        <is>
          <t>FL_MAT_SALESK_6l</t>
        </is>
      </c>
      <c r="C271" s="33" t="inlineStr">
        <is>
          <t>Extintor Sales K 6 l</t>
        </is>
      </c>
      <c r="D271" s="17" t="inlineStr">
        <is>
          <t>B - Mantenimiento (PH cada 2 años en inoxidables y AFFF)</t>
        </is>
      </c>
      <c r="E271" s="17" t="inlineStr">
        <is>
          <t>Tarjeta de identificación DPS de revisión / recarga</t>
        </is>
      </c>
      <c r="F271" s="33" t="n">
        <v>1</v>
      </c>
      <c r="G271" s="33" t="inlineStr">
        <is>
          <t>u</t>
        </is>
      </c>
      <c r="H271" s="17" t="inlineStr">
        <is>
          <t>Nuevo (PBA)</t>
        </is>
      </c>
      <c r="I271" s="17" t="inlineStr">
        <is>
          <t>IRAM 3517-2:2020 Res. 349/07 art. 21</t>
        </is>
      </c>
      <c r="J271" s="33" t="inlineStr">
        <is>
          <t>Sí</t>
        </is>
      </c>
      <c r="K271" s="17" t="inlineStr">
        <is>
          <t>Ministerio de Ambiente PBA (ex OPDS)</t>
        </is>
      </c>
      <c r="L271" s="17" t="inlineStr">
        <is>
          <t>-</t>
        </is>
      </c>
    </row>
    <row r="272">
      <c r="A272" s="33" t="inlineStr">
        <is>
          <t>RK-SALESK6-B</t>
        </is>
      </c>
      <c r="B272" s="33" t="inlineStr">
        <is>
          <t>FL_MAT_SALESK_6l</t>
        </is>
      </c>
      <c r="C272" s="33" t="inlineStr">
        <is>
          <t>Extintor Sales K 6 l</t>
        </is>
      </c>
      <c r="D272" s="17" t="inlineStr">
        <is>
          <t>B - Mantenimiento (PH cada 2 años en inoxidables y AFFF)</t>
        </is>
      </c>
      <c r="E272" s="17" t="inlineStr">
        <is>
          <t>Grabado de la fecha del servicio en el tubo de pesca (lápiz vibratorio; en polvo, marcador indeleble)</t>
        </is>
      </c>
      <c r="F272" s="33" t="n">
        <v>1</v>
      </c>
      <c r="G272" s="33" t="inlineStr">
        <is>
          <t>u</t>
        </is>
      </c>
      <c r="H272" s="17" t="inlineStr">
        <is>
          <t>Proceso</t>
        </is>
      </c>
      <c r="I272" s="17" t="inlineStr">
        <is>
          <t>IRAM 3517-2:2020 Res. 349/07 art. 28</t>
        </is>
      </c>
      <c r="J272" s="33" t="inlineStr">
        <is>
          <t>No</t>
        </is>
      </c>
      <c r="K272" s="17" t="n"/>
      <c r="L272" s="17" t="n"/>
    </row>
    <row r="273">
      <c r="A273" s="33" t="inlineStr">
        <is>
          <t>RK-SALESK6-B</t>
        </is>
      </c>
      <c r="B273" s="33" t="inlineStr">
        <is>
          <t>FL_MAT_SALESK_6l</t>
        </is>
      </c>
      <c r="C273" s="33" t="inlineStr">
        <is>
          <t>Extintor Sales K 6 l</t>
        </is>
      </c>
      <c r="D273" s="17" t="inlineStr">
        <is>
          <t>B - Mantenimiento (PH cada 2 años en inoxidables y AFFF)</t>
        </is>
      </c>
      <c r="E273" s="17" t="inlineStr">
        <is>
          <t>Si hubo PH: oblea de vencimiento de PH + «PH» y fecha grabados en el tubo de pesca (CO₂: fecha y logo estampados en la ojiva)</t>
        </is>
      </c>
      <c r="F273" s="33" t="n">
        <v>1</v>
      </c>
      <c r="G273" s="33" t="inlineStr">
        <is>
          <t>u</t>
        </is>
      </c>
      <c r="H273" s="17" t="inlineStr">
        <is>
          <t>Proceso</t>
        </is>
      </c>
      <c r="I273" s="17" t="inlineStr">
        <is>
          <t>IRAM 3517-2:2020 Res. 349/07 art. 29 · IRAM 3517-2</t>
        </is>
      </c>
      <c r="J273" s="33" t="inlineStr">
        <is>
          <t>No</t>
        </is>
      </c>
      <c r="K273" s="17" t="n"/>
      <c r="L273" s="17" t="n"/>
    </row>
    <row r="274">
      <c r="A274" s="41" t="inlineStr">
        <is>
          <t>RK-SALESK6-B</t>
        </is>
      </c>
      <c r="B274" s="41" t="inlineStr">
        <is>
          <t>FL_MAT_SALESK_6l</t>
        </is>
      </c>
      <c r="C274" s="41" t="inlineStr">
        <is>
          <t>Extintor Sales K 6 l</t>
        </is>
      </c>
      <c r="D274" s="18" t="inlineStr">
        <is>
          <t>B - Mantenimiento (PH cada 2 años en inoxidables y AFFF)</t>
        </is>
      </c>
      <c r="E274" s="18" t="inlineStr">
        <is>
          <t>Junta tórica de asiento del cuello</t>
        </is>
      </c>
      <c r="F274" s="41" t="n">
        <v>1</v>
      </c>
      <c r="G274" s="41" t="inlineStr">
        <is>
          <t>u</t>
        </is>
      </c>
      <c r="H274" s="18" t="inlineStr">
        <is>
          <t>Nuevo (R: cambio sistemático)</t>
        </is>
      </c>
      <c r="I274" s="18" t="inlineStr"/>
      <c r="J274" s="41" t="inlineStr">
        <is>
          <t>Sí</t>
        </is>
      </c>
      <c r="K274" s="18" t="inlineStr">
        <is>
          <t>Argensold</t>
        </is>
      </c>
      <c r="L274" s="18" t="inlineStr">
        <is>
          <t>Matafuegos Iglesias</t>
        </is>
      </c>
    </row>
    <row r="275">
      <c r="A275" s="33" t="inlineStr">
        <is>
          <t>RK-SALESK6-B</t>
        </is>
      </c>
      <c r="B275" s="33" t="inlineStr">
        <is>
          <t>FL_MAT_SALESK_6l</t>
        </is>
      </c>
      <c r="C275" s="33" t="inlineStr">
        <is>
          <t>Extintor Sales K 6 l</t>
        </is>
      </c>
      <c r="D275" s="17" t="inlineStr">
        <is>
          <t>B - Mantenimiento (PH cada 2 años en inoxidables y AFFF)</t>
        </is>
      </c>
      <c r="E275" s="17" t="inlineStr">
        <is>
          <t>Gas impulsor N₂</t>
        </is>
      </c>
      <c r="F275" s="33" t="n">
        <v>0.0306</v>
      </c>
      <c r="G275" s="33" t="inlineStr">
        <is>
          <t>kg</t>
        </is>
      </c>
      <c r="H275" s="17" t="inlineStr">
        <is>
          <t>Nuevo</t>
        </is>
      </c>
      <c r="I275" s="17" t="inlineStr">
        <is>
          <t>IRAM 3517-2:2020 9.4.9 tabla 2</t>
        </is>
      </c>
      <c r="J275" s="33" t="inlineStr">
        <is>
          <t>Sí</t>
        </is>
      </c>
      <c r="K275" s="17" t="inlineStr">
        <is>
          <t>Air Liquide Argentina - sucursal Piñeyro</t>
        </is>
      </c>
      <c r="L275" s="17" t="inlineStr">
        <is>
          <t>Gogniat</t>
        </is>
      </c>
    </row>
    <row r="276">
      <c r="A276" s="33" t="inlineStr">
        <is>
          <t>RK-SALESK6-I</t>
        </is>
      </c>
      <c r="B276" s="33" t="inlineStr">
        <is>
          <t>FL_MAT_SALESK_6l</t>
        </is>
      </c>
      <c r="C276" s="33" t="inlineStr">
        <is>
          <t>Extintor Sales K 6 l</t>
        </is>
      </c>
      <c r="D276" s="17" t="inlineStr">
        <is>
          <t>Según inspección (consumo estadístico a definir)</t>
        </is>
      </c>
      <c r="E276" s="17" t="inlineStr">
        <is>
          <t>Manómetro / manguera / tobera / kit de válvula</t>
        </is>
      </c>
      <c r="F276" s="33" t="inlineStr">
        <is>
          <t>-</t>
        </is>
      </c>
      <c r="G276" s="33" t="inlineStr">
        <is>
          <t>u</t>
        </is>
      </c>
      <c r="H276" s="17" t="inlineStr">
        <is>
          <t>Recambio sólo si falla</t>
        </is>
      </c>
      <c r="I276" s="17" t="inlineStr">
        <is>
          <t>IRAM 3517-2:2020 9.4.11 (cada manguera vuelve a su extintor)</t>
        </is>
      </c>
      <c r="J276" s="33" t="inlineStr">
        <is>
          <t>Sí</t>
        </is>
      </c>
      <c r="K276" s="17" t="inlineStr">
        <is>
          <t>Polvex S.R.L. / Sancibrao</t>
        </is>
      </c>
      <c r="L276" s="17" t="inlineStr">
        <is>
          <t>Yukon / MatafuegosYa S.R.L.</t>
        </is>
      </c>
    </row>
    <row r="277">
      <c r="A277" s="33" t="inlineStr">
        <is>
          <t>RK-CO22-A</t>
        </is>
      </c>
      <c r="B277" s="33" t="inlineStr">
        <is>
          <t>FL_MAT_CO2_2kg</t>
        </is>
      </c>
      <c r="C277" s="33" t="inlineStr">
        <is>
          <t>Extintor CO₂ 2 kg</t>
        </is>
      </c>
      <c r="D277" s="17" t="inlineStr">
        <is>
          <t>A - Extintor descargado</t>
        </is>
      </c>
      <c r="E277" s="17" t="inlineStr">
        <is>
          <t>Dióxido de carbono (IRAM 41170)</t>
        </is>
      </c>
      <c r="F277" s="33" t="n">
        <v>2</v>
      </c>
      <c r="G277" s="33" t="inlineStr">
        <is>
          <t>kg</t>
        </is>
      </c>
      <c r="H277" s="17" t="inlineStr">
        <is>
          <t>Nuevo (trasvase de batería o tanque criogénico)</t>
        </is>
      </c>
      <c r="I277" s="17" t="inlineStr">
        <is>
          <t>IRAM 3517-2:2020 4.4.1 l) trasvasador; 9.9.1.11 calidad del CO₂</t>
        </is>
      </c>
      <c r="J277" s="33" t="inlineStr">
        <is>
          <t>Sí</t>
        </is>
      </c>
      <c r="K277" s="17" t="inlineStr">
        <is>
          <t>Air Liquide Argentina - sucursal Piñeyro</t>
        </is>
      </c>
      <c r="L277" s="17" t="inlineStr">
        <is>
          <t>Gogniat</t>
        </is>
      </c>
    </row>
    <row r="278">
      <c r="A278" s="33" t="inlineStr">
        <is>
          <t>RK-CO22-A</t>
        </is>
      </c>
      <c r="B278" s="33" t="inlineStr">
        <is>
          <t>FL_MAT_CO2_2kg</t>
        </is>
      </c>
      <c r="C278" s="33" t="inlineStr">
        <is>
          <t>Extintor CO₂ 2 kg</t>
        </is>
      </c>
      <c r="D278" s="17" t="inlineStr">
        <is>
          <t>A - Extintor descargado</t>
        </is>
      </c>
      <c r="E278" s="17" t="inlineStr">
        <is>
          <t>Precinto plástico numerado, color, con nombre del recargador</t>
        </is>
      </c>
      <c r="F278" s="33" t="n">
        <v>1</v>
      </c>
      <c r="G278" s="33" t="inlineStr">
        <is>
          <t>u</t>
        </is>
      </c>
      <c r="H278" s="17" t="inlineStr">
        <is>
          <t>Nuevo</t>
        </is>
      </c>
      <c r="I278" s="17" t="inlineStr">
        <is>
          <t>IRAM 3517-2:2020 9.4.13</t>
        </is>
      </c>
      <c r="J278" s="33" t="inlineStr">
        <is>
          <t>Sí</t>
        </is>
      </c>
      <c r="K278" s="17" t="inlineStr">
        <is>
          <t>SonFuertes (vía Papelera Damián)</t>
        </is>
      </c>
      <c r="L278" s="17" t="inlineStr">
        <is>
          <t>Precinter S.R.L.</t>
        </is>
      </c>
    </row>
    <row r="279">
      <c r="A279" s="33" t="inlineStr">
        <is>
          <t>RK-CO22-A</t>
        </is>
      </c>
      <c r="B279" s="33" t="inlineStr">
        <is>
          <t>FL_MAT_CO2_2kg</t>
        </is>
      </c>
      <c r="C279" s="33" t="inlineStr">
        <is>
          <t>Extintor CO₂ 2 kg</t>
        </is>
      </c>
      <c r="D279" s="17" t="inlineStr">
        <is>
          <t>A - Extintor descargado</t>
        </is>
      </c>
      <c r="E279" s="17" t="inlineStr">
        <is>
          <t>Marbete (anillo, color del año)</t>
        </is>
      </c>
      <c r="F279" s="33" t="n">
        <v>1</v>
      </c>
      <c r="G279" s="33" t="inlineStr">
        <is>
          <t>u</t>
        </is>
      </c>
      <c r="H279" s="17" t="inlineStr">
        <is>
          <t>Nuevo</t>
        </is>
      </c>
      <c r="I279" s="17" t="inlineStr">
        <is>
          <t>IRAM 3517-2:2020 9.4.14 · fig. 9 · tabla 4</t>
        </is>
      </c>
      <c r="J279" s="33" t="inlineStr">
        <is>
          <t>Sí</t>
        </is>
      </c>
      <c r="K279" s="17" t="inlineStr">
        <is>
          <t>Astuprint</t>
        </is>
      </c>
      <c r="L279" s="17" t="inlineStr">
        <is>
          <t>Multilabel Argentina S.A.</t>
        </is>
      </c>
    </row>
    <row r="280">
      <c r="A280" s="33" t="inlineStr">
        <is>
          <t>RK-CO22-A</t>
        </is>
      </c>
      <c r="B280" s="33" t="inlineStr">
        <is>
          <t>FL_MAT_CO2_2kg</t>
        </is>
      </c>
      <c r="C280" s="33" t="inlineStr">
        <is>
          <t>Extintor CO₂ 2 kg</t>
        </is>
      </c>
      <c r="D280" s="17" t="inlineStr">
        <is>
          <t>A - Extintor descargado</t>
        </is>
      </c>
      <c r="E280" s="17" t="inlineStr">
        <is>
          <t>Etiqueta de servicio del recargador (extintor n°, serie, próxima recarga y PH)</t>
        </is>
      </c>
      <c r="F280" s="33" t="n">
        <v>1</v>
      </c>
      <c r="G280" s="33" t="inlineStr">
        <is>
          <t>u</t>
        </is>
      </c>
      <c r="H280" s="17" t="inlineStr">
        <is>
          <t>Nuevo</t>
        </is>
      </c>
      <c r="I280" s="17" t="inlineStr">
        <is>
          <t>IRAM 3517-2:2020 8.3.3 · relevado Suyai/Firegram</t>
        </is>
      </c>
      <c r="J280" s="33" t="inlineStr">
        <is>
          <t>Sí</t>
        </is>
      </c>
      <c r="K280" s="17" t="inlineStr">
        <is>
          <t>Astuprint</t>
        </is>
      </c>
      <c r="L280" s="17" t="inlineStr">
        <is>
          <t>Multilabel Argentina S.A.</t>
        </is>
      </c>
    </row>
    <row r="281">
      <c r="A281" s="33" t="inlineStr">
        <is>
          <t>RK-CO22-A</t>
        </is>
      </c>
      <c r="B281" s="33" t="inlineStr">
        <is>
          <t>FL_MAT_CO2_2kg</t>
        </is>
      </c>
      <c r="C281" s="33" t="inlineStr">
        <is>
          <t>Extintor CO₂ 2 kg</t>
        </is>
      </c>
      <c r="D281" s="17" t="inlineStr">
        <is>
          <t>A - Extintor descargado</t>
        </is>
      </c>
      <c r="E281" s="17" t="inlineStr">
        <is>
          <t>Oblea PBA de recarga Ø46 + estampilla precinto 1" × 200 mm válvula-cuerpo</t>
        </is>
      </c>
      <c r="F281" s="33" t="n">
        <v>1</v>
      </c>
      <c r="G281" s="33" t="inlineStr">
        <is>
          <t>u</t>
        </is>
      </c>
      <c r="H281" s="17" t="inlineStr">
        <is>
          <t>Nuevo (venta en PBA)</t>
        </is>
      </c>
      <c r="I281" s="17" t="inlineStr">
        <is>
          <t>IRAM 3517-2:2020 Res. OPDS 522/07</t>
        </is>
      </c>
      <c r="J281" s="33" t="inlineStr">
        <is>
          <t>Sí</t>
        </is>
      </c>
      <c r="K281" s="17" t="inlineStr">
        <is>
          <t>Ministerio de Ambiente PBA (ex OPDS)</t>
        </is>
      </c>
      <c r="L281" s="17" t="inlineStr">
        <is>
          <t>-</t>
        </is>
      </c>
    </row>
    <row r="282">
      <c r="A282" s="33" t="inlineStr">
        <is>
          <t>RK-CO22-A</t>
        </is>
      </c>
      <c r="B282" s="33" t="inlineStr">
        <is>
          <t>FL_MAT_CO2_2kg</t>
        </is>
      </c>
      <c r="C282" s="33" t="inlineStr">
        <is>
          <t>Extintor CO₂ 2 kg</t>
        </is>
      </c>
      <c r="D282" s="17" t="inlineStr">
        <is>
          <t>A - Extintor descargado</t>
        </is>
      </c>
      <c r="E282" s="17" t="inlineStr">
        <is>
          <t>Tarjeta de identificación AGC (módulo papel con QR + etiqueta AGC)</t>
        </is>
      </c>
      <c r="F282" s="33" t="n">
        <v>1</v>
      </c>
      <c r="G282" s="33" t="inlineStr">
        <is>
          <t>u</t>
        </is>
      </c>
      <c r="H282" s="17" t="inlineStr">
        <is>
          <t>Nuevo (destino CABA)</t>
        </is>
      </c>
      <c r="I282" s="17" t="inlineStr">
        <is>
          <t>IRAM 3517-2:2020 Ord. 40.473 art. 6 · Res. AGC 32/15</t>
        </is>
      </c>
      <c r="J282" s="33" t="inlineStr">
        <is>
          <t>Sí</t>
        </is>
      </c>
      <c r="K282" s="17" t="inlineStr">
        <is>
          <t>Agencia Gubernamental de Control (CABA)</t>
        </is>
      </c>
      <c r="L282" s="17" t="inlineStr">
        <is>
          <t>-</t>
        </is>
      </c>
    </row>
    <row r="283">
      <c r="A283" s="33" t="inlineStr">
        <is>
          <t>RK-CO22-A</t>
        </is>
      </c>
      <c r="B283" s="33" t="inlineStr">
        <is>
          <t>FL_MAT_CO2_2kg</t>
        </is>
      </c>
      <c r="C283" s="33" t="inlineStr">
        <is>
          <t>Extintor CO₂ 2 kg</t>
        </is>
      </c>
      <c r="D283" s="17" t="inlineStr">
        <is>
          <t>A - Extintor descargado</t>
        </is>
      </c>
      <c r="E283" s="17" t="inlineStr">
        <is>
          <t>Tarjeta de identificación DPS de revisión / recarga</t>
        </is>
      </c>
      <c r="F283" s="33" t="n">
        <v>1</v>
      </c>
      <c r="G283" s="33" t="inlineStr">
        <is>
          <t>u</t>
        </is>
      </c>
      <c r="H283" s="17" t="inlineStr">
        <is>
          <t>Nuevo (PBA)</t>
        </is>
      </c>
      <c r="I283" s="17" t="inlineStr">
        <is>
          <t>IRAM 3517-2:2020 Res. 349/07 art. 21</t>
        </is>
      </c>
      <c r="J283" s="33" t="inlineStr">
        <is>
          <t>Sí</t>
        </is>
      </c>
      <c r="K283" s="17" t="inlineStr">
        <is>
          <t>Ministerio de Ambiente PBA (ex OPDS)</t>
        </is>
      </c>
      <c r="L283" s="17" t="inlineStr">
        <is>
          <t>-</t>
        </is>
      </c>
    </row>
    <row r="284">
      <c r="A284" s="33" t="inlineStr">
        <is>
          <t>RK-CO22-A</t>
        </is>
      </c>
      <c r="B284" s="33" t="inlineStr">
        <is>
          <t>FL_MAT_CO2_2kg</t>
        </is>
      </c>
      <c r="C284" s="33" t="inlineStr">
        <is>
          <t>Extintor CO₂ 2 kg</t>
        </is>
      </c>
      <c r="D284" s="17" t="inlineStr">
        <is>
          <t>A - Extintor descargado</t>
        </is>
      </c>
      <c r="E284" s="17" t="inlineStr">
        <is>
          <t>Grabado de la fecha del servicio en el tubo de pesca (lápiz vibratorio; en polvo, marcador indeleble)</t>
        </is>
      </c>
      <c r="F284" s="33" t="n">
        <v>1</v>
      </c>
      <c r="G284" s="33" t="inlineStr">
        <is>
          <t>u</t>
        </is>
      </c>
      <c r="H284" s="17" t="inlineStr">
        <is>
          <t>Proceso</t>
        </is>
      </c>
      <c r="I284" s="17" t="inlineStr">
        <is>
          <t>IRAM 3517-2:2020 Res. 349/07 art. 28</t>
        </is>
      </c>
      <c r="J284" s="33" t="inlineStr">
        <is>
          <t>No</t>
        </is>
      </c>
      <c r="K284" s="17" t="n"/>
      <c r="L284" s="17" t="n"/>
    </row>
    <row r="285">
      <c r="A285" s="33" t="inlineStr">
        <is>
          <t>RK-CO22-A</t>
        </is>
      </c>
      <c r="B285" s="33" t="inlineStr">
        <is>
          <t>FL_MAT_CO2_2kg</t>
        </is>
      </c>
      <c r="C285" s="33" t="inlineStr">
        <is>
          <t>Extintor CO₂ 2 kg</t>
        </is>
      </c>
      <c r="D285" s="17" t="inlineStr">
        <is>
          <t>A - Extintor descargado</t>
        </is>
      </c>
      <c r="E285" s="17" t="inlineStr">
        <is>
          <t>Si hubo PH: oblea de vencimiento de PH + «PH» y fecha grabados en el tubo de pesca (CO₂: fecha y logo estampados en la ojiva)</t>
        </is>
      </c>
      <c r="F285" s="33" t="n">
        <v>1</v>
      </c>
      <c r="G285" s="33" t="inlineStr">
        <is>
          <t>u</t>
        </is>
      </c>
      <c r="H285" s="17" t="inlineStr">
        <is>
          <t>Proceso</t>
        </is>
      </c>
      <c r="I285" s="17" t="inlineStr">
        <is>
          <t>IRAM 3517-2:2020 Res. 349/07 art. 29 · IRAM 3517-2</t>
        </is>
      </c>
      <c r="J285" s="33" t="inlineStr">
        <is>
          <t>No</t>
        </is>
      </c>
      <c r="K285" s="17" t="n"/>
      <c r="L285" s="17" t="n"/>
    </row>
    <row r="286">
      <c r="A286" s="41" t="inlineStr">
        <is>
          <t>RK-CO22-A</t>
        </is>
      </c>
      <c r="B286" s="41" t="inlineStr">
        <is>
          <t>FL_MAT_CO2_2kg</t>
        </is>
      </c>
      <c r="C286" s="41" t="inlineStr">
        <is>
          <t>Extintor CO₂ 2 kg</t>
        </is>
      </c>
      <c r="D286" s="18" t="inlineStr">
        <is>
          <t>A - Extintor descargado</t>
        </is>
      </c>
      <c r="E286" s="18" t="inlineStr">
        <is>
          <t>Junta tórica de asiento del cuello</t>
        </is>
      </c>
      <c r="F286" s="41" t="n">
        <v>1</v>
      </c>
      <c r="G286" s="41" t="inlineStr">
        <is>
          <t>u</t>
        </is>
      </c>
      <c r="H286" s="18" t="inlineStr">
        <is>
          <t>Nuevo (R: cambio sistemático)</t>
        </is>
      </c>
      <c r="I286" s="18" t="inlineStr"/>
      <c r="J286" s="41" t="inlineStr">
        <is>
          <t>Sí</t>
        </is>
      </c>
      <c r="K286" s="18" t="inlineStr">
        <is>
          <t>Argensold</t>
        </is>
      </c>
      <c r="L286" s="18" t="inlineStr">
        <is>
          <t>Matafuegos Iglesias</t>
        </is>
      </c>
    </row>
    <row r="287">
      <c r="A287" s="33" t="inlineStr">
        <is>
          <t>RK-CO22-B</t>
        </is>
      </c>
      <c r="B287" s="33" t="inlineStr">
        <is>
          <t>FL_MAT_CO2_2kg</t>
        </is>
      </c>
      <c r="C287" s="33" t="inlineStr">
        <is>
          <t>Extintor CO₂ 2 kg</t>
        </is>
      </c>
      <c r="D287" s="17" t="inlineStr">
        <is>
          <t>B - Mantenimiento con vaciado (PH cada 5 años)</t>
        </is>
      </c>
      <c r="E287" s="17" t="inlineStr">
        <is>
          <t>Dióxido de carbono (IRAM 41170) recuperado</t>
        </is>
      </c>
      <c r="F287" s="33" t="n">
        <v>2</v>
      </c>
      <c r="G287" s="33" t="inlineStr">
        <is>
          <t>kg</t>
        </is>
      </c>
      <c r="H287" s="17" t="inlineStr">
        <is>
          <t>Recuperación en circuito cerrado recomendada</t>
        </is>
      </c>
      <c r="I287" s="17" t="inlineStr">
        <is>
          <t>IRAM 3517-2:2020 9.4.18</t>
        </is>
      </c>
      <c r="J287" s="33" t="inlineStr">
        <is>
          <t>No</t>
        </is>
      </c>
      <c r="K287" s="17" t="n"/>
      <c r="L287" s="17" t="n"/>
    </row>
    <row r="288">
      <c r="A288" s="33" t="inlineStr">
        <is>
          <t>RK-CO22-B</t>
        </is>
      </c>
      <c r="B288" s="33" t="inlineStr">
        <is>
          <t>FL_MAT_CO2_2kg</t>
        </is>
      </c>
      <c r="C288" s="33" t="inlineStr">
        <is>
          <t>Extintor CO₂ 2 kg</t>
        </is>
      </c>
      <c r="D288" s="17" t="inlineStr">
        <is>
          <t>B - Mantenimiento con vaciado (PH cada 5 años)</t>
        </is>
      </c>
      <c r="E288" s="17" t="inlineStr">
        <is>
          <t>Disco de seguridad</t>
        </is>
      </c>
      <c r="F288" s="33" t="n">
        <v>1</v>
      </c>
      <c r="G288" s="33" t="inlineStr">
        <is>
          <t>u</t>
        </is>
      </c>
      <c r="H288" s="17" t="inlineStr">
        <is>
          <t>Nuevo</t>
        </is>
      </c>
      <c r="I288" s="17" t="inlineStr">
        <is>
          <t>IRAM 3517-2:2020 9.4.17 dispositivos</t>
        </is>
      </c>
      <c r="J288" s="33" t="inlineStr">
        <is>
          <t>Sí</t>
        </is>
      </c>
      <c r="K288" s="17" t="inlineStr">
        <is>
          <t>Polvex S.R.L. / Sancibrao</t>
        </is>
      </c>
      <c r="L288" s="17" t="inlineStr">
        <is>
          <t>Yukon / MatafuegosYa S.R.L.</t>
        </is>
      </c>
    </row>
    <row r="289">
      <c r="A289" s="33" t="inlineStr">
        <is>
          <t>RK-CO22-B</t>
        </is>
      </c>
      <c r="B289" s="33" t="inlineStr">
        <is>
          <t>FL_MAT_CO2_2kg</t>
        </is>
      </c>
      <c r="C289" s="33" t="inlineStr">
        <is>
          <t>Extintor CO₂ 2 kg</t>
        </is>
      </c>
      <c r="D289" s="17" t="inlineStr">
        <is>
          <t>B - Mantenimiento con vaciado (PH cada 5 años)</t>
        </is>
      </c>
      <c r="E289" s="17" t="inlineStr">
        <is>
          <t>Precinto plástico numerado, color, con nombre del recargador</t>
        </is>
      </c>
      <c r="F289" s="33" t="n">
        <v>1</v>
      </c>
      <c r="G289" s="33" t="inlineStr">
        <is>
          <t>u</t>
        </is>
      </c>
      <c r="H289" s="17" t="inlineStr">
        <is>
          <t>Nuevo</t>
        </is>
      </c>
      <c r="I289" s="17" t="inlineStr">
        <is>
          <t>IRAM 3517-2:2020 9.4.13</t>
        </is>
      </c>
      <c r="J289" s="33" t="inlineStr">
        <is>
          <t>Sí</t>
        </is>
      </c>
      <c r="K289" s="17" t="inlineStr">
        <is>
          <t>SonFuertes (vía Papelera Damián)</t>
        </is>
      </c>
      <c r="L289" s="17" t="inlineStr">
        <is>
          <t>Precinter S.R.L.</t>
        </is>
      </c>
    </row>
    <row r="290">
      <c r="A290" s="33" t="inlineStr">
        <is>
          <t>RK-CO22-B</t>
        </is>
      </c>
      <c r="B290" s="33" t="inlineStr">
        <is>
          <t>FL_MAT_CO2_2kg</t>
        </is>
      </c>
      <c r="C290" s="33" t="inlineStr">
        <is>
          <t>Extintor CO₂ 2 kg</t>
        </is>
      </c>
      <c r="D290" s="17" t="inlineStr">
        <is>
          <t>B - Mantenimiento con vaciado (PH cada 5 años)</t>
        </is>
      </c>
      <c r="E290" s="17" t="inlineStr">
        <is>
          <t>Marbete (anillo, color del año)</t>
        </is>
      </c>
      <c r="F290" s="33" t="n">
        <v>1</v>
      </c>
      <c r="G290" s="33" t="inlineStr">
        <is>
          <t>u</t>
        </is>
      </c>
      <c r="H290" s="17" t="inlineStr">
        <is>
          <t>Nuevo</t>
        </is>
      </c>
      <c r="I290" s="17" t="inlineStr">
        <is>
          <t>IRAM 3517-2:2020 9.4.14 · fig. 9 · tabla 4</t>
        </is>
      </c>
      <c r="J290" s="33" t="inlineStr">
        <is>
          <t>Sí</t>
        </is>
      </c>
      <c r="K290" s="17" t="inlineStr">
        <is>
          <t>Astuprint</t>
        </is>
      </c>
      <c r="L290" s="17" t="inlineStr">
        <is>
          <t>Multilabel Argentina S.A.</t>
        </is>
      </c>
    </row>
    <row r="291">
      <c r="A291" s="33" t="inlineStr">
        <is>
          <t>RK-CO22-B</t>
        </is>
      </c>
      <c r="B291" s="33" t="inlineStr">
        <is>
          <t>FL_MAT_CO2_2kg</t>
        </is>
      </c>
      <c r="C291" s="33" t="inlineStr">
        <is>
          <t>Extintor CO₂ 2 kg</t>
        </is>
      </c>
      <c r="D291" s="17" t="inlineStr">
        <is>
          <t>B - Mantenimiento con vaciado (PH cada 5 años)</t>
        </is>
      </c>
      <c r="E291" s="17" t="inlineStr">
        <is>
          <t>Etiqueta de servicio del recargador (extintor n°, serie, próxima recarga y PH)</t>
        </is>
      </c>
      <c r="F291" s="33" t="n">
        <v>1</v>
      </c>
      <c r="G291" s="33" t="inlineStr">
        <is>
          <t>u</t>
        </is>
      </c>
      <c r="H291" s="17" t="inlineStr">
        <is>
          <t>Nuevo</t>
        </is>
      </c>
      <c r="I291" s="17" t="inlineStr">
        <is>
          <t>IRAM 3517-2:2020 8.3.3 · relevado Suyai/Firegram</t>
        </is>
      </c>
      <c r="J291" s="33" t="inlineStr">
        <is>
          <t>Sí</t>
        </is>
      </c>
      <c r="K291" s="17" t="inlineStr">
        <is>
          <t>Astuprint</t>
        </is>
      </c>
      <c r="L291" s="17" t="inlineStr">
        <is>
          <t>Multilabel Argentina S.A.</t>
        </is>
      </c>
    </row>
    <row r="292">
      <c r="A292" s="33" t="inlineStr">
        <is>
          <t>RK-CO22-B</t>
        </is>
      </c>
      <c r="B292" s="33" t="inlineStr">
        <is>
          <t>FL_MAT_CO2_2kg</t>
        </is>
      </c>
      <c r="C292" s="33" t="inlineStr">
        <is>
          <t>Extintor CO₂ 2 kg</t>
        </is>
      </c>
      <c r="D292" s="17" t="inlineStr">
        <is>
          <t>B - Mantenimiento con vaciado (PH cada 5 años)</t>
        </is>
      </c>
      <c r="E292" s="17" t="inlineStr">
        <is>
          <t>Oblea PBA de recarga Ø46 + estampilla precinto 1" × 200 mm válvula-cuerpo</t>
        </is>
      </c>
      <c r="F292" s="33" t="n">
        <v>1</v>
      </c>
      <c r="G292" s="33" t="inlineStr">
        <is>
          <t>u</t>
        </is>
      </c>
      <c r="H292" s="17" t="inlineStr">
        <is>
          <t>Nuevo (venta en PBA)</t>
        </is>
      </c>
      <c r="I292" s="17" t="inlineStr">
        <is>
          <t>IRAM 3517-2:2020 Res. OPDS 522/07</t>
        </is>
      </c>
      <c r="J292" s="33" t="inlineStr">
        <is>
          <t>Sí</t>
        </is>
      </c>
      <c r="K292" s="17" t="inlineStr">
        <is>
          <t>Ministerio de Ambiente PBA (ex OPDS)</t>
        </is>
      </c>
      <c r="L292" s="17" t="inlineStr">
        <is>
          <t>-</t>
        </is>
      </c>
    </row>
    <row r="293">
      <c r="A293" s="33" t="inlineStr">
        <is>
          <t>RK-CO22-B</t>
        </is>
      </c>
      <c r="B293" s="33" t="inlineStr">
        <is>
          <t>FL_MAT_CO2_2kg</t>
        </is>
      </c>
      <c r="C293" s="33" t="inlineStr">
        <is>
          <t>Extintor CO₂ 2 kg</t>
        </is>
      </c>
      <c r="D293" s="17" t="inlineStr">
        <is>
          <t>B - Mantenimiento con vaciado (PH cada 5 años)</t>
        </is>
      </c>
      <c r="E293" s="17" t="inlineStr">
        <is>
          <t>Tarjeta de identificación AGC (módulo papel con QR + etiqueta AGC)</t>
        </is>
      </c>
      <c r="F293" s="33" t="n">
        <v>1</v>
      </c>
      <c r="G293" s="33" t="inlineStr">
        <is>
          <t>u</t>
        </is>
      </c>
      <c r="H293" s="17" t="inlineStr">
        <is>
          <t>Nuevo (destino CABA)</t>
        </is>
      </c>
      <c r="I293" s="17" t="inlineStr">
        <is>
          <t>IRAM 3517-2:2020 Ord. 40.473 art. 6 · Res. AGC 32/15</t>
        </is>
      </c>
      <c r="J293" s="33" t="inlineStr">
        <is>
          <t>Sí</t>
        </is>
      </c>
      <c r="K293" s="17" t="inlineStr">
        <is>
          <t>Agencia Gubernamental de Control (CABA)</t>
        </is>
      </c>
      <c r="L293" s="17" t="inlineStr">
        <is>
          <t>-</t>
        </is>
      </c>
    </row>
    <row r="294">
      <c r="A294" s="33" t="inlineStr">
        <is>
          <t>RK-CO22-B</t>
        </is>
      </c>
      <c r="B294" s="33" t="inlineStr">
        <is>
          <t>FL_MAT_CO2_2kg</t>
        </is>
      </c>
      <c r="C294" s="33" t="inlineStr">
        <is>
          <t>Extintor CO₂ 2 kg</t>
        </is>
      </c>
      <c r="D294" s="17" t="inlineStr">
        <is>
          <t>B - Mantenimiento con vaciado (PH cada 5 años)</t>
        </is>
      </c>
      <c r="E294" s="17" t="inlineStr">
        <is>
          <t>Tarjeta de identificación DPS de revisión / recarga</t>
        </is>
      </c>
      <c r="F294" s="33" t="n">
        <v>1</v>
      </c>
      <c r="G294" s="33" t="inlineStr">
        <is>
          <t>u</t>
        </is>
      </c>
      <c r="H294" s="17" t="inlineStr">
        <is>
          <t>Nuevo (PBA)</t>
        </is>
      </c>
      <c r="I294" s="17" t="inlineStr">
        <is>
          <t>IRAM 3517-2:2020 Res. 349/07 art. 21</t>
        </is>
      </c>
      <c r="J294" s="33" t="inlineStr">
        <is>
          <t>Sí</t>
        </is>
      </c>
      <c r="K294" s="17" t="inlineStr">
        <is>
          <t>Ministerio de Ambiente PBA (ex OPDS)</t>
        </is>
      </c>
      <c r="L294" s="17" t="inlineStr">
        <is>
          <t>-</t>
        </is>
      </c>
    </row>
    <row r="295">
      <c r="A295" s="33" t="inlineStr">
        <is>
          <t>RK-CO22-B</t>
        </is>
      </c>
      <c r="B295" s="33" t="inlineStr">
        <is>
          <t>FL_MAT_CO2_2kg</t>
        </is>
      </c>
      <c r="C295" s="33" t="inlineStr">
        <is>
          <t>Extintor CO₂ 2 kg</t>
        </is>
      </c>
      <c r="D295" s="17" t="inlineStr">
        <is>
          <t>B - Mantenimiento con vaciado (PH cada 5 años)</t>
        </is>
      </c>
      <c r="E295" s="17" t="inlineStr">
        <is>
          <t>Grabado de la fecha del servicio en el tubo de pesca (lápiz vibratorio; en polvo, marcador indeleble)</t>
        </is>
      </c>
      <c r="F295" s="33" t="n">
        <v>1</v>
      </c>
      <c r="G295" s="33" t="inlineStr">
        <is>
          <t>u</t>
        </is>
      </c>
      <c r="H295" s="17" t="inlineStr">
        <is>
          <t>Proceso</t>
        </is>
      </c>
      <c r="I295" s="17" t="inlineStr">
        <is>
          <t>IRAM 3517-2:2020 Res. 349/07 art. 28</t>
        </is>
      </c>
      <c r="J295" s="33" t="inlineStr">
        <is>
          <t>No</t>
        </is>
      </c>
      <c r="K295" s="17" t="n"/>
      <c r="L295" s="17" t="n"/>
    </row>
    <row r="296">
      <c r="A296" s="33" t="inlineStr">
        <is>
          <t>RK-CO22-B</t>
        </is>
      </c>
      <c r="B296" s="33" t="inlineStr">
        <is>
          <t>FL_MAT_CO2_2kg</t>
        </is>
      </c>
      <c r="C296" s="33" t="inlineStr">
        <is>
          <t>Extintor CO₂ 2 kg</t>
        </is>
      </c>
      <c r="D296" s="17" t="inlineStr">
        <is>
          <t>B - Mantenimiento con vaciado (PH cada 5 años)</t>
        </is>
      </c>
      <c r="E296" s="17" t="inlineStr">
        <is>
          <t>Si hubo PH: oblea de vencimiento de PH + «PH» y fecha grabados en el tubo de pesca (CO₂: fecha y logo estampados en la ojiva)</t>
        </is>
      </c>
      <c r="F296" s="33" t="n">
        <v>1</v>
      </c>
      <c r="G296" s="33" t="inlineStr">
        <is>
          <t>u</t>
        </is>
      </c>
      <c r="H296" s="17" t="inlineStr">
        <is>
          <t>Proceso</t>
        </is>
      </c>
      <c r="I296" s="17" t="inlineStr">
        <is>
          <t>IRAM 3517-2:2020 Res. 349/07 art. 29 · IRAM 3517-2</t>
        </is>
      </c>
      <c r="J296" s="33" t="inlineStr">
        <is>
          <t>No</t>
        </is>
      </c>
      <c r="K296" s="17" t="n"/>
      <c r="L296" s="17" t="n"/>
    </row>
    <row r="297">
      <c r="A297" s="41" t="inlineStr">
        <is>
          <t>RK-CO22-B</t>
        </is>
      </c>
      <c r="B297" s="41" t="inlineStr">
        <is>
          <t>FL_MAT_CO2_2kg</t>
        </is>
      </c>
      <c r="C297" s="41" t="inlineStr">
        <is>
          <t>Extintor CO₂ 2 kg</t>
        </is>
      </c>
      <c r="D297" s="18" t="inlineStr">
        <is>
          <t>B - Mantenimiento con vaciado (PH cada 5 años)</t>
        </is>
      </c>
      <c r="E297" s="18" t="inlineStr">
        <is>
          <t>Junta tórica de asiento del cuello</t>
        </is>
      </c>
      <c r="F297" s="41" t="n">
        <v>1</v>
      </c>
      <c r="G297" s="41" t="inlineStr">
        <is>
          <t>u</t>
        </is>
      </c>
      <c r="H297" s="18" t="inlineStr">
        <is>
          <t>Nuevo (R: cambio sistemático)</t>
        </is>
      </c>
      <c r="I297" s="18" t="inlineStr"/>
      <c r="J297" s="41" t="inlineStr">
        <is>
          <t>Sí</t>
        </is>
      </c>
      <c r="K297" s="18" t="inlineStr">
        <is>
          <t>Argensold</t>
        </is>
      </c>
      <c r="L297" s="18" t="inlineStr">
        <is>
          <t>Matafuegos Iglesias</t>
        </is>
      </c>
    </row>
    <row r="298">
      <c r="A298" s="33" t="inlineStr">
        <is>
          <t>RK-CO22-I</t>
        </is>
      </c>
      <c r="B298" s="33" t="inlineStr">
        <is>
          <t>FL_MAT_CO2_2kg</t>
        </is>
      </c>
      <c r="C298" s="33" t="inlineStr">
        <is>
          <t>Extintor CO₂ 2 kg</t>
        </is>
      </c>
      <c r="D298" s="17" t="inlineStr">
        <is>
          <t>Según inspección (consumo estadístico a definir)</t>
        </is>
      </c>
      <c r="E298" s="17" t="inlineStr">
        <is>
          <t>Manómetro / manguera / tobera / kit de válvula</t>
        </is>
      </c>
      <c r="F298" s="33" t="inlineStr">
        <is>
          <t>-</t>
        </is>
      </c>
      <c r="G298" s="33" t="inlineStr">
        <is>
          <t>u</t>
        </is>
      </c>
      <c r="H298" s="17" t="inlineStr">
        <is>
          <t>Recambio sólo si falla</t>
        </is>
      </c>
      <c r="I298" s="17" t="inlineStr">
        <is>
          <t>IRAM 3517-2:2020 9.4.11 (cada manguera vuelve a su extintor)</t>
        </is>
      </c>
      <c r="J298" s="33" t="inlineStr">
        <is>
          <t>Sí</t>
        </is>
      </c>
      <c r="K298" s="17" t="inlineStr">
        <is>
          <t>Polvex S.R.L. / Sancibrao</t>
        </is>
      </c>
      <c r="L298" s="17" t="inlineStr">
        <is>
          <t>Yukon / MatafuegosYa S.R.L.</t>
        </is>
      </c>
    </row>
    <row r="299">
      <c r="A299" s="33" t="inlineStr">
        <is>
          <t>RK-CO25-A</t>
        </is>
      </c>
      <c r="B299" s="33" t="inlineStr">
        <is>
          <t>FL_MAT_CO2_5kg</t>
        </is>
      </c>
      <c r="C299" s="33" t="inlineStr">
        <is>
          <t>Extintor CO₂ 5 kg</t>
        </is>
      </c>
      <c r="D299" s="17" t="inlineStr">
        <is>
          <t>A - Extintor descargado</t>
        </is>
      </c>
      <c r="E299" s="17" t="inlineStr">
        <is>
          <t>Dióxido de carbono (IRAM 41170)</t>
        </is>
      </c>
      <c r="F299" s="33" t="n">
        <v>5</v>
      </c>
      <c r="G299" s="33" t="inlineStr">
        <is>
          <t>kg</t>
        </is>
      </c>
      <c r="H299" s="17" t="inlineStr">
        <is>
          <t>Nuevo (trasvase de batería o tanque criogénico)</t>
        </is>
      </c>
      <c r="I299" s="17" t="inlineStr">
        <is>
          <t>IRAM 3517-2:2020 4.4.1 l) trasvasador; 9.9.1.11 calidad del CO₂</t>
        </is>
      </c>
      <c r="J299" s="33" t="inlineStr">
        <is>
          <t>Sí</t>
        </is>
      </c>
      <c r="K299" s="17" t="inlineStr">
        <is>
          <t>Air Liquide Argentina - sucursal Piñeyro</t>
        </is>
      </c>
      <c r="L299" s="17" t="inlineStr">
        <is>
          <t>Gogniat</t>
        </is>
      </c>
    </row>
    <row r="300">
      <c r="A300" s="33" t="inlineStr">
        <is>
          <t>RK-CO25-A</t>
        </is>
      </c>
      <c r="B300" s="33" t="inlineStr">
        <is>
          <t>FL_MAT_CO2_5kg</t>
        </is>
      </c>
      <c r="C300" s="33" t="inlineStr">
        <is>
          <t>Extintor CO₂ 5 kg</t>
        </is>
      </c>
      <c r="D300" s="17" t="inlineStr">
        <is>
          <t>A - Extintor descargado</t>
        </is>
      </c>
      <c r="E300" s="17" t="inlineStr">
        <is>
          <t>Precinto plástico numerado, color, con nombre del recargador</t>
        </is>
      </c>
      <c r="F300" s="33" t="n">
        <v>1</v>
      </c>
      <c r="G300" s="33" t="inlineStr">
        <is>
          <t>u</t>
        </is>
      </c>
      <c r="H300" s="17" t="inlineStr">
        <is>
          <t>Nuevo</t>
        </is>
      </c>
      <c r="I300" s="17" t="inlineStr">
        <is>
          <t>IRAM 3517-2:2020 9.4.13</t>
        </is>
      </c>
      <c r="J300" s="33" t="inlineStr">
        <is>
          <t>Sí</t>
        </is>
      </c>
      <c r="K300" s="17" t="inlineStr">
        <is>
          <t>SonFuertes (vía Papelera Damián)</t>
        </is>
      </c>
      <c r="L300" s="17" t="inlineStr">
        <is>
          <t>Precinter S.R.L.</t>
        </is>
      </c>
    </row>
    <row r="301">
      <c r="A301" s="33" t="inlineStr">
        <is>
          <t>RK-CO25-A</t>
        </is>
      </c>
      <c r="B301" s="33" t="inlineStr">
        <is>
          <t>FL_MAT_CO2_5kg</t>
        </is>
      </c>
      <c r="C301" s="33" t="inlineStr">
        <is>
          <t>Extintor CO₂ 5 kg</t>
        </is>
      </c>
      <c r="D301" s="17" t="inlineStr">
        <is>
          <t>A - Extintor descargado</t>
        </is>
      </c>
      <c r="E301" s="17" t="inlineStr">
        <is>
          <t>Marbete (anillo, color del año)</t>
        </is>
      </c>
      <c r="F301" s="33" t="n">
        <v>1</v>
      </c>
      <c r="G301" s="33" t="inlineStr">
        <is>
          <t>u</t>
        </is>
      </c>
      <c r="H301" s="17" t="inlineStr">
        <is>
          <t>Nuevo</t>
        </is>
      </c>
      <c r="I301" s="17" t="inlineStr">
        <is>
          <t>IRAM 3517-2:2020 9.4.14 · fig. 9 · tabla 4</t>
        </is>
      </c>
      <c r="J301" s="33" t="inlineStr">
        <is>
          <t>Sí</t>
        </is>
      </c>
      <c r="K301" s="17" t="inlineStr">
        <is>
          <t>Astuprint</t>
        </is>
      </c>
      <c r="L301" s="17" t="inlineStr">
        <is>
          <t>Multilabel Argentina S.A.</t>
        </is>
      </c>
    </row>
    <row r="302">
      <c r="A302" s="33" t="inlineStr">
        <is>
          <t>RK-CO25-A</t>
        </is>
      </c>
      <c r="B302" s="33" t="inlineStr">
        <is>
          <t>FL_MAT_CO2_5kg</t>
        </is>
      </c>
      <c r="C302" s="33" t="inlineStr">
        <is>
          <t>Extintor CO₂ 5 kg</t>
        </is>
      </c>
      <c r="D302" s="17" t="inlineStr">
        <is>
          <t>A - Extintor descargado</t>
        </is>
      </c>
      <c r="E302" s="17" t="inlineStr">
        <is>
          <t>Etiqueta de servicio del recargador (extintor n°, serie, próxima recarga y PH)</t>
        </is>
      </c>
      <c r="F302" s="33" t="n">
        <v>1</v>
      </c>
      <c r="G302" s="33" t="inlineStr">
        <is>
          <t>u</t>
        </is>
      </c>
      <c r="H302" s="17" t="inlineStr">
        <is>
          <t>Nuevo</t>
        </is>
      </c>
      <c r="I302" s="17" t="inlineStr">
        <is>
          <t>IRAM 3517-2:2020 8.3.3 · relevado Suyai/Firegram</t>
        </is>
      </c>
      <c r="J302" s="33" t="inlineStr">
        <is>
          <t>Sí</t>
        </is>
      </c>
      <c r="K302" s="17" t="inlineStr">
        <is>
          <t>Astuprint</t>
        </is>
      </c>
      <c r="L302" s="17" t="inlineStr">
        <is>
          <t>Multilabel Argentina S.A.</t>
        </is>
      </c>
    </row>
    <row r="303">
      <c r="A303" s="33" t="inlineStr">
        <is>
          <t>RK-CO25-A</t>
        </is>
      </c>
      <c r="B303" s="33" t="inlineStr">
        <is>
          <t>FL_MAT_CO2_5kg</t>
        </is>
      </c>
      <c r="C303" s="33" t="inlineStr">
        <is>
          <t>Extintor CO₂ 5 kg</t>
        </is>
      </c>
      <c r="D303" s="17" t="inlineStr">
        <is>
          <t>A - Extintor descargado</t>
        </is>
      </c>
      <c r="E303" s="17" t="inlineStr">
        <is>
          <t>Oblea PBA de recarga Ø46 + estampilla precinto 1" × 200 mm válvula-cuerpo</t>
        </is>
      </c>
      <c r="F303" s="33" t="n">
        <v>1</v>
      </c>
      <c r="G303" s="33" t="inlineStr">
        <is>
          <t>u</t>
        </is>
      </c>
      <c r="H303" s="17" t="inlineStr">
        <is>
          <t>Nuevo (venta en PBA)</t>
        </is>
      </c>
      <c r="I303" s="17" t="inlineStr">
        <is>
          <t>IRAM 3517-2:2020 Res. OPDS 522/07</t>
        </is>
      </c>
      <c r="J303" s="33" t="inlineStr">
        <is>
          <t>Sí</t>
        </is>
      </c>
      <c r="K303" s="17" t="inlineStr">
        <is>
          <t>Ministerio de Ambiente PBA (ex OPDS)</t>
        </is>
      </c>
      <c r="L303" s="17" t="inlineStr">
        <is>
          <t>-</t>
        </is>
      </c>
    </row>
    <row r="304">
      <c r="A304" s="33" t="inlineStr">
        <is>
          <t>RK-CO25-A</t>
        </is>
      </c>
      <c r="B304" s="33" t="inlineStr">
        <is>
          <t>FL_MAT_CO2_5kg</t>
        </is>
      </c>
      <c r="C304" s="33" t="inlineStr">
        <is>
          <t>Extintor CO₂ 5 kg</t>
        </is>
      </c>
      <c r="D304" s="17" t="inlineStr">
        <is>
          <t>A - Extintor descargado</t>
        </is>
      </c>
      <c r="E304" s="17" t="inlineStr">
        <is>
          <t>Tarjeta de identificación AGC (módulo papel con QR + etiqueta AGC)</t>
        </is>
      </c>
      <c r="F304" s="33" t="n">
        <v>1</v>
      </c>
      <c r="G304" s="33" t="inlineStr">
        <is>
          <t>u</t>
        </is>
      </c>
      <c r="H304" s="17" t="inlineStr">
        <is>
          <t>Nuevo (destino CABA)</t>
        </is>
      </c>
      <c r="I304" s="17" t="inlineStr">
        <is>
          <t>IRAM 3517-2:2020 Ord. 40.473 art. 6 · Res. AGC 32/15</t>
        </is>
      </c>
      <c r="J304" s="33" t="inlineStr">
        <is>
          <t>Sí</t>
        </is>
      </c>
      <c r="K304" s="17" t="inlineStr">
        <is>
          <t>Agencia Gubernamental de Control (CABA)</t>
        </is>
      </c>
      <c r="L304" s="17" t="inlineStr">
        <is>
          <t>-</t>
        </is>
      </c>
    </row>
    <row r="305">
      <c r="A305" s="33" t="inlineStr">
        <is>
          <t>RK-CO25-A</t>
        </is>
      </c>
      <c r="B305" s="33" t="inlineStr">
        <is>
          <t>FL_MAT_CO2_5kg</t>
        </is>
      </c>
      <c r="C305" s="33" t="inlineStr">
        <is>
          <t>Extintor CO₂ 5 kg</t>
        </is>
      </c>
      <c r="D305" s="17" t="inlineStr">
        <is>
          <t>A - Extintor descargado</t>
        </is>
      </c>
      <c r="E305" s="17" t="inlineStr">
        <is>
          <t>Tarjeta de identificación DPS de revisión / recarga</t>
        </is>
      </c>
      <c r="F305" s="33" t="n">
        <v>1</v>
      </c>
      <c r="G305" s="33" t="inlineStr">
        <is>
          <t>u</t>
        </is>
      </c>
      <c r="H305" s="17" t="inlineStr">
        <is>
          <t>Nuevo (PBA)</t>
        </is>
      </c>
      <c r="I305" s="17" t="inlineStr">
        <is>
          <t>IRAM 3517-2:2020 Res. 349/07 art. 21</t>
        </is>
      </c>
      <c r="J305" s="33" t="inlineStr">
        <is>
          <t>Sí</t>
        </is>
      </c>
      <c r="K305" s="17" t="inlineStr">
        <is>
          <t>Ministerio de Ambiente PBA (ex OPDS)</t>
        </is>
      </c>
      <c r="L305" s="17" t="inlineStr">
        <is>
          <t>-</t>
        </is>
      </c>
    </row>
    <row r="306">
      <c r="A306" s="33" t="inlineStr">
        <is>
          <t>RK-CO25-A</t>
        </is>
      </c>
      <c r="B306" s="33" t="inlineStr">
        <is>
          <t>FL_MAT_CO2_5kg</t>
        </is>
      </c>
      <c r="C306" s="33" t="inlineStr">
        <is>
          <t>Extintor CO₂ 5 kg</t>
        </is>
      </c>
      <c r="D306" s="17" t="inlineStr">
        <is>
          <t>A - Extintor descargado</t>
        </is>
      </c>
      <c r="E306" s="17" t="inlineStr">
        <is>
          <t>Grabado de la fecha del servicio en el tubo de pesca (lápiz vibratorio; en polvo, marcador indeleble)</t>
        </is>
      </c>
      <c r="F306" s="33" t="n">
        <v>1</v>
      </c>
      <c r="G306" s="33" t="inlineStr">
        <is>
          <t>u</t>
        </is>
      </c>
      <c r="H306" s="17" t="inlineStr">
        <is>
          <t>Proceso</t>
        </is>
      </c>
      <c r="I306" s="17" t="inlineStr">
        <is>
          <t>IRAM 3517-2:2020 Res. 349/07 art. 28</t>
        </is>
      </c>
      <c r="J306" s="33" t="inlineStr">
        <is>
          <t>No</t>
        </is>
      </c>
      <c r="K306" s="17" t="n"/>
      <c r="L306" s="17" t="n"/>
    </row>
    <row r="307">
      <c r="A307" s="33" t="inlineStr">
        <is>
          <t>RK-CO25-A</t>
        </is>
      </c>
      <c r="B307" s="33" t="inlineStr">
        <is>
          <t>FL_MAT_CO2_5kg</t>
        </is>
      </c>
      <c r="C307" s="33" t="inlineStr">
        <is>
          <t>Extintor CO₂ 5 kg</t>
        </is>
      </c>
      <c r="D307" s="17" t="inlineStr">
        <is>
          <t>A - Extintor descargado</t>
        </is>
      </c>
      <c r="E307" s="17" t="inlineStr">
        <is>
          <t>Si hubo PH: oblea de vencimiento de PH + «PH» y fecha grabados en el tubo de pesca (CO₂: fecha y logo estampados en la ojiva)</t>
        </is>
      </c>
      <c r="F307" s="33" t="n">
        <v>1</v>
      </c>
      <c r="G307" s="33" t="inlineStr">
        <is>
          <t>u</t>
        </is>
      </c>
      <c r="H307" s="17" t="inlineStr">
        <is>
          <t>Proceso</t>
        </is>
      </c>
      <c r="I307" s="17" t="inlineStr">
        <is>
          <t>IRAM 3517-2:2020 Res. 349/07 art. 29 · IRAM 3517-2</t>
        </is>
      </c>
      <c r="J307" s="33" t="inlineStr">
        <is>
          <t>No</t>
        </is>
      </c>
      <c r="K307" s="17" t="n"/>
      <c r="L307" s="17" t="n"/>
    </row>
    <row r="308">
      <c r="A308" s="41" t="inlineStr">
        <is>
          <t>RK-CO25-A</t>
        </is>
      </c>
      <c r="B308" s="41" t="inlineStr">
        <is>
          <t>FL_MAT_CO2_5kg</t>
        </is>
      </c>
      <c r="C308" s="41" t="inlineStr">
        <is>
          <t>Extintor CO₂ 5 kg</t>
        </is>
      </c>
      <c r="D308" s="18" t="inlineStr">
        <is>
          <t>A - Extintor descargado</t>
        </is>
      </c>
      <c r="E308" s="18" t="inlineStr">
        <is>
          <t>Junta tórica de asiento del cuello</t>
        </is>
      </c>
      <c r="F308" s="41" t="n">
        <v>1</v>
      </c>
      <c r="G308" s="41" t="inlineStr">
        <is>
          <t>u</t>
        </is>
      </c>
      <c r="H308" s="18" t="inlineStr">
        <is>
          <t>Nuevo (R: cambio sistemático)</t>
        </is>
      </c>
      <c r="I308" s="18" t="inlineStr"/>
      <c r="J308" s="41" t="inlineStr">
        <is>
          <t>Sí</t>
        </is>
      </c>
      <c r="K308" s="18" t="inlineStr">
        <is>
          <t>Argensold</t>
        </is>
      </c>
      <c r="L308" s="18" t="inlineStr">
        <is>
          <t>Matafuegos Iglesias</t>
        </is>
      </c>
    </row>
    <row r="309">
      <c r="A309" s="33" t="inlineStr">
        <is>
          <t>RK-CO25-B</t>
        </is>
      </c>
      <c r="B309" s="33" t="inlineStr">
        <is>
          <t>FL_MAT_CO2_5kg</t>
        </is>
      </c>
      <c r="C309" s="33" t="inlineStr">
        <is>
          <t>Extintor CO₂ 5 kg</t>
        </is>
      </c>
      <c r="D309" s="17" t="inlineStr">
        <is>
          <t>B - Mantenimiento con vaciado (PH cada 5 años)</t>
        </is>
      </c>
      <c r="E309" s="17" t="inlineStr">
        <is>
          <t>Dióxido de carbono (IRAM 41170) recuperado</t>
        </is>
      </c>
      <c r="F309" s="33" t="n">
        <v>5</v>
      </c>
      <c r="G309" s="33" t="inlineStr">
        <is>
          <t>kg</t>
        </is>
      </c>
      <c r="H309" s="17" t="inlineStr">
        <is>
          <t>Recuperación en circuito cerrado recomendada</t>
        </is>
      </c>
      <c r="I309" s="17" t="inlineStr">
        <is>
          <t>IRAM 3517-2:2020 9.4.18</t>
        </is>
      </c>
      <c r="J309" s="33" t="inlineStr">
        <is>
          <t>No</t>
        </is>
      </c>
      <c r="K309" s="17" t="n"/>
      <c r="L309" s="17" t="n"/>
    </row>
    <row r="310">
      <c r="A310" s="33" t="inlineStr">
        <is>
          <t>RK-CO25-B</t>
        </is>
      </c>
      <c r="B310" s="33" t="inlineStr">
        <is>
          <t>FL_MAT_CO2_5kg</t>
        </is>
      </c>
      <c r="C310" s="33" t="inlineStr">
        <is>
          <t>Extintor CO₂ 5 kg</t>
        </is>
      </c>
      <c r="D310" s="17" t="inlineStr">
        <is>
          <t>B - Mantenimiento con vaciado (PH cada 5 años)</t>
        </is>
      </c>
      <c r="E310" s="17" t="inlineStr">
        <is>
          <t>Disco de seguridad</t>
        </is>
      </c>
      <c r="F310" s="33" t="n">
        <v>1</v>
      </c>
      <c r="G310" s="33" t="inlineStr">
        <is>
          <t>u</t>
        </is>
      </c>
      <c r="H310" s="17" t="inlineStr">
        <is>
          <t>Nuevo</t>
        </is>
      </c>
      <c r="I310" s="17" t="inlineStr">
        <is>
          <t>IRAM 3517-2:2020 9.4.17 dispositivos</t>
        </is>
      </c>
      <c r="J310" s="33" t="inlineStr">
        <is>
          <t>Sí</t>
        </is>
      </c>
      <c r="K310" s="17" t="inlineStr">
        <is>
          <t>Polvex S.R.L. / Sancibrao</t>
        </is>
      </c>
      <c r="L310" s="17" t="inlineStr">
        <is>
          <t>Yukon / MatafuegosYa S.R.L.</t>
        </is>
      </c>
    </row>
    <row r="311">
      <c r="A311" s="33" t="inlineStr">
        <is>
          <t>RK-CO25-B</t>
        </is>
      </c>
      <c r="B311" s="33" t="inlineStr">
        <is>
          <t>FL_MAT_CO2_5kg</t>
        </is>
      </c>
      <c r="C311" s="33" t="inlineStr">
        <is>
          <t>Extintor CO₂ 5 kg</t>
        </is>
      </c>
      <c r="D311" s="17" t="inlineStr">
        <is>
          <t>B - Mantenimiento con vaciado (PH cada 5 años)</t>
        </is>
      </c>
      <c r="E311" s="17" t="inlineStr">
        <is>
          <t>Precinto plástico numerado, color, con nombre del recargador</t>
        </is>
      </c>
      <c r="F311" s="33" t="n">
        <v>1</v>
      </c>
      <c r="G311" s="33" t="inlineStr">
        <is>
          <t>u</t>
        </is>
      </c>
      <c r="H311" s="17" t="inlineStr">
        <is>
          <t>Nuevo</t>
        </is>
      </c>
      <c r="I311" s="17" t="inlineStr">
        <is>
          <t>IRAM 3517-2:2020 9.4.13</t>
        </is>
      </c>
      <c r="J311" s="33" t="inlineStr">
        <is>
          <t>Sí</t>
        </is>
      </c>
      <c r="K311" s="17" t="inlineStr">
        <is>
          <t>SonFuertes (vía Papelera Damián)</t>
        </is>
      </c>
      <c r="L311" s="17" t="inlineStr">
        <is>
          <t>Precinter S.R.L.</t>
        </is>
      </c>
    </row>
    <row r="312">
      <c r="A312" s="33" t="inlineStr">
        <is>
          <t>RK-CO25-B</t>
        </is>
      </c>
      <c r="B312" s="33" t="inlineStr">
        <is>
          <t>FL_MAT_CO2_5kg</t>
        </is>
      </c>
      <c r="C312" s="33" t="inlineStr">
        <is>
          <t>Extintor CO₂ 5 kg</t>
        </is>
      </c>
      <c r="D312" s="17" t="inlineStr">
        <is>
          <t>B - Mantenimiento con vaciado (PH cada 5 años)</t>
        </is>
      </c>
      <c r="E312" s="17" t="inlineStr">
        <is>
          <t>Marbete (anillo, color del año)</t>
        </is>
      </c>
      <c r="F312" s="33" t="n">
        <v>1</v>
      </c>
      <c r="G312" s="33" t="inlineStr">
        <is>
          <t>u</t>
        </is>
      </c>
      <c r="H312" s="17" t="inlineStr">
        <is>
          <t>Nuevo</t>
        </is>
      </c>
      <c r="I312" s="17" t="inlineStr">
        <is>
          <t>IRAM 3517-2:2020 9.4.14 · fig. 9 · tabla 4</t>
        </is>
      </c>
      <c r="J312" s="33" t="inlineStr">
        <is>
          <t>Sí</t>
        </is>
      </c>
      <c r="K312" s="17" t="inlineStr">
        <is>
          <t>Astuprint</t>
        </is>
      </c>
      <c r="L312" s="17" t="inlineStr">
        <is>
          <t>Multilabel Argentina S.A.</t>
        </is>
      </c>
    </row>
    <row r="313">
      <c r="A313" s="33" t="inlineStr">
        <is>
          <t>RK-CO25-B</t>
        </is>
      </c>
      <c r="B313" s="33" t="inlineStr">
        <is>
          <t>FL_MAT_CO2_5kg</t>
        </is>
      </c>
      <c r="C313" s="33" t="inlineStr">
        <is>
          <t>Extintor CO₂ 5 kg</t>
        </is>
      </c>
      <c r="D313" s="17" t="inlineStr">
        <is>
          <t>B - Mantenimiento con vaciado (PH cada 5 años)</t>
        </is>
      </c>
      <c r="E313" s="17" t="inlineStr">
        <is>
          <t>Etiqueta de servicio del recargador (extintor n°, serie, próxima recarga y PH)</t>
        </is>
      </c>
      <c r="F313" s="33" t="n">
        <v>1</v>
      </c>
      <c r="G313" s="33" t="inlineStr">
        <is>
          <t>u</t>
        </is>
      </c>
      <c r="H313" s="17" t="inlineStr">
        <is>
          <t>Nuevo</t>
        </is>
      </c>
      <c r="I313" s="17" t="inlineStr">
        <is>
          <t>IRAM 3517-2:2020 8.3.3 · relevado Suyai/Firegram</t>
        </is>
      </c>
      <c r="J313" s="33" t="inlineStr">
        <is>
          <t>Sí</t>
        </is>
      </c>
      <c r="K313" s="17" t="inlineStr">
        <is>
          <t>Astuprint</t>
        </is>
      </c>
      <c r="L313" s="17" t="inlineStr">
        <is>
          <t>Multilabel Argentina S.A.</t>
        </is>
      </c>
    </row>
    <row r="314">
      <c r="A314" s="33" t="inlineStr">
        <is>
          <t>RK-CO25-B</t>
        </is>
      </c>
      <c r="B314" s="33" t="inlineStr">
        <is>
          <t>FL_MAT_CO2_5kg</t>
        </is>
      </c>
      <c r="C314" s="33" t="inlineStr">
        <is>
          <t>Extintor CO₂ 5 kg</t>
        </is>
      </c>
      <c r="D314" s="17" t="inlineStr">
        <is>
          <t>B - Mantenimiento con vaciado (PH cada 5 años)</t>
        </is>
      </c>
      <c r="E314" s="17" t="inlineStr">
        <is>
          <t>Oblea PBA de recarga Ø46 + estampilla precinto 1" × 200 mm válvula-cuerpo</t>
        </is>
      </c>
      <c r="F314" s="33" t="n">
        <v>1</v>
      </c>
      <c r="G314" s="33" t="inlineStr">
        <is>
          <t>u</t>
        </is>
      </c>
      <c r="H314" s="17" t="inlineStr">
        <is>
          <t>Nuevo (venta en PBA)</t>
        </is>
      </c>
      <c r="I314" s="17" t="inlineStr">
        <is>
          <t>IRAM 3517-2:2020 Res. OPDS 522/07</t>
        </is>
      </c>
      <c r="J314" s="33" t="inlineStr">
        <is>
          <t>Sí</t>
        </is>
      </c>
      <c r="K314" s="17" t="inlineStr">
        <is>
          <t>Ministerio de Ambiente PBA (ex OPDS)</t>
        </is>
      </c>
      <c r="L314" s="17" t="inlineStr">
        <is>
          <t>-</t>
        </is>
      </c>
    </row>
    <row r="315">
      <c r="A315" s="33" t="inlineStr">
        <is>
          <t>RK-CO25-B</t>
        </is>
      </c>
      <c r="B315" s="33" t="inlineStr">
        <is>
          <t>FL_MAT_CO2_5kg</t>
        </is>
      </c>
      <c r="C315" s="33" t="inlineStr">
        <is>
          <t>Extintor CO₂ 5 kg</t>
        </is>
      </c>
      <c r="D315" s="17" t="inlineStr">
        <is>
          <t>B - Mantenimiento con vaciado (PH cada 5 años)</t>
        </is>
      </c>
      <c r="E315" s="17" t="inlineStr">
        <is>
          <t>Tarjeta de identificación AGC (módulo papel con QR + etiqueta AGC)</t>
        </is>
      </c>
      <c r="F315" s="33" t="n">
        <v>1</v>
      </c>
      <c r="G315" s="33" t="inlineStr">
        <is>
          <t>u</t>
        </is>
      </c>
      <c r="H315" s="17" t="inlineStr">
        <is>
          <t>Nuevo (destino CABA)</t>
        </is>
      </c>
      <c r="I315" s="17" t="inlineStr">
        <is>
          <t>IRAM 3517-2:2020 Ord. 40.473 art. 6 · Res. AGC 32/15</t>
        </is>
      </c>
      <c r="J315" s="33" t="inlineStr">
        <is>
          <t>Sí</t>
        </is>
      </c>
      <c r="K315" s="17" t="inlineStr">
        <is>
          <t>Agencia Gubernamental de Control (CABA)</t>
        </is>
      </c>
      <c r="L315" s="17" t="inlineStr">
        <is>
          <t>-</t>
        </is>
      </c>
    </row>
    <row r="316">
      <c r="A316" s="33" t="inlineStr">
        <is>
          <t>RK-CO25-B</t>
        </is>
      </c>
      <c r="B316" s="33" t="inlineStr">
        <is>
          <t>FL_MAT_CO2_5kg</t>
        </is>
      </c>
      <c r="C316" s="33" t="inlineStr">
        <is>
          <t>Extintor CO₂ 5 kg</t>
        </is>
      </c>
      <c r="D316" s="17" t="inlineStr">
        <is>
          <t>B - Mantenimiento con vaciado (PH cada 5 años)</t>
        </is>
      </c>
      <c r="E316" s="17" t="inlineStr">
        <is>
          <t>Tarjeta de identificación DPS de revisión / recarga</t>
        </is>
      </c>
      <c r="F316" s="33" t="n">
        <v>1</v>
      </c>
      <c r="G316" s="33" t="inlineStr">
        <is>
          <t>u</t>
        </is>
      </c>
      <c r="H316" s="17" t="inlineStr">
        <is>
          <t>Nuevo (PBA)</t>
        </is>
      </c>
      <c r="I316" s="17" t="inlineStr">
        <is>
          <t>IRAM 3517-2:2020 Res. 349/07 art. 21</t>
        </is>
      </c>
      <c r="J316" s="33" t="inlineStr">
        <is>
          <t>Sí</t>
        </is>
      </c>
      <c r="K316" s="17" t="inlineStr">
        <is>
          <t>Ministerio de Ambiente PBA (ex OPDS)</t>
        </is>
      </c>
      <c r="L316" s="17" t="inlineStr">
        <is>
          <t>-</t>
        </is>
      </c>
    </row>
    <row r="317">
      <c r="A317" s="33" t="inlineStr">
        <is>
          <t>RK-CO25-B</t>
        </is>
      </c>
      <c r="B317" s="33" t="inlineStr">
        <is>
          <t>FL_MAT_CO2_5kg</t>
        </is>
      </c>
      <c r="C317" s="33" t="inlineStr">
        <is>
          <t>Extintor CO₂ 5 kg</t>
        </is>
      </c>
      <c r="D317" s="17" t="inlineStr">
        <is>
          <t>B - Mantenimiento con vaciado (PH cada 5 años)</t>
        </is>
      </c>
      <c r="E317" s="17" t="inlineStr">
        <is>
          <t>Grabado de la fecha del servicio en el tubo de pesca (lápiz vibratorio; en polvo, marcador indeleble)</t>
        </is>
      </c>
      <c r="F317" s="33" t="n">
        <v>1</v>
      </c>
      <c r="G317" s="33" t="inlineStr">
        <is>
          <t>u</t>
        </is>
      </c>
      <c r="H317" s="17" t="inlineStr">
        <is>
          <t>Proceso</t>
        </is>
      </c>
      <c r="I317" s="17" t="inlineStr">
        <is>
          <t>IRAM 3517-2:2020 Res. 349/07 art. 28</t>
        </is>
      </c>
      <c r="J317" s="33" t="inlineStr">
        <is>
          <t>No</t>
        </is>
      </c>
      <c r="K317" s="17" t="n"/>
      <c r="L317" s="17" t="n"/>
    </row>
    <row r="318">
      <c r="A318" s="33" t="inlineStr">
        <is>
          <t>RK-CO25-B</t>
        </is>
      </c>
      <c r="B318" s="33" t="inlineStr">
        <is>
          <t>FL_MAT_CO2_5kg</t>
        </is>
      </c>
      <c r="C318" s="33" t="inlineStr">
        <is>
          <t>Extintor CO₂ 5 kg</t>
        </is>
      </c>
      <c r="D318" s="17" t="inlineStr">
        <is>
          <t>B - Mantenimiento con vaciado (PH cada 5 años)</t>
        </is>
      </c>
      <c r="E318" s="17" t="inlineStr">
        <is>
          <t>Si hubo PH: oblea de vencimiento de PH + «PH» y fecha grabados en el tubo de pesca (CO₂: fecha y logo estampados en la ojiva)</t>
        </is>
      </c>
      <c r="F318" s="33" t="n">
        <v>1</v>
      </c>
      <c r="G318" s="33" t="inlineStr">
        <is>
          <t>u</t>
        </is>
      </c>
      <c r="H318" s="17" t="inlineStr">
        <is>
          <t>Proceso</t>
        </is>
      </c>
      <c r="I318" s="17" t="inlineStr">
        <is>
          <t>IRAM 3517-2:2020 Res. 349/07 art. 29 · IRAM 3517-2</t>
        </is>
      </c>
      <c r="J318" s="33" t="inlineStr">
        <is>
          <t>No</t>
        </is>
      </c>
      <c r="K318" s="17" t="n"/>
      <c r="L318" s="17" t="n"/>
    </row>
    <row r="319">
      <c r="A319" s="41" t="inlineStr">
        <is>
          <t>RK-CO25-B</t>
        </is>
      </c>
      <c r="B319" s="41" t="inlineStr">
        <is>
          <t>FL_MAT_CO2_5kg</t>
        </is>
      </c>
      <c r="C319" s="41" t="inlineStr">
        <is>
          <t>Extintor CO₂ 5 kg</t>
        </is>
      </c>
      <c r="D319" s="18" t="inlineStr">
        <is>
          <t>B - Mantenimiento con vaciado (PH cada 5 años)</t>
        </is>
      </c>
      <c r="E319" s="18" t="inlineStr">
        <is>
          <t>Junta tórica de asiento del cuello</t>
        </is>
      </c>
      <c r="F319" s="41" t="n">
        <v>1</v>
      </c>
      <c r="G319" s="41" t="inlineStr">
        <is>
          <t>u</t>
        </is>
      </c>
      <c r="H319" s="18" t="inlineStr">
        <is>
          <t>Nuevo (R: cambio sistemático)</t>
        </is>
      </c>
      <c r="I319" s="18" t="inlineStr"/>
      <c r="J319" s="41" t="inlineStr">
        <is>
          <t>Sí</t>
        </is>
      </c>
      <c r="K319" s="18" t="inlineStr">
        <is>
          <t>Argensold</t>
        </is>
      </c>
      <c r="L319" s="18" t="inlineStr">
        <is>
          <t>Matafuegos Iglesias</t>
        </is>
      </c>
    </row>
    <row r="320">
      <c r="A320" s="33" t="inlineStr">
        <is>
          <t>RK-CO25-I</t>
        </is>
      </c>
      <c r="B320" s="33" t="inlineStr">
        <is>
          <t>FL_MAT_CO2_5kg</t>
        </is>
      </c>
      <c r="C320" s="33" t="inlineStr">
        <is>
          <t>Extintor CO₂ 5 kg</t>
        </is>
      </c>
      <c r="D320" s="17" t="inlineStr">
        <is>
          <t>Según inspección (consumo estadístico a definir)</t>
        </is>
      </c>
      <c r="E320" s="17" t="inlineStr">
        <is>
          <t>Manómetro / manguera / tobera / kit de válvula</t>
        </is>
      </c>
      <c r="F320" s="33" t="inlineStr">
        <is>
          <t>-</t>
        </is>
      </c>
      <c r="G320" s="33" t="inlineStr">
        <is>
          <t>u</t>
        </is>
      </c>
      <c r="H320" s="17" t="inlineStr">
        <is>
          <t>Recambio sólo si falla</t>
        </is>
      </c>
      <c r="I320" s="17" t="inlineStr">
        <is>
          <t>IRAM 3517-2:2020 9.4.11 (cada manguera vuelve a su extintor)</t>
        </is>
      </c>
      <c r="J320" s="33" t="inlineStr">
        <is>
          <t>Sí</t>
        </is>
      </c>
      <c r="K320" s="17" t="inlineStr">
        <is>
          <t>Polvex S.R.L. / Sancibrao</t>
        </is>
      </c>
      <c r="L320" s="17" t="inlineStr">
        <is>
          <t>Yukon / MatafuegosYa S.R.L.</t>
        </is>
      </c>
    </row>
    <row r="321">
      <c r="A321" s="43" t="inlineStr">
        <is>
          <t>RK-HCFCHFC5-A</t>
        </is>
      </c>
      <c r="B321" s="43" t="inlineStr">
        <is>
          <t>FL_MAT_HCFC-HFC_5kg</t>
        </is>
      </c>
      <c r="C321" s="43" t="inlineStr">
        <is>
          <t>Extintor HCFC/HFC 5 kg</t>
        </is>
      </c>
      <c r="D321" s="20" t="inlineStr">
        <is>
          <t>A - Extintor descargado</t>
        </is>
      </c>
      <c r="E321" s="20" t="inlineStr">
        <is>
          <t>HCFC 123 / HFC 236fa (agente limpio)</t>
        </is>
      </c>
      <c r="F321" s="43" t="n">
        <v>5</v>
      </c>
      <c r="G321" s="43" t="inlineStr">
        <is>
          <t>kg</t>
        </is>
      </c>
      <c r="H321" s="20" t="inlineStr">
        <is>
          <t>Nuevo o reciclado certificado</t>
        </is>
      </c>
      <c r="I321" s="20" t="inlineStr">
        <is>
          <t>IRAM 3517-2:2020 9.9 tabla 6 · IRAM 3526</t>
        </is>
      </c>
      <c r="J321" s="43" t="inlineStr">
        <is>
          <t>Sí</t>
        </is>
      </c>
      <c r="K321" s="20" t="inlineStr">
        <is>
          <t>-</t>
        </is>
      </c>
      <c r="L321" s="20" t="inlineStr">
        <is>
          <t>-</t>
        </is>
      </c>
    </row>
    <row r="322">
      <c r="A322" s="33" t="inlineStr">
        <is>
          <t>RK-HCFCHFC5-A</t>
        </is>
      </c>
      <c r="B322" s="33" t="inlineStr">
        <is>
          <t>FL_MAT_HCFC-HFC_5kg</t>
        </is>
      </c>
      <c r="C322" s="33" t="inlineStr">
        <is>
          <t>Extintor HCFC/HFC 5 kg</t>
        </is>
      </c>
      <c r="D322" s="17" t="inlineStr">
        <is>
          <t>A - Extintor descargado</t>
        </is>
      </c>
      <c r="E322" s="17" t="inlineStr">
        <is>
          <t>Precinto plástico numerado, color, con nombre del recargador</t>
        </is>
      </c>
      <c r="F322" s="33" t="n">
        <v>1</v>
      </c>
      <c r="G322" s="33" t="inlineStr">
        <is>
          <t>u</t>
        </is>
      </c>
      <c r="H322" s="17" t="inlineStr">
        <is>
          <t>Nuevo</t>
        </is>
      </c>
      <c r="I322" s="17" t="inlineStr">
        <is>
          <t>IRAM 3517-2:2020 9.4.13</t>
        </is>
      </c>
      <c r="J322" s="33" t="inlineStr">
        <is>
          <t>Sí</t>
        </is>
      </c>
      <c r="K322" s="17" t="inlineStr">
        <is>
          <t>SonFuertes (vía Papelera Damián)</t>
        </is>
      </c>
      <c r="L322" s="17" t="inlineStr">
        <is>
          <t>Precinter S.R.L.</t>
        </is>
      </c>
    </row>
    <row r="323">
      <c r="A323" s="33" t="inlineStr">
        <is>
          <t>RK-HCFCHFC5-A</t>
        </is>
      </c>
      <c r="B323" s="33" t="inlineStr">
        <is>
          <t>FL_MAT_HCFC-HFC_5kg</t>
        </is>
      </c>
      <c r="C323" s="33" t="inlineStr">
        <is>
          <t>Extintor HCFC/HFC 5 kg</t>
        </is>
      </c>
      <c r="D323" s="17" t="inlineStr">
        <is>
          <t>A - Extintor descargado</t>
        </is>
      </c>
      <c r="E323" s="17" t="inlineStr">
        <is>
          <t>Marbete (anillo, color del año)</t>
        </is>
      </c>
      <c r="F323" s="33" t="n">
        <v>1</v>
      </c>
      <c r="G323" s="33" t="inlineStr">
        <is>
          <t>u</t>
        </is>
      </c>
      <c r="H323" s="17" t="inlineStr">
        <is>
          <t>Nuevo</t>
        </is>
      </c>
      <c r="I323" s="17" t="inlineStr">
        <is>
          <t>IRAM 3517-2:2020 9.4.14 · fig. 9 · tabla 4</t>
        </is>
      </c>
      <c r="J323" s="33" t="inlineStr">
        <is>
          <t>Sí</t>
        </is>
      </c>
      <c r="K323" s="17" t="inlineStr">
        <is>
          <t>Astuprint</t>
        </is>
      </c>
      <c r="L323" s="17" t="inlineStr">
        <is>
          <t>Multilabel Argentina S.A.</t>
        </is>
      </c>
    </row>
    <row r="324">
      <c r="A324" s="33" t="inlineStr">
        <is>
          <t>RK-HCFCHFC5-A</t>
        </is>
      </c>
      <c r="B324" s="33" t="inlineStr">
        <is>
          <t>FL_MAT_HCFC-HFC_5kg</t>
        </is>
      </c>
      <c r="C324" s="33" t="inlineStr">
        <is>
          <t>Extintor HCFC/HFC 5 kg</t>
        </is>
      </c>
      <c r="D324" s="17" t="inlineStr">
        <is>
          <t>A - Extintor descargado</t>
        </is>
      </c>
      <c r="E324" s="17" t="inlineStr">
        <is>
          <t>Etiqueta de servicio del recargador (extintor n°, serie, próxima recarga y PH)</t>
        </is>
      </c>
      <c r="F324" s="33" t="n">
        <v>1</v>
      </c>
      <c r="G324" s="33" t="inlineStr">
        <is>
          <t>u</t>
        </is>
      </c>
      <c r="H324" s="17" t="inlineStr">
        <is>
          <t>Nuevo</t>
        </is>
      </c>
      <c r="I324" s="17" t="inlineStr">
        <is>
          <t>IRAM 3517-2:2020 8.3.3 · relevado Suyai/Firegram</t>
        </is>
      </c>
      <c r="J324" s="33" t="inlineStr">
        <is>
          <t>Sí</t>
        </is>
      </c>
      <c r="K324" s="17" t="inlineStr">
        <is>
          <t>Astuprint</t>
        </is>
      </c>
      <c r="L324" s="17" t="inlineStr">
        <is>
          <t>Multilabel Argentina S.A.</t>
        </is>
      </c>
    </row>
    <row r="325">
      <c r="A325" s="33" t="inlineStr">
        <is>
          <t>RK-HCFCHFC5-A</t>
        </is>
      </c>
      <c r="B325" s="33" t="inlineStr">
        <is>
          <t>FL_MAT_HCFC-HFC_5kg</t>
        </is>
      </c>
      <c r="C325" s="33" t="inlineStr">
        <is>
          <t>Extintor HCFC/HFC 5 kg</t>
        </is>
      </c>
      <c r="D325" s="17" t="inlineStr">
        <is>
          <t>A - Extintor descargado</t>
        </is>
      </c>
      <c r="E325" s="17" t="inlineStr">
        <is>
          <t>Oblea PBA de recarga Ø46 + estampilla precinto 1" × 200 mm válvula-cuerpo</t>
        </is>
      </c>
      <c r="F325" s="33" t="n">
        <v>1</v>
      </c>
      <c r="G325" s="33" t="inlineStr">
        <is>
          <t>u</t>
        </is>
      </c>
      <c r="H325" s="17" t="inlineStr">
        <is>
          <t>Nuevo (venta en PBA)</t>
        </is>
      </c>
      <c r="I325" s="17" t="inlineStr">
        <is>
          <t>IRAM 3517-2:2020 Res. OPDS 522/07</t>
        </is>
      </c>
      <c r="J325" s="33" t="inlineStr">
        <is>
          <t>Sí</t>
        </is>
      </c>
      <c r="K325" s="17" t="inlineStr">
        <is>
          <t>Ministerio de Ambiente PBA (ex OPDS)</t>
        </is>
      </c>
      <c r="L325" s="17" t="inlineStr">
        <is>
          <t>-</t>
        </is>
      </c>
    </row>
    <row r="326">
      <c r="A326" s="33" t="inlineStr">
        <is>
          <t>RK-HCFCHFC5-A</t>
        </is>
      </c>
      <c r="B326" s="33" t="inlineStr">
        <is>
          <t>FL_MAT_HCFC-HFC_5kg</t>
        </is>
      </c>
      <c r="C326" s="33" t="inlineStr">
        <is>
          <t>Extintor HCFC/HFC 5 kg</t>
        </is>
      </c>
      <c r="D326" s="17" t="inlineStr">
        <is>
          <t>A - Extintor descargado</t>
        </is>
      </c>
      <c r="E326" s="17" t="inlineStr">
        <is>
          <t>Tarjeta de identificación AGC (módulo papel con QR + etiqueta AGC)</t>
        </is>
      </c>
      <c r="F326" s="33" t="n">
        <v>1</v>
      </c>
      <c r="G326" s="33" t="inlineStr">
        <is>
          <t>u</t>
        </is>
      </c>
      <c r="H326" s="17" t="inlineStr">
        <is>
          <t>Nuevo (destino CABA)</t>
        </is>
      </c>
      <c r="I326" s="17" t="inlineStr">
        <is>
          <t>IRAM 3517-2:2020 Ord. 40.473 art. 6 · Res. AGC 32/15</t>
        </is>
      </c>
      <c r="J326" s="33" t="inlineStr">
        <is>
          <t>Sí</t>
        </is>
      </c>
      <c r="K326" s="17" t="inlineStr">
        <is>
          <t>Agencia Gubernamental de Control (CABA)</t>
        </is>
      </c>
      <c r="L326" s="17" t="inlineStr">
        <is>
          <t>-</t>
        </is>
      </c>
    </row>
    <row r="327">
      <c r="A327" s="33" t="inlineStr">
        <is>
          <t>RK-HCFCHFC5-A</t>
        </is>
      </c>
      <c r="B327" s="33" t="inlineStr">
        <is>
          <t>FL_MAT_HCFC-HFC_5kg</t>
        </is>
      </c>
      <c r="C327" s="33" t="inlineStr">
        <is>
          <t>Extintor HCFC/HFC 5 kg</t>
        </is>
      </c>
      <c r="D327" s="17" t="inlineStr">
        <is>
          <t>A - Extintor descargado</t>
        </is>
      </c>
      <c r="E327" s="17" t="inlineStr">
        <is>
          <t>Tarjeta de identificación DPS de revisión / recarga</t>
        </is>
      </c>
      <c r="F327" s="33" t="n">
        <v>1</v>
      </c>
      <c r="G327" s="33" t="inlineStr">
        <is>
          <t>u</t>
        </is>
      </c>
      <c r="H327" s="17" t="inlineStr">
        <is>
          <t>Nuevo (PBA)</t>
        </is>
      </c>
      <c r="I327" s="17" t="inlineStr">
        <is>
          <t>IRAM 3517-2:2020 Res. 349/07 art. 21</t>
        </is>
      </c>
      <c r="J327" s="33" t="inlineStr">
        <is>
          <t>Sí</t>
        </is>
      </c>
      <c r="K327" s="17" t="inlineStr">
        <is>
          <t>Ministerio de Ambiente PBA (ex OPDS)</t>
        </is>
      </c>
      <c r="L327" s="17" t="inlineStr">
        <is>
          <t>-</t>
        </is>
      </c>
    </row>
    <row r="328">
      <c r="A328" s="33" t="inlineStr">
        <is>
          <t>RK-HCFCHFC5-A</t>
        </is>
      </c>
      <c r="B328" s="33" t="inlineStr">
        <is>
          <t>FL_MAT_HCFC-HFC_5kg</t>
        </is>
      </c>
      <c r="C328" s="33" t="inlineStr">
        <is>
          <t>Extintor HCFC/HFC 5 kg</t>
        </is>
      </c>
      <c r="D328" s="17" t="inlineStr">
        <is>
          <t>A - Extintor descargado</t>
        </is>
      </c>
      <c r="E328" s="17" t="inlineStr">
        <is>
          <t>Grabado de la fecha del servicio en el tubo de pesca (lápiz vibratorio; en polvo, marcador indeleble)</t>
        </is>
      </c>
      <c r="F328" s="33" t="n">
        <v>1</v>
      </c>
      <c r="G328" s="33" t="inlineStr">
        <is>
          <t>u</t>
        </is>
      </c>
      <c r="H328" s="17" t="inlineStr">
        <is>
          <t>Proceso</t>
        </is>
      </c>
      <c r="I328" s="17" t="inlineStr">
        <is>
          <t>IRAM 3517-2:2020 Res. 349/07 art. 28</t>
        </is>
      </c>
      <c r="J328" s="33" t="inlineStr">
        <is>
          <t>No</t>
        </is>
      </c>
      <c r="K328" s="17" t="n"/>
      <c r="L328" s="17" t="n"/>
    </row>
    <row r="329">
      <c r="A329" s="33" t="inlineStr">
        <is>
          <t>RK-HCFCHFC5-A</t>
        </is>
      </c>
      <c r="B329" s="33" t="inlineStr">
        <is>
          <t>FL_MAT_HCFC-HFC_5kg</t>
        </is>
      </c>
      <c r="C329" s="33" t="inlineStr">
        <is>
          <t>Extintor HCFC/HFC 5 kg</t>
        </is>
      </c>
      <c r="D329" s="17" t="inlineStr">
        <is>
          <t>A - Extintor descargado</t>
        </is>
      </c>
      <c r="E329" s="17" t="inlineStr">
        <is>
          <t>Si hubo PH: oblea de vencimiento de PH + «PH» y fecha grabados en el tubo de pesca (CO₂: fecha y logo estampados en la ojiva)</t>
        </is>
      </c>
      <c r="F329" s="33" t="n">
        <v>1</v>
      </c>
      <c r="G329" s="33" t="inlineStr">
        <is>
          <t>u</t>
        </is>
      </c>
      <c r="H329" s="17" t="inlineStr">
        <is>
          <t>Proceso</t>
        </is>
      </c>
      <c r="I329" s="17" t="inlineStr">
        <is>
          <t>IRAM 3517-2:2020 Res. 349/07 art. 29 · IRAM 3517-2</t>
        </is>
      </c>
      <c r="J329" s="33" t="inlineStr">
        <is>
          <t>No</t>
        </is>
      </c>
      <c r="K329" s="17" t="n"/>
      <c r="L329" s="17" t="n"/>
    </row>
    <row r="330">
      <c r="A330" s="41" t="inlineStr">
        <is>
          <t>RK-HCFCHFC5-A</t>
        </is>
      </c>
      <c r="B330" s="41" t="inlineStr">
        <is>
          <t>FL_MAT_HCFC-HFC_5kg</t>
        </is>
      </c>
      <c r="C330" s="41" t="inlineStr">
        <is>
          <t>Extintor HCFC/HFC 5 kg</t>
        </is>
      </c>
      <c r="D330" s="18" t="inlineStr">
        <is>
          <t>A - Extintor descargado</t>
        </is>
      </c>
      <c r="E330" s="18" t="inlineStr">
        <is>
          <t>Junta tórica de asiento del cuello</t>
        </is>
      </c>
      <c r="F330" s="41" t="n">
        <v>1</v>
      </c>
      <c r="G330" s="41" t="inlineStr">
        <is>
          <t>u</t>
        </is>
      </c>
      <c r="H330" s="18" t="inlineStr">
        <is>
          <t>Nuevo (R: cambio sistemático)</t>
        </is>
      </c>
      <c r="I330" s="18" t="inlineStr"/>
      <c r="J330" s="41" t="inlineStr">
        <is>
          <t>Sí</t>
        </is>
      </c>
      <c r="K330" s="18" t="inlineStr">
        <is>
          <t>Argensold</t>
        </is>
      </c>
      <c r="L330" s="18" t="inlineStr">
        <is>
          <t>Matafuegos Iglesias</t>
        </is>
      </c>
    </row>
    <row r="331">
      <c r="A331" s="33" t="inlineStr">
        <is>
          <t>RK-HCFCHFC5-A</t>
        </is>
      </c>
      <c r="B331" s="33" t="inlineStr">
        <is>
          <t>FL_MAT_HCFC-HFC_5kg</t>
        </is>
      </c>
      <c r="C331" s="33" t="inlineStr">
        <is>
          <t>Extintor HCFC/HFC 5 kg</t>
        </is>
      </c>
      <c r="D331" s="17" t="inlineStr">
        <is>
          <t>A - Extintor descargado</t>
        </is>
      </c>
      <c r="E331" s="17" t="inlineStr">
        <is>
          <t>Gas impulsor Argón</t>
        </is>
      </c>
      <c r="F331" s="33" t="n">
        <v>0.0388</v>
      </c>
      <c r="G331" s="33" t="inlineStr">
        <is>
          <t>kg</t>
        </is>
      </c>
      <c r="H331" s="17" t="inlineStr">
        <is>
          <t>Nuevo</t>
        </is>
      </c>
      <c r="I331" s="17" t="inlineStr">
        <is>
          <t>IRAM 3517-2:2020 9.4.9 tabla 2</t>
        </is>
      </c>
      <c r="J331" s="33" t="inlineStr">
        <is>
          <t>Sí</t>
        </is>
      </c>
      <c r="K331" s="17" t="inlineStr">
        <is>
          <t>Air Liquide Argentina - sucursal Piñeyro</t>
        </is>
      </c>
      <c r="L331" s="17" t="inlineStr">
        <is>
          <t>Gogniat</t>
        </is>
      </c>
    </row>
    <row r="332">
      <c r="A332" s="33" t="inlineStr">
        <is>
          <t>RK-HCFCHFC5-B</t>
        </is>
      </c>
      <c r="B332" s="33" t="inlineStr">
        <is>
          <t>FL_MAT_HCFC-HFC_5kg</t>
        </is>
      </c>
      <c r="C332" s="33" t="inlineStr">
        <is>
          <t>Extintor HCFC/HFC 5 kg</t>
        </is>
      </c>
      <c r="D332" s="17" t="inlineStr">
        <is>
          <t>B - Mantenimiento con vaciado (control interior, PH)</t>
        </is>
      </c>
      <c r="E332" s="17" t="inlineStr">
        <is>
          <t>HCFC 123 / HFC 236fa (agente limpio) recuperado</t>
        </is>
      </c>
      <c r="F332" s="33" t="n">
        <v>4.9</v>
      </c>
      <c r="G332" s="33" t="inlineStr">
        <is>
          <t>kg</t>
        </is>
      </c>
      <c r="H332" s="17" t="inlineStr">
        <is>
          <t>Recuperado en circuito cerrado (no se ventea)</t>
        </is>
      </c>
      <c r="I332" s="17" t="inlineStr">
        <is>
          <t>IRAM 3517-2:2020 4.4.1 z) recuperación de gases limpios en sistema cerrado</t>
        </is>
      </c>
      <c r="J332" s="33" t="inlineStr">
        <is>
          <t>No</t>
        </is>
      </c>
      <c r="K332" s="17" t="n"/>
      <c r="L332" s="17" t="n"/>
    </row>
    <row r="333">
      <c r="A333" s="43" t="inlineStr">
        <is>
          <t>RK-HCFCHFC5-B</t>
        </is>
      </c>
      <c r="B333" s="43" t="inlineStr">
        <is>
          <t>FL_MAT_HCFC-HFC_5kg</t>
        </is>
      </c>
      <c r="C333" s="43" t="inlineStr">
        <is>
          <t>Extintor HCFC/HFC 5 kg</t>
        </is>
      </c>
      <c r="D333" s="20" t="inlineStr">
        <is>
          <t>B - Mantenimiento con vaciado (control interior, PH)</t>
        </is>
      </c>
      <c r="E333" s="20" t="inlineStr">
        <is>
          <t>HCFC 123 / HFC 236fa (agente limpio) de reposición de pérdidas</t>
        </is>
      </c>
      <c r="F333" s="43" t="n">
        <v>0.1</v>
      </c>
      <c r="G333" s="43" t="inlineStr">
        <is>
          <t>kg</t>
        </is>
      </c>
      <c r="H333" s="20" t="inlineStr">
        <is>
          <t>Nuevo o reciclado (R: 2 %)</t>
        </is>
      </c>
      <c r="I333" s="20" t="inlineStr">
        <is>
          <t>El agente fuera de especificación va a regeneración o destrucción por gestor habilitado</t>
        </is>
      </c>
      <c r="J333" s="43" t="inlineStr">
        <is>
          <t>Sí</t>
        </is>
      </c>
      <c r="K333" s="20" t="inlineStr">
        <is>
          <t>-</t>
        </is>
      </c>
      <c r="L333" s="20" t="inlineStr">
        <is>
          <t>-</t>
        </is>
      </c>
    </row>
    <row r="334">
      <c r="A334" s="33" t="inlineStr">
        <is>
          <t>RK-HCFCHFC5-B</t>
        </is>
      </c>
      <c r="B334" s="33" t="inlineStr">
        <is>
          <t>FL_MAT_HCFC-HFC_5kg</t>
        </is>
      </c>
      <c r="C334" s="33" t="inlineStr">
        <is>
          <t>Extintor HCFC/HFC 5 kg</t>
        </is>
      </c>
      <c r="D334" s="17" t="inlineStr">
        <is>
          <t>B - Mantenimiento con vaciado (control interior, PH)</t>
        </is>
      </c>
      <c r="E334" s="17" t="inlineStr">
        <is>
          <t>Precinto plástico numerado, color, con nombre del recargador</t>
        </is>
      </c>
      <c r="F334" s="33" t="n">
        <v>1</v>
      </c>
      <c r="G334" s="33" t="inlineStr">
        <is>
          <t>u</t>
        </is>
      </c>
      <c r="H334" s="17" t="inlineStr">
        <is>
          <t>Nuevo</t>
        </is>
      </c>
      <c r="I334" s="17" t="inlineStr">
        <is>
          <t>IRAM 3517-2:2020 9.4.13</t>
        </is>
      </c>
      <c r="J334" s="33" t="inlineStr">
        <is>
          <t>Sí</t>
        </is>
      </c>
      <c r="K334" s="17" t="inlineStr">
        <is>
          <t>SonFuertes (vía Papelera Damián)</t>
        </is>
      </c>
      <c r="L334" s="17" t="inlineStr">
        <is>
          <t>Precinter S.R.L.</t>
        </is>
      </c>
    </row>
    <row r="335">
      <c r="A335" s="33" t="inlineStr">
        <is>
          <t>RK-HCFCHFC5-B</t>
        </is>
      </c>
      <c r="B335" s="33" t="inlineStr">
        <is>
          <t>FL_MAT_HCFC-HFC_5kg</t>
        </is>
      </c>
      <c r="C335" s="33" t="inlineStr">
        <is>
          <t>Extintor HCFC/HFC 5 kg</t>
        </is>
      </c>
      <c r="D335" s="17" t="inlineStr">
        <is>
          <t>B - Mantenimiento con vaciado (control interior, PH)</t>
        </is>
      </c>
      <c r="E335" s="17" t="inlineStr">
        <is>
          <t>Marbete (anillo, color del año)</t>
        </is>
      </c>
      <c r="F335" s="33" t="n">
        <v>1</v>
      </c>
      <c r="G335" s="33" t="inlineStr">
        <is>
          <t>u</t>
        </is>
      </c>
      <c r="H335" s="17" t="inlineStr">
        <is>
          <t>Nuevo</t>
        </is>
      </c>
      <c r="I335" s="17" t="inlineStr">
        <is>
          <t>IRAM 3517-2:2020 9.4.14 · fig. 9 · tabla 4</t>
        </is>
      </c>
      <c r="J335" s="33" t="inlineStr">
        <is>
          <t>Sí</t>
        </is>
      </c>
      <c r="K335" s="17" t="inlineStr">
        <is>
          <t>Astuprint</t>
        </is>
      </c>
      <c r="L335" s="17" t="inlineStr">
        <is>
          <t>Multilabel Argentina S.A.</t>
        </is>
      </c>
    </row>
    <row r="336">
      <c r="A336" s="33" t="inlineStr">
        <is>
          <t>RK-HCFCHFC5-B</t>
        </is>
      </c>
      <c r="B336" s="33" t="inlineStr">
        <is>
          <t>FL_MAT_HCFC-HFC_5kg</t>
        </is>
      </c>
      <c r="C336" s="33" t="inlineStr">
        <is>
          <t>Extintor HCFC/HFC 5 kg</t>
        </is>
      </c>
      <c r="D336" s="17" t="inlineStr">
        <is>
          <t>B - Mantenimiento con vaciado (control interior, PH)</t>
        </is>
      </c>
      <c r="E336" s="17" t="inlineStr">
        <is>
          <t>Etiqueta de servicio del recargador (extintor n°, serie, próxima recarga y PH)</t>
        </is>
      </c>
      <c r="F336" s="33" t="n">
        <v>1</v>
      </c>
      <c r="G336" s="33" t="inlineStr">
        <is>
          <t>u</t>
        </is>
      </c>
      <c r="H336" s="17" t="inlineStr">
        <is>
          <t>Nuevo</t>
        </is>
      </c>
      <c r="I336" s="17" t="inlineStr">
        <is>
          <t>IRAM 3517-2:2020 8.3.3 · relevado Suyai/Firegram</t>
        </is>
      </c>
      <c r="J336" s="33" t="inlineStr">
        <is>
          <t>Sí</t>
        </is>
      </c>
      <c r="K336" s="17" t="inlineStr">
        <is>
          <t>Astuprint</t>
        </is>
      </c>
      <c r="L336" s="17" t="inlineStr">
        <is>
          <t>Multilabel Argentina S.A.</t>
        </is>
      </c>
    </row>
    <row r="337">
      <c r="A337" s="33" t="inlineStr">
        <is>
          <t>RK-HCFCHFC5-B</t>
        </is>
      </c>
      <c r="B337" s="33" t="inlineStr">
        <is>
          <t>FL_MAT_HCFC-HFC_5kg</t>
        </is>
      </c>
      <c r="C337" s="33" t="inlineStr">
        <is>
          <t>Extintor HCFC/HFC 5 kg</t>
        </is>
      </c>
      <c r="D337" s="17" t="inlineStr">
        <is>
          <t>B - Mantenimiento con vaciado (control interior, PH)</t>
        </is>
      </c>
      <c r="E337" s="17" t="inlineStr">
        <is>
          <t>Oblea PBA de recarga Ø46 + estampilla precinto 1" × 200 mm válvula-cuerpo</t>
        </is>
      </c>
      <c r="F337" s="33" t="n">
        <v>1</v>
      </c>
      <c r="G337" s="33" t="inlineStr">
        <is>
          <t>u</t>
        </is>
      </c>
      <c r="H337" s="17" t="inlineStr">
        <is>
          <t>Nuevo (venta en PBA)</t>
        </is>
      </c>
      <c r="I337" s="17" t="inlineStr">
        <is>
          <t>IRAM 3517-2:2020 Res. OPDS 522/07</t>
        </is>
      </c>
      <c r="J337" s="33" t="inlineStr">
        <is>
          <t>Sí</t>
        </is>
      </c>
      <c r="K337" s="17" t="inlineStr">
        <is>
          <t>Ministerio de Ambiente PBA (ex OPDS)</t>
        </is>
      </c>
      <c r="L337" s="17" t="inlineStr">
        <is>
          <t>-</t>
        </is>
      </c>
    </row>
    <row r="338">
      <c r="A338" s="33" t="inlineStr">
        <is>
          <t>RK-HCFCHFC5-B</t>
        </is>
      </c>
      <c r="B338" s="33" t="inlineStr">
        <is>
          <t>FL_MAT_HCFC-HFC_5kg</t>
        </is>
      </c>
      <c r="C338" s="33" t="inlineStr">
        <is>
          <t>Extintor HCFC/HFC 5 kg</t>
        </is>
      </c>
      <c r="D338" s="17" t="inlineStr">
        <is>
          <t>B - Mantenimiento con vaciado (control interior, PH)</t>
        </is>
      </c>
      <c r="E338" s="17" t="inlineStr">
        <is>
          <t>Tarjeta de identificación AGC (módulo papel con QR + etiqueta AGC)</t>
        </is>
      </c>
      <c r="F338" s="33" t="n">
        <v>1</v>
      </c>
      <c r="G338" s="33" t="inlineStr">
        <is>
          <t>u</t>
        </is>
      </c>
      <c r="H338" s="17" t="inlineStr">
        <is>
          <t>Nuevo (destino CABA)</t>
        </is>
      </c>
      <c r="I338" s="17" t="inlineStr">
        <is>
          <t>IRAM 3517-2:2020 Ord. 40.473 art. 6 · Res. AGC 32/15</t>
        </is>
      </c>
      <c r="J338" s="33" t="inlineStr">
        <is>
          <t>Sí</t>
        </is>
      </c>
      <c r="K338" s="17" t="inlineStr">
        <is>
          <t>Agencia Gubernamental de Control (CABA)</t>
        </is>
      </c>
      <c r="L338" s="17" t="inlineStr">
        <is>
          <t>-</t>
        </is>
      </c>
    </row>
    <row r="339">
      <c r="A339" s="33" t="inlineStr">
        <is>
          <t>RK-HCFCHFC5-B</t>
        </is>
      </c>
      <c r="B339" s="33" t="inlineStr">
        <is>
          <t>FL_MAT_HCFC-HFC_5kg</t>
        </is>
      </c>
      <c r="C339" s="33" t="inlineStr">
        <is>
          <t>Extintor HCFC/HFC 5 kg</t>
        </is>
      </c>
      <c r="D339" s="17" t="inlineStr">
        <is>
          <t>B - Mantenimiento con vaciado (control interior, PH)</t>
        </is>
      </c>
      <c r="E339" s="17" t="inlineStr">
        <is>
          <t>Tarjeta de identificación DPS de revisión / recarga</t>
        </is>
      </c>
      <c r="F339" s="33" t="n">
        <v>1</v>
      </c>
      <c r="G339" s="33" t="inlineStr">
        <is>
          <t>u</t>
        </is>
      </c>
      <c r="H339" s="17" t="inlineStr">
        <is>
          <t>Nuevo (PBA)</t>
        </is>
      </c>
      <c r="I339" s="17" t="inlineStr">
        <is>
          <t>IRAM 3517-2:2020 Res. 349/07 art. 21</t>
        </is>
      </c>
      <c r="J339" s="33" t="inlineStr">
        <is>
          <t>Sí</t>
        </is>
      </c>
      <c r="K339" s="17" t="inlineStr">
        <is>
          <t>Ministerio de Ambiente PBA (ex OPDS)</t>
        </is>
      </c>
      <c r="L339" s="17" t="inlineStr">
        <is>
          <t>-</t>
        </is>
      </c>
    </row>
    <row r="340">
      <c r="A340" s="33" t="inlineStr">
        <is>
          <t>RK-HCFCHFC5-B</t>
        </is>
      </c>
      <c r="B340" s="33" t="inlineStr">
        <is>
          <t>FL_MAT_HCFC-HFC_5kg</t>
        </is>
      </c>
      <c r="C340" s="33" t="inlineStr">
        <is>
          <t>Extintor HCFC/HFC 5 kg</t>
        </is>
      </c>
      <c r="D340" s="17" t="inlineStr">
        <is>
          <t>B - Mantenimiento con vaciado (control interior, PH)</t>
        </is>
      </c>
      <c r="E340" s="17" t="inlineStr">
        <is>
          <t>Grabado de la fecha del servicio en el tubo de pesca (lápiz vibratorio; en polvo, marcador indeleble)</t>
        </is>
      </c>
      <c r="F340" s="33" t="n">
        <v>1</v>
      </c>
      <c r="G340" s="33" t="inlineStr">
        <is>
          <t>u</t>
        </is>
      </c>
      <c r="H340" s="17" t="inlineStr">
        <is>
          <t>Proceso</t>
        </is>
      </c>
      <c r="I340" s="17" t="inlineStr">
        <is>
          <t>IRAM 3517-2:2020 Res. 349/07 art. 28</t>
        </is>
      </c>
      <c r="J340" s="33" t="inlineStr">
        <is>
          <t>No</t>
        </is>
      </c>
      <c r="K340" s="17" t="n"/>
      <c r="L340" s="17" t="n"/>
    </row>
    <row r="341">
      <c r="A341" s="33" t="inlineStr">
        <is>
          <t>RK-HCFCHFC5-B</t>
        </is>
      </c>
      <c r="B341" s="33" t="inlineStr">
        <is>
          <t>FL_MAT_HCFC-HFC_5kg</t>
        </is>
      </c>
      <c r="C341" s="33" t="inlineStr">
        <is>
          <t>Extintor HCFC/HFC 5 kg</t>
        </is>
      </c>
      <c r="D341" s="17" t="inlineStr">
        <is>
          <t>B - Mantenimiento con vaciado (control interior, PH)</t>
        </is>
      </c>
      <c r="E341" s="17" t="inlineStr">
        <is>
          <t>Si hubo PH: oblea de vencimiento de PH + «PH» y fecha grabados en el tubo de pesca (CO₂: fecha y logo estampados en la ojiva)</t>
        </is>
      </c>
      <c r="F341" s="33" t="n">
        <v>1</v>
      </c>
      <c r="G341" s="33" t="inlineStr">
        <is>
          <t>u</t>
        </is>
      </c>
      <c r="H341" s="17" t="inlineStr">
        <is>
          <t>Proceso</t>
        </is>
      </c>
      <c r="I341" s="17" t="inlineStr">
        <is>
          <t>IRAM 3517-2:2020 Res. 349/07 art. 29 · IRAM 3517-2</t>
        </is>
      </c>
      <c r="J341" s="33" t="inlineStr">
        <is>
          <t>No</t>
        </is>
      </c>
      <c r="K341" s="17" t="n"/>
      <c r="L341" s="17" t="n"/>
    </row>
    <row r="342">
      <c r="A342" s="41" t="inlineStr">
        <is>
          <t>RK-HCFCHFC5-B</t>
        </is>
      </c>
      <c r="B342" s="41" t="inlineStr">
        <is>
          <t>FL_MAT_HCFC-HFC_5kg</t>
        </is>
      </c>
      <c r="C342" s="41" t="inlineStr">
        <is>
          <t>Extintor HCFC/HFC 5 kg</t>
        </is>
      </c>
      <c r="D342" s="18" t="inlineStr">
        <is>
          <t>B - Mantenimiento con vaciado (control interior, PH)</t>
        </is>
      </c>
      <c r="E342" s="18" t="inlineStr">
        <is>
          <t>Junta tórica de asiento del cuello</t>
        </is>
      </c>
      <c r="F342" s="41" t="n">
        <v>1</v>
      </c>
      <c r="G342" s="41" t="inlineStr">
        <is>
          <t>u</t>
        </is>
      </c>
      <c r="H342" s="18" t="inlineStr">
        <is>
          <t>Nuevo (R: cambio sistemático)</t>
        </is>
      </c>
      <c r="I342" s="18" t="inlineStr"/>
      <c r="J342" s="41" t="inlineStr">
        <is>
          <t>Sí</t>
        </is>
      </c>
      <c r="K342" s="18" t="inlineStr">
        <is>
          <t>Argensold</t>
        </is>
      </c>
      <c r="L342" s="18" t="inlineStr">
        <is>
          <t>Matafuegos Iglesias</t>
        </is>
      </c>
    </row>
    <row r="343">
      <c r="A343" s="33" t="inlineStr">
        <is>
          <t>RK-HCFCHFC5-B</t>
        </is>
      </c>
      <c r="B343" s="33" t="inlineStr">
        <is>
          <t>FL_MAT_HCFC-HFC_5kg</t>
        </is>
      </c>
      <c r="C343" s="33" t="inlineStr">
        <is>
          <t>Extintor HCFC/HFC 5 kg</t>
        </is>
      </c>
      <c r="D343" s="17" t="inlineStr">
        <is>
          <t>B - Mantenimiento con vaciado (control interior, PH)</t>
        </is>
      </c>
      <c r="E343" s="17" t="inlineStr">
        <is>
          <t>Gas impulsor Argón</t>
        </is>
      </c>
      <c r="F343" s="33" t="n">
        <v>0.0388</v>
      </c>
      <c r="G343" s="33" t="inlineStr">
        <is>
          <t>kg</t>
        </is>
      </c>
      <c r="H343" s="17" t="inlineStr">
        <is>
          <t>Nuevo</t>
        </is>
      </c>
      <c r="I343" s="17" t="inlineStr">
        <is>
          <t>IRAM 3517-2:2020 9.4.9 tabla 2</t>
        </is>
      </c>
      <c r="J343" s="33" t="inlineStr">
        <is>
          <t>Sí</t>
        </is>
      </c>
      <c r="K343" s="17" t="inlineStr">
        <is>
          <t>Air Liquide Argentina - sucursal Piñeyro</t>
        </is>
      </c>
      <c r="L343" s="17" t="inlineStr">
        <is>
          <t>Gogniat</t>
        </is>
      </c>
    </row>
    <row r="344">
      <c r="A344" s="33" t="inlineStr">
        <is>
          <t>RK-HCFCHFC5-I</t>
        </is>
      </c>
      <c r="B344" s="33" t="inlineStr">
        <is>
          <t>FL_MAT_HCFC-HFC_5kg</t>
        </is>
      </c>
      <c r="C344" s="33" t="inlineStr">
        <is>
          <t>Extintor HCFC/HFC 5 kg</t>
        </is>
      </c>
      <c r="D344" s="17" t="inlineStr">
        <is>
          <t>Según inspección (consumo estadístico a definir)</t>
        </is>
      </c>
      <c r="E344" s="17" t="inlineStr">
        <is>
          <t>Manómetro / manguera / tobera / kit de válvula</t>
        </is>
      </c>
      <c r="F344" s="33" t="inlineStr">
        <is>
          <t>-</t>
        </is>
      </c>
      <c r="G344" s="33" t="inlineStr">
        <is>
          <t>u</t>
        </is>
      </c>
      <c r="H344" s="17" t="inlineStr">
        <is>
          <t>Recambio sólo si falla</t>
        </is>
      </c>
      <c r="I344" s="17" t="inlineStr">
        <is>
          <t>IRAM 3517-2:2020 9.4.11 (cada manguera vuelve a su extintor)</t>
        </is>
      </c>
      <c r="J344" s="33" t="inlineStr">
        <is>
          <t>Sí</t>
        </is>
      </c>
      <c r="K344" s="17" t="inlineStr">
        <is>
          <t>Polvex S.R.L. / Sancibrao</t>
        </is>
      </c>
      <c r="L344" s="17" t="inlineStr">
        <is>
          <t>Yukon / MatafuegosYa S.R.L.</t>
        </is>
      </c>
    </row>
    <row r="345">
      <c r="A345" s="45" t="inlineStr">
        <is>
          <t>RK-CLASED9-A</t>
        </is>
      </c>
      <c r="B345" s="45" t="inlineStr">
        <is>
          <t>FL_MAT_CLASED_9l</t>
        </is>
      </c>
      <c r="C345" s="45" t="inlineStr">
        <is>
          <t>Extintor Clase D 9 l</t>
        </is>
      </c>
      <c r="D345" s="19" t="inlineStr">
        <is>
          <t>A - Extintor descargado (uso o descarga parcial)</t>
        </is>
      </c>
      <c r="E345" s="19" t="inlineStr">
        <is>
          <t>Polvo para metales combustibles clase D</t>
        </is>
      </c>
      <c r="F345" s="45" t="n">
        <v>9</v>
      </c>
      <c r="G345" s="45" t="inlineStr">
        <is>
          <t>kg</t>
        </is>
      </c>
      <c r="H345" s="19" t="inlineStr">
        <is>
          <t>Nuevo 100 %</t>
        </is>
      </c>
      <c r="I345" s="19" t="inlineStr">
        <is>
          <t>IRAM 3517-2:2020 9.9.1.4: el polvo de un extintor accionado no se reutiliza</t>
        </is>
      </c>
      <c r="J345" s="45" t="inlineStr">
        <is>
          <t>Sí</t>
        </is>
      </c>
      <c r="K345" s="19" t="inlineStr">
        <is>
          <t>DEM S.A. (DEMSA)</t>
        </is>
      </c>
      <c r="L345" s="19" t="inlineStr">
        <is>
          <t>-</t>
        </is>
      </c>
    </row>
    <row r="346">
      <c r="A346" s="33" t="inlineStr">
        <is>
          <t>RK-CLASED9-A</t>
        </is>
      </c>
      <c r="B346" s="33" t="inlineStr">
        <is>
          <t>FL_MAT_CLASED_9l</t>
        </is>
      </c>
      <c r="C346" s="33" t="inlineStr">
        <is>
          <t>Extintor Clase D 9 l</t>
        </is>
      </c>
      <c r="D346" s="17" t="inlineStr">
        <is>
          <t>A - Extintor descargado (uso o descarga parcial)</t>
        </is>
      </c>
      <c r="E346" s="17" t="inlineStr">
        <is>
          <t>Precinto plástico numerado, color, con nombre del recargador</t>
        </is>
      </c>
      <c r="F346" s="33" t="n">
        <v>1</v>
      </c>
      <c r="G346" s="33" t="inlineStr">
        <is>
          <t>u</t>
        </is>
      </c>
      <c r="H346" s="17" t="inlineStr">
        <is>
          <t>Nuevo</t>
        </is>
      </c>
      <c r="I346" s="17" t="inlineStr">
        <is>
          <t>IRAM 3517-2:2020 9.4.13</t>
        </is>
      </c>
      <c r="J346" s="33" t="inlineStr">
        <is>
          <t>Sí</t>
        </is>
      </c>
      <c r="K346" s="17" t="inlineStr">
        <is>
          <t>SonFuertes (vía Papelera Damián)</t>
        </is>
      </c>
      <c r="L346" s="17" t="inlineStr">
        <is>
          <t>Precinter S.R.L.</t>
        </is>
      </c>
    </row>
    <row r="347">
      <c r="A347" s="33" t="inlineStr">
        <is>
          <t>RK-CLASED9-A</t>
        </is>
      </c>
      <c r="B347" s="33" t="inlineStr">
        <is>
          <t>FL_MAT_CLASED_9l</t>
        </is>
      </c>
      <c r="C347" s="33" t="inlineStr">
        <is>
          <t>Extintor Clase D 9 l</t>
        </is>
      </c>
      <c r="D347" s="17" t="inlineStr">
        <is>
          <t>A - Extintor descargado (uso o descarga parcial)</t>
        </is>
      </c>
      <c r="E347" s="17" t="inlineStr">
        <is>
          <t>Marbete (anillo, color del año)</t>
        </is>
      </c>
      <c r="F347" s="33" t="n">
        <v>1</v>
      </c>
      <c r="G347" s="33" t="inlineStr">
        <is>
          <t>u</t>
        </is>
      </c>
      <c r="H347" s="17" t="inlineStr">
        <is>
          <t>Nuevo</t>
        </is>
      </c>
      <c r="I347" s="17" t="inlineStr">
        <is>
          <t>IRAM 3517-2:2020 9.4.14 · fig. 9 · tabla 4</t>
        </is>
      </c>
      <c r="J347" s="33" t="inlineStr">
        <is>
          <t>Sí</t>
        </is>
      </c>
      <c r="K347" s="17" t="inlineStr">
        <is>
          <t>Astuprint</t>
        </is>
      </c>
      <c r="L347" s="17" t="inlineStr">
        <is>
          <t>Multilabel Argentina S.A.</t>
        </is>
      </c>
    </row>
    <row r="348">
      <c r="A348" s="33" t="inlineStr">
        <is>
          <t>RK-CLASED9-A</t>
        </is>
      </c>
      <c r="B348" s="33" t="inlineStr">
        <is>
          <t>FL_MAT_CLASED_9l</t>
        </is>
      </c>
      <c r="C348" s="33" t="inlineStr">
        <is>
          <t>Extintor Clase D 9 l</t>
        </is>
      </c>
      <c r="D348" s="17" t="inlineStr">
        <is>
          <t>A - Extintor descargado (uso o descarga parcial)</t>
        </is>
      </c>
      <c r="E348" s="17" t="inlineStr">
        <is>
          <t>Etiqueta de servicio del recargador (extintor n°, serie, próxima recarga y PH)</t>
        </is>
      </c>
      <c r="F348" s="33" t="n">
        <v>1</v>
      </c>
      <c r="G348" s="33" t="inlineStr">
        <is>
          <t>u</t>
        </is>
      </c>
      <c r="H348" s="17" t="inlineStr">
        <is>
          <t>Nuevo</t>
        </is>
      </c>
      <c r="I348" s="17" t="inlineStr">
        <is>
          <t>IRAM 3517-2:2020 8.3.3 · relevado Suyai/Firegram</t>
        </is>
      </c>
      <c r="J348" s="33" t="inlineStr">
        <is>
          <t>Sí</t>
        </is>
      </c>
      <c r="K348" s="17" t="inlineStr">
        <is>
          <t>Astuprint</t>
        </is>
      </c>
      <c r="L348" s="17" t="inlineStr">
        <is>
          <t>Multilabel Argentina S.A.</t>
        </is>
      </c>
    </row>
    <row r="349">
      <c r="A349" s="33" t="inlineStr">
        <is>
          <t>RK-CLASED9-A</t>
        </is>
      </c>
      <c r="B349" s="33" t="inlineStr">
        <is>
          <t>FL_MAT_CLASED_9l</t>
        </is>
      </c>
      <c r="C349" s="33" t="inlineStr">
        <is>
          <t>Extintor Clase D 9 l</t>
        </is>
      </c>
      <c r="D349" s="17" t="inlineStr">
        <is>
          <t>A - Extintor descargado (uso o descarga parcial)</t>
        </is>
      </c>
      <c r="E349" s="17" t="inlineStr">
        <is>
          <t>Oblea PBA de recarga Ø46 + estampilla precinto 1" × 200 mm válvula-cuerpo</t>
        </is>
      </c>
      <c r="F349" s="33" t="n">
        <v>1</v>
      </c>
      <c r="G349" s="33" t="inlineStr">
        <is>
          <t>u</t>
        </is>
      </c>
      <c r="H349" s="17" t="inlineStr">
        <is>
          <t>Nuevo (venta en PBA)</t>
        </is>
      </c>
      <c r="I349" s="17" t="inlineStr">
        <is>
          <t>IRAM 3517-2:2020 Res. OPDS 522/07</t>
        </is>
      </c>
      <c r="J349" s="33" t="inlineStr">
        <is>
          <t>Sí</t>
        </is>
      </c>
      <c r="K349" s="17" t="inlineStr">
        <is>
          <t>Ministerio de Ambiente PBA (ex OPDS)</t>
        </is>
      </c>
      <c r="L349" s="17" t="inlineStr">
        <is>
          <t>-</t>
        </is>
      </c>
    </row>
    <row r="350">
      <c r="A350" s="33" t="inlineStr">
        <is>
          <t>RK-CLASED9-A</t>
        </is>
      </c>
      <c r="B350" s="33" t="inlineStr">
        <is>
          <t>FL_MAT_CLASED_9l</t>
        </is>
      </c>
      <c r="C350" s="33" t="inlineStr">
        <is>
          <t>Extintor Clase D 9 l</t>
        </is>
      </c>
      <c r="D350" s="17" t="inlineStr">
        <is>
          <t>A - Extintor descargado (uso o descarga parcial)</t>
        </is>
      </c>
      <c r="E350" s="17" t="inlineStr">
        <is>
          <t>Tarjeta de identificación AGC (módulo papel con QR + etiqueta AGC)</t>
        </is>
      </c>
      <c r="F350" s="33" t="n">
        <v>1</v>
      </c>
      <c r="G350" s="33" t="inlineStr">
        <is>
          <t>u</t>
        </is>
      </c>
      <c r="H350" s="17" t="inlineStr">
        <is>
          <t>Nuevo (destino CABA)</t>
        </is>
      </c>
      <c r="I350" s="17" t="inlineStr">
        <is>
          <t>IRAM 3517-2:2020 Ord. 40.473 art. 6 · Res. AGC 32/15</t>
        </is>
      </c>
      <c r="J350" s="33" t="inlineStr">
        <is>
          <t>Sí</t>
        </is>
      </c>
      <c r="K350" s="17" t="inlineStr">
        <is>
          <t>Agencia Gubernamental de Control (CABA)</t>
        </is>
      </c>
      <c r="L350" s="17" t="inlineStr">
        <is>
          <t>-</t>
        </is>
      </c>
    </row>
    <row r="351">
      <c r="A351" s="33" t="inlineStr">
        <is>
          <t>RK-CLASED9-A</t>
        </is>
      </c>
      <c r="B351" s="33" t="inlineStr">
        <is>
          <t>FL_MAT_CLASED_9l</t>
        </is>
      </c>
      <c r="C351" s="33" t="inlineStr">
        <is>
          <t>Extintor Clase D 9 l</t>
        </is>
      </c>
      <c r="D351" s="17" t="inlineStr">
        <is>
          <t>A - Extintor descargado (uso o descarga parcial)</t>
        </is>
      </c>
      <c r="E351" s="17" t="inlineStr">
        <is>
          <t>Tarjeta de identificación DPS de revisión / recarga</t>
        </is>
      </c>
      <c r="F351" s="33" t="n">
        <v>1</v>
      </c>
      <c r="G351" s="33" t="inlineStr">
        <is>
          <t>u</t>
        </is>
      </c>
      <c r="H351" s="17" t="inlineStr">
        <is>
          <t>Nuevo (PBA)</t>
        </is>
      </c>
      <c r="I351" s="17" t="inlineStr">
        <is>
          <t>IRAM 3517-2:2020 Res. 349/07 art. 21</t>
        </is>
      </c>
      <c r="J351" s="33" t="inlineStr">
        <is>
          <t>Sí</t>
        </is>
      </c>
      <c r="K351" s="17" t="inlineStr">
        <is>
          <t>Ministerio de Ambiente PBA (ex OPDS)</t>
        </is>
      </c>
      <c r="L351" s="17" t="inlineStr">
        <is>
          <t>-</t>
        </is>
      </c>
    </row>
    <row r="352">
      <c r="A352" s="33" t="inlineStr">
        <is>
          <t>RK-CLASED9-A</t>
        </is>
      </c>
      <c r="B352" s="33" t="inlineStr">
        <is>
          <t>FL_MAT_CLASED_9l</t>
        </is>
      </c>
      <c r="C352" s="33" t="inlineStr">
        <is>
          <t>Extintor Clase D 9 l</t>
        </is>
      </c>
      <c r="D352" s="17" t="inlineStr">
        <is>
          <t>A - Extintor descargado (uso o descarga parcial)</t>
        </is>
      </c>
      <c r="E352" s="17" t="inlineStr">
        <is>
          <t>Grabado de la fecha del servicio en el tubo de pesca (lápiz vibratorio; en polvo, marcador indeleble)</t>
        </is>
      </c>
      <c r="F352" s="33" t="n">
        <v>1</v>
      </c>
      <c r="G352" s="33" t="inlineStr">
        <is>
          <t>u</t>
        </is>
      </c>
      <c r="H352" s="17" t="inlineStr">
        <is>
          <t>Proceso</t>
        </is>
      </c>
      <c r="I352" s="17" t="inlineStr">
        <is>
          <t>IRAM 3517-2:2020 Res. 349/07 art. 28</t>
        </is>
      </c>
      <c r="J352" s="33" t="inlineStr">
        <is>
          <t>No</t>
        </is>
      </c>
      <c r="K352" s="17" t="n"/>
      <c r="L352" s="17" t="n"/>
    </row>
    <row r="353">
      <c r="A353" s="33" t="inlineStr">
        <is>
          <t>RK-CLASED9-A</t>
        </is>
      </c>
      <c r="B353" s="33" t="inlineStr">
        <is>
          <t>FL_MAT_CLASED_9l</t>
        </is>
      </c>
      <c r="C353" s="33" t="inlineStr">
        <is>
          <t>Extintor Clase D 9 l</t>
        </is>
      </c>
      <c r="D353" s="17" t="inlineStr">
        <is>
          <t>A - Extintor descargado (uso o descarga parcial)</t>
        </is>
      </c>
      <c r="E353" s="17" t="inlineStr">
        <is>
          <t>Si hubo PH: oblea de vencimiento de PH + «PH» y fecha grabados en el tubo de pesca (CO₂: fecha y logo estampados en la ojiva)</t>
        </is>
      </c>
      <c r="F353" s="33" t="n">
        <v>1</v>
      </c>
      <c r="G353" s="33" t="inlineStr">
        <is>
          <t>u</t>
        </is>
      </c>
      <c r="H353" s="17" t="inlineStr">
        <is>
          <t>Proceso</t>
        </is>
      </c>
      <c r="I353" s="17" t="inlineStr">
        <is>
          <t>IRAM 3517-2:2020 Res. 349/07 art. 29 · IRAM 3517-2</t>
        </is>
      </c>
      <c r="J353" s="33" t="inlineStr">
        <is>
          <t>No</t>
        </is>
      </c>
      <c r="K353" s="17" t="n"/>
      <c r="L353" s="17" t="n"/>
    </row>
    <row r="354">
      <c r="A354" s="41" t="inlineStr">
        <is>
          <t>RK-CLASED9-A</t>
        </is>
      </c>
      <c r="B354" s="41" t="inlineStr">
        <is>
          <t>FL_MAT_CLASED_9l</t>
        </is>
      </c>
      <c r="C354" s="41" t="inlineStr">
        <is>
          <t>Extintor Clase D 9 l</t>
        </is>
      </c>
      <c r="D354" s="18" t="inlineStr">
        <is>
          <t>A - Extintor descargado (uso o descarga parcial)</t>
        </is>
      </c>
      <c r="E354" s="18" t="inlineStr">
        <is>
          <t>Junta tórica de asiento del cuello</t>
        </is>
      </c>
      <c r="F354" s="41" t="n">
        <v>1</v>
      </c>
      <c r="G354" s="41" t="inlineStr">
        <is>
          <t>u</t>
        </is>
      </c>
      <c r="H354" s="18" t="inlineStr">
        <is>
          <t>Nuevo (R: cambio sistemático)</t>
        </is>
      </c>
      <c r="I354" s="18" t="inlineStr"/>
      <c r="J354" s="41" t="inlineStr">
        <is>
          <t>Sí</t>
        </is>
      </c>
      <c r="K354" s="18" t="inlineStr">
        <is>
          <t>Argensold</t>
        </is>
      </c>
      <c r="L354" s="18" t="inlineStr">
        <is>
          <t>Matafuegos Iglesias</t>
        </is>
      </c>
    </row>
    <row r="355">
      <c r="A355" s="33" t="inlineStr">
        <is>
          <t>RK-CLASED9-A</t>
        </is>
      </c>
      <c r="B355" s="33" t="inlineStr">
        <is>
          <t>FL_MAT_CLASED_9l</t>
        </is>
      </c>
      <c r="C355" s="33" t="inlineStr">
        <is>
          <t>Extintor Clase D 9 l</t>
        </is>
      </c>
      <c r="D355" s="17" t="inlineStr">
        <is>
          <t>A - Extintor descargado (uso o descarga parcial)</t>
        </is>
      </c>
      <c r="E355" s="17" t="inlineStr">
        <is>
          <t>Gas impulsor N₂</t>
        </is>
      </c>
      <c r="F355" s="33" t="n">
        <v>0.0604</v>
      </c>
      <c r="G355" s="33" t="inlineStr">
        <is>
          <t>kg</t>
        </is>
      </c>
      <c r="H355" s="17" t="inlineStr">
        <is>
          <t>Nuevo</t>
        </is>
      </c>
      <c r="I355" s="17" t="inlineStr">
        <is>
          <t>IRAM 3517-2:2020 9.4.9 tabla 2</t>
        </is>
      </c>
      <c r="J355" s="33" t="inlineStr">
        <is>
          <t>Sí</t>
        </is>
      </c>
      <c r="K355" s="17" t="inlineStr">
        <is>
          <t>Air Liquide Argentina - sucursal Piñeyro</t>
        </is>
      </c>
      <c r="L355" s="17" t="inlineStr">
        <is>
          <t>Gogniat</t>
        </is>
      </c>
    </row>
    <row r="356">
      <c r="A356" s="33" t="inlineStr">
        <is>
          <t>RK-CLASED9-B</t>
        </is>
      </c>
      <c r="B356" s="33" t="inlineStr">
        <is>
          <t>FL_MAT_CLASED_9l</t>
        </is>
      </c>
      <c r="C356" s="33" t="inlineStr">
        <is>
          <t>Extintor Clase D 9 l</t>
        </is>
      </c>
      <c r="D356" s="17" t="inlineStr">
        <is>
          <t>B - Mantenimiento con apertura sin descarga (control interior, PH)</t>
        </is>
      </c>
      <c r="E356" s="17" t="inlineStr">
        <is>
          <t>Polvo para metales combustibles clase D recuperado</t>
        </is>
      </c>
      <c r="F356" s="33" t="n">
        <v>8.73</v>
      </c>
      <c r="G356" s="33" t="inlineStr">
        <is>
          <t>kg</t>
        </is>
      </c>
      <c r="H356" s="17" t="inlineStr">
        <is>
          <t>Recuperado en sistema cerrado</t>
        </is>
      </c>
      <c r="I356" s="17" t="inlineStr">
        <is>
          <t>IRAM 3517-2:2020 4.4.1 y) sistema cerrado de recuperación con inspección; 9.9.3 control (puffer IRAM 3672, fusión IRAM 3569 en ABC)</t>
        </is>
      </c>
      <c r="J356" s="33" t="inlineStr">
        <is>
          <t>No</t>
        </is>
      </c>
      <c r="K356" s="17" t="n"/>
      <c r="L356" s="17" t="n"/>
    </row>
    <row r="357">
      <c r="A357" s="45" t="inlineStr">
        <is>
          <t>RK-CLASED9-B</t>
        </is>
      </c>
      <c r="B357" s="45" t="inlineStr">
        <is>
          <t>FL_MAT_CLASED_9l</t>
        </is>
      </c>
      <c r="C357" s="45" t="inlineStr">
        <is>
          <t>Extintor Clase D 9 l</t>
        </is>
      </c>
      <c r="D357" s="19" t="inlineStr">
        <is>
          <t>B - Mantenimiento con apertura sin descarga (control interior, PH)</t>
        </is>
      </c>
      <c r="E357" s="19" t="inlineStr">
        <is>
          <t>Polvo para metales combustibles clase D de reposición de mermas</t>
        </is>
      </c>
      <c r="F357" s="45" t="n">
        <v>0.27</v>
      </c>
      <c r="G357" s="45" t="inlineStr">
        <is>
          <t>kg</t>
        </is>
      </c>
      <c r="H357" s="19" t="inlineStr">
        <is>
          <t>Nuevo (R: 3 % de merma)</t>
        </is>
      </c>
      <c r="I357" s="19" t="inlineStr">
        <is>
          <t>Mismo tipo y marca (prohibido mezclar ABC con BC, 9.9.1.6)</t>
        </is>
      </c>
      <c r="J357" s="45" t="inlineStr">
        <is>
          <t>Sí</t>
        </is>
      </c>
      <c r="K357" s="19" t="inlineStr">
        <is>
          <t>DEM S.A. (DEMSA)</t>
        </is>
      </c>
      <c r="L357" s="19" t="inlineStr">
        <is>
          <t>-</t>
        </is>
      </c>
    </row>
    <row r="358">
      <c r="A358" s="33" t="inlineStr">
        <is>
          <t>RK-CLASED9-B</t>
        </is>
      </c>
      <c r="B358" s="33" t="inlineStr">
        <is>
          <t>FL_MAT_CLASED_9l</t>
        </is>
      </c>
      <c r="C358" s="33" t="inlineStr">
        <is>
          <t>Extintor Clase D 9 l</t>
        </is>
      </c>
      <c r="D358" s="17" t="inlineStr">
        <is>
          <t>B - Mantenimiento con apertura sin descarga (control interior, PH)</t>
        </is>
      </c>
      <c r="E358" s="17" t="inlineStr">
        <is>
          <t>Precinto plástico numerado, color, con nombre del recargador</t>
        </is>
      </c>
      <c r="F358" s="33" t="n">
        <v>1</v>
      </c>
      <c r="G358" s="33" t="inlineStr">
        <is>
          <t>u</t>
        </is>
      </c>
      <c r="H358" s="17" t="inlineStr">
        <is>
          <t>Nuevo</t>
        </is>
      </c>
      <c r="I358" s="17" t="inlineStr">
        <is>
          <t>IRAM 3517-2:2020 9.4.13</t>
        </is>
      </c>
      <c r="J358" s="33" t="inlineStr">
        <is>
          <t>Sí</t>
        </is>
      </c>
      <c r="K358" s="17" t="inlineStr">
        <is>
          <t>SonFuertes (vía Papelera Damián)</t>
        </is>
      </c>
      <c r="L358" s="17" t="inlineStr">
        <is>
          <t>Precinter S.R.L.</t>
        </is>
      </c>
    </row>
    <row r="359">
      <c r="A359" s="33" t="inlineStr">
        <is>
          <t>RK-CLASED9-B</t>
        </is>
      </c>
      <c r="B359" s="33" t="inlineStr">
        <is>
          <t>FL_MAT_CLASED_9l</t>
        </is>
      </c>
      <c r="C359" s="33" t="inlineStr">
        <is>
          <t>Extintor Clase D 9 l</t>
        </is>
      </c>
      <c r="D359" s="17" t="inlineStr">
        <is>
          <t>B - Mantenimiento con apertura sin descarga (control interior, PH)</t>
        </is>
      </c>
      <c r="E359" s="17" t="inlineStr">
        <is>
          <t>Marbete (anillo, color del año)</t>
        </is>
      </c>
      <c r="F359" s="33" t="n">
        <v>1</v>
      </c>
      <c r="G359" s="33" t="inlineStr">
        <is>
          <t>u</t>
        </is>
      </c>
      <c r="H359" s="17" t="inlineStr">
        <is>
          <t>Nuevo</t>
        </is>
      </c>
      <c r="I359" s="17" t="inlineStr">
        <is>
          <t>IRAM 3517-2:2020 9.4.14 · fig. 9 · tabla 4</t>
        </is>
      </c>
      <c r="J359" s="33" t="inlineStr">
        <is>
          <t>Sí</t>
        </is>
      </c>
      <c r="K359" s="17" t="inlineStr">
        <is>
          <t>Astuprint</t>
        </is>
      </c>
      <c r="L359" s="17" t="inlineStr">
        <is>
          <t>Multilabel Argentina S.A.</t>
        </is>
      </c>
    </row>
    <row r="360">
      <c r="A360" s="33" t="inlineStr">
        <is>
          <t>RK-CLASED9-B</t>
        </is>
      </c>
      <c r="B360" s="33" t="inlineStr">
        <is>
          <t>FL_MAT_CLASED_9l</t>
        </is>
      </c>
      <c r="C360" s="33" t="inlineStr">
        <is>
          <t>Extintor Clase D 9 l</t>
        </is>
      </c>
      <c r="D360" s="17" t="inlineStr">
        <is>
          <t>B - Mantenimiento con apertura sin descarga (control interior, PH)</t>
        </is>
      </c>
      <c r="E360" s="17" t="inlineStr">
        <is>
          <t>Etiqueta de servicio del recargador (extintor n°, serie, próxima recarga y PH)</t>
        </is>
      </c>
      <c r="F360" s="33" t="n">
        <v>1</v>
      </c>
      <c r="G360" s="33" t="inlineStr">
        <is>
          <t>u</t>
        </is>
      </c>
      <c r="H360" s="17" t="inlineStr">
        <is>
          <t>Nuevo</t>
        </is>
      </c>
      <c r="I360" s="17" t="inlineStr">
        <is>
          <t>IRAM 3517-2:2020 8.3.3 · relevado Suyai/Firegram</t>
        </is>
      </c>
      <c r="J360" s="33" t="inlineStr">
        <is>
          <t>Sí</t>
        </is>
      </c>
      <c r="K360" s="17" t="inlineStr">
        <is>
          <t>Astuprint</t>
        </is>
      </c>
      <c r="L360" s="17" t="inlineStr">
        <is>
          <t>Multilabel Argentina S.A.</t>
        </is>
      </c>
    </row>
    <row r="361">
      <c r="A361" s="33" t="inlineStr">
        <is>
          <t>RK-CLASED9-B</t>
        </is>
      </c>
      <c r="B361" s="33" t="inlineStr">
        <is>
          <t>FL_MAT_CLASED_9l</t>
        </is>
      </c>
      <c r="C361" s="33" t="inlineStr">
        <is>
          <t>Extintor Clase D 9 l</t>
        </is>
      </c>
      <c r="D361" s="17" t="inlineStr">
        <is>
          <t>B - Mantenimiento con apertura sin descarga (control interior, PH)</t>
        </is>
      </c>
      <c r="E361" s="17" t="inlineStr">
        <is>
          <t>Oblea PBA de recarga Ø46 + estampilla precinto 1" × 200 mm válvula-cuerpo</t>
        </is>
      </c>
      <c r="F361" s="33" t="n">
        <v>1</v>
      </c>
      <c r="G361" s="33" t="inlineStr">
        <is>
          <t>u</t>
        </is>
      </c>
      <c r="H361" s="17" t="inlineStr">
        <is>
          <t>Nuevo (venta en PBA)</t>
        </is>
      </c>
      <c r="I361" s="17" t="inlineStr">
        <is>
          <t>IRAM 3517-2:2020 Res. OPDS 522/07</t>
        </is>
      </c>
      <c r="J361" s="33" t="inlineStr">
        <is>
          <t>Sí</t>
        </is>
      </c>
      <c r="K361" s="17" t="inlineStr">
        <is>
          <t>Ministerio de Ambiente PBA (ex OPDS)</t>
        </is>
      </c>
      <c r="L361" s="17" t="inlineStr">
        <is>
          <t>-</t>
        </is>
      </c>
    </row>
    <row r="362">
      <c r="A362" s="33" t="inlineStr">
        <is>
          <t>RK-CLASED9-B</t>
        </is>
      </c>
      <c r="B362" s="33" t="inlineStr">
        <is>
          <t>FL_MAT_CLASED_9l</t>
        </is>
      </c>
      <c r="C362" s="33" t="inlineStr">
        <is>
          <t>Extintor Clase D 9 l</t>
        </is>
      </c>
      <c r="D362" s="17" t="inlineStr">
        <is>
          <t>B - Mantenimiento con apertura sin descarga (control interior, PH)</t>
        </is>
      </c>
      <c r="E362" s="17" t="inlineStr">
        <is>
          <t>Tarjeta de identificación AGC (módulo papel con QR + etiqueta AGC)</t>
        </is>
      </c>
      <c r="F362" s="33" t="n">
        <v>1</v>
      </c>
      <c r="G362" s="33" t="inlineStr">
        <is>
          <t>u</t>
        </is>
      </c>
      <c r="H362" s="17" t="inlineStr">
        <is>
          <t>Nuevo (destino CABA)</t>
        </is>
      </c>
      <c r="I362" s="17" t="inlineStr">
        <is>
          <t>IRAM 3517-2:2020 Ord. 40.473 art. 6 · Res. AGC 32/15</t>
        </is>
      </c>
      <c r="J362" s="33" t="inlineStr">
        <is>
          <t>Sí</t>
        </is>
      </c>
      <c r="K362" s="17" t="inlineStr">
        <is>
          <t>Agencia Gubernamental de Control (CABA)</t>
        </is>
      </c>
      <c r="L362" s="17" t="inlineStr">
        <is>
          <t>-</t>
        </is>
      </c>
    </row>
    <row r="363">
      <c r="A363" s="33" t="inlineStr">
        <is>
          <t>RK-CLASED9-B</t>
        </is>
      </c>
      <c r="B363" s="33" t="inlineStr">
        <is>
          <t>FL_MAT_CLASED_9l</t>
        </is>
      </c>
      <c r="C363" s="33" t="inlineStr">
        <is>
          <t>Extintor Clase D 9 l</t>
        </is>
      </c>
      <c r="D363" s="17" t="inlineStr">
        <is>
          <t>B - Mantenimiento con apertura sin descarga (control interior, PH)</t>
        </is>
      </c>
      <c r="E363" s="17" t="inlineStr">
        <is>
          <t>Tarjeta de identificación DPS de revisión / recarga</t>
        </is>
      </c>
      <c r="F363" s="33" t="n">
        <v>1</v>
      </c>
      <c r="G363" s="33" t="inlineStr">
        <is>
          <t>u</t>
        </is>
      </c>
      <c r="H363" s="17" t="inlineStr">
        <is>
          <t>Nuevo (PBA)</t>
        </is>
      </c>
      <c r="I363" s="17" t="inlineStr">
        <is>
          <t>IRAM 3517-2:2020 Res. 349/07 art. 21</t>
        </is>
      </c>
      <c r="J363" s="33" t="inlineStr">
        <is>
          <t>Sí</t>
        </is>
      </c>
      <c r="K363" s="17" t="inlineStr">
        <is>
          <t>Ministerio de Ambiente PBA (ex OPDS)</t>
        </is>
      </c>
      <c r="L363" s="17" t="inlineStr">
        <is>
          <t>-</t>
        </is>
      </c>
    </row>
    <row r="364">
      <c r="A364" s="33" t="inlineStr">
        <is>
          <t>RK-CLASED9-B</t>
        </is>
      </c>
      <c r="B364" s="33" t="inlineStr">
        <is>
          <t>FL_MAT_CLASED_9l</t>
        </is>
      </c>
      <c r="C364" s="33" t="inlineStr">
        <is>
          <t>Extintor Clase D 9 l</t>
        </is>
      </c>
      <c r="D364" s="17" t="inlineStr">
        <is>
          <t>B - Mantenimiento con apertura sin descarga (control interior, PH)</t>
        </is>
      </c>
      <c r="E364" s="17" t="inlineStr">
        <is>
          <t>Grabado de la fecha del servicio en el tubo de pesca (lápiz vibratorio; en polvo, marcador indeleble)</t>
        </is>
      </c>
      <c r="F364" s="33" t="n">
        <v>1</v>
      </c>
      <c r="G364" s="33" t="inlineStr">
        <is>
          <t>u</t>
        </is>
      </c>
      <c r="H364" s="17" t="inlineStr">
        <is>
          <t>Proceso</t>
        </is>
      </c>
      <c r="I364" s="17" t="inlineStr">
        <is>
          <t>IRAM 3517-2:2020 Res. 349/07 art. 28</t>
        </is>
      </c>
      <c r="J364" s="33" t="inlineStr">
        <is>
          <t>No</t>
        </is>
      </c>
      <c r="K364" s="17" t="n"/>
      <c r="L364" s="17" t="n"/>
    </row>
    <row r="365">
      <c r="A365" s="33" t="inlineStr">
        <is>
          <t>RK-CLASED9-B</t>
        </is>
      </c>
      <c r="B365" s="33" t="inlineStr">
        <is>
          <t>FL_MAT_CLASED_9l</t>
        </is>
      </c>
      <c r="C365" s="33" t="inlineStr">
        <is>
          <t>Extintor Clase D 9 l</t>
        </is>
      </c>
      <c r="D365" s="17" t="inlineStr">
        <is>
          <t>B - Mantenimiento con apertura sin descarga (control interior, PH)</t>
        </is>
      </c>
      <c r="E365" s="17" t="inlineStr">
        <is>
          <t>Si hubo PH: oblea de vencimiento de PH + «PH» y fecha grabados en el tubo de pesca (CO₂: fecha y logo estampados en la ojiva)</t>
        </is>
      </c>
      <c r="F365" s="33" t="n">
        <v>1</v>
      </c>
      <c r="G365" s="33" t="inlineStr">
        <is>
          <t>u</t>
        </is>
      </c>
      <c r="H365" s="17" t="inlineStr">
        <is>
          <t>Proceso</t>
        </is>
      </c>
      <c r="I365" s="17" t="inlineStr">
        <is>
          <t>IRAM 3517-2:2020 Res. 349/07 art. 29 · IRAM 3517-2</t>
        </is>
      </c>
      <c r="J365" s="33" t="inlineStr">
        <is>
          <t>No</t>
        </is>
      </c>
      <c r="K365" s="17" t="n"/>
      <c r="L365" s="17" t="n"/>
    </row>
    <row r="366">
      <c r="A366" s="41" t="inlineStr">
        <is>
          <t>RK-CLASED9-B</t>
        </is>
      </c>
      <c r="B366" s="41" t="inlineStr">
        <is>
          <t>FL_MAT_CLASED_9l</t>
        </is>
      </c>
      <c r="C366" s="41" t="inlineStr">
        <is>
          <t>Extintor Clase D 9 l</t>
        </is>
      </c>
      <c r="D366" s="18" t="inlineStr">
        <is>
          <t>B - Mantenimiento con apertura sin descarga (control interior, PH)</t>
        </is>
      </c>
      <c r="E366" s="18" t="inlineStr">
        <is>
          <t>Junta tórica de asiento del cuello</t>
        </is>
      </c>
      <c r="F366" s="41" t="n">
        <v>1</v>
      </c>
      <c r="G366" s="41" t="inlineStr">
        <is>
          <t>u</t>
        </is>
      </c>
      <c r="H366" s="18" t="inlineStr">
        <is>
          <t>Nuevo (R: cambio sistemático)</t>
        </is>
      </c>
      <c r="I366" s="18" t="inlineStr"/>
      <c r="J366" s="41" t="inlineStr">
        <is>
          <t>Sí</t>
        </is>
      </c>
      <c r="K366" s="18" t="inlineStr">
        <is>
          <t>Argensold</t>
        </is>
      </c>
      <c r="L366" s="18" t="inlineStr">
        <is>
          <t>Matafuegos Iglesias</t>
        </is>
      </c>
    </row>
    <row r="367">
      <c r="A367" s="33" t="inlineStr">
        <is>
          <t>RK-CLASED9-B</t>
        </is>
      </c>
      <c r="B367" s="33" t="inlineStr">
        <is>
          <t>FL_MAT_CLASED_9l</t>
        </is>
      </c>
      <c r="C367" s="33" t="inlineStr">
        <is>
          <t>Extintor Clase D 9 l</t>
        </is>
      </c>
      <c r="D367" s="17" t="inlineStr">
        <is>
          <t>B - Mantenimiento con apertura sin descarga (control interior, PH)</t>
        </is>
      </c>
      <c r="E367" s="17" t="inlineStr">
        <is>
          <t>Gas impulsor N₂</t>
        </is>
      </c>
      <c r="F367" s="33" t="n">
        <v>0.0604</v>
      </c>
      <c r="G367" s="33" t="inlineStr">
        <is>
          <t>kg</t>
        </is>
      </c>
      <c r="H367" s="17" t="inlineStr">
        <is>
          <t>Nuevo</t>
        </is>
      </c>
      <c r="I367" s="17" t="inlineStr">
        <is>
          <t>IRAM 3517-2:2020 9.4.9 tabla 2</t>
        </is>
      </c>
      <c r="J367" s="33" t="inlineStr">
        <is>
          <t>Sí</t>
        </is>
      </c>
      <c r="K367" s="17" t="inlineStr">
        <is>
          <t>Air Liquide Argentina - sucursal Piñeyro</t>
        </is>
      </c>
      <c r="L367" s="17" t="inlineStr">
        <is>
          <t>Gogniat</t>
        </is>
      </c>
    </row>
    <row r="368">
      <c r="A368" s="45" t="inlineStr">
        <is>
          <t>RK-CLASED9-C</t>
        </is>
      </c>
      <c r="B368" s="45" t="inlineStr">
        <is>
          <t>FL_MAT_CLASED_9l</t>
        </is>
      </c>
      <c r="C368" s="45" t="inlineStr">
        <is>
          <t>Extintor Clase D 9 l</t>
        </is>
      </c>
      <c r="D368" s="19" t="inlineStr">
        <is>
          <t>C - Cambio obligatorio de polvo (versión anterior de la IRAM 3569)</t>
        </is>
      </c>
      <c r="E368" s="19" t="inlineStr">
        <is>
          <t>Polvo para metales combustibles clase D</t>
        </is>
      </c>
      <c r="F368" s="45" t="n">
        <v>9</v>
      </c>
      <c r="G368" s="45" t="inlineStr">
        <is>
          <t>kg</t>
        </is>
      </c>
      <c r="H368" s="19" t="inlineStr">
        <is>
          <t>Nuevo 100 %; el viejo va a residuos (RC-IR)</t>
        </is>
      </c>
      <c r="I368" s="19" t="inlineStr">
        <is>
          <t>IRAM 3517-2:2020 9.9.4</t>
        </is>
      </c>
      <c r="J368" s="45" t="inlineStr">
        <is>
          <t>Sí</t>
        </is>
      </c>
      <c r="K368" s="19" t="inlineStr">
        <is>
          <t>DEM S.A. (DEMSA)</t>
        </is>
      </c>
      <c r="L368" s="19" t="inlineStr">
        <is>
          <t>-</t>
        </is>
      </c>
    </row>
    <row r="369">
      <c r="A369" s="33" t="inlineStr">
        <is>
          <t>RK-CLASED9-C</t>
        </is>
      </c>
      <c r="B369" s="33" t="inlineStr">
        <is>
          <t>FL_MAT_CLASED_9l</t>
        </is>
      </c>
      <c r="C369" s="33" t="inlineStr">
        <is>
          <t>Extintor Clase D 9 l</t>
        </is>
      </c>
      <c r="D369" s="17" t="inlineStr">
        <is>
          <t>C - Cambio obligatorio de polvo (versión anterior de la IRAM 3569)</t>
        </is>
      </c>
      <c r="E369" s="17" t="inlineStr">
        <is>
          <t>Precinto plástico numerado, color, con nombre del recargador</t>
        </is>
      </c>
      <c r="F369" s="33" t="n">
        <v>1</v>
      </c>
      <c r="G369" s="33" t="inlineStr">
        <is>
          <t>u</t>
        </is>
      </c>
      <c r="H369" s="17" t="inlineStr">
        <is>
          <t>Nuevo</t>
        </is>
      </c>
      <c r="I369" s="17" t="inlineStr">
        <is>
          <t>IRAM 3517-2:2020 9.4.13</t>
        </is>
      </c>
      <c r="J369" s="33" t="inlineStr">
        <is>
          <t>Sí</t>
        </is>
      </c>
      <c r="K369" s="17" t="inlineStr">
        <is>
          <t>SonFuertes (vía Papelera Damián)</t>
        </is>
      </c>
      <c r="L369" s="17" t="inlineStr">
        <is>
          <t>Precinter S.R.L.</t>
        </is>
      </c>
    </row>
    <row r="370">
      <c r="A370" s="33" t="inlineStr">
        <is>
          <t>RK-CLASED9-C</t>
        </is>
      </c>
      <c r="B370" s="33" t="inlineStr">
        <is>
          <t>FL_MAT_CLASED_9l</t>
        </is>
      </c>
      <c r="C370" s="33" t="inlineStr">
        <is>
          <t>Extintor Clase D 9 l</t>
        </is>
      </c>
      <c r="D370" s="17" t="inlineStr">
        <is>
          <t>C - Cambio obligatorio de polvo (versión anterior de la IRAM 3569)</t>
        </is>
      </c>
      <c r="E370" s="17" t="inlineStr">
        <is>
          <t>Marbete (anillo, color del año)</t>
        </is>
      </c>
      <c r="F370" s="33" t="n">
        <v>1</v>
      </c>
      <c r="G370" s="33" t="inlineStr">
        <is>
          <t>u</t>
        </is>
      </c>
      <c r="H370" s="17" t="inlineStr">
        <is>
          <t>Nuevo</t>
        </is>
      </c>
      <c r="I370" s="17" t="inlineStr">
        <is>
          <t>IRAM 3517-2:2020 9.4.14 · fig. 9 · tabla 4</t>
        </is>
      </c>
      <c r="J370" s="33" t="inlineStr">
        <is>
          <t>Sí</t>
        </is>
      </c>
      <c r="K370" s="17" t="inlineStr">
        <is>
          <t>Astuprint</t>
        </is>
      </c>
      <c r="L370" s="17" t="inlineStr">
        <is>
          <t>Multilabel Argentina S.A.</t>
        </is>
      </c>
    </row>
    <row r="371">
      <c r="A371" s="33" t="inlineStr">
        <is>
          <t>RK-CLASED9-C</t>
        </is>
      </c>
      <c r="B371" s="33" t="inlineStr">
        <is>
          <t>FL_MAT_CLASED_9l</t>
        </is>
      </c>
      <c r="C371" s="33" t="inlineStr">
        <is>
          <t>Extintor Clase D 9 l</t>
        </is>
      </c>
      <c r="D371" s="17" t="inlineStr">
        <is>
          <t>C - Cambio obligatorio de polvo (versión anterior de la IRAM 3569)</t>
        </is>
      </c>
      <c r="E371" s="17" t="inlineStr">
        <is>
          <t>Etiqueta de servicio del recargador (extintor n°, serie, próxima recarga y PH)</t>
        </is>
      </c>
      <c r="F371" s="33" t="n">
        <v>1</v>
      </c>
      <c r="G371" s="33" t="inlineStr">
        <is>
          <t>u</t>
        </is>
      </c>
      <c r="H371" s="17" t="inlineStr">
        <is>
          <t>Nuevo</t>
        </is>
      </c>
      <c r="I371" s="17" t="inlineStr">
        <is>
          <t>IRAM 3517-2:2020 8.3.3 · relevado Suyai/Firegram</t>
        </is>
      </c>
      <c r="J371" s="33" t="inlineStr">
        <is>
          <t>Sí</t>
        </is>
      </c>
      <c r="K371" s="17" t="inlineStr">
        <is>
          <t>Astuprint</t>
        </is>
      </c>
      <c r="L371" s="17" t="inlineStr">
        <is>
          <t>Multilabel Argentina S.A.</t>
        </is>
      </c>
    </row>
    <row r="372">
      <c r="A372" s="33" t="inlineStr">
        <is>
          <t>RK-CLASED9-C</t>
        </is>
      </c>
      <c r="B372" s="33" t="inlineStr">
        <is>
          <t>FL_MAT_CLASED_9l</t>
        </is>
      </c>
      <c r="C372" s="33" t="inlineStr">
        <is>
          <t>Extintor Clase D 9 l</t>
        </is>
      </c>
      <c r="D372" s="17" t="inlineStr">
        <is>
          <t>C - Cambio obligatorio de polvo (versión anterior de la IRAM 3569)</t>
        </is>
      </c>
      <c r="E372" s="17" t="inlineStr">
        <is>
          <t>Oblea PBA de recarga Ø46 + estampilla precinto 1" × 200 mm válvula-cuerpo</t>
        </is>
      </c>
      <c r="F372" s="33" t="n">
        <v>1</v>
      </c>
      <c r="G372" s="33" t="inlineStr">
        <is>
          <t>u</t>
        </is>
      </c>
      <c r="H372" s="17" t="inlineStr">
        <is>
          <t>Nuevo (venta en PBA)</t>
        </is>
      </c>
      <c r="I372" s="17" t="inlineStr">
        <is>
          <t>IRAM 3517-2:2020 Res. OPDS 522/07</t>
        </is>
      </c>
      <c r="J372" s="33" t="inlineStr">
        <is>
          <t>Sí</t>
        </is>
      </c>
      <c r="K372" s="17" t="inlineStr">
        <is>
          <t>Ministerio de Ambiente PBA (ex OPDS)</t>
        </is>
      </c>
      <c r="L372" s="17" t="inlineStr">
        <is>
          <t>-</t>
        </is>
      </c>
    </row>
    <row r="373">
      <c r="A373" s="33" t="inlineStr">
        <is>
          <t>RK-CLASED9-C</t>
        </is>
      </c>
      <c r="B373" s="33" t="inlineStr">
        <is>
          <t>FL_MAT_CLASED_9l</t>
        </is>
      </c>
      <c r="C373" s="33" t="inlineStr">
        <is>
          <t>Extintor Clase D 9 l</t>
        </is>
      </c>
      <c r="D373" s="17" t="inlineStr">
        <is>
          <t>C - Cambio obligatorio de polvo (versión anterior de la IRAM 3569)</t>
        </is>
      </c>
      <c r="E373" s="17" t="inlineStr">
        <is>
          <t>Tarjeta de identificación AGC (módulo papel con QR + etiqueta AGC)</t>
        </is>
      </c>
      <c r="F373" s="33" t="n">
        <v>1</v>
      </c>
      <c r="G373" s="33" t="inlineStr">
        <is>
          <t>u</t>
        </is>
      </c>
      <c r="H373" s="17" t="inlineStr">
        <is>
          <t>Nuevo (destino CABA)</t>
        </is>
      </c>
      <c r="I373" s="17" t="inlineStr">
        <is>
          <t>IRAM 3517-2:2020 Ord. 40.473 art. 6 · Res. AGC 32/15</t>
        </is>
      </c>
      <c r="J373" s="33" t="inlineStr">
        <is>
          <t>Sí</t>
        </is>
      </c>
      <c r="K373" s="17" t="inlineStr">
        <is>
          <t>Agencia Gubernamental de Control (CABA)</t>
        </is>
      </c>
      <c r="L373" s="17" t="inlineStr">
        <is>
          <t>-</t>
        </is>
      </c>
    </row>
    <row r="374">
      <c r="A374" s="33" t="inlineStr">
        <is>
          <t>RK-CLASED9-C</t>
        </is>
      </c>
      <c r="B374" s="33" t="inlineStr">
        <is>
          <t>FL_MAT_CLASED_9l</t>
        </is>
      </c>
      <c r="C374" s="33" t="inlineStr">
        <is>
          <t>Extintor Clase D 9 l</t>
        </is>
      </c>
      <c r="D374" s="17" t="inlineStr">
        <is>
          <t>C - Cambio obligatorio de polvo (versión anterior de la IRAM 3569)</t>
        </is>
      </c>
      <c r="E374" s="17" t="inlineStr">
        <is>
          <t>Tarjeta de identificación DPS de revisión / recarga</t>
        </is>
      </c>
      <c r="F374" s="33" t="n">
        <v>1</v>
      </c>
      <c r="G374" s="33" t="inlineStr">
        <is>
          <t>u</t>
        </is>
      </c>
      <c r="H374" s="17" t="inlineStr">
        <is>
          <t>Nuevo (PBA)</t>
        </is>
      </c>
      <c r="I374" s="17" t="inlineStr">
        <is>
          <t>IRAM 3517-2:2020 Res. 349/07 art. 21</t>
        </is>
      </c>
      <c r="J374" s="33" t="inlineStr">
        <is>
          <t>Sí</t>
        </is>
      </c>
      <c r="K374" s="17" t="inlineStr">
        <is>
          <t>Ministerio de Ambiente PBA (ex OPDS)</t>
        </is>
      </c>
      <c r="L374" s="17" t="inlineStr">
        <is>
          <t>-</t>
        </is>
      </c>
    </row>
    <row r="375">
      <c r="A375" s="33" t="inlineStr">
        <is>
          <t>RK-CLASED9-C</t>
        </is>
      </c>
      <c r="B375" s="33" t="inlineStr">
        <is>
          <t>FL_MAT_CLASED_9l</t>
        </is>
      </c>
      <c r="C375" s="33" t="inlineStr">
        <is>
          <t>Extintor Clase D 9 l</t>
        </is>
      </c>
      <c r="D375" s="17" t="inlineStr">
        <is>
          <t>C - Cambio obligatorio de polvo (versión anterior de la IRAM 3569)</t>
        </is>
      </c>
      <c r="E375" s="17" t="inlineStr">
        <is>
          <t>Grabado de la fecha del servicio en el tubo de pesca (lápiz vibratorio; en polvo, marcador indeleble)</t>
        </is>
      </c>
      <c r="F375" s="33" t="n">
        <v>1</v>
      </c>
      <c r="G375" s="33" t="inlineStr">
        <is>
          <t>u</t>
        </is>
      </c>
      <c r="H375" s="17" t="inlineStr">
        <is>
          <t>Proceso</t>
        </is>
      </c>
      <c r="I375" s="17" t="inlineStr">
        <is>
          <t>IRAM 3517-2:2020 Res. 349/07 art. 28</t>
        </is>
      </c>
      <c r="J375" s="33" t="inlineStr">
        <is>
          <t>No</t>
        </is>
      </c>
      <c r="K375" s="17" t="n"/>
      <c r="L375" s="17" t="n"/>
    </row>
    <row r="376">
      <c r="A376" s="33" t="inlineStr">
        <is>
          <t>RK-CLASED9-C</t>
        </is>
      </c>
      <c r="B376" s="33" t="inlineStr">
        <is>
          <t>FL_MAT_CLASED_9l</t>
        </is>
      </c>
      <c r="C376" s="33" t="inlineStr">
        <is>
          <t>Extintor Clase D 9 l</t>
        </is>
      </c>
      <c r="D376" s="17" t="inlineStr">
        <is>
          <t>C - Cambio obligatorio de polvo (versión anterior de la IRAM 3569)</t>
        </is>
      </c>
      <c r="E376" s="17" t="inlineStr">
        <is>
          <t>Si hubo PH: oblea de vencimiento de PH + «PH» y fecha grabados en el tubo de pesca (CO₂: fecha y logo estampados en la ojiva)</t>
        </is>
      </c>
      <c r="F376" s="33" t="n">
        <v>1</v>
      </c>
      <c r="G376" s="33" t="inlineStr">
        <is>
          <t>u</t>
        </is>
      </c>
      <c r="H376" s="17" t="inlineStr">
        <is>
          <t>Proceso</t>
        </is>
      </c>
      <c r="I376" s="17" t="inlineStr">
        <is>
          <t>IRAM 3517-2:2020 Res. 349/07 art. 29 · IRAM 3517-2</t>
        </is>
      </c>
      <c r="J376" s="33" t="inlineStr">
        <is>
          <t>No</t>
        </is>
      </c>
      <c r="K376" s="17" t="n"/>
      <c r="L376" s="17" t="n"/>
    </row>
    <row r="377">
      <c r="A377" s="41" t="inlineStr">
        <is>
          <t>RK-CLASED9-C</t>
        </is>
      </c>
      <c r="B377" s="41" t="inlineStr">
        <is>
          <t>FL_MAT_CLASED_9l</t>
        </is>
      </c>
      <c r="C377" s="41" t="inlineStr">
        <is>
          <t>Extintor Clase D 9 l</t>
        </is>
      </c>
      <c r="D377" s="18" t="inlineStr">
        <is>
          <t>C - Cambio obligatorio de polvo (versión anterior de la IRAM 3569)</t>
        </is>
      </c>
      <c r="E377" s="18" t="inlineStr">
        <is>
          <t>Junta tórica de asiento del cuello</t>
        </is>
      </c>
      <c r="F377" s="41" t="n">
        <v>1</v>
      </c>
      <c r="G377" s="41" t="inlineStr">
        <is>
          <t>u</t>
        </is>
      </c>
      <c r="H377" s="18" t="inlineStr">
        <is>
          <t>Nuevo (R: cambio sistemático)</t>
        </is>
      </c>
      <c r="I377" s="18" t="inlineStr"/>
      <c r="J377" s="41" t="inlineStr">
        <is>
          <t>Sí</t>
        </is>
      </c>
      <c r="K377" s="18" t="inlineStr">
        <is>
          <t>Argensold</t>
        </is>
      </c>
      <c r="L377" s="18" t="inlineStr">
        <is>
          <t>Matafuegos Iglesias</t>
        </is>
      </c>
    </row>
    <row r="378">
      <c r="A378" s="33" t="inlineStr">
        <is>
          <t>RK-CLASED9-C</t>
        </is>
      </c>
      <c r="B378" s="33" t="inlineStr">
        <is>
          <t>FL_MAT_CLASED_9l</t>
        </is>
      </c>
      <c r="C378" s="33" t="inlineStr">
        <is>
          <t>Extintor Clase D 9 l</t>
        </is>
      </c>
      <c r="D378" s="17" t="inlineStr">
        <is>
          <t>C - Cambio obligatorio de polvo (versión anterior de la IRAM 3569)</t>
        </is>
      </c>
      <c r="E378" s="17" t="inlineStr">
        <is>
          <t>Gas impulsor N₂</t>
        </is>
      </c>
      <c r="F378" s="33" t="n">
        <v>0.0604</v>
      </c>
      <c r="G378" s="33" t="inlineStr">
        <is>
          <t>kg</t>
        </is>
      </c>
      <c r="H378" s="17" t="inlineStr">
        <is>
          <t>Nuevo</t>
        </is>
      </c>
      <c r="I378" s="17" t="inlineStr">
        <is>
          <t>IRAM 3517-2:2020 9.4.9 tabla 2</t>
        </is>
      </c>
      <c r="J378" s="33" t="inlineStr">
        <is>
          <t>Sí</t>
        </is>
      </c>
      <c r="K378" s="17" t="inlineStr">
        <is>
          <t>Air Liquide Argentina - sucursal Piñeyro</t>
        </is>
      </c>
      <c r="L378" s="17" t="inlineStr">
        <is>
          <t>Gogniat</t>
        </is>
      </c>
    </row>
    <row r="379">
      <c r="A379" s="33" t="inlineStr">
        <is>
          <t>RK-CLASED9-I</t>
        </is>
      </c>
      <c r="B379" s="33" t="inlineStr">
        <is>
          <t>FL_MAT_CLASED_9l</t>
        </is>
      </c>
      <c r="C379" s="33" t="inlineStr">
        <is>
          <t>Extintor Clase D 9 l</t>
        </is>
      </c>
      <c r="D379" s="17" t="inlineStr">
        <is>
          <t>Según inspección (consumo estadístico a definir)</t>
        </is>
      </c>
      <c r="E379" s="17" t="inlineStr">
        <is>
          <t>Manómetro / manguera / tobera / kit de válvula</t>
        </is>
      </c>
      <c r="F379" s="33" t="inlineStr">
        <is>
          <t>-</t>
        </is>
      </c>
      <c r="G379" s="33" t="inlineStr">
        <is>
          <t>u</t>
        </is>
      </c>
      <c r="H379" s="17" t="inlineStr">
        <is>
          <t>Recambio sólo si falla</t>
        </is>
      </c>
      <c r="I379" s="17" t="inlineStr">
        <is>
          <t>IRAM 3517-2:2020 9.4.11 (cada manguera vuelve a su extintor)</t>
        </is>
      </c>
      <c r="J379" s="33" t="inlineStr">
        <is>
          <t>Sí</t>
        </is>
      </c>
      <c r="K379" s="17" t="inlineStr">
        <is>
          <t>Polvex S.R.L. / Sancibrao</t>
        </is>
      </c>
      <c r="L379" s="17" t="inlineStr">
        <is>
          <t>Yukon / MatafuegosYa S.R.L.</t>
        </is>
      </c>
    </row>
    <row r="380">
      <c r="A380" s="33" t="inlineStr">
        <is>
          <t>RK-ABC25-A</t>
        </is>
      </c>
      <c r="B380" s="33" t="inlineStr">
        <is>
          <t>FL_MAT_ABC_25kg</t>
        </is>
      </c>
      <c r="C380" s="33" t="inlineStr">
        <is>
          <t>Extintor ABC 25 kg sobre ruedas</t>
        </is>
      </c>
      <c r="D380" s="17" t="inlineStr">
        <is>
          <t>A - Extintor descargado (uso o descarga parcial)</t>
        </is>
      </c>
      <c r="E380" s="17" t="inlineStr">
        <is>
          <t>Polvo químico seco ABC (fosfato monoamónico)</t>
        </is>
      </c>
      <c r="F380" s="33" t="n">
        <v>25</v>
      </c>
      <c r="G380" s="33" t="inlineStr">
        <is>
          <t>kg</t>
        </is>
      </c>
      <c r="H380" s="17" t="inlineStr">
        <is>
          <t>Nuevo 100 %</t>
        </is>
      </c>
      <c r="I380" s="17" t="inlineStr">
        <is>
          <t>IRAM 3517-2:2020 9.9.1.4: el polvo de un extintor accionado no se reutiliza</t>
        </is>
      </c>
      <c r="J380" s="33" t="inlineStr">
        <is>
          <t>Sí</t>
        </is>
      </c>
      <c r="K380" s="17" t="inlineStr">
        <is>
          <t>DEM S.A. (DEMSA)</t>
        </is>
      </c>
      <c r="L380" s="17" t="inlineStr">
        <is>
          <t>Polvex S.R.L. / Sancibrao</t>
        </is>
      </c>
    </row>
    <row r="381">
      <c r="A381" s="33" t="inlineStr">
        <is>
          <t>RK-ABC25-A</t>
        </is>
      </c>
      <c r="B381" s="33" t="inlineStr">
        <is>
          <t>FL_MAT_ABC_25kg</t>
        </is>
      </c>
      <c r="C381" s="33" t="inlineStr">
        <is>
          <t>Extintor ABC 25 kg sobre ruedas</t>
        </is>
      </c>
      <c r="D381" s="17" t="inlineStr">
        <is>
          <t>A - Extintor descargado (uso o descarga parcial)</t>
        </is>
      </c>
      <c r="E381" s="17" t="inlineStr">
        <is>
          <t>Precinto plástico numerado, color, con nombre del recargador</t>
        </is>
      </c>
      <c r="F381" s="33" t="n">
        <v>1</v>
      </c>
      <c r="G381" s="33" t="inlineStr">
        <is>
          <t>u</t>
        </is>
      </c>
      <c r="H381" s="17" t="inlineStr">
        <is>
          <t>Nuevo</t>
        </is>
      </c>
      <c r="I381" s="17" t="inlineStr">
        <is>
          <t>IRAM 3517-2:2020 9.4.13</t>
        </is>
      </c>
      <c r="J381" s="33" t="inlineStr">
        <is>
          <t>Sí</t>
        </is>
      </c>
      <c r="K381" s="17" t="inlineStr">
        <is>
          <t>SonFuertes (vía Papelera Damián)</t>
        </is>
      </c>
      <c r="L381" s="17" t="inlineStr">
        <is>
          <t>Precinter S.R.L.</t>
        </is>
      </c>
    </row>
    <row r="382">
      <c r="A382" s="33" t="inlineStr">
        <is>
          <t>RK-ABC25-A</t>
        </is>
      </c>
      <c r="B382" s="33" t="inlineStr">
        <is>
          <t>FL_MAT_ABC_25kg</t>
        </is>
      </c>
      <c r="C382" s="33" t="inlineStr">
        <is>
          <t>Extintor ABC 25 kg sobre ruedas</t>
        </is>
      </c>
      <c r="D382" s="17" t="inlineStr">
        <is>
          <t>A - Extintor descargado (uso o descarga parcial)</t>
        </is>
      </c>
      <c r="E382" s="17" t="inlineStr">
        <is>
          <t>Marbete (anillo, color del año)</t>
        </is>
      </c>
      <c r="F382" s="33" t="n">
        <v>1</v>
      </c>
      <c r="G382" s="33" t="inlineStr">
        <is>
          <t>u</t>
        </is>
      </c>
      <c r="H382" s="17" t="inlineStr">
        <is>
          <t>Nuevo</t>
        </is>
      </c>
      <c r="I382" s="17" t="inlineStr">
        <is>
          <t>IRAM 3517-2:2020 9.4.14 · fig. 9 · tabla 4</t>
        </is>
      </c>
      <c r="J382" s="33" t="inlineStr">
        <is>
          <t>Sí</t>
        </is>
      </c>
      <c r="K382" s="17" t="inlineStr">
        <is>
          <t>Astuprint</t>
        </is>
      </c>
      <c r="L382" s="17" t="inlineStr">
        <is>
          <t>Multilabel Argentina S.A.</t>
        </is>
      </c>
    </row>
    <row r="383">
      <c r="A383" s="33" t="inlineStr">
        <is>
          <t>RK-ABC25-A</t>
        </is>
      </c>
      <c r="B383" s="33" t="inlineStr">
        <is>
          <t>FL_MAT_ABC_25kg</t>
        </is>
      </c>
      <c r="C383" s="33" t="inlineStr">
        <is>
          <t>Extintor ABC 25 kg sobre ruedas</t>
        </is>
      </c>
      <c r="D383" s="17" t="inlineStr">
        <is>
          <t>A - Extintor descargado (uso o descarga parcial)</t>
        </is>
      </c>
      <c r="E383" s="17" t="inlineStr">
        <is>
          <t>Etiqueta de servicio del recargador (extintor n°, serie, próxima recarga y PH)</t>
        </is>
      </c>
      <c r="F383" s="33" t="n">
        <v>1</v>
      </c>
      <c r="G383" s="33" t="inlineStr">
        <is>
          <t>u</t>
        </is>
      </c>
      <c r="H383" s="17" t="inlineStr">
        <is>
          <t>Nuevo</t>
        </is>
      </c>
      <c r="I383" s="17" t="inlineStr">
        <is>
          <t>IRAM 3517-2:2020 8.3.3 · relevado Suyai/Firegram</t>
        </is>
      </c>
      <c r="J383" s="33" t="inlineStr">
        <is>
          <t>Sí</t>
        </is>
      </c>
      <c r="K383" s="17" t="inlineStr">
        <is>
          <t>Astuprint</t>
        </is>
      </c>
      <c r="L383" s="17" t="inlineStr">
        <is>
          <t>Multilabel Argentina S.A.</t>
        </is>
      </c>
    </row>
    <row r="384">
      <c r="A384" s="33" t="inlineStr">
        <is>
          <t>RK-ABC25-A</t>
        </is>
      </c>
      <c r="B384" s="33" t="inlineStr">
        <is>
          <t>FL_MAT_ABC_25kg</t>
        </is>
      </c>
      <c r="C384" s="33" t="inlineStr">
        <is>
          <t>Extintor ABC 25 kg sobre ruedas</t>
        </is>
      </c>
      <c r="D384" s="17" t="inlineStr">
        <is>
          <t>A - Extintor descargado (uso o descarga parcial)</t>
        </is>
      </c>
      <c r="E384" s="17" t="inlineStr">
        <is>
          <t>Oblea PBA de recarga Ø46 + estampilla precinto 1" × 200 mm válvula-cuerpo</t>
        </is>
      </c>
      <c r="F384" s="33" t="n">
        <v>1</v>
      </c>
      <c r="G384" s="33" t="inlineStr">
        <is>
          <t>u</t>
        </is>
      </c>
      <c r="H384" s="17" t="inlineStr">
        <is>
          <t>Nuevo (venta en PBA)</t>
        </is>
      </c>
      <c r="I384" s="17" t="inlineStr">
        <is>
          <t>IRAM 3517-2:2020 Res. OPDS 522/07</t>
        </is>
      </c>
      <c r="J384" s="33" t="inlineStr">
        <is>
          <t>Sí</t>
        </is>
      </c>
      <c r="K384" s="17" t="inlineStr">
        <is>
          <t>Ministerio de Ambiente PBA (ex OPDS)</t>
        </is>
      </c>
      <c r="L384" s="17" t="inlineStr">
        <is>
          <t>-</t>
        </is>
      </c>
    </row>
    <row r="385">
      <c r="A385" s="33" t="inlineStr">
        <is>
          <t>RK-ABC25-A</t>
        </is>
      </c>
      <c r="B385" s="33" t="inlineStr">
        <is>
          <t>FL_MAT_ABC_25kg</t>
        </is>
      </c>
      <c r="C385" s="33" t="inlineStr">
        <is>
          <t>Extintor ABC 25 kg sobre ruedas</t>
        </is>
      </c>
      <c r="D385" s="17" t="inlineStr">
        <is>
          <t>A - Extintor descargado (uso o descarga parcial)</t>
        </is>
      </c>
      <c r="E385" s="17" t="inlineStr">
        <is>
          <t>Tarjeta de identificación AGC (módulo papel con QR + etiqueta AGC)</t>
        </is>
      </c>
      <c r="F385" s="33" t="n">
        <v>1</v>
      </c>
      <c r="G385" s="33" t="inlineStr">
        <is>
          <t>u</t>
        </is>
      </c>
      <c r="H385" s="17" t="inlineStr">
        <is>
          <t>Nuevo (destino CABA)</t>
        </is>
      </c>
      <c r="I385" s="17" t="inlineStr">
        <is>
          <t>IRAM 3517-2:2020 Ord. 40.473 art. 6 · Res. AGC 32/15</t>
        </is>
      </c>
      <c r="J385" s="33" t="inlineStr">
        <is>
          <t>Sí</t>
        </is>
      </c>
      <c r="K385" s="17" t="inlineStr">
        <is>
          <t>Agencia Gubernamental de Control (CABA)</t>
        </is>
      </c>
      <c r="L385" s="17" t="inlineStr">
        <is>
          <t>-</t>
        </is>
      </c>
    </row>
    <row r="386">
      <c r="A386" s="33" t="inlineStr">
        <is>
          <t>RK-ABC25-A</t>
        </is>
      </c>
      <c r="B386" s="33" t="inlineStr">
        <is>
          <t>FL_MAT_ABC_25kg</t>
        </is>
      </c>
      <c r="C386" s="33" t="inlineStr">
        <is>
          <t>Extintor ABC 25 kg sobre ruedas</t>
        </is>
      </c>
      <c r="D386" s="17" t="inlineStr">
        <is>
          <t>A - Extintor descargado (uso o descarga parcial)</t>
        </is>
      </c>
      <c r="E386" s="17" t="inlineStr">
        <is>
          <t>Tarjeta de identificación DPS de revisión / recarga</t>
        </is>
      </c>
      <c r="F386" s="33" t="n">
        <v>1</v>
      </c>
      <c r="G386" s="33" t="inlineStr">
        <is>
          <t>u</t>
        </is>
      </c>
      <c r="H386" s="17" t="inlineStr">
        <is>
          <t>Nuevo (PBA)</t>
        </is>
      </c>
      <c r="I386" s="17" t="inlineStr">
        <is>
          <t>IRAM 3517-2:2020 Res. 349/07 art. 21</t>
        </is>
      </c>
      <c r="J386" s="33" t="inlineStr">
        <is>
          <t>Sí</t>
        </is>
      </c>
      <c r="K386" s="17" t="inlineStr">
        <is>
          <t>Ministerio de Ambiente PBA (ex OPDS)</t>
        </is>
      </c>
      <c r="L386" s="17" t="inlineStr">
        <is>
          <t>-</t>
        </is>
      </c>
    </row>
    <row r="387">
      <c r="A387" s="33" t="inlineStr">
        <is>
          <t>RK-ABC25-A</t>
        </is>
      </c>
      <c r="B387" s="33" t="inlineStr">
        <is>
          <t>FL_MAT_ABC_25kg</t>
        </is>
      </c>
      <c r="C387" s="33" t="inlineStr">
        <is>
          <t>Extintor ABC 25 kg sobre ruedas</t>
        </is>
      </c>
      <c r="D387" s="17" t="inlineStr">
        <is>
          <t>A - Extintor descargado (uso o descarga parcial)</t>
        </is>
      </c>
      <c r="E387" s="17" t="inlineStr">
        <is>
          <t>Grabado de la fecha del servicio en el tubo de pesca (lápiz vibratorio; en polvo, marcador indeleble)</t>
        </is>
      </c>
      <c r="F387" s="33" t="n">
        <v>1</v>
      </c>
      <c r="G387" s="33" t="inlineStr">
        <is>
          <t>u</t>
        </is>
      </c>
      <c r="H387" s="17" t="inlineStr">
        <is>
          <t>Proceso</t>
        </is>
      </c>
      <c r="I387" s="17" t="inlineStr">
        <is>
          <t>IRAM 3517-2:2020 Res. 349/07 art. 28</t>
        </is>
      </c>
      <c r="J387" s="33" t="inlineStr">
        <is>
          <t>No</t>
        </is>
      </c>
      <c r="K387" s="17" t="n"/>
      <c r="L387" s="17" t="n"/>
    </row>
    <row r="388">
      <c r="A388" s="33" t="inlineStr">
        <is>
          <t>RK-ABC25-A</t>
        </is>
      </c>
      <c r="B388" s="33" t="inlineStr">
        <is>
          <t>FL_MAT_ABC_25kg</t>
        </is>
      </c>
      <c r="C388" s="33" t="inlineStr">
        <is>
          <t>Extintor ABC 25 kg sobre ruedas</t>
        </is>
      </c>
      <c r="D388" s="17" t="inlineStr">
        <is>
          <t>A - Extintor descargado (uso o descarga parcial)</t>
        </is>
      </c>
      <c r="E388" s="17" t="inlineStr">
        <is>
          <t>Si hubo PH: oblea de vencimiento de PH + «PH» y fecha grabados en el tubo de pesca (CO₂: fecha y logo estampados en la ojiva)</t>
        </is>
      </c>
      <c r="F388" s="33" t="n">
        <v>1</v>
      </c>
      <c r="G388" s="33" t="inlineStr">
        <is>
          <t>u</t>
        </is>
      </c>
      <c r="H388" s="17" t="inlineStr">
        <is>
          <t>Proceso</t>
        </is>
      </c>
      <c r="I388" s="17" t="inlineStr">
        <is>
          <t>IRAM 3517-2:2020 Res. 349/07 art. 29 · IRAM 3517-2</t>
        </is>
      </c>
      <c r="J388" s="33" t="inlineStr">
        <is>
          <t>No</t>
        </is>
      </c>
      <c r="K388" s="17" t="n"/>
      <c r="L388" s="17" t="n"/>
    </row>
    <row r="389">
      <c r="A389" s="41" t="inlineStr">
        <is>
          <t>RK-ABC25-A</t>
        </is>
      </c>
      <c r="B389" s="41" t="inlineStr">
        <is>
          <t>FL_MAT_ABC_25kg</t>
        </is>
      </c>
      <c r="C389" s="41" t="inlineStr">
        <is>
          <t>Extintor ABC 25 kg sobre ruedas</t>
        </is>
      </c>
      <c r="D389" s="18" t="inlineStr">
        <is>
          <t>A - Extintor descargado (uso o descarga parcial)</t>
        </is>
      </c>
      <c r="E389" s="18" t="inlineStr">
        <is>
          <t>Junta tórica de asiento del cuello</t>
        </is>
      </c>
      <c r="F389" s="41" t="n">
        <v>1</v>
      </c>
      <c r="G389" s="41" t="inlineStr">
        <is>
          <t>u</t>
        </is>
      </c>
      <c r="H389" s="18" t="inlineStr">
        <is>
          <t>Nuevo (R: cambio sistemático)</t>
        </is>
      </c>
      <c r="I389" s="18" t="inlineStr"/>
      <c r="J389" s="41" t="inlineStr">
        <is>
          <t>Sí</t>
        </is>
      </c>
      <c r="K389" s="18" t="inlineStr">
        <is>
          <t>Argensold</t>
        </is>
      </c>
      <c r="L389" s="18" t="inlineStr">
        <is>
          <t>Matafuegos Iglesias</t>
        </is>
      </c>
    </row>
    <row r="390">
      <c r="A390" s="33" t="inlineStr">
        <is>
          <t>RK-ABC25-A</t>
        </is>
      </c>
      <c r="B390" s="33" t="inlineStr">
        <is>
          <t>FL_MAT_ABC_25kg</t>
        </is>
      </c>
      <c r="C390" s="33" t="inlineStr">
        <is>
          <t>Extintor ABC 25 kg sobre ruedas</t>
        </is>
      </c>
      <c r="D390" s="17" t="inlineStr">
        <is>
          <t>A - Extintor descargado (uso o descarga parcial)</t>
        </is>
      </c>
      <c r="E390" s="17" t="inlineStr">
        <is>
          <t>Gas impulsor N₂</t>
        </is>
      </c>
      <c r="F390" s="33" t="n">
        <v>0.2013</v>
      </c>
      <c r="G390" s="33" t="inlineStr">
        <is>
          <t>kg</t>
        </is>
      </c>
      <c r="H390" s="17" t="inlineStr">
        <is>
          <t>Nuevo</t>
        </is>
      </c>
      <c r="I390" s="17" t="inlineStr">
        <is>
          <t>IRAM 3517-2:2020 9.4.9 tabla 2</t>
        </is>
      </c>
      <c r="J390" s="33" t="inlineStr">
        <is>
          <t>Sí</t>
        </is>
      </c>
      <c r="K390" s="17" t="inlineStr">
        <is>
          <t>Air Liquide Argentina - sucursal Piñeyro</t>
        </is>
      </c>
      <c r="L390" s="17" t="inlineStr">
        <is>
          <t>Gogniat</t>
        </is>
      </c>
    </row>
    <row r="391">
      <c r="A391" s="33" t="inlineStr">
        <is>
          <t>RK-ABC25-B</t>
        </is>
      </c>
      <c r="B391" s="33" t="inlineStr">
        <is>
          <t>FL_MAT_ABC_25kg</t>
        </is>
      </c>
      <c r="C391" s="33" t="inlineStr">
        <is>
          <t>Extintor ABC 25 kg sobre ruedas</t>
        </is>
      </c>
      <c r="D391" s="17" t="inlineStr">
        <is>
          <t>B - Mantenimiento con apertura sin descarga (control interior, PH)</t>
        </is>
      </c>
      <c r="E391" s="17" t="inlineStr">
        <is>
          <t>Polvo químico seco ABC (fosfato monoamónico) recuperado</t>
        </is>
      </c>
      <c r="F391" s="33" t="n">
        <v>24.25</v>
      </c>
      <c r="G391" s="33" t="inlineStr">
        <is>
          <t>kg</t>
        </is>
      </c>
      <c r="H391" s="17" t="inlineStr">
        <is>
          <t>Recuperado en sistema cerrado</t>
        </is>
      </c>
      <c r="I391" s="17" t="inlineStr">
        <is>
          <t>IRAM 3517-2:2020 4.4.1 y) sistema cerrado de recuperación con inspección; 9.9.3 control (puffer IRAM 3672, fusión IRAM 3569 en ABC)</t>
        </is>
      </c>
      <c r="J391" s="33" t="inlineStr">
        <is>
          <t>No</t>
        </is>
      </c>
      <c r="K391" s="17" t="n"/>
      <c r="L391" s="17" t="n"/>
    </row>
    <row r="392">
      <c r="A392" s="41" t="inlineStr">
        <is>
          <t>RK-ABC25-B</t>
        </is>
      </c>
      <c r="B392" s="41" t="inlineStr">
        <is>
          <t>FL_MAT_ABC_25kg</t>
        </is>
      </c>
      <c r="C392" s="41" t="inlineStr">
        <is>
          <t>Extintor ABC 25 kg sobre ruedas</t>
        </is>
      </c>
      <c r="D392" s="18" t="inlineStr">
        <is>
          <t>B - Mantenimiento con apertura sin descarga (control interior, PH)</t>
        </is>
      </c>
      <c r="E392" s="18" t="inlineStr">
        <is>
          <t>Polvo químico seco ABC (fosfato monoamónico) de reposición de mermas</t>
        </is>
      </c>
      <c r="F392" s="41" t="n">
        <v>0.75</v>
      </c>
      <c r="G392" s="41" t="inlineStr">
        <is>
          <t>kg</t>
        </is>
      </c>
      <c r="H392" s="18" t="inlineStr">
        <is>
          <t>Nuevo (R: 3 % de merma)</t>
        </is>
      </c>
      <c r="I392" s="18" t="inlineStr">
        <is>
          <t>Mismo tipo y marca (prohibido mezclar ABC con BC, 9.9.1.6)</t>
        </is>
      </c>
      <c r="J392" s="41" t="inlineStr">
        <is>
          <t>Sí</t>
        </is>
      </c>
      <c r="K392" s="18" t="inlineStr">
        <is>
          <t>DEM S.A. (DEMSA)</t>
        </is>
      </c>
      <c r="L392" s="18" t="inlineStr">
        <is>
          <t>Polvex S.R.L. / Sancibrao</t>
        </is>
      </c>
    </row>
    <row r="393">
      <c r="A393" s="33" t="inlineStr">
        <is>
          <t>RK-ABC25-B</t>
        </is>
      </c>
      <c r="B393" s="33" t="inlineStr">
        <is>
          <t>FL_MAT_ABC_25kg</t>
        </is>
      </c>
      <c r="C393" s="33" t="inlineStr">
        <is>
          <t>Extintor ABC 25 kg sobre ruedas</t>
        </is>
      </c>
      <c r="D393" s="17" t="inlineStr">
        <is>
          <t>B - Mantenimiento con apertura sin descarga (control interior, PH)</t>
        </is>
      </c>
      <c r="E393" s="17" t="inlineStr">
        <is>
          <t>Precinto plástico numerado, color, con nombre del recargador</t>
        </is>
      </c>
      <c r="F393" s="33" t="n">
        <v>1</v>
      </c>
      <c r="G393" s="33" t="inlineStr">
        <is>
          <t>u</t>
        </is>
      </c>
      <c r="H393" s="17" t="inlineStr">
        <is>
          <t>Nuevo</t>
        </is>
      </c>
      <c r="I393" s="17" t="inlineStr">
        <is>
          <t>IRAM 3517-2:2020 9.4.13</t>
        </is>
      </c>
      <c r="J393" s="33" t="inlineStr">
        <is>
          <t>Sí</t>
        </is>
      </c>
      <c r="K393" s="17" t="inlineStr">
        <is>
          <t>SonFuertes (vía Papelera Damián)</t>
        </is>
      </c>
      <c r="L393" s="17" t="inlineStr">
        <is>
          <t>Precinter S.R.L.</t>
        </is>
      </c>
    </row>
    <row r="394">
      <c r="A394" s="33" t="inlineStr">
        <is>
          <t>RK-ABC25-B</t>
        </is>
      </c>
      <c r="B394" s="33" t="inlineStr">
        <is>
          <t>FL_MAT_ABC_25kg</t>
        </is>
      </c>
      <c r="C394" s="33" t="inlineStr">
        <is>
          <t>Extintor ABC 25 kg sobre ruedas</t>
        </is>
      </c>
      <c r="D394" s="17" t="inlineStr">
        <is>
          <t>B - Mantenimiento con apertura sin descarga (control interior, PH)</t>
        </is>
      </c>
      <c r="E394" s="17" t="inlineStr">
        <is>
          <t>Marbete (anillo, color del año)</t>
        </is>
      </c>
      <c r="F394" s="33" t="n">
        <v>1</v>
      </c>
      <c r="G394" s="33" t="inlineStr">
        <is>
          <t>u</t>
        </is>
      </c>
      <c r="H394" s="17" t="inlineStr">
        <is>
          <t>Nuevo</t>
        </is>
      </c>
      <c r="I394" s="17" t="inlineStr">
        <is>
          <t>IRAM 3517-2:2020 9.4.14 · fig. 9 · tabla 4</t>
        </is>
      </c>
      <c r="J394" s="33" t="inlineStr">
        <is>
          <t>Sí</t>
        </is>
      </c>
      <c r="K394" s="17" t="inlineStr">
        <is>
          <t>Astuprint</t>
        </is>
      </c>
      <c r="L394" s="17" t="inlineStr">
        <is>
          <t>Multilabel Argentina S.A.</t>
        </is>
      </c>
    </row>
    <row r="395">
      <c r="A395" s="33" t="inlineStr">
        <is>
          <t>RK-ABC25-B</t>
        </is>
      </c>
      <c r="B395" s="33" t="inlineStr">
        <is>
          <t>FL_MAT_ABC_25kg</t>
        </is>
      </c>
      <c r="C395" s="33" t="inlineStr">
        <is>
          <t>Extintor ABC 25 kg sobre ruedas</t>
        </is>
      </c>
      <c r="D395" s="17" t="inlineStr">
        <is>
          <t>B - Mantenimiento con apertura sin descarga (control interior, PH)</t>
        </is>
      </c>
      <c r="E395" s="17" t="inlineStr">
        <is>
          <t>Etiqueta de servicio del recargador (extintor n°, serie, próxima recarga y PH)</t>
        </is>
      </c>
      <c r="F395" s="33" t="n">
        <v>1</v>
      </c>
      <c r="G395" s="33" t="inlineStr">
        <is>
          <t>u</t>
        </is>
      </c>
      <c r="H395" s="17" t="inlineStr">
        <is>
          <t>Nuevo</t>
        </is>
      </c>
      <c r="I395" s="17" t="inlineStr">
        <is>
          <t>IRAM 3517-2:2020 8.3.3 · relevado Suyai/Firegram</t>
        </is>
      </c>
      <c r="J395" s="33" t="inlineStr">
        <is>
          <t>Sí</t>
        </is>
      </c>
      <c r="K395" s="17" t="inlineStr">
        <is>
          <t>Astuprint</t>
        </is>
      </c>
      <c r="L395" s="17" t="inlineStr">
        <is>
          <t>Multilabel Argentina S.A.</t>
        </is>
      </c>
    </row>
    <row r="396">
      <c r="A396" s="33" t="inlineStr">
        <is>
          <t>RK-ABC25-B</t>
        </is>
      </c>
      <c r="B396" s="33" t="inlineStr">
        <is>
          <t>FL_MAT_ABC_25kg</t>
        </is>
      </c>
      <c r="C396" s="33" t="inlineStr">
        <is>
          <t>Extintor ABC 25 kg sobre ruedas</t>
        </is>
      </c>
      <c r="D396" s="17" t="inlineStr">
        <is>
          <t>B - Mantenimiento con apertura sin descarga (control interior, PH)</t>
        </is>
      </c>
      <c r="E396" s="17" t="inlineStr">
        <is>
          <t>Oblea PBA de recarga Ø46 + estampilla precinto 1" × 200 mm válvula-cuerpo</t>
        </is>
      </c>
      <c r="F396" s="33" t="n">
        <v>1</v>
      </c>
      <c r="G396" s="33" t="inlineStr">
        <is>
          <t>u</t>
        </is>
      </c>
      <c r="H396" s="17" t="inlineStr">
        <is>
          <t>Nuevo (venta en PBA)</t>
        </is>
      </c>
      <c r="I396" s="17" t="inlineStr">
        <is>
          <t>IRAM 3517-2:2020 Res. OPDS 522/07</t>
        </is>
      </c>
      <c r="J396" s="33" t="inlineStr">
        <is>
          <t>Sí</t>
        </is>
      </c>
      <c r="K396" s="17" t="inlineStr">
        <is>
          <t>Ministerio de Ambiente PBA (ex OPDS)</t>
        </is>
      </c>
      <c r="L396" s="17" t="inlineStr">
        <is>
          <t>-</t>
        </is>
      </c>
    </row>
    <row r="397">
      <c r="A397" s="33" t="inlineStr">
        <is>
          <t>RK-ABC25-B</t>
        </is>
      </c>
      <c r="B397" s="33" t="inlineStr">
        <is>
          <t>FL_MAT_ABC_25kg</t>
        </is>
      </c>
      <c r="C397" s="33" t="inlineStr">
        <is>
          <t>Extintor ABC 25 kg sobre ruedas</t>
        </is>
      </c>
      <c r="D397" s="17" t="inlineStr">
        <is>
          <t>B - Mantenimiento con apertura sin descarga (control interior, PH)</t>
        </is>
      </c>
      <c r="E397" s="17" t="inlineStr">
        <is>
          <t>Tarjeta de identificación AGC (módulo papel con QR + etiqueta AGC)</t>
        </is>
      </c>
      <c r="F397" s="33" t="n">
        <v>1</v>
      </c>
      <c r="G397" s="33" t="inlineStr">
        <is>
          <t>u</t>
        </is>
      </c>
      <c r="H397" s="17" t="inlineStr">
        <is>
          <t>Nuevo (destino CABA)</t>
        </is>
      </c>
      <c r="I397" s="17" t="inlineStr">
        <is>
          <t>IRAM 3517-2:2020 Ord. 40.473 art. 6 · Res. AGC 32/15</t>
        </is>
      </c>
      <c r="J397" s="33" t="inlineStr">
        <is>
          <t>Sí</t>
        </is>
      </c>
      <c r="K397" s="17" t="inlineStr">
        <is>
          <t>Agencia Gubernamental de Control (CABA)</t>
        </is>
      </c>
      <c r="L397" s="17" t="inlineStr">
        <is>
          <t>-</t>
        </is>
      </c>
    </row>
    <row r="398">
      <c r="A398" s="33" t="inlineStr">
        <is>
          <t>RK-ABC25-B</t>
        </is>
      </c>
      <c r="B398" s="33" t="inlineStr">
        <is>
          <t>FL_MAT_ABC_25kg</t>
        </is>
      </c>
      <c r="C398" s="33" t="inlineStr">
        <is>
          <t>Extintor ABC 25 kg sobre ruedas</t>
        </is>
      </c>
      <c r="D398" s="17" t="inlineStr">
        <is>
          <t>B - Mantenimiento con apertura sin descarga (control interior, PH)</t>
        </is>
      </c>
      <c r="E398" s="17" t="inlineStr">
        <is>
          <t>Tarjeta de identificación DPS de revisión / recarga</t>
        </is>
      </c>
      <c r="F398" s="33" t="n">
        <v>1</v>
      </c>
      <c r="G398" s="33" t="inlineStr">
        <is>
          <t>u</t>
        </is>
      </c>
      <c r="H398" s="17" t="inlineStr">
        <is>
          <t>Nuevo (PBA)</t>
        </is>
      </c>
      <c r="I398" s="17" t="inlineStr">
        <is>
          <t>IRAM 3517-2:2020 Res. 349/07 art. 21</t>
        </is>
      </c>
      <c r="J398" s="33" t="inlineStr">
        <is>
          <t>Sí</t>
        </is>
      </c>
      <c r="K398" s="17" t="inlineStr">
        <is>
          <t>Ministerio de Ambiente PBA (ex OPDS)</t>
        </is>
      </c>
      <c r="L398" s="17" t="inlineStr">
        <is>
          <t>-</t>
        </is>
      </c>
    </row>
    <row r="399">
      <c r="A399" s="33" t="inlineStr">
        <is>
          <t>RK-ABC25-B</t>
        </is>
      </c>
      <c r="B399" s="33" t="inlineStr">
        <is>
          <t>FL_MAT_ABC_25kg</t>
        </is>
      </c>
      <c r="C399" s="33" t="inlineStr">
        <is>
          <t>Extintor ABC 25 kg sobre ruedas</t>
        </is>
      </c>
      <c r="D399" s="17" t="inlineStr">
        <is>
          <t>B - Mantenimiento con apertura sin descarga (control interior, PH)</t>
        </is>
      </c>
      <c r="E399" s="17" t="inlineStr">
        <is>
          <t>Grabado de la fecha del servicio en el tubo de pesca (lápiz vibratorio; en polvo, marcador indeleble)</t>
        </is>
      </c>
      <c r="F399" s="33" t="n">
        <v>1</v>
      </c>
      <c r="G399" s="33" t="inlineStr">
        <is>
          <t>u</t>
        </is>
      </c>
      <c r="H399" s="17" t="inlineStr">
        <is>
          <t>Proceso</t>
        </is>
      </c>
      <c r="I399" s="17" t="inlineStr">
        <is>
          <t>IRAM 3517-2:2020 Res. 349/07 art. 28</t>
        </is>
      </c>
      <c r="J399" s="33" t="inlineStr">
        <is>
          <t>No</t>
        </is>
      </c>
      <c r="K399" s="17" t="n"/>
      <c r="L399" s="17" t="n"/>
    </row>
    <row r="400">
      <c r="A400" s="33" t="inlineStr">
        <is>
          <t>RK-ABC25-B</t>
        </is>
      </c>
      <c r="B400" s="33" t="inlineStr">
        <is>
          <t>FL_MAT_ABC_25kg</t>
        </is>
      </c>
      <c r="C400" s="33" t="inlineStr">
        <is>
          <t>Extintor ABC 25 kg sobre ruedas</t>
        </is>
      </c>
      <c r="D400" s="17" t="inlineStr">
        <is>
          <t>B - Mantenimiento con apertura sin descarga (control interior, PH)</t>
        </is>
      </c>
      <c r="E400" s="17" t="inlineStr">
        <is>
          <t>Si hubo PH: oblea de vencimiento de PH + «PH» y fecha grabados en el tubo de pesca (CO₂: fecha y logo estampados en la ojiva)</t>
        </is>
      </c>
      <c r="F400" s="33" t="n">
        <v>1</v>
      </c>
      <c r="G400" s="33" t="inlineStr">
        <is>
          <t>u</t>
        </is>
      </c>
      <c r="H400" s="17" t="inlineStr">
        <is>
          <t>Proceso</t>
        </is>
      </c>
      <c r="I400" s="17" t="inlineStr">
        <is>
          <t>IRAM 3517-2:2020 Res. 349/07 art. 29 · IRAM 3517-2</t>
        </is>
      </c>
      <c r="J400" s="33" t="inlineStr">
        <is>
          <t>No</t>
        </is>
      </c>
      <c r="K400" s="17" t="n"/>
      <c r="L400" s="17" t="n"/>
    </row>
    <row r="401">
      <c r="A401" s="41" t="inlineStr">
        <is>
          <t>RK-ABC25-B</t>
        </is>
      </c>
      <c r="B401" s="41" t="inlineStr">
        <is>
          <t>FL_MAT_ABC_25kg</t>
        </is>
      </c>
      <c r="C401" s="41" t="inlineStr">
        <is>
          <t>Extintor ABC 25 kg sobre ruedas</t>
        </is>
      </c>
      <c r="D401" s="18" t="inlineStr">
        <is>
          <t>B - Mantenimiento con apertura sin descarga (control interior, PH)</t>
        </is>
      </c>
      <c r="E401" s="18" t="inlineStr">
        <is>
          <t>Junta tórica de asiento del cuello</t>
        </is>
      </c>
      <c r="F401" s="41" t="n">
        <v>1</v>
      </c>
      <c r="G401" s="41" t="inlineStr">
        <is>
          <t>u</t>
        </is>
      </c>
      <c r="H401" s="18" t="inlineStr">
        <is>
          <t>Nuevo (R: cambio sistemático)</t>
        </is>
      </c>
      <c r="I401" s="18" t="inlineStr"/>
      <c r="J401" s="41" t="inlineStr">
        <is>
          <t>Sí</t>
        </is>
      </c>
      <c r="K401" s="18" t="inlineStr">
        <is>
          <t>Argensold</t>
        </is>
      </c>
      <c r="L401" s="18" t="inlineStr">
        <is>
          <t>Matafuegos Iglesias</t>
        </is>
      </c>
    </row>
    <row r="402">
      <c r="A402" s="33" t="inlineStr">
        <is>
          <t>RK-ABC25-B</t>
        </is>
      </c>
      <c r="B402" s="33" t="inlineStr">
        <is>
          <t>FL_MAT_ABC_25kg</t>
        </is>
      </c>
      <c r="C402" s="33" t="inlineStr">
        <is>
          <t>Extintor ABC 25 kg sobre ruedas</t>
        </is>
      </c>
      <c r="D402" s="17" t="inlineStr">
        <is>
          <t>B - Mantenimiento con apertura sin descarga (control interior, PH)</t>
        </is>
      </c>
      <c r="E402" s="17" t="inlineStr">
        <is>
          <t>Gas impulsor N₂</t>
        </is>
      </c>
      <c r="F402" s="33" t="n">
        <v>0.2013</v>
      </c>
      <c r="G402" s="33" t="inlineStr">
        <is>
          <t>kg</t>
        </is>
      </c>
      <c r="H402" s="17" t="inlineStr">
        <is>
          <t>Nuevo</t>
        </is>
      </c>
      <c r="I402" s="17" t="inlineStr">
        <is>
          <t>IRAM 3517-2:2020 9.4.9 tabla 2</t>
        </is>
      </c>
      <c r="J402" s="33" t="inlineStr">
        <is>
          <t>Sí</t>
        </is>
      </c>
      <c r="K402" s="17" t="inlineStr">
        <is>
          <t>Air Liquide Argentina - sucursal Piñeyro</t>
        </is>
      </c>
      <c r="L402" s="17" t="inlineStr">
        <is>
          <t>Gogniat</t>
        </is>
      </c>
    </row>
    <row r="403">
      <c r="A403" s="33" t="inlineStr">
        <is>
          <t>RK-ABC25-C</t>
        </is>
      </c>
      <c r="B403" s="33" t="inlineStr">
        <is>
          <t>FL_MAT_ABC_25kg</t>
        </is>
      </c>
      <c r="C403" s="33" t="inlineStr">
        <is>
          <t>Extintor ABC 25 kg sobre ruedas</t>
        </is>
      </c>
      <c r="D403" s="17" t="inlineStr">
        <is>
          <t>C - Cambio obligatorio de polvo (versión anterior de la IRAM 3569)</t>
        </is>
      </c>
      <c r="E403" s="17" t="inlineStr">
        <is>
          <t>Polvo químico seco ABC (fosfato monoamónico)</t>
        </is>
      </c>
      <c r="F403" s="33" t="n">
        <v>25</v>
      </c>
      <c r="G403" s="33" t="inlineStr">
        <is>
          <t>kg</t>
        </is>
      </c>
      <c r="H403" s="17" t="inlineStr">
        <is>
          <t>Nuevo 100 %; el viejo va a residuos (RC-IR)</t>
        </is>
      </c>
      <c r="I403" s="17" t="inlineStr">
        <is>
          <t>IRAM 3517-2:2020 9.9.4</t>
        </is>
      </c>
      <c r="J403" s="33" t="inlineStr">
        <is>
          <t>Sí</t>
        </is>
      </c>
      <c r="K403" s="17" t="inlineStr">
        <is>
          <t>DEM S.A. (DEMSA)</t>
        </is>
      </c>
      <c r="L403" s="17" t="inlineStr">
        <is>
          <t>Polvex S.R.L. / Sancibrao</t>
        </is>
      </c>
    </row>
    <row r="404">
      <c r="A404" s="33" t="inlineStr">
        <is>
          <t>RK-ABC25-C</t>
        </is>
      </c>
      <c r="B404" s="33" t="inlineStr">
        <is>
          <t>FL_MAT_ABC_25kg</t>
        </is>
      </c>
      <c r="C404" s="33" t="inlineStr">
        <is>
          <t>Extintor ABC 25 kg sobre ruedas</t>
        </is>
      </c>
      <c r="D404" s="17" t="inlineStr">
        <is>
          <t>C - Cambio obligatorio de polvo (versión anterior de la IRAM 3569)</t>
        </is>
      </c>
      <c r="E404" s="17" t="inlineStr">
        <is>
          <t>Precinto plástico numerado, color, con nombre del recargador</t>
        </is>
      </c>
      <c r="F404" s="33" t="n">
        <v>1</v>
      </c>
      <c r="G404" s="33" t="inlineStr">
        <is>
          <t>u</t>
        </is>
      </c>
      <c r="H404" s="17" t="inlineStr">
        <is>
          <t>Nuevo</t>
        </is>
      </c>
      <c r="I404" s="17" t="inlineStr">
        <is>
          <t>IRAM 3517-2:2020 9.4.13</t>
        </is>
      </c>
      <c r="J404" s="33" t="inlineStr">
        <is>
          <t>Sí</t>
        </is>
      </c>
      <c r="K404" s="17" t="inlineStr">
        <is>
          <t>SonFuertes (vía Papelera Damián)</t>
        </is>
      </c>
      <c r="L404" s="17" t="inlineStr">
        <is>
          <t>Precinter S.R.L.</t>
        </is>
      </c>
    </row>
    <row r="405">
      <c r="A405" s="33" t="inlineStr">
        <is>
          <t>RK-ABC25-C</t>
        </is>
      </c>
      <c r="B405" s="33" t="inlineStr">
        <is>
          <t>FL_MAT_ABC_25kg</t>
        </is>
      </c>
      <c r="C405" s="33" t="inlineStr">
        <is>
          <t>Extintor ABC 25 kg sobre ruedas</t>
        </is>
      </c>
      <c r="D405" s="17" t="inlineStr">
        <is>
          <t>C - Cambio obligatorio de polvo (versión anterior de la IRAM 3569)</t>
        </is>
      </c>
      <c r="E405" s="17" t="inlineStr">
        <is>
          <t>Marbete (anillo, color del año)</t>
        </is>
      </c>
      <c r="F405" s="33" t="n">
        <v>1</v>
      </c>
      <c r="G405" s="33" t="inlineStr">
        <is>
          <t>u</t>
        </is>
      </c>
      <c r="H405" s="17" t="inlineStr">
        <is>
          <t>Nuevo</t>
        </is>
      </c>
      <c r="I405" s="17" t="inlineStr">
        <is>
          <t>IRAM 3517-2:2020 9.4.14 · fig. 9 · tabla 4</t>
        </is>
      </c>
      <c r="J405" s="33" t="inlineStr">
        <is>
          <t>Sí</t>
        </is>
      </c>
      <c r="K405" s="17" t="inlineStr">
        <is>
          <t>Astuprint</t>
        </is>
      </c>
      <c r="L405" s="17" t="inlineStr">
        <is>
          <t>Multilabel Argentina S.A.</t>
        </is>
      </c>
    </row>
    <row r="406">
      <c r="A406" s="33" t="inlineStr">
        <is>
          <t>RK-ABC25-C</t>
        </is>
      </c>
      <c r="B406" s="33" t="inlineStr">
        <is>
          <t>FL_MAT_ABC_25kg</t>
        </is>
      </c>
      <c r="C406" s="33" t="inlineStr">
        <is>
          <t>Extintor ABC 25 kg sobre ruedas</t>
        </is>
      </c>
      <c r="D406" s="17" t="inlineStr">
        <is>
          <t>C - Cambio obligatorio de polvo (versión anterior de la IRAM 3569)</t>
        </is>
      </c>
      <c r="E406" s="17" t="inlineStr">
        <is>
          <t>Etiqueta de servicio del recargador (extintor n°, serie, próxima recarga y PH)</t>
        </is>
      </c>
      <c r="F406" s="33" t="n">
        <v>1</v>
      </c>
      <c r="G406" s="33" t="inlineStr">
        <is>
          <t>u</t>
        </is>
      </c>
      <c r="H406" s="17" t="inlineStr">
        <is>
          <t>Nuevo</t>
        </is>
      </c>
      <c r="I406" s="17" t="inlineStr">
        <is>
          <t>IRAM 3517-2:2020 8.3.3 · relevado Suyai/Firegram</t>
        </is>
      </c>
      <c r="J406" s="33" t="inlineStr">
        <is>
          <t>Sí</t>
        </is>
      </c>
      <c r="K406" s="17" t="inlineStr">
        <is>
          <t>Astuprint</t>
        </is>
      </c>
      <c r="L406" s="17" t="inlineStr">
        <is>
          <t>Multilabel Argentina S.A.</t>
        </is>
      </c>
    </row>
    <row r="407">
      <c r="A407" s="33" t="inlineStr">
        <is>
          <t>RK-ABC25-C</t>
        </is>
      </c>
      <c r="B407" s="33" t="inlineStr">
        <is>
          <t>FL_MAT_ABC_25kg</t>
        </is>
      </c>
      <c r="C407" s="33" t="inlineStr">
        <is>
          <t>Extintor ABC 25 kg sobre ruedas</t>
        </is>
      </c>
      <c r="D407" s="17" t="inlineStr">
        <is>
          <t>C - Cambio obligatorio de polvo (versión anterior de la IRAM 3569)</t>
        </is>
      </c>
      <c r="E407" s="17" t="inlineStr">
        <is>
          <t>Oblea PBA de recarga Ø46 + estampilla precinto 1" × 200 mm válvula-cuerpo</t>
        </is>
      </c>
      <c r="F407" s="33" t="n">
        <v>1</v>
      </c>
      <c r="G407" s="33" t="inlineStr">
        <is>
          <t>u</t>
        </is>
      </c>
      <c r="H407" s="17" t="inlineStr">
        <is>
          <t>Nuevo (venta en PBA)</t>
        </is>
      </c>
      <c r="I407" s="17" t="inlineStr">
        <is>
          <t>IRAM 3517-2:2020 Res. OPDS 522/07</t>
        </is>
      </c>
      <c r="J407" s="33" t="inlineStr">
        <is>
          <t>Sí</t>
        </is>
      </c>
      <c r="K407" s="17" t="inlineStr">
        <is>
          <t>Ministerio de Ambiente PBA (ex OPDS)</t>
        </is>
      </c>
      <c r="L407" s="17" t="inlineStr">
        <is>
          <t>-</t>
        </is>
      </c>
    </row>
    <row r="408">
      <c r="A408" s="33" t="inlineStr">
        <is>
          <t>RK-ABC25-C</t>
        </is>
      </c>
      <c r="B408" s="33" t="inlineStr">
        <is>
          <t>FL_MAT_ABC_25kg</t>
        </is>
      </c>
      <c r="C408" s="33" t="inlineStr">
        <is>
          <t>Extintor ABC 25 kg sobre ruedas</t>
        </is>
      </c>
      <c r="D408" s="17" t="inlineStr">
        <is>
          <t>C - Cambio obligatorio de polvo (versión anterior de la IRAM 3569)</t>
        </is>
      </c>
      <c r="E408" s="17" t="inlineStr">
        <is>
          <t>Tarjeta de identificación AGC (módulo papel con QR + etiqueta AGC)</t>
        </is>
      </c>
      <c r="F408" s="33" t="n">
        <v>1</v>
      </c>
      <c r="G408" s="33" t="inlineStr">
        <is>
          <t>u</t>
        </is>
      </c>
      <c r="H408" s="17" t="inlineStr">
        <is>
          <t>Nuevo (destino CABA)</t>
        </is>
      </c>
      <c r="I408" s="17" t="inlineStr">
        <is>
          <t>IRAM 3517-2:2020 Ord. 40.473 art. 6 · Res. AGC 32/15</t>
        </is>
      </c>
      <c r="J408" s="33" t="inlineStr">
        <is>
          <t>Sí</t>
        </is>
      </c>
      <c r="K408" s="17" t="inlineStr">
        <is>
          <t>Agencia Gubernamental de Control (CABA)</t>
        </is>
      </c>
      <c r="L408" s="17" t="inlineStr">
        <is>
          <t>-</t>
        </is>
      </c>
    </row>
    <row r="409">
      <c r="A409" s="33" t="inlineStr">
        <is>
          <t>RK-ABC25-C</t>
        </is>
      </c>
      <c r="B409" s="33" t="inlineStr">
        <is>
          <t>FL_MAT_ABC_25kg</t>
        </is>
      </c>
      <c r="C409" s="33" t="inlineStr">
        <is>
          <t>Extintor ABC 25 kg sobre ruedas</t>
        </is>
      </c>
      <c r="D409" s="17" t="inlineStr">
        <is>
          <t>C - Cambio obligatorio de polvo (versión anterior de la IRAM 3569)</t>
        </is>
      </c>
      <c r="E409" s="17" t="inlineStr">
        <is>
          <t>Tarjeta de identificación DPS de revisión / recarga</t>
        </is>
      </c>
      <c r="F409" s="33" t="n">
        <v>1</v>
      </c>
      <c r="G409" s="33" t="inlineStr">
        <is>
          <t>u</t>
        </is>
      </c>
      <c r="H409" s="17" t="inlineStr">
        <is>
          <t>Nuevo (PBA)</t>
        </is>
      </c>
      <c r="I409" s="17" t="inlineStr">
        <is>
          <t>IRAM 3517-2:2020 Res. 349/07 art. 21</t>
        </is>
      </c>
      <c r="J409" s="33" t="inlineStr">
        <is>
          <t>Sí</t>
        </is>
      </c>
      <c r="K409" s="17" t="inlineStr">
        <is>
          <t>Ministerio de Ambiente PBA (ex OPDS)</t>
        </is>
      </c>
      <c r="L409" s="17" t="inlineStr">
        <is>
          <t>-</t>
        </is>
      </c>
    </row>
    <row r="410">
      <c r="A410" s="33" t="inlineStr">
        <is>
          <t>RK-ABC25-C</t>
        </is>
      </c>
      <c r="B410" s="33" t="inlineStr">
        <is>
          <t>FL_MAT_ABC_25kg</t>
        </is>
      </c>
      <c r="C410" s="33" t="inlineStr">
        <is>
          <t>Extintor ABC 25 kg sobre ruedas</t>
        </is>
      </c>
      <c r="D410" s="17" t="inlineStr">
        <is>
          <t>C - Cambio obligatorio de polvo (versión anterior de la IRAM 3569)</t>
        </is>
      </c>
      <c r="E410" s="17" t="inlineStr">
        <is>
          <t>Grabado de la fecha del servicio en el tubo de pesca (lápiz vibratorio; en polvo, marcador indeleble)</t>
        </is>
      </c>
      <c r="F410" s="33" t="n">
        <v>1</v>
      </c>
      <c r="G410" s="33" t="inlineStr">
        <is>
          <t>u</t>
        </is>
      </c>
      <c r="H410" s="17" t="inlineStr">
        <is>
          <t>Proceso</t>
        </is>
      </c>
      <c r="I410" s="17" t="inlineStr">
        <is>
          <t>IRAM 3517-2:2020 Res. 349/07 art. 28</t>
        </is>
      </c>
      <c r="J410" s="33" t="inlineStr">
        <is>
          <t>No</t>
        </is>
      </c>
      <c r="K410" s="17" t="n"/>
      <c r="L410" s="17" t="n"/>
    </row>
    <row r="411">
      <c r="A411" s="33" t="inlineStr">
        <is>
          <t>RK-ABC25-C</t>
        </is>
      </c>
      <c r="B411" s="33" t="inlineStr">
        <is>
          <t>FL_MAT_ABC_25kg</t>
        </is>
      </c>
      <c r="C411" s="33" t="inlineStr">
        <is>
          <t>Extintor ABC 25 kg sobre ruedas</t>
        </is>
      </c>
      <c r="D411" s="17" t="inlineStr">
        <is>
          <t>C - Cambio obligatorio de polvo (versión anterior de la IRAM 3569)</t>
        </is>
      </c>
      <c r="E411" s="17" t="inlineStr">
        <is>
          <t>Si hubo PH: oblea de vencimiento de PH + «PH» y fecha grabados en el tubo de pesca (CO₂: fecha y logo estampados en la ojiva)</t>
        </is>
      </c>
      <c r="F411" s="33" t="n">
        <v>1</v>
      </c>
      <c r="G411" s="33" t="inlineStr">
        <is>
          <t>u</t>
        </is>
      </c>
      <c r="H411" s="17" t="inlineStr">
        <is>
          <t>Proceso</t>
        </is>
      </c>
      <c r="I411" s="17" t="inlineStr">
        <is>
          <t>IRAM 3517-2:2020 Res. 349/07 art. 29 · IRAM 3517-2</t>
        </is>
      </c>
      <c r="J411" s="33" t="inlineStr">
        <is>
          <t>No</t>
        </is>
      </c>
      <c r="K411" s="17" t="n"/>
      <c r="L411" s="17" t="n"/>
    </row>
    <row r="412">
      <c r="A412" s="41" t="inlineStr">
        <is>
          <t>RK-ABC25-C</t>
        </is>
      </c>
      <c r="B412" s="41" t="inlineStr">
        <is>
          <t>FL_MAT_ABC_25kg</t>
        </is>
      </c>
      <c r="C412" s="41" t="inlineStr">
        <is>
          <t>Extintor ABC 25 kg sobre ruedas</t>
        </is>
      </c>
      <c r="D412" s="18" t="inlineStr">
        <is>
          <t>C - Cambio obligatorio de polvo (versión anterior de la IRAM 3569)</t>
        </is>
      </c>
      <c r="E412" s="18" t="inlineStr">
        <is>
          <t>Junta tórica de asiento del cuello</t>
        </is>
      </c>
      <c r="F412" s="41" t="n">
        <v>1</v>
      </c>
      <c r="G412" s="41" t="inlineStr">
        <is>
          <t>u</t>
        </is>
      </c>
      <c r="H412" s="18" t="inlineStr">
        <is>
          <t>Nuevo (R: cambio sistemático)</t>
        </is>
      </c>
      <c r="I412" s="18" t="inlineStr"/>
      <c r="J412" s="41" t="inlineStr">
        <is>
          <t>Sí</t>
        </is>
      </c>
      <c r="K412" s="18" t="inlineStr">
        <is>
          <t>Argensold</t>
        </is>
      </c>
      <c r="L412" s="18" t="inlineStr">
        <is>
          <t>Matafuegos Iglesias</t>
        </is>
      </c>
    </row>
    <row r="413">
      <c r="A413" s="33" t="inlineStr">
        <is>
          <t>RK-ABC25-C</t>
        </is>
      </c>
      <c r="B413" s="33" t="inlineStr">
        <is>
          <t>FL_MAT_ABC_25kg</t>
        </is>
      </c>
      <c r="C413" s="33" t="inlineStr">
        <is>
          <t>Extintor ABC 25 kg sobre ruedas</t>
        </is>
      </c>
      <c r="D413" s="17" t="inlineStr">
        <is>
          <t>C - Cambio obligatorio de polvo (versión anterior de la IRAM 3569)</t>
        </is>
      </c>
      <c r="E413" s="17" t="inlineStr">
        <is>
          <t>Gas impulsor N₂</t>
        </is>
      </c>
      <c r="F413" s="33" t="n">
        <v>0.2013</v>
      </c>
      <c r="G413" s="33" t="inlineStr">
        <is>
          <t>kg</t>
        </is>
      </c>
      <c r="H413" s="17" t="inlineStr">
        <is>
          <t>Nuevo</t>
        </is>
      </c>
      <c r="I413" s="17" t="inlineStr">
        <is>
          <t>IRAM 3517-2:2020 9.4.9 tabla 2</t>
        </is>
      </c>
      <c r="J413" s="33" t="inlineStr">
        <is>
          <t>Sí</t>
        </is>
      </c>
      <c r="K413" s="17" t="inlineStr">
        <is>
          <t>Air Liquide Argentina - sucursal Piñeyro</t>
        </is>
      </c>
      <c r="L413" s="17" t="inlineStr">
        <is>
          <t>Gogniat</t>
        </is>
      </c>
    </row>
    <row r="414">
      <c r="A414" s="33" t="inlineStr">
        <is>
          <t>RK-ABC25-I</t>
        </is>
      </c>
      <c r="B414" s="33" t="inlineStr">
        <is>
          <t>FL_MAT_ABC_25kg</t>
        </is>
      </c>
      <c r="C414" s="33" t="inlineStr">
        <is>
          <t>Extintor ABC 25 kg sobre ruedas</t>
        </is>
      </c>
      <c r="D414" s="17" t="inlineStr">
        <is>
          <t>Según inspección (consumo estadístico a definir)</t>
        </is>
      </c>
      <c r="E414" s="17" t="inlineStr">
        <is>
          <t>Manómetro / manguera / tobera / kit de válvula</t>
        </is>
      </c>
      <c r="F414" s="33" t="inlineStr">
        <is>
          <t>-</t>
        </is>
      </c>
      <c r="G414" s="33" t="inlineStr">
        <is>
          <t>u</t>
        </is>
      </c>
      <c r="H414" s="17" t="inlineStr">
        <is>
          <t>Recambio sólo si falla</t>
        </is>
      </c>
      <c r="I414" s="17" t="inlineStr">
        <is>
          <t>IRAM 3517-2:2020 9.4.11 (cada manguera vuelve a su extintor)</t>
        </is>
      </c>
      <c r="J414" s="33" t="inlineStr">
        <is>
          <t>Sí</t>
        </is>
      </c>
      <c r="K414" s="17" t="inlineStr">
        <is>
          <t>Polvex S.R.L. / Sancibrao</t>
        </is>
      </c>
      <c r="L414" s="17" t="inlineStr">
        <is>
          <t>Yukon / MatafuegosYa S.R.L.</t>
        </is>
      </c>
    </row>
    <row r="415">
      <c r="A415" s="33" t="inlineStr">
        <is>
          <t>RK-ABC50-A</t>
        </is>
      </c>
      <c r="B415" s="33" t="inlineStr">
        <is>
          <t>FL_MAT_ABC_50kg</t>
        </is>
      </c>
      <c r="C415" s="33" t="inlineStr">
        <is>
          <t>Extintor ABC 50 kg sobre ruedas</t>
        </is>
      </c>
      <c r="D415" s="17" t="inlineStr">
        <is>
          <t>A - Extintor descargado (uso o descarga parcial)</t>
        </is>
      </c>
      <c r="E415" s="17" t="inlineStr">
        <is>
          <t>Polvo químico seco ABC (fosfato monoamónico)</t>
        </is>
      </c>
      <c r="F415" s="33" t="n">
        <v>50</v>
      </c>
      <c r="G415" s="33" t="inlineStr">
        <is>
          <t>kg</t>
        </is>
      </c>
      <c r="H415" s="17" t="inlineStr">
        <is>
          <t>Nuevo 100 %</t>
        </is>
      </c>
      <c r="I415" s="17" t="inlineStr">
        <is>
          <t>IRAM 3517-2:2020 9.9.1.4: el polvo de un extintor accionado no se reutiliza</t>
        </is>
      </c>
      <c r="J415" s="33" t="inlineStr">
        <is>
          <t>Sí</t>
        </is>
      </c>
      <c r="K415" s="17" t="inlineStr">
        <is>
          <t>DEM S.A. (DEMSA)</t>
        </is>
      </c>
      <c r="L415" s="17" t="inlineStr">
        <is>
          <t>Polvex S.R.L. / Sancibrao</t>
        </is>
      </c>
    </row>
    <row r="416">
      <c r="A416" s="33" t="inlineStr">
        <is>
          <t>RK-ABC50-A</t>
        </is>
      </c>
      <c r="B416" s="33" t="inlineStr">
        <is>
          <t>FL_MAT_ABC_50kg</t>
        </is>
      </c>
      <c r="C416" s="33" t="inlineStr">
        <is>
          <t>Extintor ABC 50 kg sobre ruedas</t>
        </is>
      </c>
      <c r="D416" s="17" t="inlineStr">
        <is>
          <t>A - Extintor descargado (uso o descarga parcial)</t>
        </is>
      </c>
      <c r="E416" s="17" t="inlineStr">
        <is>
          <t>Precinto plástico numerado, color, con nombre del recargador</t>
        </is>
      </c>
      <c r="F416" s="33" t="n">
        <v>1</v>
      </c>
      <c r="G416" s="33" t="inlineStr">
        <is>
          <t>u</t>
        </is>
      </c>
      <c r="H416" s="17" t="inlineStr">
        <is>
          <t>Nuevo</t>
        </is>
      </c>
      <c r="I416" s="17" t="inlineStr">
        <is>
          <t>IRAM 3517-2:2020 9.4.13</t>
        </is>
      </c>
      <c r="J416" s="33" t="inlineStr">
        <is>
          <t>Sí</t>
        </is>
      </c>
      <c r="K416" s="17" t="inlineStr">
        <is>
          <t>SonFuertes (vía Papelera Damián)</t>
        </is>
      </c>
      <c r="L416" s="17" t="inlineStr">
        <is>
          <t>Precinter S.R.L.</t>
        </is>
      </c>
    </row>
    <row r="417">
      <c r="A417" s="33" t="inlineStr">
        <is>
          <t>RK-ABC50-A</t>
        </is>
      </c>
      <c r="B417" s="33" t="inlineStr">
        <is>
          <t>FL_MAT_ABC_50kg</t>
        </is>
      </c>
      <c r="C417" s="33" t="inlineStr">
        <is>
          <t>Extintor ABC 50 kg sobre ruedas</t>
        </is>
      </c>
      <c r="D417" s="17" t="inlineStr">
        <is>
          <t>A - Extintor descargado (uso o descarga parcial)</t>
        </is>
      </c>
      <c r="E417" s="17" t="inlineStr">
        <is>
          <t>Marbete (anillo, color del año)</t>
        </is>
      </c>
      <c r="F417" s="33" t="n">
        <v>1</v>
      </c>
      <c r="G417" s="33" t="inlineStr">
        <is>
          <t>u</t>
        </is>
      </c>
      <c r="H417" s="17" t="inlineStr">
        <is>
          <t>Nuevo</t>
        </is>
      </c>
      <c r="I417" s="17" t="inlineStr">
        <is>
          <t>IRAM 3517-2:2020 9.4.14 · fig. 9 · tabla 4</t>
        </is>
      </c>
      <c r="J417" s="33" t="inlineStr">
        <is>
          <t>Sí</t>
        </is>
      </c>
      <c r="K417" s="17" t="inlineStr">
        <is>
          <t>Astuprint</t>
        </is>
      </c>
      <c r="L417" s="17" t="inlineStr">
        <is>
          <t>Multilabel Argentina S.A.</t>
        </is>
      </c>
    </row>
    <row r="418">
      <c r="A418" s="33" t="inlineStr">
        <is>
          <t>RK-ABC50-A</t>
        </is>
      </c>
      <c r="B418" s="33" t="inlineStr">
        <is>
          <t>FL_MAT_ABC_50kg</t>
        </is>
      </c>
      <c r="C418" s="33" t="inlineStr">
        <is>
          <t>Extintor ABC 50 kg sobre ruedas</t>
        </is>
      </c>
      <c r="D418" s="17" t="inlineStr">
        <is>
          <t>A - Extintor descargado (uso o descarga parcial)</t>
        </is>
      </c>
      <c r="E418" s="17" t="inlineStr">
        <is>
          <t>Etiqueta de servicio del recargador (extintor n°, serie, próxima recarga y PH)</t>
        </is>
      </c>
      <c r="F418" s="33" t="n">
        <v>1</v>
      </c>
      <c r="G418" s="33" t="inlineStr">
        <is>
          <t>u</t>
        </is>
      </c>
      <c r="H418" s="17" t="inlineStr">
        <is>
          <t>Nuevo</t>
        </is>
      </c>
      <c r="I418" s="17" t="inlineStr">
        <is>
          <t>IRAM 3517-2:2020 8.3.3 · relevado Suyai/Firegram</t>
        </is>
      </c>
      <c r="J418" s="33" t="inlineStr">
        <is>
          <t>Sí</t>
        </is>
      </c>
      <c r="K418" s="17" t="inlineStr">
        <is>
          <t>Astuprint</t>
        </is>
      </c>
      <c r="L418" s="17" t="inlineStr">
        <is>
          <t>Multilabel Argentina S.A.</t>
        </is>
      </c>
    </row>
    <row r="419">
      <c r="A419" s="33" t="inlineStr">
        <is>
          <t>RK-ABC50-A</t>
        </is>
      </c>
      <c r="B419" s="33" t="inlineStr">
        <is>
          <t>FL_MAT_ABC_50kg</t>
        </is>
      </c>
      <c r="C419" s="33" t="inlineStr">
        <is>
          <t>Extintor ABC 50 kg sobre ruedas</t>
        </is>
      </c>
      <c r="D419" s="17" t="inlineStr">
        <is>
          <t>A - Extintor descargado (uso o descarga parcial)</t>
        </is>
      </c>
      <c r="E419" s="17" t="inlineStr">
        <is>
          <t>Oblea PBA de recarga Ø46 + estampilla precinto 1" × 200 mm válvula-cuerpo</t>
        </is>
      </c>
      <c r="F419" s="33" t="n">
        <v>1</v>
      </c>
      <c r="G419" s="33" t="inlineStr">
        <is>
          <t>u</t>
        </is>
      </c>
      <c r="H419" s="17" t="inlineStr">
        <is>
          <t>Nuevo (venta en PBA)</t>
        </is>
      </c>
      <c r="I419" s="17" t="inlineStr">
        <is>
          <t>IRAM 3517-2:2020 Res. OPDS 522/07</t>
        </is>
      </c>
      <c r="J419" s="33" t="inlineStr">
        <is>
          <t>Sí</t>
        </is>
      </c>
      <c r="K419" s="17" t="inlineStr">
        <is>
          <t>Ministerio de Ambiente PBA (ex OPDS)</t>
        </is>
      </c>
      <c r="L419" s="17" t="inlineStr">
        <is>
          <t>-</t>
        </is>
      </c>
    </row>
    <row r="420">
      <c r="A420" s="33" t="inlineStr">
        <is>
          <t>RK-ABC50-A</t>
        </is>
      </c>
      <c r="B420" s="33" t="inlineStr">
        <is>
          <t>FL_MAT_ABC_50kg</t>
        </is>
      </c>
      <c r="C420" s="33" t="inlineStr">
        <is>
          <t>Extintor ABC 50 kg sobre ruedas</t>
        </is>
      </c>
      <c r="D420" s="17" t="inlineStr">
        <is>
          <t>A - Extintor descargado (uso o descarga parcial)</t>
        </is>
      </c>
      <c r="E420" s="17" t="inlineStr">
        <is>
          <t>Tarjeta de identificación AGC (módulo papel con QR + etiqueta AGC)</t>
        </is>
      </c>
      <c r="F420" s="33" t="n">
        <v>1</v>
      </c>
      <c r="G420" s="33" t="inlineStr">
        <is>
          <t>u</t>
        </is>
      </c>
      <c r="H420" s="17" t="inlineStr">
        <is>
          <t>Nuevo (destino CABA)</t>
        </is>
      </c>
      <c r="I420" s="17" t="inlineStr">
        <is>
          <t>IRAM 3517-2:2020 Ord. 40.473 art. 6 · Res. AGC 32/15</t>
        </is>
      </c>
      <c r="J420" s="33" t="inlineStr">
        <is>
          <t>Sí</t>
        </is>
      </c>
      <c r="K420" s="17" t="inlineStr">
        <is>
          <t>Agencia Gubernamental de Control (CABA)</t>
        </is>
      </c>
      <c r="L420" s="17" t="inlineStr">
        <is>
          <t>-</t>
        </is>
      </c>
    </row>
    <row r="421">
      <c r="A421" s="33" t="inlineStr">
        <is>
          <t>RK-ABC50-A</t>
        </is>
      </c>
      <c r="B421" s="33" t="inlineStr">
        <is>
          <t>FL_MAT_ABC_50kg</t>
        </is>
      </c>
      <c r="C421" s="33" t="inlineStr">
        <is>
          <t>Extintor ABC 50 kg sobre ruedas</t>
        </is>
      </c>
      <c r="D421" s="17" t="inlineStr">
        <is>
          <t>A - Extintor descargado (uso o descarga parcial)</t>
        </is>
      </c>
      <c r="E421" s="17" t="inlineStr">
        <is>
          <t>Tarjeta de identificación DPS de revisión / recarga</t>
        </is>
      </c>
      <c r="F421" s="33" t="n">
        <v>1</v>
      </c>
      <c r="G421" s="33" t="inlineStr">
        <is>
          <t>u</t>
        </is>
      </c>
      <c r="H421" s="17" t="inlineStr">
        <is>
          <t>Nuevo (PBA)</t>
        </is>
      </c>
      <c r="I421" s="17" t="inlineStr">
        <is>
          <t>IRAM 3517-2:2020 Res. 349/07 art. 21</t>
        </is>
      </c>
      <c r="J421" s="33" t="inlineStr">
        <is>
          <t>Sí</t>
        </is>
      </c>
      <c r="K421" s="17" t="inlineStr">
        <is>
          <t>Ministerio de Ambiente PBA (ex OPDS)</t>
        </is>
      </c>
      <c r="L421" s="17" t="inlineStr">
        <is>
          <t>-</t>
        </is>
      </c>
    </row>
    <row r="422">
      <c r="A422" s="33" t="inlineStr">
        <is>
          <t>RK-ABC50-A</t>
        </is>
      </c>
      <c r="B422" s="33" t="inlineStr">
        <is>
          <t>FL_MAT_ABC_50kg</t>
        </is>
      </c>
      <c r="C422" s="33" t="inlineStr">
        <is>
          <t>Extintor ABC 50 kg sobre ruedas</t>
        </is>
      </c>
      <c r="D422" s="17" t="inlineStr">
        <is>
          <t>A - Extintor descargado (uso o descarga parcial)</t>
        </is>
      </c>
      <c r="E422" s="17" t="inlineStr">
        <is>
          <t>Grabado de la fecha del servicio en el tubo de pesca (lápiz vibratorio; en polvo, marcador indeleble)</t>
        </is>
      </c>
      <c r="F422" s="33" t="n">
        <v>1</v>
      </c>
      <c r="G422" s="33" t="inlineStr">
        <is>
          <t>u</t>
        </is>
      </c>
      <c r="H422" s="17" t="inlineStr">
        <is>
          <t>Proceso</t>
        </is>
      </c>
      <c r="I422" s="17" t="inlineStr">
        <is>
          <t>IRAM 3517-2:2020 Res. 349/07 art. 28</t>
        </is>
      </c>
      <c r="J422" s="33" t="inlineStr">
        <is>
          <t>No</t>
        </is>
      </c>
      <c r="K422" s="17" t="n"/>
      <c r="L422" s="17" t="n"/>
    </row>
    <row r="423">
      <c r="A423" s="33" t="inlineStr">
        <is>
          <t>RK-ABC50-A</t>
        </is>
      </c>
      <c r="B423" s="33" t="inlineStr">
        <is>
          <t>FL_MAT_ABC_50kg</t>
        </is>
      </c>
      <c r="C423" s="33" t="inlineStr">
        <is>
          <t>Extintor ABC 50 kg sobre ruedas</t>
        </is>
      </c>
      <c r="D423" s="17" t="inlineStr">
        <is>
          <t>A - Extintor descargado (uso o descarga parcial)</t>
        </is>
      </c>
      <c r="E423" s="17" t="inlineStr">
        <is>
          <t>Si hubo PH: oblea de vencimiento de PH + «PH» y fecha grabados en el tubo de pesca (CO₂: fecha y logo estampados en la ojiva)</t>
        </is>
      </c>
      <c r="F423" s="33" t="n">
        <v>1</v>
      </c>
      <c r="G423" s="33" t="inlineStr">
        <is>
          <t>u</t>
        </is>
      </c>
      <c r="H423" s="17" t="inlineStr">
        <is>
          <t>Proceso</t>
        </is>
      </c>
      <c r="I423" s="17" t="inlineStr">
        <is>
          <t>IRAM 3517-2:2020 Res. 349/07 art. 29 · IRAM 3517-2</t>
        </is>
      </c>
      <c r="J423" s="33" t="inlineStr">
        <is>
          <t>No</t>
        </is>
      </c>
      <c r="K423" s="17" t="n"/>
      <c r="L423" s="17" t="n"/>
    </row>
    <row r="424">
      <c r="A424" s="41" t="inlineStr">
        <is>
          <t>RK-ABC50-A</t>
        </is>
      </c>
      <c r="B424" s="41" t="inlineStr">
        <is>
          <t>FL_MAT_ABC_50kg</t>
        </is>
      </c>
      <c r="C424" s="41" t="inlineStr">
        <is>
          <t>Extintor ABC 50 kg sobre ruedas</t>
        </is>
      </c>
      <c r="D424" s="18" t="inlineStr">
        <is>
          <t>A - Extintor descargado (uso o descarga parcial)</t>
        </is>
      </c>
      <c r="E424" s="18" t="inlineStr">
        <is>
          <t>Junta tórica de asiento del cuello</t>
        </is>
      </c>
      <c r="F424" s="41" t="n">
        <v>1</v>
      </c>
      <c r="G424" s="41" t="inlineStr">
        <is>
          <t>u</t>
        </is>
      </c>
      <c r="H424" s="18" t="inlineStr">
        <is>
          <t>Nuevo (R: cambio sistemático)</t>
        </is>
      </c>
      <c r="I424" s="18" t="inlineStr"/>
      <c r="J424" s="41" t="inlineStr">
        <is>
          <t>Sí</t>
        </is>
      </c>
      <c r="K424" s="18" t="inlineStr">
        <is>
          <t>Argensold</t>
        </is>
      </c>
      <c r="L424" s="18" t="inlineStr">
        <is>
          <t>Matafuegos Iglesias</t>
        </is>
      </c>
    </row>
    <row r="425">
      <c r="A425" s="33" t="inlineStr">
        <is>
          <t>RK-ABC50-A</t>
        </is>
      </c>
      <c r="B425" s="33" t="inlineStr">
        <is>
          <t>FL_MAT_ABC_50kg</t>
        </is>
      </c>
      <c r="C425" s="33" t="inlineStr">
        <is>
          <t>Extintor ABC 50 kg sobre ruedas</t>
        </is>
      </c>
      <c r="D425" s="17" t="inlineStr">
        <is>
          <t>A - Extintor descargado (uso o descarga parcial)</t>
        </is>
      </c>
      <c r="E425" s="17" t="inlineStr">
        <is>
          <t>Gas impulsor N₂</t>
        </is>
      </c>
      <c r="F425" s="33" t="n">
        <v>0.2819</v>
      </c>
      <c r="G425" s="33" t="inlineStr">
        <is>
          <t>kg</t>
        </is>
      </c>
      <c r="H425" s="17" t="inlineStr">
        <is>
          <t>Nuevo</t>
        </is>
      </c>
      <c r="I425" s="17" t="inlineStr">
        <is>
          <t>IRAM 3517-2:2020 9.4.9 tabla 2</t>
        </is>
      </c>
      <c r="J425" s="33" t="inlineStr">
        <is>
          <t>Sí</t>
        </is>
      </c>
      <c r="K425" s="17" t="inlineStr">
        <is>
          <t>Air Liquide Argentina - sucursal Piñeyro</t>
        </is>
      </c>
      <c r="L425" s="17" t="inlineStr">
        <is>
          <t>Gogniat</t>
        </is>
      </c>
    </row>
    <row r="426">
      <c r="A426" s="33" t="inlineStr">
        <is>
          <t>RK-ABC50-B</t>
        </is>
      </c>
      <c r="B426" s="33" t="inlineStr">
        <is>
          <t>FL_MAT_ABC_50kg</t>
        </is>
      </c>
      <c r="C426" s="33" t="inlineStr">
        <is>
          <t>Extintor ABC 50 kg sobre ruedas</t>
        </is>
      </c>
      <c r="D426" s="17" t="inlineStr">
        <is>
          <t>B - Mantenimiento con apertura sin descarga (control interior, PH)</t>
        </is>
      </c>
      <c r="E426" s="17" t="inlineStr">
        <is>
          <t>Polvo químico seco ABC (fosfato monoamónico) recuperado</t>
        </is>
      </c>
      <c r="F426" s="33" t="n">
        <v>48.5</v>
      </c>
      <c r="G426" s="33" t="inlineStr">
        <is>
          <t>kg</t>
        </is>
      </c>
      <c r="H426" s="17" t="inlineStr">
        <is>
          <t>Recuperado en sistema cerrado</t>
        </is>
      </c>
      <c r="I426" s="17" t="inlineStr">
        <is>
          <t>IRAM 3517-2:2020 4.4.1 y) sistema cerrado de recuperación con inspección; 9.9.3 control (puffer IRAM 3672, fusión IRAM 3569 en ABC)</t>
        </is>
      </c>
      <c r="J426" s="33" t="inlineStr">
        <is>
          <t>No</t>
        </is>
      </c>
      <c r="K426" s="17" t="n"/>
      <c r="L426" s="17" t="n"/>
    </row>
    <row r="427">
      <c r="A427" s="41" t="inlineStr">
        <is>
          <t>RK-ABC50-B</t>
        </is>
      </c>
      <c r="B427" s="41" t="inlineStr">
        <is>
          <t>FL_MAT_ABC_50kg</t>
        </is>
      </c>
      <c r="C427" s="41" t="inlineStr">
        <is>
          <t>Extintor ABC 50 kg sobre ruedas</t>
        </is>
      </c>
      <c r="D427" s="18" t="inlineStr">
        <is>
          <t>B - Mantenimiento con apertura sin descarga (control interior, PH)</t>
        </is>
      </c>
      <c r="E427" s="18" t="inlineStr">
        <is>
          <t>Polvo químico seco ABC (fosfato monoamónico) de reposición de mermas</t>
        </is>
      </c>
      <c r="F427" s="41" t="n">
        <v>1.5</v>
      </c>
      <c r="G427" s="41" t="inlineStr">
        <is>
          <t>kg</t>
        </is>
      </c>
      <c r="H427" s="18" t="inlineStr">
        <is>
          <t>Nuevo (R: 3 % de merma)</t>
        </is>
      </c>
      <c r="I427" s="18" t="inlineStr">
        <is>
          <t>Mismo tipo y marca (prohibido mezclar ABC con BC, 9.9.1.6)</t>
        </is>
      </c>
      <c r="J427" s="41" t="inlineStr">
        <is>
          <t>Sí</t>
        </is>
      </c>
      <c r="K427" s="18" t="inlineStr">
        <is>
          <t>DEM S.A. (DEMSA)</t>
        </is>
      </c>
      <c r="L427" s="18" t="inlineStr">
        <is>
          <t>Polvex S.R.L. / Sancibrao</t>
        </is>
      </c>
    </row>
    <row r="428">
      <c r="A428" s="33" t="inlineStr">
        <is>
          <t>RK-ABC50-B</t>
        </is>
      </c>
      <c r="B428" s="33" t="inlineStr">
        <is>
          <t>FL_MAT_ABC_50kg</t>
        </is>
      </c>
      <c r="C428" s="33" t="inlineStr">
        <is>
          <t>Extintor ABC 50 kg sobre ruedas</t>
        </is>
      </c>
      <c r="D428" s="17" t="inlineStr">
        <is>
          <t>B - Mantenimiento con apertura sin descarga (control interior, PH)</t>
        </is>
      </c>
      <c r="E428" s="17" t="inlineStr">
        <is>
          <t>Precinto plástico numerado, color, con nombre del recargador</t>
        </is>
      </c>
      <c r="F428" s="33" t="n">
        <v>1</v>
      </c>
      <c r="G428" s="33" t="inlineStr">
        <is>
          <t>u</t>
        </is>
      </c>
      <c r="H428" s="17" t="inlineStr">
        <is>
          <t>Nuevo</t>
        </is>
      </c>
      <c r="I428" s="17" t="inlineStr">
        <is>
          <t>IRAM 3517-2:2020 9.4.13</t>
        </is>
      </c>
      <c r="J428" s="33" t="inlineStr">
        <is>
          <t>Sí</t>
        </is>
      </c>
      <c r="K428" s="17" t="inlineStr">
        <is>
          <t>SonFuertes (vía Papelera Damián)</t>
        </is>
      </c>
      <c r="L428" s="17" t="inlineStr">
        <is>
          <t>Precinter S.R.L.</t>
        </is>
      </c>
    </row>
    <row r="429">
      <c r="A429" s="33" t="inlineStr">
        <is>
          <t>RK-ABC50-B</t>
        </is>
      </c>
      <c r="B429" s="33" t="inlineStr">
        <is>
          <t>FL_MAT_ABC_50kg</t>
        </is>
      </c>
      <c r="C429" s="33" t="inlineStr">
        <is>
          <t>Extintor ABC 50 kg sobre ruedas</t>
        </is>
      </c>
      <c r="D429" s="17" t="inlineStr">
        <is>
          <t>B - Mantenimiento con apertura sin descarga (control interior, PH)</t>
        </is>
      </c>
      <c r="E429" s="17" t="inlineStr">
        <is>
          <t>Marbete (anillo, color del año)</t>
        </is>
      </c>
      <c r="F429" s="33" t="n">
        <v>1</v>
      </c>
      <c r="G429" s="33" t="inlineStr">
        <is>
          <t>u</t>
        </is>
      </c>
      <c r="H429" s="17" t="inlineStr">
        <is>
          <t>Nuevo</t>
        </is>
      </c>
      <c r="I429" s="17" t="inlineStr">
        <is>
          <t>IRAM 3517-2:2020 9.4.14 · fig. 9 · tabla 4</t>
        </is>
      </c>
      <c r="J429" s="33" t="inlineStr">
        <is>
          <t>Sí</t>
        </is>
      </c>
      <c r="K429" s="17" t="inlineStr">
        <is>
          <t>Astuprint</t>
        </is>
      </c>
      <c r="L429" s="17" t="inlineStr">
        <is>
          <t>Multilabel Argentina S.A.</t>
        </is>
      </c>
    </row>
    <row r="430">
      <c r="A430" s="33" t="inlineStr">
        <is>
          <t>RK-ABC50-B</t>
        </is>
      </c>
      <c r="B430" s="33" t="inlineStr">
        <is>
          <t>FL_MAT_ABC_50kg</t>
        </is>
      </c>
      <c r="C430" s="33" t="inlineStr">
        <is>
          <t>Extintor ABC 50 kg sobre ruedas</t>
        </is>
      </c>
      <c r="D430" s="17" t="inlineStr">
        <is>
          <t>B - Mantenimiento con apertura sin descarga (control interior, PH)</t>
        </is>
      </c>
      <c r="E430" s="17" t="inlineStr">
        <is>
          <t>Etiqueta de servicio del recargador (extintor n°, serie, próxima recarga y PH)</t>
        </is>
      </c>
      <c r="F430" s="33" t="n">
        <v>1</v>
      </c>
      <c r="G430" s="33" t="inlineStr">
        <is>
          <t>u</t>
        </is>
      </c>
      <c r="H430" s="17" t="inlineStr">
        <is>
          <t>Nuevo</t>
        </is>
      </c>
      <c r="I430" s="17" t="inlineStr">
        <is>
          <t>IRAM 3517-2:2020 8.3.3 · relevado Suyai/Firegram</t>
        </is>
      </c>
      <c r="J430" s="33" t="inlineStr">
        <is>
          <t>Sí</t>
        </is>
      </c>
      <c r="K430" s="17" t="inlineStr">
        <is>
          <t>Astuprint</t>
        </is>
      </c>
      <c r="L430" s="17" t="inlineStr">
        <is>
          <t>Multilabel Argentina S.A.</t>
        </is>
      </c>
    </row>
    <row r="431">
      <c r="A431" s="33" t="inlineStr">
        <is>
          <t>RK-ABC50-B</t>
        </is>
      </c>
      <c r="B431" s="33" t="inlineStr">
        <is>
          <t>FL_MAT_ABC_50kg</t>
        </is>
      </c>
      <c r="C431" s="33" t="inlineStr">
        <is>
          <t>Extintor ABC 50 kg sobre ruedas</t>
        </is>
      </c>
      <c r="D431" s="17" t="inlineStr">
        <is>
          <t>B - Mantenimiento con apertura sin descarga (control interior, PH)</t>
        </is>
      </c>
      <c r="E431" s="17" t="inlineStr">
        <is>
          <t>Oblea PBA de recarga Ø46 + estampilla precinto 1" × 200 mm válvula-cuerpo</t>
        </is>
      </c>
      <c r="F431" s="33" t="n">
        <v>1</v>
      </c>
      <c r="G431" s="33" t="inlineStr">
        <is>
          <t>u</t>
        </is>
      </c>
      <c r="H431" s="17" t="inlineStr">
        <is>
          <t>Nuevo (venta en PBA)</t>
        </is>
      </c>
      <c r="I431" s="17" t="inlineStr">
        <is>
          <t>IRAM 3517-2:2020 Res. OPDS 522/07</t>
        </is>
      </c>
      <c r="J431" s="33" t="inlineStr">
        <is>
          <t>Sí</t>
        </is>
      </c>
      <c r="K431" s="17" t="inlineStr">
        <is>
          <t>Ministerio de Ambiente PBA (ex OPDS)</t>
        </is>
      </c>
      <c r="L431" s="17" t="inlineStr">
        <is>
          <t>-</t>
        </is>
      </c>
    </row>
    <row r="432">
      <c r="A432" s="33" t="inlineStr">
        <is>
          <t>RK-ABC50-B</t>
        </is>
      </c>
      <c r="B432" s="33" t="inlineStr">
        <is>
          <t>FL_MAT_ABC_50kg</t>
        </is>
      </c>
      <c r="C432" s="33" t="inlineStr">
        <is>
          <t>Extintor ABC 50 kg sobre ruedas</t>
        </is>
      </c>
      <c r="D432" s="17" t="inlineStr">
        <is>
          <t>B - Mantenimiento con apertura sin descarga (control interior, PH)</t>
        </is>
      </c>
      <c r="E432" s="17" t="inlineStr">
        <is>
          <t>Tarjeta de identificación AGC (módulo papel con QR + etiqueta AGC)</t>
        </is>
      </c>
      <c r="F432" s="33" t="n">
        <v>1</v>
      </c>
      <c r="G432" s="33" t="inlineStr">
        <is>
          <t>u</t>
        </is>
      </c>
      <c r="H432" s="17" t="inlineStr">
        <is>
          <t>Nuevo (destino CABA)</t>
        </is>
      </c>
      <c r="I432" s="17" t="inlineStr">
        <is>
          <t>IRAM 3517-2:2020 Ord. 40.473 art. 6 · Res. AGC 32/15</t>
        </is>
      </c>
      <c r="J432" s="33" t="inlineStr">
        <is>
          <t>Sí</t>
        </is>
      </c>
      <c r="K432" s="17" t="inlineStr">
        <is>
          <t>Agencia Gubernamental de Control (CABA)</t>
        </is>
      </c>
      <c r="L432" s="17" t="inlineStr">
        <is>
          <t>-</t>
        </is>
      </c>
    </row>
    <row r="433">
      <c r="A433" s="33" t="inlineStr">
        <is>
          <t>RK-ABC50-B</t>
        </is>
      </c>
      <c r="B433" s="33" t="inlineStr">
        <is>
          <t>FL_MAT_ABC_50kg</t>
        </is>
      </c>
      <c r="C433" s="33" t="inlineStr">
        <is>
          <t>Extintor ABC 50 kg sobre ruedas</t>
        </is>
      </c>
      <c r="D433" s="17" t="inlineStr">
        <is>
          <t>B - Mantenimiento con apertura sin descarga (control interior, PH)</t>
        </is>
      </c>
      <c r="E433" s="17" t="inlineStr">
        <is>
          <t>Tarjeta de identificación DPS de revisión / recarga</t>
        </is>
      </c>
      <c r="F433" s="33" t="n">
        <v>1</v>
      </c>
      <c r="G433" s="33" t="inlineStr">
        <is>
          <t>u</t>
        </is>
      </c>
      <c r="H433" s="17" t="inlineStr">
        <is>
          <t>Nuevo (PBA)</t>
        </is>
      </c>
      <c r="I433" s="17" t="inlineStr">
        <is>
          <t>IRAM 3517-2:2020 Res. 349/07 art. 21</t>
        </is>
      </c>
      <c r="J433" s="33" t="inlineStr">
        <is>
          <t>Sí</t>
        </is>
      </c>
      <c r="K433" s="17" t="inlineStr">
        <is>
          <t>Ministerio de Ambiente PBA (ex OPDS)</t>
        </is>
      </c>
      <c r="L433" s="17" t="inlineStr">
        <is>
          <t>-</t>
        </is>
      </c>
    </row>
    <row r="434">
      <c r="A434" s="33" t="inlineStr">
        <is>
          <t>RK-ABC50-B</t>
        </is>
      </c>
      <c r="B434" s="33" t="inlineStr">
        <is>
          <t>FL_MAT_ABC_50kg</t>
        </is>
      </c>
      <c r="C434" s="33" t="inlineStr">
        <is>
          <t>Extintor ABC 50 kg sobre ruedas</t>
        </is>
      </c>
      <c r="D434" s="17" t="inlineStr">
        <is>
          <t>B - Mantenimiento con apertura sin descarga (control interior, PH)</t>
        </is>
      </c>
      <c r="E434" s="17" t="inlineStr">
        <is>
          <t>Grabado de la fecha del servicio en el tubo de pesca (lápiz vibratorio; en polvo, marcador indeleble)</t>
        </is>
      </c>
      <c r="F434" s="33" t="n">
        <v>1</v>
      </c>
      <c r="G434" s="33" t="inlineStr">
        <is>
          <t>u</t>
        </is>
      </c>
      <c r="H434" s="17" t="inlineStr">
        <is>
          <t>Proceso</t>
        </is>
      </c>
      <c r="I434" s="17" t="inlineStr">
        <is>
          <t>IRAM 3517-2:2020 Res. 349/07 art. 28</t>
        </is>
      </c>
      <c r="J434" s="33" t="inlineStr">
        <is>
          <t>No</t>
        </is>
      </c>
      <c r="K434" s="17" t="n"/>
      <c r="L434" s="17" t="n"/>
    </row>
    <row r="435">
      <c r="A435" s="33" t="inlineStr">
        <is>
          <t>RK-ABC50-B</t>
        </is>
      </c>
      <c r="B435" s="33" t="inlineStr">
        <is>
          <t>FL_MAT_ABC_50kg</t>
        </is>
      </c>
      <c r="C435" s="33" t="inlineStr">
        <is>
          <t>Extintor ABC 50 kg sobre ruedas</t>
        </is>
      </c>
      <c r="D435" s="17" t="inlineStr">
        <is>
          <t>B - Mantenimiento con apertura sin descarga (control interior, PH)</t>
        </is>
      </c>
      <c r="E435" s="17" t="inlineStr">
        <is>
          <t>Si hubo PH: oblea de vencimiento de PH + «PH» y fecha grabados en el tubo de pesca (CO₂: fecha y logo estampados en la ojiva)</t>
        </is>
      </c>
      <c r="F435" s="33" t="n">
        <v>1</v>
      </c>
      <c r="G435" s="33" t="inlineStr">
        <is>
          <t>u</t>
        </is>
      </c>
      <c r="H435" s="17" t="inlineStr">
        <is>
          <t>Proceso</t>
        </is>
      </c>
      <c r="I435" s="17" t="inlineStr">
        <is>
          <t>IRAM 3517-2:2020 Res. 349/07 art. 29 · IRAM 3517-2</t>
        </is>
      </c>
      <c r="J435" s="33" t="inlineStr">
        <is>
          <t>No</t>
        </is>
      </c>
      <c r="K435" s="17" t="n"/>
      <c r="L435" s="17" t="n"/>
    </row>
    <row r="436">
      <c r="A436" s="41" t="inlineStr">
        <is>
          <t>RK-ABC50-B</t>
        </is>
      </c>
      <c r="B436" s="41" t="inlineStr">
        <is>
          <t>FL_MAT_ABC_50kg</t>
        </is>
      </c>
      <c r="C436" s="41" t="inlineStr">
        <is>
          <t>Extintor ABC 50 kg sobre ruedas</t>
        </is>
      </c>
      <c r="D436" s="18" t="inlineStr">
        <is>
          <t>B - Mantenimiento con apertura sin descarga (control interior, PH)</t>
        </is>
      </c>
      <c r="E436" s="18" t="inlineStr">
        <is>
          <t>Junta tórica de asiento del cuello</t>
        </is>
      </c>
      <c r="F436" s="41" t="n">
        <v>1</v>
      </c>
      <c r="G436" s="41" t="inlineStr">
        <is>
          <t>u</t>
        </is>
      </c>
      <c r="H436" s="18" t="inlineStr">
        <is>
          <t>Nuevo (R: cambio sistemático)</t>
        </is>
      </c>
      <c r="I436" s="18" t="inlineStr"/>
      <c r="J436" s="41" t="inlineStr">
        <is>
          <t>Sí</t>
        </is>
      </c>
      <c r="K436" s="18" t="inlineStr">
        <is>
          <t>Argensold</t>
        </is>
      </c>
      <c r="L436" s="18" t="inlineStr">
        <is>
          <t>Matafuegos Iglesias</t>
        </is>
      </c>
    </row>
    <row r="437">
      <c r="A437" s="33" t="inlineStr">
        <is>
          <t>RK-ABC50-B</t>
        </is>
      </c>
      <c r="B437" s="33" t="inlineStr">
        <is>
          <t>FL_MAT_ABC_50kg</t>
        </is>
      </c>
      <c r="C437" s="33" t="inlineStr">
        <is>
          <t>Extintor ABC 50 kg sobre ruedas</t>
        </is>
      </c>
      <c r="D437" s="17" t="inlineStr">
        <is>
          <t>B - Mantenimiento con apertura sin descarga (control interior, PH)</t>
        </is>
      </c>
      <c r="E437" s="17" t="inlineStr">
        <is>
          <t>Gas impulsor N₂</t>
        </is>
      </c>
      <c r="F437" s="33" t="n">
        <v>0.2819</v>
      </c>
      <c r="G437" s="33" t="inlineStr">
        <is>
          <t>kg</t>
        </is>
      </c>
      <c r="H437" s="17" t="inlineStr">
        <is>
          <t>Nuevo</t>
        </is>
      </c>
      <c r="I437" s="17" t="inlineStr">
        <is>
          <t>IRAM 3517-2:2020 9.4.9 tabla 2</t>
        </is>
      </c>
      <c r="J437" s="33" t="inlineStr">
        <is>
          <t>Sí</t>
        </is>
      </c>
      <c r="K437" s="17" t="inlineStr">
        <is>
          <t>Air Liquide Argentina - sucursal Piñeyro</t>
        </is>
      </c>
      <c r="L437" s="17" t="inlineStr">
        <is>
          <t>Gogniat</t>
        </is>
      </c>
    </row>
    <row r="438">
      <c r="A438" s="33" t="inlineStr">
        <is>
          <t>RK-ABC50-C</t>
        </is>
      </c>
      <c r="B438" s="33" t="inlineStr">
        <is>
          <t>FL_MAT_ABC_50kg</t>
        </is>
      </c>
      <c r="C438" s="33" t="inlineStr">
        <is>
          <t>Extintor ABC 50 kg sobre ruedas</t>
        </is>
      </c>
      <c r="D438" s="17" t="inlineStr">
        <is>
          <t>C - Cambio obligatorio de polvo (versión anterior de la IRAM 3569)</t>
        </is>
      </c>
      <c r="E438" s="17" t="inlineStr">
        <is>
          <t>Polvo químico seco ABC (fosfato monoamónico)</t>
        </is>
      </c>
      <c r="F438" s="33" t="n">
        <v>50</v>
      </c>
      <c r="G438" s="33" t="inlineStr">
        <is>
          <t>kg</t>
        </is>
      </c>
      <c r="H438" s="17" t="inlineStr">
        <is>
          <t>Nuevo 100 %; el viejo va a residuos (RC-IR)</t>
        </is>
      </c>
      <c r="I438" s="17" t="inlineStr">
        <is>
          <t>IRAM 3517-2:2020 9.9.4</t>
        </is>
      </c>
      <c r="J438" s="33" t="inlineStr">
        <is>
          <t>Sí</t>
        </is>
      </c>
      <c r="K438" s="17" t="inlineStr">
        <is>
          <t>DEM S.A. (DEMSA)</t>
        </is>
      </c>
      <c r="L438" s="17" t="inlineStr">
        <is>
          <t>Polvex S.R.L. / Sancibrao</t>
        </is>
      </c>
    </row>
    <row r="439">
      <c r="A439" s="33" t="inlineStr">
        <is>
          <t>RK-ABC50-C</t>
        </is>
      </c>
      <c r="B439" s="33" t="inlineStr">
        <is>
          <t>FL_MAT_ABC_50kg</t>
        </is>
      </c>
      <c r="C439" s="33" t="inlineStr">
        <is>
          <t>Extintor ABC 50 kg sobre ruedas</t>
        </is>
      </c>
      <c r="D439" s="17" t="inlineStr">
        <is>
          <t>C - Cambio obligatorio de polvo (versión anterior de la IRAM 3569)</t>
        </is>
      </c>
      <c r="E439" s="17" t="inlineStr">
        <is>
          <t>Precinto plástico numerado, color, con nombre del recargador</t>
        </is>
      </c>
      <c r="F439" s="33" t="n">
        <v>1</v>
      </c>
      <c r="G439" s="33" t="inlineStr">
        <is>
          <t>u</t>
        </is>
      </c>
      <c r="H439" s="17" t="inlineStr">
        <is>
          <t>Nuevo</t>
        </is>
      </c>
      <c r="I439" s="17" t="inlineStr">
        <is>
          <t>IRAM 3517-2:2020 9.4.13</t>
        </is>
      </c>
      <c r="J439" s="33" t="inlineStr">
        <is>
          <t>Sí</t>
        </is>
      </c>
      <c r="K439" s="17" t="inlineStr">
        <is>
          <t>SonFuertes (vía Papelera Damián)</t>
        </is>
      </c>
      <c r="L439" s="17" t="inlineStr">
        <is>
          <t>Precinter S.R.L.</t>
        </is>
      </c>
    </row>
    <row r="440">
      <c r="A440" s="33" t="inlineStr">
        <is>
          <t>RK-ABC50-C</t>
        </is>
      </c>
      <c r="B440" s="33" t="inlineStr">
        <is>
          <t>FL_MAT_ABC_50kg</t>
        </is>
      </c>
      <c r="C440" s="33" t="inlineStr">
        <is>
          <t>Extintor ABC 50 kg sobre ruedas</t>
        </is>
      </c>
      <c r="D440" s="17" t="inlineStr">
        <is>
          <t>C - Cambio obligatorio de polvo (versión anterior de la IRAM 3569)</t>
        </is>
      </c>
      <c r="E440" s="17" t="inlineStr">
        <is>
          <t>Marbete (anillo, color del año)</t>
        </is>
      </c>
      <c r="F440" s="33" t="n">
        <v>1</v>
      </c>
      <c r="G440" s="33" t="inlineStr">
        <is>
          <t>u</t>
        </is>
      </c>
      <c r="H440" s="17" t="inlineStr">
        <is>
          <t>Nuevo</t>
        </is>
      </c>
      <c r="I440" s="17" t="inlineStr">
        <is>
          <t>IRAM 3517-2:2020 9.4.14 · fig. 9 · tabla 4</t>
        </is>
      </c>
      <c r="J440" s="33" t="inlineStr">
        <is>
          <t>Sí</t>
        </is>
      </c>
      <c r="K440" s="17" t="inlineStr">
        <is>
          <t>Astuprint</t>
        </is>
      </c>
      <c r="L440" s="17" t="inlineStr">
        <is>
          <t>Multilabel Argentina S.A.</t>
        </is>
      </c>
    </row>
    <row r="441">
      <c r="A441" s="33" t="inlineStr">
        <is>
          <t>RK-ABC50-C</t>
        </is>
      </c>
      <c r="B441" s="33" t="inlineStr">
        <is>
          <t>FL_MAT_ABC_50kg</t>
        </is>
      </c>
      <c r="C441" s="33" t="inlineStr">
        <is>
          <t>Extintor ABC 50 kg sobre ruedas</t>
        </is>
      </c>
      <c r="D441" s="17" t="inlineStr">
        <is>
          <t>C - Cambio obligatorio de polvo (versión anterior de la IRAM 3569)</t>
        </is>
      </c>
      <c r="E441" s="17" t="inlineStr">
        <is>
          <t>Etiqueta de servicio del recargador (extintor n°, serie, próxima recarga y PH)</t>
        </is>
      </c>
      <c r="F441" s="33" t="n">
        <v>1</v>
      </c>
      <c r="G441" s="33" t="inlineStr">
        <is>
          <t>u</t>
        </is>
      </c>
      <c r="H441" s="17" t="inlineStr">
        <is>
          <t>Nuevo</t>
        </is>
      </c>
      <c r="I441" s="17" t="inlineStr">
        <is>
          <t>IRAM 3517-2:2020 8.3.3 · relevado Suyai/Firegram</t>
        </is>
      </c>
      <c r="J441" s="33" t="inlineStr">
        <is>
          <t>Sí</t>
        </is>
      </c>
      <c r="K441" s="17" t="inlineStr">
        <is>
          <t>Astuprint</t>
        </is>
      </c>
      <c r="L441" s="17" t="inlineStr">
        <is>
          <t>Multilabel Argentina S.A.</t>
        </is>
      </c>
    </row>
    <row r="442">
      <c r="A442" s="33" t="inlineStr">
        <is>
          <t>RK-ABC50-C</t>
        </is>
      </c>
      <c r="B442" s="33" t="inlineStr">
        <is>
          <t>FL_MAT_ABC_50kg</t>
        </is>
      </c>
      <c r="C442" s="33" t="inlineStr">
        <is>
          <t>Extintor ABC 50 kg sobre ruedas</t>
        </is>
      </c>
      <c r="D442" s="17" t="inlineStr">
        <is>
          <t>C - Cambio obligatorio de polvo (versión anterior de la IRAM 3569)</t>
        </is>
      </c>
      <c r="E442" s="17" t="inlineStr">
        <is>
          <t>Oblea PBA de recarga Ø46 + estampilla precinto 1" × 200 mm válvula-cuerpo</t>
        </is>
      </c>
      <c r="F442" s="33" t="n">
        <v>1</v>
      </c>
      <c r="G442" s="33" t="inlineStr">
        <is>
          <t>u</t>
        </is>
      </c>
      <c r="H442" s="17" t="inlineStr">
        <is>
          <t>Nuevo (venta en PBA)</t>
        </is>
      </c>
      <c r="I442" s="17" t="inlineStr">
        <is>
          <t>IRAM 3517-2:2020 Res. OPDS 522/07</t>
        </is>
      </c>
      <c r="J442" s="33" t="inlineStr">
        <is>
          <t>Sí</t>
        </is>
      </c>
      <c r="K442" s="17" t="inlineStr">
        <is>
          <t>Ministerio de Ambiente PBA (ex OPDS)</t>
        </is>
      </c>
      <c r="L442" s="17" t="inlineStr">
        <is>
          <t>-</t>
        </is>
      </c>
    </row>
    <row r="443">
      <c r="A443" s="33" t="inlineStr">
        <is>
          <t>RK-ABC50-C</t>
        </is>
      </c>
      <c r="B443" s="33" t="inlineStr">
        <is>
          <t>FL_MAT_ABC_50kg</t>
        </is>
      </c>
      <c r="C443" s="33" t="inlineStr">
        <is>
          <t>Extintor ABC 50 kg sobre ruedas</t>
        </is>
      </c>
      <c r="D443" s="17" t="inlineStr">
        <is>
          <t>C - Cambio obligatorio de polvo (versión anterior de la IRAM 3569)</t>
        </is>
      </c>
      <c r="E443" s="17" t="inlineStr">
        <is>
          <t>Tarjeta de identificación AGC (módulo papel con QR + etiqueta AGC)</t>
        </is>
      </c>
      <c r="F443" s="33" t="n">
        <v>1</v>
      </c>
      <c r="G443" s="33" t="inlineStr">
        <is>
          <t>u</t>
        </is>
      </c>
      <c r="H443" s="17" t="inlineStr">
        <is>
          <t>Nuevo (destino CABA)</t>
        </is>
      </c>
      <c r="I443" s="17" t="inlineStr">
        <is>
          <t>IRAM 3517-2:2020 Ord. 40.473 art. 6 · Res. AGC 32/15</t>
        </is>
      </c>
      <c r="J443" s="33" t="inlineStr">
        <is>
          <t>Sí</t>
        </is>
      </c>
      <c r="K443" s="17" t="inlineStr">
        <is>
          <t>Agencia Gubernamental de Control (CABA)</t>
        </is>
      </c>
      <c r="L443" s="17" t="inlineStr">
        <is>
          <t>-</t>
        </is>
      </c>
    </row>
    <row r="444">
      <c r="A444" s="33" t="inlineStr">
        <is>
          <t>RK-ABC50-C</t>
        </is>
      </c>
      <c r="B444" s="33" t="inlineStr">
        <is>
          <t>FL_MAT_ABC_50kg</t>
        </is>
      </c>
      <c r="C444" s="33" t="inlineStr">
        <is>
          <t>Extintor ABC 50 kg sobre ruedas</t>
        </is>
      </c>
      <c r="D444" s="17" t="inlineStr">
        <is>
          <t>C - Cambio obligatorio de polvo (versión anterior de la IRAM 3569)</t>
        </is>
      </c>
      <c r="E444" s="17" t="inlineStr">
        <is>
          <t>Tarjeta de identificación DPS de revisión / recarga</t>
        </is>
      </c>
      <c r="F444" s="33" t="n">
        <v>1</v>
      </c>
      <c r="G444" s="33" t="inlineStr">
        <is>
          <t>u</t>
        </is>
      </c>
      <c r="H444" s="17" t="inlineStr">
        <is>
          <t>Nuevo (PBA)</t>
        </is>
      </c>
      <c r="I444" s="17" t="inlineStr">
        <is>
          <t>IRAM 3517-2:2020 Res. 349/07 art. 21</t>
        </is>
      </c>
      <c r="J444" s="33" t="inlineStr">
        <is>
          <t>Sí</t>
        </is>
      </c>
      <c r="K444" s="17" t="inlineStr">
        <is>
          <t>Ministerio de Ambiente PBA (ex OPDS)</t>
        </is>
      </c>
      <c r="L444" s="17" t="inlineStr">
        <is>
          <t>-</t>
        </is>
      </c>
    </row>
    <row r="445">
      <c r="A445" s="33" t="inlineStr">
        <is>
          <t>RK-ABC50-C</t>
        </is>
      </c>
      <c r="B445" s="33" t="inlineStr">
        <is>
          <t>FL_MAT_ABC_50kg</t>
        </is>
      </c>
      <c r="C445" s="33" t="inlineStr">
        <is>
          <t>Extintor ABC 50 kg sobre ruedas</t>
        </is>
      </c>
      <c r="D445" s="17" t="inlineStr">
        <is>
          <t>C - Cambio obligatorio de polvo (versión anterior de la IRAM 3569)</t>
        </is>
      </c>
      <c r="E445" s="17" t="inlineStr">
        <is>
          <t>Grabado de la fecha del servicio en el tubo de pesca (lápiz vibratorio; en polvo, marcador indeleble)</t>
        </is>
      </c>
      <c r="F445" s="33" t="n">
        <v>1</v>
      </c>
      <c r="G445" s="33" t="inlineStr">
        <is>
          <t>u</t>
        </is>
      </c>
      <c r="H445" s="17" t="inlineStr">
        <is>
          <t>Proceso</t>
        </is>
      </c>
      <c r="I445" s="17" t="inlineStr">
        <is>
          <t>IRAM 3517-2:2020 Res. 349/07 art. 28</t>
        </is>
      </c>
      <c r="J445" s="33" t="inlineStr">
        <is>
          <t>No</t>
        </is>
      </c>
      <c r="K445" s="17" t="n"/>
      <c r="L445" s="17" t="n"/>
    </row>
    <row r="446">
      <c r="A446" s="33" t="inlineStr">
        <is>
          <t>RK-ABC50-C</t>
        </is>
      </c>
      <c r="B446" s="33" t="inlineStr">
        <is>
          <t>FL_MAT_ABC_50kg</t>
        </is>
      </c>
      <c r="C446" s="33" t="inlineStr">
        <is>
          <t>Extintor ABC 50 kg sobre ruedas</t>
        </is>
      </c>
      <c r="D446" s="17" t="inlineStr">
        <is>
          <t>C - Cambio obligatorio de polvo (versión anterior de la IRAM 3569)</t>
        </is>
      </c>
      <c r="E446" s="17" t="inlineStr">
        <is>
          <t>Si hubo PH: oblea de vencimiento de PH + «PH» y fecha grabados en el tubo de pesca (CO₂: fecha y logo estampados en la ojiva)</t>
        </is>
      </c>
      <c r="F446" s="33" t="n">
        <v>1</v>
      </c>
      <c r="G446" s="33" t="inlineStr">
        <is>
          <t>u</t>
        </is>
      </c>
      <c r="H446" s="17" t="inlineStr">
        <is>
          <t>Proceso</t>
        </is>
      </c>
      <c r="I446" s="17" t="inlineStr">
        <is>
          <t>IRAM 3517-2:2020 Res. 349/07 art. 29 · IRAM 3517-2</t>
        </is>
      </c>
      <c r="J446" s="33" t="inlineStr">
        <is>
          <t>No</t>
        </is>
      </c>
      <c r="K446" s="17" t="n"/>
      <c r="L446" s="17" t="n"/>
    </row>
    <row r="447">
      <c r="A447" s="41" t="inlineStr">
        <is>
          <t>RK-ABC50-C</t>
        </is>
      </c>
      <c r="B447" s="41" t="inlineStr">
        <is>
          <t>FL_MAT_ABC_50kg</t>
        </is>
      </c>
      <c r="C447" s="41" t="inlineStr">
        <is>
          <t>Extintor ABC 50 kg sobre ruedas</t>
        </is>
      </c>
      <c r="D447" s="18" t="inlineStr">
        <is>
          <t>C - Cambio obligatorio de polvo (versión anterior de la IRAM 3569)</t>
        </is>
      </c>
      <c r="E447" s="18" t="inlineStr">
        <is>
          <t>Junta tórica de asiento del cuello</t>
        </is>
      </c>
      <c r="F447" s="41" t="n">
        <v>1</v>
      </c>
      <c r="G447" s="41" t="inlineStr">
        <is>
          <t>u</t>
        </is>
      </c>
      <c r="H447" s="18" t="inlineStr">
        <is>
          <t>Nuevo (R: cambio sistemático)</t>
        </is>
      </c>
      <c r="I447" s="18" t="inlineStr"/>
      <c r="J447" s="41" t="inlineStr">
        <is>
          <t>Sí</t>
        </is>
      </c>
      <c r="K447" s="18" t="inlineStr">
        <is>
          <t>Argensold</t>
        </is>
      </c>
      <c r="L447" s="18" t="inlineStr">
        <is>
          <t>Matafuegos Iglesias</t>
        </is>
      </c>
    </row>
    <row r="448">
      <c r="A448" s="33" t="inlineStr">
        <is>
          <t>RK-ABC50-C</t>
        </is>
      </c>
      <c r="B448" s="33" t="inlineStr">
        <is>
          <t>FL_MAT_ABC_50kg</t>
        </is>
      </c>
      <c r="C448" s="33" t="inlineStr">
        <is>
          <t>Extintor ABC 50 kg sobre ruedas</t>
        </is>
      </c>
      <c r="D448" s="17" t="inlineStr">
        <is>
          <t>C - Cambio obligatorio de polvo (versión anterior de la IRAM 3569)</t>
        </is>
      </c>
      <c r="E448" s="17" t="inlineStr">
        <is>
          <t>Gas impulsor N₂</t>
        </is>
      </c>
      <c r="F448" s="33" t="n">
        <v>0.2819</v>
      </c>
      <c r="G448" s="33" t="inlineStr">
        <is>
          <t>kg</t>
        </is>
      </c>
      <c r="H448" s="17" t="inlineStr">
        <is>
          <t>Nuevo</t>
        </is>
      </c>
      <c r="I448" s="17" t="inlineStr">
        <is>
          <t>IRAM 3517-2:2020 9.4.9 tabla 2</t>
        </is>
      </c>
      <c r="J448" s="33" t="inlineStr">
        <is>
          <t>Sí</t>
        </is>
      </c>
      <c r="K448" s="17" t="inlineStr">
        <is>
          <t>Air Liquide Argentina - sucursal Piñeyro</t>
        </is>
      </c>
      <c r="L448" s="17" t="inlineStr">
        <is>
          <t>Gogniat</t>
        </is>
      </c>
    </row>
    <row r="449">
      <c r="A449" s="33" t="inlineStr">
        <is>
          <t>RK-ABC50-I</t>
        </is>
      </c>
      <c r="B449" s="33" t="inlineStr">
        <is>
          <t>FL_MAT_ABC_50kg</t>
        </is>
      </c>
      <c r="C449" s="33" t="inlineStr">
        <is>
          <t>Extintor ABC 50 kg sobre ruedas</t>
        </is>
      </c>
      <c r="D449" s="17" t="inlineStr">
        <is>
          <t>Según inspección (consumo estadístico a definir)</t>
        </is>
      </c>
      <c r="E449" s="17" t="inlineStr">
        <is>
          <t>Manómetro / manguera / tobera / kit de válvula</t>
        </is>
      </c>
      <c r="F449" s="33" t="inlineStr">
        <is>
          <t>-</t>
        </is>
      </c>
      <c r="G449" s="33" t="inlineStr">
        <is>
          <t>u</t>
        </is>
      </c>
      <c r="H449" s="17" t="inlineStr">
        <is>
          <t>Recambio sólo si falla</t>
        </is>
      </c>
      <c r="I449" s="17" t="inlineStr">
        <is>
          <t>IRAM 3517-2:2020 9.4.11 (cada manguera vuelve a su extintor)</t>
        </is>
      </c>
      <c r="J449" s="33" t="inlineStr">
        <is>
          <t>Sí</t>
        </is>
      </c>
      <c r="K449" s="17" t="inlineStr">
        <is>
          <t>Polvex S.R.L. / Sancibrao</t>
        </is>
      </c>
      <c r="L449" s="17" t="inlineStr">
        <is>
          <t>Yukon / MatafuegosYa S.R.L.</t>
        </is>
      </c>
    </row>
    <row r="450">
      <c r="A450" s="33" t="inlineStr">
        <is>
          <t>RK-ABC70-A</t>
        </is>
      </c>
      <c r="B450" s="33" t="inlineStr">
        <is>
          <t>FL_MAT_ABC_70kg</t>
        </is>
      </c>
      <c r="C450" s="33" t="inlineStr">
        <is>
          <t>Extintor ABC 70 kg sobre ruedas</t>
        </is>
      </c>
      <c r="D450" s="17" t="inlineStr">
        <is>
          <t>A - Extintor descargado (uso o descarga parcial)</t>
        </is>
      </c>
      <c r="E450" s="17" t="inlineStr">
        <is>
          <t>Polvo químico seco ABC (fosfato monoamónico)</t>
        </is>
      </c>
      <c r="F450" s="33" t="n">
        <v>70</v>
      </c>
      <c r="G450" s="33" t="inlineStr">
        <is>
          <t>kg</t>
        </is>
      </c>
      <c r="H450" s="17" t="inlineStr">
        <is>
          <t>Nuevo 100 %</t>
        </is>
      </c>
      <c r="I450" s="17" t="inlineStr">
        <is>
          <t>IRAM 3517-2:2020 9.9.1.4: el polvo de un extintor accionado no se reutiliza</t>
        </is>
      </c>
      <c r="J450" s="33" t="inlineStr">
        <is>
          <t>Sí</t>
        </is>
      </c>
      <c r="K450" s="17" t="inlineStr">
        <is>
          <t>DEM S.A. (DEMSA)</t>
        </is>
      </c>
      <c r="L450" s="17" t="inlineStr">
        <is>
          <t>Polvex S.R.L. / Sancibrao</t>
        </is>
      </c>
    </row>
    <row r="451">
      <c r="A451" s="33" t="inlineStr">
        <is>
          <t>RK-ABC70-A</t>
        </is>
      </c>
      <c r="B451" s="33" t="inlineStr">
        <is>
          <t>FL_MAT_ABC_70kg</t>
        </is>
      </c>
      <c r="C451" s="33" t="inlineStr">
        <is>
          <t>Extintor ABC 70 kg sobre ruedas</t>
        </is>
      </c>
      <c r="D451" s="17" t="inlineStr">
        <is>
          <t>A - Extintor descargado (uso o descarga parcial)</t>
        </is>
      </c>
      <c r="E451" s="17" t="inlineStr">
        <is>
          <t>Precinto plástico numerado, color, con nombre del recargador</t>
        </is>
      </c>
      <c r="F451" s="33" t="n">
        <v>1</v>
      </c>
      <c r="G451" s="33" t="inlineStr">
        <is>
          <t>u</t>
        </is>
      </c>
      <c r="H451" s="17" t="inlineStr">
        <is>
          <t>Nuevo</t>
        </is>
      </c>
      <c r="I451" s="17" t="inlineStr">
        <is>
          <t>IRAM 3517-2:2020 9.4.13</t>
        </is>
      </c>
      <c r="J451" s="33" t="inlineStr">
        <is>
          <t>Sí</t>
        </is>
      </c>
      <c r="K451" s="17" t="inlineStr">
        <is>
          <t>SonFuertes (vía Papelera Damián)</t>
        </is>
      </c>
      <c r="L451" s="17" t="inlineStr">
        <is>
          <t>Precinter S.R.L.</t>
        </is>
      </c>
    </row>
    <row r="452">
      <c r="A452" s="33" t="inlineStr">
        <is>
          <t>RK-ABC70-A</t>
        </is>
      </c>
      <c r="B452" s="33" t="inlineStr">
        <is>
          <t>FL_MAT_ABC_70kg</t>
        </is>
      </c>
      <c r="C452" s="33" t="inlineStr">
        <is>
          <t>Extintor ABC 70 kg sobre ruedas</t>
        </is>
      </c>
      <c r="D452" s="17" t="inlineStr">
        <is>
          <t>A - Extintor descargado (uso o descarga parcial)</t>
        </is>
      </c>
      <c r="E452" s="17" t="inlineStr">
        <is>
          <t>Marbete (anillo, color del año)</t>
        </is>
      </c>
      <c r="F452" s="33" t="n">
        <v>1</v>
      </c>
      <c r="G452" s="33" t="inlineStr">
        <is>
          <t>u</t>
        </is>
      </c>
      <c r="H452" s="17" t="inlineStr">
        <is>
          <t>Nuevo</t>
        </is>
      </c>
      <c r="I452" s="17" t="inlineStr">
        <is>
          <t>IRAM 3517-2:2020 9.4.14 · fig. 9 · tabla 4</t>
        </is>
      </c>
      <c r="J452" s="33" t="inlineStr">
        <is>
          <t>Sí</t>
        </is>
      </c>
      <c r="K452" s="17" t="inlineStr">
        <is>
          <t>Astuprint</t>
        </is>
      </c>
      <c r="L452" s="17" t="inlineStr">
        <is>
          <t>Multilabel Argentina S.A.</t>
        </is>
      </c>
    </row>
    <row r="453">
      <c r="A453" s="33" t="inlineStr">
        <is>
          <t>RK-ABC70-A</t>
        </is>
      </c>
      <c r="B453" s="33" t="inlineStr">
        <is>
          <t>FL_MAT_ABC_70kg</t>
        </is>
      </c>
      <c r="C453" s="33" t="inlineStr">
        <is>
          <t>Extintor ABC 70 kg sobre ruedas</t>
        </is>
      </c>
      <c r="D453" s="17" t="inlineStr">
        <is>
          <t>A - Extintor descargado (uso o descarga parcial)</t>
        </is>
      </c>
      <c r="E453" s="17" t="inlineStr">
        <is>
          <t>Etiqueta de servicio del recargador (extintor n°, serie, próxima recarga y PH)</t>
        </is>
      </c>
      <c r="F453" s="33" t="n">
        <v>1</v>
      </c>
      <c r="G453" s="33" t="inlineStr">
        <is>
          <t>u</t>
        </is>
      </c>
      <c r="H453" s="17" t="inlineStr">
        <is>
          <t>Nuevo</t>
        </is>
      </c>
      <c r="I453" s="17" t="inlineStr">
        <is>
          <t>IRAM 3517-2:2020 8.3.3 · relevado Suyai/Firegram</t>
        </is>
      </c>
      <c r="J453" s="33" t="inlineStr">
        <is>
          <t>Sí</t>
        </is>
      </c>
      <c r="K453" s="17" t="inlineStr">
        <is>
          <t>Astuprint</t>
        </is>
      </c>
      <c r="L453" s="17" t="inlineStr">
        <is>
          <t>Multilabel Argentina S.A.</t>
        </is>
      </c>
    </row>
    <row r="454">
      <c r="A454" s="33" t="inlineStr">
        <is>
          <t>RK-ABC70-A</t>
        </is>
      </c>
      <c r="B454" s="33" t="inlineStr">
        <is>
          <t>FL_MAT_ABC_70kg</t>
        </is>
      </c>
      <c r="C454" s="33" t="inlineStr">
        <is>
          <t>Extintor ABC 70 kg sobre ruedas</t>
        </is>
      </c>
      <c r="D454" s="17" t="inlineStr">
        <is>
          <t>A - Extintor descargado (uso o descarga parcial)</t>
        </is>
      </c>
      <c r="E454" s="17" t="inlineStr">
        <is>
          <t>Oblea PBA de recarga Ø46 + estampilla precinto 1" × 200 mm válvula-cuerpo</t>
        </is>
      </c>
      <c r="F454" s="33" t="n">
        <v>1</v>
      </c>
      <c r="G454" s="33" t="inlineStr">
        <is>
          <t>u</t>
        </is>
      </c>
      <c r="H454" s="17" t="inlineStr">
        <is>
          <t>Nuevo (venta en PBA)</t>
        </is>
      </c>
      <c r="I454" s="17" t="inlineStr">
        <is>
          <t>IRAM 3517-2:2020 Res. OPDS 522/07</t>
        </is>
      </c>
      <c r="J454" s="33" t="inlineStr">
        <is>
          <t>Sí</t>
        </is>
      </c>
      <c r="K454" s="17" t="inlineStr">
        <is>
          <t>Ministerio de Ambiente PBA (ex OPDS)</t>
        </is>
      </c>
      <c r="L454" s="17" t="inlineStr">
        <is>
          <t>-</t>
        </is>
      </c>
    </row>
    <row r="455">
      <c r="A455" s="33" t="inlineStr">
        <is>
          <t>RK-ABC70-A</t>
        </is>
      </c>
      <c r="B455" s="33" t="inlineStr">
        <is>
          <t>FL_MAT_ABC_70kg</t>
        </is>
      </c>
      <c r="C455" s="33" t="inlineStr">
        <is>
          <t>Extintor ABC 70 kg sobre ruedas</t>
        </is>
      </c>
      <c r="D455" s="17" t="inlineStr">
        <is>
          <t>A - Extintor descargado (uso o descarga parcial)</t>
        </is>
      </c>
      <c r="E455" s="17" t="inlineStr">
        <is>
          <t>Tarjeta de identificación AGC (módulo papel con QR + etiqueta AGC)</t>
        </is>
      </c>
      <c r="F455" s="33" t="n">
        <v>1</v>
      </c>
      <c r="G455" s="33" t="inlineStr">
        <is>
          <t>u</t>
        </is>
      </c>
      <c r="H455" s="17" t="inlineStr">
        <is>
          <t>Nuevo (destino CABA)</t>
        </is>
      </c>
      <c r="I455" s="17" t="inlineStr">
        <is>
          <t>IRAM 3517-2:2020 Ord. 40.473 art. 6 · Res. AGC 32/15</t>
        </is>
      </c>
      <c r="J455" s="33" t="inlineStr">
        <is>
          <t>Sí</t>
        </is>
      </c>
      <c r="K455" s="17" t="inlineStr">
        <is>
          <t>Agencia Gubernamental de Control (CABA)</t>
        </is>
      </c>
      <c r="L455" s="17" t="inlineStr">
        <is>
          <t>-</t>
        </is>
      </c>
    </row>
    <row r="456">
      <c r="A456" s="33" t="inlineStr">
        <is>
          <t>RK-ABC70-A</t>
        </is>
      </c>
      <c r="B456" s="33" t="inlineStr">
        <is>
          <t>FL_MAT_ABC_70kg</t>
        </is>
      </c>
      <c r="C456" s="33" t="inlineStr">
        <is>
          <t>Extintor ABC 70 kg sobre ruedas</t>
        </is>
      </c>
      <c r="D456" s="17" t="inlineStr">
        <is>
          <t>A - Extintor descargado (uso o descarga parcial)</t>
        </is>
      </c>
      <c r="E456" s="17" t="inlineStr">
        <is>
          <t>Tarjeta de identificación DPS de revisión / recarga</t>
        </is>
      </c>
      <c r="F456" s="33" t="n">
        <v>1</v>
      </c>
      <c r="G456" s="33" t="inlineStr">
        <is>
          <t>u</t>
        </is>
      </c>
      <c r="H456" s="17" t="inlineStr">
        <is>
          <t>Nuevo (PBA)</t>
        </is>
      </c>
      <c r="I456" s="17" t="inlineStr">
        <is>
          <t>IRAM 3517-2:2020 Res. 349/07 art. 21</t>
        </is>
      </c>
      <c r="J456" s="33" t="inlineStr">
        <is>
          <t>Sí</t>
        </is>
      </c>
      <c r="K456" s="17" t="inlineStr">
        <is>
          <t>Ministerio de Ambiente PBA (ex OPDS)</t>
        </is>
      </c>
      <c r="L456" s="17" t="inlineStr">
        <is>
          <t>-</t>
        </is>
      </c>
    </row>
    <row r="457">
      <c r="A457" s="33" t="inlineStr">
        <is>
          <t>RK-ABC70-A</t>
        </is>
      </c>
      <c r="B457" s="33" t="inlineStr">
        <is>
          <t>FL_MAT_ABC_70kg</t>
        </is>
      </c>
      <c r="C457" s="33" t="inlineStr">
        <is>
          <t>Extintor ABC 70 kg sobre ruedas</t>
        </is>
      </c>
      <c r="D457" s="17" t="inlineStr">
        <is>
          <t>A - Extintor descargado (uso o descarga parcial)</t>
        </is>
      </c>
      <c r="E457" s="17" t="inlineStr">
        <is>
          <t>Grabado de la fecha del servicio en el tubo de pesca (lápiz vibratorio; en polvo, marcador indeleble)</t>
        </is>
      </c>
      <c r="F457" s="33" t="n">
        <v>1</v>
      </c>
      <c r="G457" s="33" t="inlineStr">
        <is>
          <t>u</t>
        </is>
      </c>
      <c r="H457" s="17" t="inlineStr">
        <is>
          <t>Proceso</t>
        </is>
      </c>
      <c r="I457" s="17" t="inlineStr">
        <is>
          <t>IRAM 3517-2:2020 Res. 349/07 art. 28</t>
        </is>
      </c>
      <c r="J457" s="33" t="inlineStr">
        <is>
          <t>No</t>
        </is>
      </c>
      <c r="K457" s="17" t="n"/>
      <c r="L457" s="17" t="n"/>
    </row>
    <row r="458">
      <c r="A458" s="33" t="inlineStr">
        <is>
          <t>RK-ABC70-A</t>
        </is>
      </c>
      <c r="B458" s="33" t="inlineStr">
        <is>
          <t>FL_MAT_ABC_70kg</t>
        </is>
      </c>
      <c r="C458" s="33" t="inlineStr">
        <is>
          <t>Extintor ABC 70 kg sobre ruedas</t>
        </is>
      </c>
      <c r="D458" s="17" t="inlineStr">
        <is>
          <t>A - Extintor descargado (uso o descarga parcial)</t>
        </is>
      </c>
      <c r="E458" s="17" t="inlineStr">
        <is>
          <t>Si hubo PH: oblea de vencimiento de PH + «PH» y fecha grabados en el tubo de pesca (CO₂: fecha y logo estampados en la ojiva)</t>
        </is>
      </c>
      <c r="F458" s="33" t="n">
        <v>1</v>
      </c>
      <c r="G458" s="33" t="inlineStr">
        <is>
          <t>u</t>
        </is>
      </c>
      <c r="H458" s="17" t="inlineStr">
        <is>
          <t>Proceso</t>
        </is>
      </c>
      <c r="I458" s="17" t="inlineStr">
        <is>
          <t>IRAM 3517-2:2020 Res. 349/07 art. 29 · IRAM 3517-2</t>
        </is>
      </c>
      <c r="J458" s="33" t="inlineStr">
        <is>
          <t>No</t>
        </is>
      </c>
      <c r="K458" s="17" t="n"/>
      <c r="L458" s="17" t="n"/>
    </row>
    <row r="459">
      <c r="A459" s="41" t="inlineStr">
        <is>
          <t>RK-ABC70-A</t>
        </is>
      </c>
      <c r="B459" s="41" t="inlineStr">
        <is>
          <t>FL_MAT_ABC_70kg</t>
        </is>
      </c>
      <c r="C459" s="41" t="inlineStr">
        <is>
          <t>Extintor ABC 70 kg sobre ruedas</t>
        </is>
      </c>
      <c r="D459" s="18" t="inlineStr">
        <is>
          <t>A - Extintor descargado (uso o descarga parcial)</t>
        </is>
      </c>
      <c r="E459" s="18" t="inlineStr">
        <is>
          <t>Junta tórica de asiento del cuello</t>
        </is>
      </c>
      <c r="F459" s="41" t="n">
        <v>1</v>
      </c>
      <c r="G459" s="41" t="inlineStr">
        <is>
          <t>u</t>
        </is>
      </c>
      <c r="H459" s="18" t="inlineStr">
        <is>
          <t>Nuevo (R: cambio sistemático)</t>
        </is>
      </c>
      <c r="I459" s="18" t="inlineStr"/>
      <c r="J459" s="41" t="inlineStr">
        <is>
          <t>Sí</t>
        </is>
      </c>
      <c r="K459" s="18" t="inlineStr">
        <is>
          <t>Argensold</t>
        </is>
      </c>
      <c r="L459" s="18" t="inlineStr">
        <is>
          <t>Matafuegos Iglesias</t>
        </is>
      </c>
    </row>
    <row r="460">
      <c r="A460" s="33" t="inlineStr">
        <is>
          <t>RK-ABC70-A</t>
        </is>
      </c>
      <c r="B460" s="33" t="inlineStr">
        <is>
          <t>FL_MAT_ABC_70kg</t>
        </is>
      </c>
      <c r="C460" s="33" t="inlineStr">
        <is>
          <t>Extintor ABC 70 kg sobre ruedas</t>
        </is>
      </c>
      <c r="D460" s="17" t="inlineStr">
        <is>
          <t>A - Extintor descargado (uso o descarga parcial)</t>
        </is>
      </c>
      <c r="E460" s="17" t="inlineStr">
        <is>
          <t>Gas impulsor N₂</t>
        </is>
      </c>
      <c r="F460" s="33" t="n">
        <v>0.3856</v>
      </c>
      <c r="G460" s="33" t="inlineStr">
        <is>
          <t>kg</t>
        </is>
      </c>
      <c r="H460" s="17" t="inlineStr">
        <is>
          <t>Nuevo</t>
        </is>
      </c>
      <c r="I460" s="17" t="inlineStr">
        <is>
          <t>IRAM 3517-2:2020 9.4.9 tabla 2</t>
        </is>
      </c>
      <c r="J460" s="33" t="inlineStr">
        <is>
          <t>Sí</t>
        </is>
      </c>
      <c r="K460" s="17" t="inlineStr">
        <is>
          <t>Air Liquide Argentina - sucursal Piñeyro</t>
        </is>
      </c>
      <c r="L460" s="17" t="inlineStr">
        <is>
          <t>Gogniat</t>
        </is>
      </c>
    </row>
    <row r="461">
      <c r="A461" s="33" t="inlineStr">
        <is>
          <t>RK-ABC70-B</t>
        </is>
      </c>
      <c r="B461" s="33" t="inlineStr">
        <is>
          <t>FL_MAT_ABC_70kg</t>
        </is>
      </c>
      <c r="C461" s="33" t="inlineStr">
        <is>
          <t>Extintor ABC 70 kg sobre ruedas</t>
        </is>
      </c>
      <c r="D461" s="17" t="inlineStr">
        <is>
          <t>B - Mantenimiento con apertura sin descarga (control interior, PH)</t>
        </is>
      </c>
      <c r="E461" s="17" t="inlineStr">
        <is>
          <t>Polvo químico seco ABC (fosfato monoamónico) recuperado</t>
        </is>
      </c>
      <c r="F461" s="33" t="n">
        <v>67.90000000000001</v>
      </c>
      <c r="G461" s="33" t="inlineStr">
        <is>
          <t>kg</t>
        </is>
      </c>
      <c r="H461" s="17" t="inlineStr">
        <is>
          <t>Recuperado en sistema cerrado</t>
        </is>
      </c>
      <c r="I461" s="17" t="inlineStr">
        <is>
          <t>IRAM 3517-2:2020 4.4.1 y) sistema cerrado de recuperación con inspección; 9.9.3 control (puffer IRAM 3672, fusión IRAM 3569 en ABC)</t>
        </is>
      </c>
      <c r="J461" s="33" t="inlineStr">
        <is>
          <t>No</t>
        </is>
      </c>
      <c r="K461" s="17" t="n"/>
      <c r="L461" s="17" t="n"/>
    </row>
    <row r="462">
      <c r="A462" s="41" t="inlineStr">
        <is>
          <t>RK-ABC70-B</t>
        </is>
      </c>
      <c r="B462" s="41" t="inlineStr">
        <is>
          <t>FL_MAT_ABC_70kg</t>
        </is>
      </c>
      <c r="C462" s="41" t="inlineStr">
        <is>
          <t>Extintor ABC 70 kg sobre ruedas</t>
        </is>
      </c>
      <c r="D462" s="18" t="inlineStr">
        <is>
          <t>B - Mantenimiento con apertura sin descarga (control interior, PH)</t>
        </is>
      </c>
      <c r="E462" s="18" t="inlineStr">
        <is>
          <t>Polvo químico seco ABC (fosfato monoamónico) de reposición de mermas</t>
        </is>
      </c>
      <c r="F462" s="41" t="n">
        <v>2.1</v>
      </c>
      <c r="G462" s="41" t="inlineStr">
        <is>
          <t>kg</t>
        </is>
      </c>
      <c r="H462" s="18" t="inlineStr">
        <is>
          <t>Nuevo (R: 3 % de merma)</t>
        </is>
      </c>
      <c r="I462" s="18" t="inlineStr">
        <is>
          <t>Mismo tipo y marca (prohibido mezclar ABC con BC, 9.9.1.6)</t>
        </is>
      </c>
      <c r="J462" s="41" t="inlineStr">
        <is>
          <t>Sí</t>
        </is>
      </c>
      <c r="K462" s="18" t="inlineStr">
        <is>
          <t>DEM S.A. (DEMSA)</t>
        </is>
      </c>
      <c r="L462" s="18" t="inlineStr">
        <is>
          <t>Polvex S.R.L. / Sancibrao</t>
        </is>
      </c>
    </row>
    <row r="463">
      <c r="A463" s="33" t="inlineStr">
        <is>
          <t>RK-ABC70-B</t>
        </is>
      </c>
      <c r="B463" s="33" t="inlineStr">
        <is>
          <t>FL_MAT_ABC_70kg</t>
        </is>
      </c>
      <c r="C463" s="33" t="inlineStr">
        <is>
          <t>Extintor ABC 70 kg sobre ruedas</t>
        </is>
      </c>
      <c r="D463" s="17" t="inlineStr">
        <is>
          <t>B - Mantenimiento con apertura sin descarga (control interior, PH)</t>
        </is>
      </c>
      <c r="E463" s="17" t="inlineStr">
        <is>
          <t>Precinto plástico numerado, color, con nombre del recargador</t>
        </is>
      </c>
      <c r="F463" s="33" t="n">
        <v>1</v>
      </c>
      <c r="G463" s="33" t="inlineStr">
        <is>
          <t>u</t>
        </is>
      </c>
      <c r="H463" s="17" t="inlineStr">
        <is>
          <t>Nuevo</t>
        </is>
      </c>
      <c r="I463" s="17" t="inlineStr">
        <is>
          <t>IRAM 3517-2:2020 9.4.13</t>
        </is>
      </c>
      <c r="J463" s="33" t="inlineStr">
        <is>
          <t>Sí</t>
        </is>
      </c>
      <c r="K463" s="17" t="inlineStr">
        <is>
          <t>SonFuertes (vía Papelera Damián)</t>
        </is>
      </c>
      <c r="L463" s="17" t="inlineStr">
        <is>
          <t>Precinter S.R.L.</t>
        </is>
      </c>
    </row>
    <row r="464">
      <c r="A464" s="33" t="inlineStr">
        <is>
          <t>RK-ABC70-B</t>
        </is>
      </c>
      <c r="B464" s="33" t="inlineStr">
        <is>
          <t>FL_MAT_ABC_70kg</t>
        </is>
      </c>
      <c r="C464" s="33" t="inlineStr">
        <is>
          <t>Extintor ABC 70 kg sobre ruedas</t>
        </is>
      </c>
      <c r="D464" s="17" t="inlineStr">
        <is>
          <t>B - Mantenimiento con apertura sin descarga (control interior, PH)</t>
        </is>
      </c>
      <c r="E464" s="17" t="inlineStr">
        <is>
          <t>Marbete (anillo, color del año)</t>
        </is>
      </c>
      <c r="F464" s="33" t="n">
        <v>1</v>
      </c>
      <c r="G464" s="33" t="inlineStr">
        <is>
          <t>u</t>
        </is>
      </c>
      <c r="H464" s="17" t="inlineStr">
        <is>
          <t>Nuevo</t>
        </is>
      </c>
      <c r="I464" s="17" t="inlineStr">
        <is>
          <t>IRAM 3517-2:2020 9.4.14 · fig. 9 · tabla 4</t>
        </is>
      </c>
      <c r="J464" s="33" t="inlineStr">
        <is>
          <t>Sí</t>
        </is>
      </c>
      <c r="K464" s="17" t="inlineStr">
        <is>
          <t>Astuprint</t>
        </is>
      </c>
      <c r="L464" s="17" t="inlineStr">
        <is>
          <t>Multilabel Argentina S.A.</t>
        </is>
      </c>
    </row>
    <row r="465">
      <c r="A465" s="33" t="inlineStr">
        <is>
          <t>RK-ABC70-B</t>
        </is>
      </c>
      <c r="B465" s="33" t="inlineStr">
        <is>
          <t>FL_MAT_ABC_70kg</t>
        </is>
      </c>
      <c r="C465" s="33" t="inlineStr">
        <is>
          <t>Extintor ABC 70 kg sobre ruedas</t>
        </is>
      </c>
      <c r="D465" s="17" t="inlineStr">
        <is>
          <t>B - Mantenimiento con apertura sin descarga (control interior, PH)</t>
        </is>
      </c>
      <c r="E465" s="17" t="inlineStr">
        <is>
          <t>Etiqueta de servicio del recargador (extintor n°, serie, próxima recarga y PH)</t>
        </is>
      </c>
      <c r="F465" s="33" t="n">
        <v>1</v>
      </c>
      <c r="G465" s="33" t="inlineStr">
        <is>
          <t>u</t>
        </is>
      </c>
      <c r="H465" s="17" t="inlineStr">
        <is>
          <t>Nuevo</t>
        </is>
      </c>
      <c r="I465" s="17" t="inlineStr">
        <is>
          <t>IRAM 3517-2:2020 8.3.3 · relevado Suyai/Firegram</t>
        </is>
      </c>
      <c r="J465" s="33" t="inlineStr">
        <is>
          <t>Sí</t>
        </is>
      </c>
      <c r="K465" s="17" t="inlineStr">
        <is>
          <t>Astuprint</t>
        </is>
      </c>
      <c r="L465" s="17" t="inlineStr">
        <is>
          <t>Multilabel Argentina S.A.</t>
        </is>
      </c>
    </row>
    <row r="466">
      <c r="A466" s="33" t="inlineStr">
        <is>
          <t>RK-ABC70-B</t>
        </is>
      </c>
      <c r="B466" s="33" t="inlineStr">
        <is>
          <t>FL_MAT_ABC_70kg</t>
        </is>
      </c>
      <c r="C466" s="33" t="inlineStr">
        <is>
          <t>Extintor ABC 70 kg sobre ruedas</t>
        </is>
      </c>
      <c r="D466" s="17" t="inlineStr">
        <is>
          <t>B - Mantenimiento con apertura sin descarga (control interior, PH)</t>
        </is>
      </c>
      <c r="E466" s="17" t="inlineStr">
        <is>
          <t>Oblea PBA de recarga Ø46 + estampilla precinto 1" × 200 mm válvula-cuerpo</t>
        </is>
      </c>
      <c r="F466" s="33" t="n">
        <v>1</v>
      </c>
      <c r="G466" s="33" t="inlineStr">
        <is>
          <t>u</t>
        </is>
      </c>
      <c r="H466" s="17" t="inlineStr">
        <is>
          <t>Nuevo (venta en PBA)</t>
        </is>
      </c>
      <c r="I466" s="17" t="inlineStr">
        <is>
          <t>IRAM 3517-2:2020 Res. OPDS 522/07</t>
        </is>
      </c>
      <c r="J466" s="33" t="inlineStr">
        <is>
          <t>Sí</t>
        </is>
      </c>
      <c r="K466" s="17" t="inlineStr">
        <is>
          <t>Ministerio de Ambiente PBA (ex OPDS)</t>
        </is>
      </c>
      <c r="L466" s="17" t="inlineStr">
        <is>
          <t>-</t>
        </is>
      </c>
    </row>
    <row r="467">
      <c r="A467" s="33" t="inlineStr">
        <is>
          <t>RK-ABC70-B</t>
        </is>
      </c>
      <c r="B467" s="33" t="inlineStr">
        <is>
          <t>FL_MAT_ABC_70kg</t>
        </is>
      </c>
      <c r="C467" s="33" t="inlineStr">
        <is>
          <t>Extintor ABC 70 kg sobre ruedas</t>
        </is>
      </c>
      <c r="D467" s="17" t="inlineStr">
        <is>
          <t>B - Mantenimiento con apertura sin descarga (control interior, PH)</t>
        </is>
      </c>
      <c r="E467" s="17" t="inlineStr">
        <is>
          <t>Tarjeta de identificación AGC (módulo papel con QR + etiqueta AGC)</t>
        </is>
      </c>
      <c r="F467" s="33" t="n">
        <v>1</v>
      </c>
      <c r="G467" s="33" t="inlineStr">
        <is>
          <t>u</t>
        </is>
      </c>
      <c r="H467" s="17" t="inlineStr">
        <is>
          <t>Nuevo (destino CABA)</t>
        </is>
      </c>
      <c r="I467" s="17" t="inlineStr">
        <is>
          <t>IRAM 3517-2:2020 Ord. 40.473 art. 6 · Res. AGC 32/15</t>
        </is>
      </c>
      <c r="J467" s="33" t="inlineStr">
        <is>
          <t>Sí</t>
        </is>
      </c>
      <c r="K467" s="17" t="inlineStr">
        <is>
          <t>Agencia Gubernamental de Control (CABA)</t>
        </is>
      </c>
      <c r="L467" s="17" t="inlineStr">
        <is>
          <t>-</t>
        </is>
      </c>
    </row>
    <row r="468">
      <c r="A468" s="33" t="inlineStr">
        <is>
          <t>RK-ABC70-B</t>
        </is>
      </c>
      <c r="B468" s="33" t="inlineStr">
        <is>
          <t>FL_MAT_ABC_70kg</t>
        </is>
      </c>
      <c r="C468" s="33" t="inlineStr">
        <is>
          <t>Extintor ABC 70 kg sobre ruedas</t>
        </is>
      </c>
      <c r="D468" s="17" t="inlineStr">
        <is>
          <t>B - Mantenimiento con apertura sin descarga (control interior, PH)</t>
        </is>
      </c>
      <c r="E468" s="17" t="inlineStr">
        <is>
          <t>Tarjeta de identificación DPS de revisión / recarga</t>
        </is>
      </c>
      <c r="F468" s="33" t="n">
        <v>1</v>
      </c>
      <c r="G468" s="33" t="inlineStr">
        <is>
          <t>u</t>
        </is>
      </c>
      <c r="H468" s="17" t="inlineStr">
        <is>
          <t>Nuevo (PBA)</t>
        </is>
      </c>
      <c r="I468" s="17" t="inlineStr">
        <is>
          <t>IRAM 3517-2:2020 Res. 349/07 art. 21</t>
        </is>
      </c>
      <c r="J468" s="33" t="inlineStr">
        <is>
          <t>Sí</t>
        </is>
      </c>
      <c r="K468" s="17" t="inlineStr">
        <is>
          <t>Ministerio de Ambiente PBA (ex OPDS)</t>
        </is>
      </c>
      <c r="L468" s="17" t="inlineStr">
        <is>
          <t>-</t>
        </is>
      </c>
    </row>
    <row r="469">
      <c r="A469" s="33" t="inlineStr">
        <is>
          <t>RK-ABC70-B</t>
        </is>
      </c>
      <c r="B469" s="33" t="inlineStr">
        <is>
          <t>FL_MAT_ABC_70kg</t>
        </is>
      </c>
      <c r="C469" s="33" t="inlineStr">
        <is>
          <t>Extintor ABC 70 kg sobre ruedas</t>
        </is>
      </c>
      <c r="D469" s="17" t="inlineStr">
        <is>
          <t>B - Mantenimiento con apertura sin descarga (control interior, PH)</t>
        </is>
      </c>
      <c r="E469" s="17" t="inlineStr">
        <is>
          <t>Grabado de la fecha del servicio en el tubo de pesca (lápiz vibratorio; en polvo, marcador indeleble)</t>
        </is>
      </c>
      <c r="F469" s="33" t="n">
        <v>1</v>
      </c>
      <c r="G469" s="33" t="inlineStr">
        <is>
          <t>u</t>
        </is>
      </c>
      <c r="H469" s="17" t="inlineStr">
        <is>
          <t>Proceso</t>
        </is>
      </c>
      <c r="I469" s="17" t="inlineStr">
        <is>
          <t>IRAM 3517-2:2020 Res. 349/07 art. 28</t>
        </is>
      </c>
      <c r="J469" s="33" t="inlineStr">
        <is>
          <t>No</t>
        </is>
      </c>
      <c r="K469" s="17" t="n"/>
      <c r="L469" s="17" t="n"/>
    </row>
    <row r="470">
      <c r="A470" s="33" t="inlineStr">
        <is>
          <t>RK-ABC70-B</t>
        </is>
      </c>
      <c r="B470" s="33" t="inlineStr">
        <is>
          <t>FL_MAT_ABC_70kg</t>
        </is>
      </c>
      <c r="C470" s="33" t="inlineStr">
        <is>
          <t>Extintor ABC 70 kg sobre ruedas</t>
        </is>
      </c>
      <c r="D470" s="17" t="inlineStr">
        <is>
          <t>B - Mantenimiento con apertura sin descarga (control interior, PH)</t>
        </is>
      </c>
      <c r="E470" s="17" t="inlineStr">
        <is>
          <t>Si hubo PH: oblea de vencimiento de PH + «PH» y fecha grabados en el tubo de pesca (CO₂: fecha y logo estampados en la ojiva)</t>
        </is>
      </c>
      <c r="F470" s="33" t="n">
        <v>1</v>
      </c>
      <c r="G470" s="33" t="inlineStr">
        <is>
          <t>u</t>
        </is>
      </c>
      <c r="H470" s="17" t="inlineStr">
        <is>
          <t>Proceso</t>
        </is>
      </c>
      <c r="I470" s="17" t="inlineStr">
        <is>
          <t>IRAM 3517-2:2020 Res. 349/07 art. 29 · IRAM 3517-2</t>
        </is>
      </c>
      <c r="J470" s="33" t="inlineStr">
        <is>
          <t>No</t>
        </is>
      </c>
      <c r="K470" s="17" t="n"/>
      <c r="L470" s="17" t="n"/>
    </row>
    <row r="471">
      <c r="A471" s="41" t="inlineStr">
        <is>
          <t>RK-ABC70-B</t>
        </is>
      </c>
      <c r="B471" s="41" t="inlineStr">
        <is>
          <t>FL_MAT_ABC_70kg</t>
        </is>
      </c>
      <c r="C471" s="41" t="inlineStr">
        <is>
          <t>Extintor ABC 70 kg sobre ruedas</t>
        </is>
      </c>
      <c r="D471" s="18" t="inlineStr">
        <is>
          <t>B - Mantenimiento con apertura sin descarga (control interior, PH)</t>
        </is>
      </c>
      <c r="E471" s="18" t="inlineStr">
        <is>
          <t>Junta tórica de asiento del cuello</t>
        </is>
      </c>
      <c r="F471" s="41" t="n">
        <v>1</v>
      </c>
      <c r="G471" s="41" t="inlineStr">
        <is>
          <t>u</t>
        </is>
      </c>
      <c r="H471" s="18" t="inlineStr">
        <is>
          <t>Nuevo (R: cambio sistemático)</t>
        </is>
      </c>
      <c r="I471" s="18" t="inlineStr"/>
      <c r="J471" s="41" t="inlineStr">
        <is>
          <t>Sí</t>
        </is>
      </c>
      <c r="K471" s="18" t="inlineStr">
        <is>
          <t>Argensold</t>
        </is>
      </c>
      <c r="L471" s="18" t="inlineStr">
        <is>
          <t>Matafuegos Iglesias</t>
        </is>
      </c>
    </row>
    <row r="472">
      <c r="A472" s="33" t="inlineStr">
        <is>
          <t>RK-ABC70-B</t>
        </is>
      </c>
      <c r="B472" s="33" t="inlineStr">
        <is>
          <t>FL_MAT_ABC_70kg</t>
        </is>
      </c>
      <c r="C472" s="33" t="inlineStr">
        <is>
          <t>Extintor ABC 70 kg sobre ruedas</t>
        </is>
      </c>
      <c r="D472" s="17" t="inlineStr">
        <is>
          <t>B - Mantenimiento con apertura sin descarga (control interior, PH)</t>
        </is>
      </c>
      <c r="E472" s="17" t="inlineStr">
        <is>
          <t>Gas impulsor N₂</t>
        </is>
      </c>
      <c r="F472" s="33" t="n">
        <v>0.3856</v>
      </c>
      <c r="G472" s="33" t="inlineStr">
        <is>
          <t>kg</t>
        </is>
      </c>
      <c r="H472" s="17" t="inlineStr">
        <is>
          <t>Nuevo</t>
        </is>
      </c>
      <c r="I472" s="17" t="inlineStr">
        <is>
          <t>IRAM 3517-2:2020 9.4.9 tabla 2</t>
        </is>
      </c>
      <c r="J472" s="33" t="inlineStr">
        <is>
          <t>Sí</t>
        </is>
      </c>
      <c r="K472" s="17" t="inlineStr">
        <is>
          <t>Air Liquide Argentina - sucursal Piñeyro</t>
        </is>
      </c>
      <c r="L472" s="17" t="inlineStr">
        <is>
          <t>Gogniat</t>
        </is>
      </c>
    </row>
    <row r="473">
      <c r="A473" s="33" t="inlineStr">
        <is>
          <t>RK-ABC70-C</t>
        </is>
      </c>
      <c r="B473" s="33" t="inlineStr">
        <is>
          <t>FL_MAT_ABC_70kg</t>
        </is>
      </c>
      <c r="C473" s="33" t="inlineStr">
        <is>
          <t>Extintor ABC 70 kg sobre ruedas</t>
        </is>
      </c>
      <c r="D473" s="17" t="inlineStr">
        <is>
          <t>C - Cambio obligatorio de polvo (versión anterior de la IRAM 3569)</t>
        </is>
      </c>
      <c r="E473" s="17" t="inlineStr">
        <is>
          <t>Polvo químico seco ABC (fosfato monoamónico)</t>
        </is>
      </c>
      <c r="F473" s="33" t="n">
        <v>70</v>
      </c>
      <c r="G473" s="33" t="inlineStr">
        <is>
          <t>kg</t>
        </is>
      </c>
      <c r="H473" s="17" t="inlineStr">
        <is>
          <t>Nuevo 100 %; el viejo va a residuos (RC-IR)</t>
        </is>
      </c>
      <c r="I473" s="17" t="inlineStr">
        <is>
          <t>IRAM 3517-2:2020 9.9.4</t>
        </is>
      </c>
      <c r="J473" s="33" t="inlineStr">
        <is>
          <t>Sí</t>
        </is>
      </c>
      <c r="K473" s="17" t="inlineStr">
        <is>
          <t>DEM S.A. (DEMSA)</t>
        </is>
      </c>
      <c r="L473" s="17" t="inlineStr">
        <is>
          <t>Polvex S.R.L. / Sancibrao</t>
        </is>
      </c>
    </row>
    <row r="474">
      <c r="A474" s="33" t="inlineStr">
        <is>
          <t>RK-ABC70-C</t>
        </is>
      </c>
      <c r="B474" s="33" t="inlineStr">
        <is>
          <t>FL_MAT_ABC_70kg</t>
        </is>
      </c>
      <c r="C474" s="33" t="inlineStr">
        <is>
          <t>Extintor ABC 70 kg sobre ruedas</t>
        </is>
      </c>
      <c r="D474" s="17" t="inlineStr">
        <is>
          <t>C - Cambio obligatorio de polvo (versión anterior de la IRAM 3569)</t>
        </is>
      </c>
      <c r="E474" s="17" t="inlineStr">
        <is>
          <t>Precinto plástico numerado, color, con nombre del recargador</t>
        </is>
      </c>
      <c r="F474" s="33" t="n">
        <v>1</v>
      </c>
      <c r="G474" s="33" t="inlineStr">
        <is>
          <t>u</t>
        </is>
      </c>
      <c r="H474" s="17" t="inlineStr">
        <is>
          <t>Nuevo</t>
        </is>
      </c>
      <c r="I474" s="17" t="inlineStr">
        <is>
          <t>IRAM 3517-2:2020 9.4.13</t>
        </is>
      </c>
      <c r="J474" s="33" t="inlineStr">
        <is>
          <t>Sí</t>
        </is>
      </c>
      <c r="K474" s="17" t="inlineStr">
        <is>
          <t>SonFuertes (vía Papelera Damián)</t>
        </is>
      </c>
      <c r="L474" s="17" t="inlineStr">
        <is>
          <t>Precinter S.R.L.</t>
        </is>
      </c>
    </row>
    <row r="475">
      <c r="A475" s="33" t="inlineStr">
        <is>
          <t>RK-ABC70-C</t>
        </is>
      </c>
      <c r="B475" s="33" t="inlineStr">
        <is>
          <t>FL_MAT_ABC_70kg</t>
        </is>
      </c>
      <c r="C475" s="33" t="inlineStr">
        <is>
          <t>Extintor ABC 70 kg sobre ruedas</t>
        </is>
      </c>
      <c r="D475" s="17" t="inlineStr">
        <is>
          <t>C - Cambio obligatorio de polvo (versión anterior de la IRAM 3569)</t>
        </is>
      </c>
      <c r="E475" s="17" t="inlineStr">
        <is>
          <t>Marbete (anillo, color del año)</t>
        </is>
      </c>
      <c r="F475" s="33" t="n">
        <v>1</v>
      </c>
      <c r="G475" s="33" t="inlineStr">
        <is>
          <t>u</t>
        </is>
      </c>
      <c r="H475" s="17" t="inlineStr">
        <is>
          <t>Nuevo</t>
        </is>
      </c>
      <c r="I475" s="17" t="inlineStr">
        <is>
          <t>IRAM 3517-2:2020 9.4.14 · fig. 9 · tabla 4</t>
        </is>
      </c>
      <c r="J475" s="33" t="inlineStr">
        <is>
          <t>Sí</t>
        </is>
      </c>
      <c r="K475" s="17" t="inlineStr">
        <is>
          <t>Astuprint</t>
        </is>
      </c>
      <c r="L475" s="17" t="inlineStr">
        <is>
          <t>Multilabel Argentina S.A.</t>
        </is>
      </c>
    </row>
    <row r="476">
      <c r="A476" s="33" t="inlineStr">
        <is>
          <t>RK-ABC70-C</t>
        </is>
      </c>
      <c r="B476" s="33" t="inlineStr">
        <is>
          <t>FL_MAT_ABC_70kg</t>
        </is>
      </c>
      <c r="C476" s="33" t="inlineStr">
        <is>
          <t>Extintor ABC 70 kg sobre ruedas</t>
        </is>
      </c>
      <c r="D476" s="17" t="inlineStr">
        <is>
          <t>C - Cambio obligatorio de polvo (versión anterior de la IRAM 3569)</t>
        </is>
      </c>
      <c r="E476" s="17" t="inlineStr">
        <is>
          <t>Etiqueta de servicio del recargador (extintor n°, serie, próxima recarga y PH)</t>
        </is>
      </c>
      <c r="F476" s="33" t="n">
        <v>1</v>
      </c>
      <c r="G476" s="33" t="inlineStr">
        <is>
          <t>u</t>
        </is>
      </c>
      <c r="H476" s="17" t="inlineStr">
        <is>
          <t>Nuevo</t>
        </is>
      </c>
      <c r="I476" s="17" t="inlineStr">
        <is>
          <t>IRAM 3517-2:2020 8.3.3 · relevado Suyai/Firegram</t>
        </is>
      </c>
      <c r="J476" s="33" t="inlineStr">
        <is>
          <t>Sí</t>
        </is>
      </c>
      <c r="K476" s="17" t="inlineStr">
        <is>
          <t>Astuprint</t>
        </is>
      </c>
      <c r="L476" s="17" t="inlineStr">
        <is>
          <t>Multilabel Argentina S.A.</t>
        </is>
      </c>
    </row>
    <row r="477">
      <c r="A477" s="33" t="inlineStr">
        <is>
          <t>RK-ABC70-C</t>
        </is>
      </c>
      <c r="B477" s="33" t="inlineStr">
        <is>
          <t>FL_MAT_ABC_70kg</t>
        </is>
      </c>
      <c r="C477" s="33" t="inlineStr">
        <is>
          <t>Extintor ABC 70 kg sobre ruedas</t>
        </is>
      </c>
      <c r="D477" s="17" t="inlineStr">
        <is>
          <t>C - Cambio obligatorio de polvo (versión anterior de la IRAM 3569)</t>
        </is>
      </c>
      <c r="E477" s="17" t="inlineStr">
        <is>
          <t>Oblea PBA de recarga Ø46 + estampilla precinto 1" × 200 mm válvula-cuerpo</t>
        </is>
      </c>
      <c r="F477" s="33" t="n">
        <v>1</v>
      </c>
      <c r="G477" s="33" t="inlineStr">
        <is>
          <t>u</t>
        </is>
      </c>
      <c r="H477" s="17" t="inlineStr">
        <is>
          <t>Nuevo (venta en PBA)</t>
        </is>
      </c>
      <c r="I477" s="17" t="inlineStr">
        <is>
          <t>IRAM 3517-2:2020 Res. OPDS 522/07</t>
        </is>
      </c>
      <c r="J477" s="33" t="inlineStr">
        <is>
          <t>Sí</t>
        </is>
      </c>
      <c r="K477" s="17" t="inlineStr">
        <is>
          <t>Ministerio de Ambiente PBA (ex OPDS)</t>
        </is>
      </c>
      <c r="L477" s="17" t="inlineStr">
        <is>
          <t>-</t>
        </is>
      </c>
    </row>
    <row r="478">
      <c r="A478" s="33" t="inlineStr">
        <is>
          <t>RK-ABC70-C</t>
        </is>
      </c>
      <c r="B478" s="33" t="inlineStr">
        <is>
          <t>FL_MAT_ABC_70kg</t>
        </is>
      </c>
      <c r="C478" s="33" t="inlineStr">
        <is>
          <t>Extintor ABC 70 kg sobre ruedas</t>
        </is>
      </c>
      <c r="D478" s="17" t="inlineStr">
        <is>
          <t>C - Cambio obligatorio de polvo (versión anterior de la IRAM 3569)</t>
        </is>
      </c>
      <c r="E478" s="17" t="inlineStr">
        <is>
          <t>Tarjeta de identificación AGC (módulo papel con QR + etiqueta AGC)</t>
        </is>
      </c>
      <c r="F478" s="33" t="n">
        <v>1</v>
      </c>
      <c r="G478" s="33" t="inlineStr">
        <is>
          <t>u</t>
        </is>
      </c>
      <c r="H478" s="17" t="inlineStr">
        <is>
          <t>Nuevo (destino CABA)</t>
        </is>
      </c>
      <c r="I478" s="17" t="inlineStr">
        <is>
          <t>IRAM 3517-2:2020 Ord. 40.473 art. 6 · Res. AGC 32/15</t>
        </is>
      </c>
      <c r="J478" s="33" t="inlineStr">
        <is>
          <t>Sí</t>
        </is>
      </c>
      <c r="K478" s="17" t="inlineStr">
        <is>
          <t>Agencia Gubernamental de Control (CABA)</t>
        </is>
      </c>
      <c r="L478" s="17" t="inlineStr">
        <is>
          <t>-</t>
        </is>
      </c>
    </row>
    <row r="479">
      <c r="A479" s="33" t="inlineStr">
        <is>
          <t>RK-ABC70-C</t>
        </is>
      </c>
      <c r="B479" s="33" t="inlineStr">
        <is>
          <t>FL_MAT_ABC_70kg</t>
        </is>
      </c>
      <c r="C479" s="33" t="inlineStr">
        <is>
          <t>Extintor ABC 70 kg sobre ruedas</t>
        </is>
      </c>
      <c r="D479" s="17" t="inlineStr">
        <is>
          <t>C - Cambio obligatorio de polvo (versión anterior de la IRAM 3569)</t>
        </is>
      </c>
      <c r="E479" s="17" t="inlineStr">
        <is>
          <t>Tarjeta de identificación DPS de revisión / recarga</t>
        </is>
      </c>
      <c r="F479" s="33" t="n">
        <v>1</v>
      </c>
      <c r="G479" s="33" t="inlineStr">
        <is>
          <t>u</t>
        </is>
      </c>
      <c r="H479" s="17" t="inlineStr">
        <is>
          <t>Nuevo (PBA)</t>
        </is>
      </c>
      <c r="I479" s="17" t="inlineStr">
        <is>
          <t>IRAM 3517-2:2020 Res. 349/07 art. 21</t>
        </is>
      </c>
      <c r="J479" s="33" t="inlineStr">
        <is>
          <t>Sí</t>
        </is>
      </c>
      <c r="K479" s="17" t="inlineStr">
        <is>
          <t>Ministerio de Ambiente PBA (ex OPDS)</t>
        </is>
      </c>
      <c r="L479" s="17" t="inlineStr">
        <is>
          <t>-</t>
        </is>
      </c>
    </row>
    <row r="480">
      <c r="A480" s="33" t="inlineStr">
        <is>
          <t>RK-ABC70-C</t>
        </is>
      </c>
      <c r="B480" s="33" t="inlineStr">
        <is>
          <t>FL_MAT_ABC_70kg</t>
        </is>
      </c>
      <c r="C480" s="33" t="inlineStr">
        <is>
          <t>Extintor ABC 70 kg sobre ruedas</t>
        </is>
      </c>
      <c r="D480" s="17" t="inlineStr">
        <is>
          <t>C - Cambio obligatorio de polvo (versión anterior de la IRAM 3569)</t>
        </is>
      </c>
      <c r="E480" s="17" t="inlineStr">
        <is>
          <t>Grabado de la fecha del servicio en el tubo de pesca (lápiz vibratorio; en polvo, marcador indeleble)</t>
        </is>
      </c>
      <c r="F480" s="33" t="n">
        <v>1</v>
      </c>
      <c r="G480" s="33" t="inlineStr">
        <is>
          <t>u</t>
        </is>
      </c>
      <c r="H480" s="17" t="inlineStr">
        <is>
          <t>Proceso</t>
        </is>
      </c>
      <c r="I480" s="17" t="inlineStr">
        <is>
          <t>IRAM 3517-2:2020 Res. 349/07 art. 28</t>
        </is>
      </c>
      <c r="J480" s="33" t="inlineStr">
        <is>
          <t>No</t>
        </is>
      </c>
      <c r="K480" s="17" t="n"/>
      <c r="L480" s="17" t="n"/>
    </row>
    <row r="481">
      <c r="A481" s="33" t="inlineStr">
        <is>
          <t>RK-ABC70-C</t>
        </is>
      </c>
      <c r="B481" s="33" t="inlineStr">
        <is>
          <t>FL_MAT_ABC_70kg</t>
        </is>
      </c>
      <c r="C481" s="33" t="inlineStr">
        <is>
          <t>Extintor ABC 70 kg sobre ruedas</t>
        </is>
      </c>
      <c r="D481" s="17" t="inlineStr">
        <is>
          <t>C - Cambio obligatorio de polvo (versión anterior de la IRAM 3569)</t>
        </is>
      </c>
      <c r="E481" s="17" t="inlineStr">
        <is>
          <t>Si hubo PH: oblea de vencimiento de PH + «PH» y fecha grabados en el tubo de pesca (CO₂: fecha y logo estampados en la ojiva)</t>
        </is>
      </c>
      <c r="F481" s="33" t="n">
        <v>1</v>
      </c>
      <c r="G481" s="33" t="inlineStr">
        <is>
          <t>u</t>
        </is>
      </c>
      <c r="H481" s="17" t="inlineStr">
        <is>
          <t>Proceso</t>
        </is>
      </c>
      <c r="I481" s="17" t="inlineStr">
        <is>
          <t>IRAM 3517-2:2020 Res. 349/07 art. 29 · IRAM 3517-2</t>
        </is>
      </c>
      <c r="J481" s="33" t="inlineStr">
        <is>
          <t>No</t>
        </is>
      </c>
      <c r="K481" s="17" t="n"/>
      <c r="L481" s="17" t="n"/>
    </row>
    <row r="482">
      <c r="A482" s="41" t="inlineStr">
        <is>
          <t>RK-ABC70-C</t>
        </is>
      </c>
      <c r="B482" s="41" t="inlineStr">
        <is>
          <t>FL_MAT_ABC_70kg</t>
        </is>
      </c>
      <c r="C482" s="41" t="inlineStr">
        <is>
          <t>Extintor ABC 70 kg sobre ruedas</t>
        </is>
      </c>
      <c r="D482" s="18" t="inlineStr">
        <is>
          <t>C - Cambio obligatorio de polvo (versión anterior de la IRAM 3569)</t>
        </is>
      </c>
      <c r="E482" s="18" t="inlineStr">
        <is>
          <t>Junta tórica de asiento del cuello</t>
        </is>
      </c>
      <c r="F482" s="41" t="n">
        <v>1</v>
      </c>
      <c r="G482" s="41" t="inlineStr">
        <is>
          <t>u</t>
        </is>
      </c>
      <c r="H482" s="18" t="inlineStr">
        <is>
          <t>Nuevo (R: cambio sistemático)</t>
        </is>
      </c>
      <c r="I482" s="18" t="inlineStr"/>
      <c r="J482" s="41" t="inlineStr">
        <is>
          <t>Sí</t>
        </is>
      </c>
      <c r="K482" s="18" t="inlineStr">
        <is>
          <t>Argensold</t>
        </is>
      </c>
      <c r="L482" s="18" t="inlineStr">
        <is>
          <t>Matafuegos Iglesias</t>
        </is>
      </c>
    </row>
    <row r="483">
      <c r="A483" s="33" t="inlineStr">
        <is>
          <t>RK-ABC70-C</t>
        </is>
      </c>
      <c r="B483" s="33" t="inlineStr">
        <is>
          <t>FL_MAT_ABC_70kg</t>
        </is>
      </c>
      <c r="C483" s="33" t="inlineStr">
        <is>
          <t>Extintor ABC 70 kg sobre ruedas</t>
        </is>
      </c>
      <c r="D483" s="17" t="inlineStr">
        <is>
          <t>C - Cambio obligatorio de polvo (versión anterior de la IRAM 3569)</t>
        </is>
      </c>
      <c r="E483" s="17" t="inlineStr">
        <is>
          <t>Gas impulsor N₂</t>
        </is>
      </c>
      <c r="F483" s="33" t="n">
        <v>0.3856</v>
      </c>
      <c r="G483" s="33" t="inlineStr">
        <is>
          <t>kg</t>
        </is>
      </c>
      <c r="H483" s="17" t="inlineStr">
        <is>
          <t>Nuevo</t>
        </is>
      </c>
      <c r="I483" s="17" t="inlineStr">
        <is>
          <t>IRAM 3517-2:2020 9.4.9 tabla 2</t>
        </is>
      </c>
      <c r="J483" s="33" t="inlineStr">
        <is>
          <t>Sí</t>
        </is>
      </c>
      <c r="K483" s="17" t="inlineStr">
        <is>
          <t>Air Liquide Argentina - sucursal Piñeyro</t>
        </is>
      </c>
      <c r="L483" s="17" t="inlineStr">
        <is>
          <t>Gogniat</t>
        </is>
      </c>
    </row>
    <row r="484">
      <c r="A484" s="33" t="inlineStr">
        <is>
          <t>RK-ABC70-I</t>
        </is>
      </c>
      <c r="B484" s="33" t="inlineStr">
        <is>
          <t>FL_MAT_ABC_70kg</t>
        </is>
      </c>
      <c r="C484" s="33" t="inlineStr">
        <is>
          <t>Extintor ABC 70 kg sobre ruedas</t>
        </is>
      </c>
      <c r="D484" s="17" t="inlineStr">
        <is>
          <t>Según inspección (consumo estadístico a definir)</t>
        </is>
      </c>
      <c r="E484" s="17" t="inlineStr">
        <is>
          <t>Manómetro / manguera / tobera / kit de válvula</t>
        </is>
      </c>
      <c r="F484" s="33" t="inlineStr">
        <is>
          <t>-</t>
        </is>
      </c>
      <c r="G484" s="33" t="inlineStr">
        <is>
          <t>u</t>
        </is>
      </c>
      <c r="H484" s="17" t="inlineStr">
        <is>
          <t>Recambio sólo si falla</t>
        </is>
      </c>
      <c r="I484" s="17" t="inlineStr">
        <is>
          <t>IRAM 3517-2:2020 9.4.11 (cada manguera vuelve a su extintor)</t>
        </is>
      </c>
      <c r="J484" s="33" t="inlineStr">
        <is>
          <t>Sí</t>
        </is>
      </c>
      <c r="K484" s="17" t="inlineStr">
        <is>
          <t>Polvex S.R.L. / Sancibrao</t>
        </is>
      </c>
      <c r="L484" s="17" t="inlineStr">
        <is>
          <t>Yukon / MatafuegosYa S.R.L.</t>
        </is>
      </c>
    </row>
    <row r="485">
      <c r="A485" s="33" t="inlineStr">
        <is>
          <t>RK-ABC100-A</t>
        </is>
      </c>
      <c r="B485" s="33" t="inlineStr">
        <is>
          <t>FL_MAT_ABC_100kg</t>
        </is>
      </c>
      <c r="C485" s="33" t="inlineStr">
        <is>
          <t>Extintor ABC 100 kg sobre ruedas</t>
        </is>
      </c>
      <c r="D485" s="17" t="inlineStr">
        <is>
          <t>A - Extintor descargado (uso o descarga parcial)</t>
        </is>
      </c>
      <c r="E485" s="17" t="inlineStr">
        <is>
          <t>Polvo químico seco ABC (fosfato monoamónico)</t>
        </is>
      </c>
      <c r="F485" s="33" t="n">
        <v>100</v>
      </c>
      <c r="G485" s="33" t="inlineStr">
        <is>
          <t>kg</t>
        </is>
      </c>
      <c r="H485" s="17" t="inlineStr">
        <is>
          <t>Nuevo 100 %</t>
        </is>
      </c>
      <c r="I485" s="17" t="inlineStr">
        <is>
          <t>IRAM 3517-2:2020 9.9.1.4: el polvo de un extintor accionado no se reutiliza</t>
        </is>
      </c>
      <c r="J485" s="33" t="inlineStr">
        <is>
          <t>Sí</t>
        </is>
      </c>
      <c r="K485" s="17" t="inlineStr">
        <is>
          <t>DEM S.A. (DEMSA)</t>
        </is>
      </c>
      <c r="L485" s="17" t="inlineStr">
        <is>
          <t>Polvex S.R.L. / Sancibrao</t>
        </is>
      </c>
    </row>
    <row r="486">
      <c r="A486" s="33" t="inlineStr">
        <is>
          <t>RK-ABC100-A</t>
        </is>
      </c>
      <c r="B486" s="33" t="inlineStr">
        <is>
          <t>FL_MAT_ABC_100kg</t>
        </is>
      </c>
      <c r="C486" s="33" t="inlineStr">
        <is>
          <t>Extintor ABC 100 kg sobre ruedas</t>
        </is>
      </c>
      <c r="D486" s="17" t="inlineStr">
        <is>
          <t>A - Extintor descargado (uso o descarga parcial)</t>
        </is>
      </c>
      <c r="E486" s="17" t="inlineStr">
        <is>
          <t>Precinto plástico numerado, color, con nombre del recargador</t>
        </is>
      </c>
      <c r="F486" s="33" t="n">
        <v>1</v>
      </c>
      <c r="G486" s="33" t="inlineStr">
        <is>
          <t>u</t>
        </is>
      </c>
      <c r="H486" s="17" t="inlineStr">
        <is>
          <t>Nuevo</t>
        </is>
      </c>
      <c r="I486" s="17" t="inlineStr">
        <is>
          <t>IRAM 3517-2:2020 9.4.13</t>
        </is>
      </c>
      <c r="J486" s="33" t="inlineStr">
        <is>
          <t>Sí</t>
        </is>
      </c>
      <c r="K486" s="17" t="inlineStr">
        <is>
          <t>SonFuertes (vía Papelera Damián)</t>
        </is>
      </c>
      <c r="L486" s="17" t="inlineStr">
        <is>
          <t>Precinter S.R.L.</t>
        </is>
      </c>
    </row>
    <row r="487">
      <c r="A487" s="33" t="inlineStr">
        <is>
          <t>RK-ABC100-A</t>
        </is>
      </c>
      <c r="B487" s="33" t="inlineStr">
        <is>
          <t>FL_MAT_ABC_100kg</t>
        </is>
      </c>
      <c r="C487" s="33" t="inlineStr">
        <is>
          <t>Extintor ABC 100 kg sobre ruedas</t>
        </is>
      </c>
      <c r="D487" s="17" t="inlineStr">
        <is>
          <t>A - Extintor descargado (uso o descarga parcial)</t>
        </is>
      </c>
      <c r="E487" s="17" t="inlineStr">
        <is>
          <t>Marbete (anillo, color del año)</t>
        </is>
      </c>
      <c r="F487" s="33" t="n">
        <v>1</v>
      </c>
      <c r="G487" s="33" t="inlineStr">
        <is>
          <t>u</t>
        </is>
      </c>
      <c r="H487" s="17" t="inlineStr">
        <is>
          <t>Nuevo</t>
        </is>
      </c>
      <c r="I487" s="17" t="inlineStr">
        <is>
          <t>IRAM 3517-2:2020 9.4.14 · fig. 9 · tabla 4</t>
        </is>
      </c>
      <c r="J487" s="33" t="inlineStr">
        <is>
          <t>Sí</t>
        </is>
      </c>
      <c r="K487" s="17" t="inlineStr">
        <is>
          <t>Astuprint</t>
        </is>
      </c>
      <c r="L487" s="17" t="inlineStr">
        <is>
          <t>Multilabel Argentina S.A.</t>
        </is>
      </c>
    </row>
    <row r="488">
      <c r="A488" s="33" t="inlineStr">
        <is>
          <t>RK-ABC100-A</t>
        </is>
      </c>
      <c r="B488" s="33" t="inlineStr">
        <is>
          <t>FL_MAT_ABC_100kg</t>
        </is>
      </c>
      <c r="C488" s="33" t="inlineStr">
        <is>
          <t>Extintor ABC 100 kg sobre ruedas</t>
        </is>
      </c>
      <c r="D488" s="17" t="inlineStr">
        <is>
          <t>A - Extintor descargado (uso o descarga parcial)</t>
        </is>
      </c>
      <c r="E488" s="17" t="inlineStr">
        <is>
          <t>Etiqueta de servicio del recargador (extintor n°, serie, próxima recarga y PH)</t>
        </is>
      </c>
      <c r="F488" s="33" t="n">
        <v>1</v>
      </c>
      <c r="G488" s="33" t="inlineStr">
        <is>
          <t>u</t>
        </is>
      </c>
      <c r="H488" s="17" t="inlineStr">
        <is>
          <t>Nuevo</t>
        </is>
      </c>
      <c r="I488" s="17" t="inlineStr">
        <is>
          <t>IRAM 3517-2:2020 8.3.3 · relevado Suyai/Firegram</t>
        </is>
      </c>
      <c r="J488" s="33" t="inlineStr">
        <is>
          <t>Sí</t>
        </is>
      </c>
      <c r="K488" s="17" t="inlineStr">
        <is>
          <t>Astuprint</t>
        </is>
      </c>
      <c r="L488" s="17" t="inlineStr">
        <is>
          <t>Multilabel Argentina S.A.</t>
        </is>
      </c>
    </row>
    <row r="489">
      <c r="A489" s="33" t="inlineStr">
        <is>
          <t>RK-ABC100-A</t>
        </is>
      </c>
      <c r="B489" s="33" t="inlineStr">
        <is>
          <t>FL_MAT_ABC_100kg</t>
        </is>
      </c>
      <c r="C489" s="33" t="inlineStr">
        <is>
          <t>Extintor ABC 100 kg sobre ruedas</t>
        </is>
      </c>
      <c r="D489" s="17" t="inlineStr">
        <is>
          <t>A - Extintor descargado (uso o descarga parcial)</t>
        </is>
      </c>
      <c r="E489" s="17" t="inlineStr">
        <is>
          <t>Oblea PBA de recarga Ø46 + estampilla precinto 1" × 200 mm válvula-cuerpo</t>
        </is>
      </c>
      <c r="F489" s="33" t="n">
        <v>1</v>
      </c>
      <c r="G489" s="33" t="inlineStr">
        <is>
          <t>u</t>
        </is>
      </c>
      <c r="H489" s="17" t="inlineStr">
        <is>
          <t>Nuevo (venta en PBA)</t>
        </is>
      </c>
      <c r="I489" s="17" t="inlineStr">
        <is>
          <t>IRAM 3517-2:2020 Res. OPDS 522/07</t>
        </is>
      </c>
      <c r="J489" s="33" t="inlineStr">
        <is>
          <t>Sí</t>
        </is>
      </c>
      <c r="K489" s="17" t="inlineStr">
        <is>
          <t>Ministerio de Ambiente PBA (ex OPDS)</t>
        </is>
      </c>
      <c r="L489" s="17" t="inlineStr">
        <is>
          <t>-</t>
        </is>
      </c>
    </row>
    <row r="490">
      <c r="A490" s="33" t="inlineStr">
        <is>
          <t>RK-ABC100-A</t>
        </is>
      </c>
      <c r="B490" s="33" t="inlineStr">
        <is>
          <t>FL_MAT_ABC_100kg</t>
        </is>
      </c>
      <c r="C490" s="33" t="inlineStr">
        <is>
          <t>Extintor ABC 100 kg sobre ruedas</t>
        </is>
      </c>
      <c r="D490" s="17" t="inlineStr">
        <is>
          <t>A - Extintor descargado (uso o descarga parcial)</t>
        </is>
      </c>
      <c r="E490" s="17" t="inlineStr">
        <is>
          <t>Tarjeta de identificación AGC (módulo papel con QR + etiqueta AGC)</t>
        </is>
      </c>
      <c r="F490" s="33" t="n">
        <v>1</v>
      </c>
      <c r="G490" s="33" t="inlineStr">
        <is>
          <t>u</t>
        </is>
      </c>
      <c r="H490" s="17" t="inlineStr">
        <is>
          <t>Nuevo (destino CABA)</t>
        </is>
      </c>
      <c r="I490" s="17" t="inlineStr">
        <is>
          <t>IRAM 3517-2:2020 Ord. 40.473 art. 6 · Res. AGC 32/15</t>
        </is>
      </c>
      <c r="J490" s="33" t="inlineStr">
        <is>
          <t>Sí</t>
        </is>
      </c>
      <c r="K490" s="17" t="inlineStr">
        <is>
          <t>Agencia Gubernamental de Control (CABA)</t>
        </is>
      </c>
      <c r="L490" s="17" t="inlineStr">
        <is>
          <t>-</t>
        </is>
      </c>
    </row>
    <row r="491">
      <c r="A491" s="33" t="inlineStr">
        <is>
          <t>RK-ABC100-A</t>
        </is>
      </c>
      <c r="B491" s="33" t="inlineStr">
        <is>
          <t>FL_MAT_ABC_100kg</t>
        </is>
      </c>
      <c r="C491" s="33" t="inlineStr">
        <is>
          <t>Extintor ABC 100 kg sobre ruedas</t>
        </is>
      </c>
      <c r="D491" s="17" t="inlineStr">
        <is>
          <t>A - Extintor descargado (uso o descarga parcial)</t>
        </is>
      </c>
      <c r="E491" s="17" t="inlineStr">
        <is>
          <t>Tarjeta de identificación DPS de revisión / recarga</t>
        </is>
      </c>
      <c r="F491" s="33" t="n">
        <v>1</v>
      </c>
      <c r="G491" s="33" t="inlineStr">
        <is>
          <t>u</t>
        </is>
      </c>
      <c r="H491" s="17" t="inlineStr">
        <is>
          <t>Nuevo (PBA)</t>
        </is>
      </c>
      <c r="I491" s="17" t="inlineStr">
        <is>
          <t>IRAM 3517-2:2020 Res. 349/07 art. 21</t>
        </is>
      </c>
      <c r="J491" s="33" t="inlineStr">
        <is>
          <t>Sí</t>
        </is>
      </c>
      <c r="K491" s="17" t="inlineStr">
        <is>
          <t>Ministerio de Ambiente PBA (ex OPDS)</t>
        </is>
      </c>
      <c r="L491" s="17" t="inlineStr">
        <is>
          <t>-</t>
        </is>
      </c>
    </row>
    <row r="492">
      <c r="A492" s="33" t="inlineStr">
        <is>
          <t>RK-ABC100-A</t>
        </is>
      </c>
      <c r="B492" s="33" t="inlineStr">
        <is>
          <t>FL_MAT_ABC_100kg</t>
        </is>
      </c>
      <c r="C492" s="33" t="inlineStr">
        <is>
          <t>Extintor ABC 100 kg sobre ruedas</t>
        </is>
      </c>
      <c r="D492" s="17" t="inlineStr">
        <is>
          <t>A - Extintor descargado (uso o descarga parcial)</t>
        </is>
      </c>
      <c r="E492" s="17" t="inlineStr">
        <is>
          <t>Grabado de la fecha del servicio en el tubo de pesca (lápiz vibratorio; en polvo, marcador indeleble)</t>
        </is>
      </c>
      <c r="F492" s="33" t="n">
        <v>1</v>
      </c>
      <c r="G492" s="33" t="inlineStr">
        <is>
          <t>u</t>
        </is>
      </c>
      <c r="H492" s="17" t="inlineStr">
        <is>
          <t>Proceso</t>
        </is>
      </c>
      <c r="I492" s="17" t="inlineStr">
        <is>
          <t>IRAM 3517-2:2020 Res. 349/07 art. 28</t>
        </is>
      </c>
      <c r="J492" s="33" t="inlineStr">
        <is>
          <t>No</t>
        </is>
      </c>
      <c r="K492" s="17" t="n"/>
      <c r="L492" s="17" t="n"/>
    </row>
    <row r="493">
      <c r="A493" s="33" t="inlineStr">
        <is>
          <t>RK-ABC100-A</t>
        </is>
      </c>
      <c r="B493" s="33" t="inlineStr">
        <is>
          <t>FL_MAT_ABC_100kg</t>
        </is>
      </c>
      <c r="C493" s="33" t="inlineStr">
        <is>
          <t>Extintor ABC 100 kg sobre ruedas</t>
        </is>
      </c>
      <c r="D493" s="17" t="inlineStr">
        <is>
          <t>A - Extintor descargado (uso o descarga parcial)</t>
        </is>
      </c>
      <c r="E493" s="17" t="inlineStr">
        <is>
          <t>Si hubo PH: oblea de vencimiento de PH + «PH» y fecha grabados en el tubo de pesca (CO₂: fecha y logo estampados en la ojiva)</t>
        </is>
      </c>
      <c r="F493" s="33" t="n">
        <v>1</v>
      </c>
      <c r="G493" s="33" t="inlineStr">
        <is>
          <t>u</t>
        </is>
      </c>
      <c r="H493" s="17" t="inlineStr">
        <is>
          <t>Proceso</t>
        </is>
      </c>
      <c r="I493" s="17" t="inlineStr">
        <is>
          <t>IRAM 3517-2:2020 Res. 349/07 art. 29 · IRAM 3517-2</t>
        </is>
      </c>
      <c r="J493" s="33" t="inlineStr">
        <is>
          <t>No</t>
        </is>
      </c>
      <c r="K493" s="17" t="n"/>
      <c r="L493" s="17" t="n"/>
    </row>
    <row r="494">
      <c r="A494" s="41" t="inlineStr">
        <is>
          <t>RK-ABC100-A</t>
        </is>
      </c>
      <c r="B494" s="41" t="inlineStr">
        <is>
          <t>FL_MAT_ABC_100kg</t>
        </is>
      </c>
      <c r="C494" s="41" t="inlineStr">
        <is>
          <t>Extintor ABC 100 kg sobre ruedas</t>
        </is>
      </c>
      <c r="D494" s="18" t="inlineStr">
        <is>
          <t>A - Extintor descargado (uso o descarga parcial)</t>
        </is>
      </c>
      <c r="E494" s="18" t="inlineStr">
        <is>
          <t>Junta tórica de asiento del cuello</t>
        </is>
      </c>
      <c r="F494" s="41" t="n">
        <v>1</v>
      </c>
      <c r="G494" s="41" t="inlineStr">
        <is>
          <t>u</t>
        </is>
      </c>
      <c r="H494" s="18" t="inlineStr">
        <is>
          <t>Nuevo (R: cambio sistemático)</t>
        </is>
      </c>
      <c r="I494" s="18" t="inlineStr"/>
      <c r="J494" s="41" t="inlineStr">
        <is>
          <t>Sí</t>
        </is>
      </c>
      <c r="K494" s="18" t="inlineStr">
        <is>
          <t>Argensold</t>
        </is>
      </c>
      <c r="L494" s="18" t="inlineStr">
        <is>
          <t>Matafuegos Iglesias</t>
        </is>
      </c>
    </row>
    <row r="495">
      <c r="A495" s="33" t="inlineStr">
        <is>
          <t>RK-ABC100-A</t>
        </is>
      </c>
      <c r="B495" s="33" t="inlineStr">
        <is>
          <t>FL_MAT_ABC_100kg</t>
        </is>
      </c>
      <c r="C495" s="33" t="inlineStr">
        <is>
          <t>Extintor ABC 100 kg sobre ruedas</t>
        </is>
      </c>
      <c r="D495" s="17" t="inlineStr">
        <is>
          <t>A - Extintor descargado (uso o descarga parcial)</t>
        </is>
      </c>
      <c r="E495" s="17" t="inlineStr">
        <is>
          <t>Gas impulsor N₂</t>
        </is>
      </c>
      <c r="F495" s="33" t="n">
        <v>0.5534</v>
      </c>
      <c r="G495" s="33" t="inlineStr">
        <is>
          <t>kg</t>
        </is>
      </c>
      <c r="H495" s="17" t="inlineStr">
        <is>
          <t>Nuevo</t>
        </is>
      </c>
      <c r="I495" s="17" t="inlineStr">
        <is>
          <t>IRAM 3517-2:2020 9.4.9 tabla 2</t>
        </is>
      </c>
      <c r="J495" s="33" t="inlineStr">
        <is>
          <t>Sí</t>
        </is>
      </c>
      <c r="K495" s="17" t="inlineStr">
        <is>
          <t>Air Liquide Argentina - sucursal Piñeyro</t>
        </is>
      </c>
      <c r="L495" s="17" t="inlineStr">
        <is>
          <t>Gogniat</t>
        </is>
      </c>
    </row>
    <row r="496">
      <c r="A496" s="33" t="inlineStr">
        <is>
          <t>RK-ABC100-B</t>
        </is>
      </c>
      <c r="B496" s="33" t="inlineStr">
        <is>
          <t>FL_MAT_ABC_100kg</t>
        </is>
      </c>
      <c r="C496" s="33" t="inlineStr">
        <is>
          <t>Extintor ABC 100 kg sobre ruedas</t>
        </is>
      </c>
      <c r="D496" s="17" t="inlineStr">
        <is>
          <t>B - Mantenimiento con apertura sin descarga (control interior, PH)</t>
        </is>
      </c>
      <c r="E496" s="17" t="inlineStr">
        <is>
          <t>Polvo químico seco ABC (fosfato monoamónico) recuperado</t>
        </is>
      </c>
      <c r="F496" s="33" t="n">
        <v>97</v>
      </c>
      <c r="G496" s="33" t="inlineStr">
        <is>
          <t>kg</t>
        </is>
      </c>
      <c r="H496" s="17" t="inlineStr">
        <is>
          <t>Recuperado en sistema cerrado</t>
        </is>
      </c>
      <c r="I496" s="17" t="inlineStr">
        <is>
          <t>IRAM 3517-2:2020 4.4.1 y) sistema cerrado de recuperación con inspección; 9.9.3 control (puffer IRAM 3672, fusión IRAM 3569 en ABC)</t>
        </is>
      </c>
      <c r="J496" s="33" t="inlineStr">
        <is>
          <t>No</t>
        </is>
      </c>
      <c r="K496" s="17" t="n"/>
      <c r="L496" s="17" t="n"/>
    </row>
    <row r="497">
      <c r="A497" s="41" t="inlineStr">
        <is>
          <t>RK-ABC100-B</t>
        </is>
      </c>
      <c r="B497" s="41" t="inlineStr">
        <is>
          <t>FL_MAT_ABC_100kg</t>
        </is>
      </c>
      <c r="C497" s="41" t="inlineStr">
        <is>
          <t>Extintor ABC 100 kg sobre ruedas</t>
        </is>
      </c>
      <c r="D497" s="18" t="inlineStr">
        <is>
          <t>B - Mantenimiento con apertura sin descarga (control interior, PH)</t>
        </is>
      </c>
      <c r="E497" s="18" t="inlineStr">
        <is>
          <t>Polvo químico seco ABC (fosfato monoamónico) de reposición de mermas</t>
        </is>
      </c>
      <c r="F497" s="41" t="n">
        <v>3</v>
      </c>
      <c r="G497" s="41" t="inlineStr">
        <is>
          <t>kg</t>
        </is>
      </c>
      <c r="H497" s="18" t="inlineStr">
        <is>
          <t>Nuevo (R: 3 % de merma)</t>
        </is>
      </c>
      <c r="I497" s="18" t="inlineStr">
        <is>
          <t>Mismo tipo y marca (prohibido mezclar ABC con BC, 9.9.1.6)</t>
        </is>
      </c>
      <c r="J497" s="41" t="inlineStr">
        <is>
          <t>Sí</t>
        </is>
      </c>
      <c r="K497" s="18" t="inlineStr">
        <is>
          <t>DEM S.A. (DEMSA)</t>
        </is>
      </c>
      <c r="L497" s="18" t="inlineStr">
        <is>
          <t>Polvex S.R.L. / Sancibrao</t>
        </is>
      </c>
    </row>
    <row r="498">
      <c r="A498" s="33" t="inlineStr">
        <is>
          <t>RK-ABC100-B</t>
        </is>
      </c>
      <c r="B498" s="33" t="inlineStr">
        <is>
          <t>FL_MAT_ABC_100kg</t>
        </is>
      </c>
      <c r="C498" s="33" t="inlineStr">
        <is>
          <t>Extintor ABC 100 kg sobre ruedas</t>
        </is>
      </c>
      <c r="D498" s="17" t="inlineStr">
        <is>
          <t>B - Mantenimiento con apertura sin descarga (control interior, PH)</t>
        </is>
      </c>
      <c r="E498" s="17" t="inlineStr">
        <is>
          <t>Precinto plástico numerado, color, con nombre del recargador</t>
        </is>
      </c>
      <c r="F498" s="33" t="n">
        <v>1</v>
      </c>
      <c r="G498" s="33" t="inlineStr">
        <is>
          <t>u</t>
        </is>
      </c>
      <c r="H498" s="17" t="inlineStr">
        <is>
          <t>Nuevo</t>
        </is>
      </c>
      <c r="I498" s="17" t="inlineStr">
        <is>
          <t>IRAM 3517-2:2020 9.4.13</t>
        </is>
      </c>
      <c r="J498" s="33" t="inlineStr">
        <is>
          <t>Sí</t>
        </is>
      </c>
      <c r="K498" s="17" t="inlineStr">
        <is>
          <t>SonFuertes (vía Papelera Damián)</t>
        </is>
      </c>
      <c r="L498" s="17" t="inlineStr">
        <is>
          <t>Precinter S.R.L.</t>
        </is>
      </c>
    </row>
    <row r="499">
      <c r="A499" s="33" t="inlineStr">
        <is>
          <t>RK-ABC100-B</t>
        </is>
      </c>
      <c r="B499" s="33" t="inlineStr">
        <is>
          <t>FL_MAT_ABC_100kg</t>
        </is>
      </c>
      <c r="C499" s="33" t="inlineStr">
        <is>
          <t>Extintor ABC 100 kg sobre ruedas</t>
        </is>
      </c>
      <c r="D499" s="17" t="inlineStr">
        <is>
          <t>B - Mantenimiento con apertura sin descarga (control interior, PH)</t>
        </is>
      </c>
      <c r="E499" s="17" t="inlineStr">
        <is>
          <t>Marbete (anillo, color del año)</t>
        </is>
      </c>
      <c r="F499" s="33" t="n">
        <v>1</v>
      </c>
      <c r="G499" s="33" t="inlineStr">
        <is>
          <t>u</t>
        </is>
      </c>
      <c r="H499" s="17" t="inlineStr">
        <is>
          <t>Nuevo</t>
        </is>
      </c>
      <c r="I499" s="17" t="inlineStr">
        <is>
          <t>IRAM 3517-2:2020 9.4.14 · fig. 9 · tabla 4</t>
        </is>
      </c>
      <c r="J499" s="33" t="inlineStr">
        <is>
          <t>Sí</t>
        </is>
      </c>
      <c r="K499" s="17" t="inlineStr">
        <is>
          <t>Astuprint</t>
        </is>
      </c>
      <c r="L499" s="17" t="inlineStr">
        <is>
          <t>Multilabel Argentina S.A.</t>
        </is>
      </c>
    </row>
    <row r="500">
      <c r="A500" s="33" t="inlineStr">
        <is>
          <t>RK-ABC100-B</t>
        </is>
      </c>
      <c r="B500" s="33" t="inlineStr">
        <is>
          <t>FL_MAT_ABC_100kg</t>
        </is>
      </c>
      <c r="C500" s="33" t="inlineStr">
        <is>
          <t>Extintor ABC 100 kg sobre ruedas</t>
        </is>
      </c>
      <c r="D500" s="17" t="inlineStr">
        <is>
          <t>B - Mantenimiento con apertura sin descarga (control interior, PH)</t>
        </is>
      </c>
      <c r="E500" s="17" t="inlineStr">
        <is>
          <t>Etiqueta de servicio del recargador (extintor n°, serie, próxima recarga y PH)</t>
        </is>
      </c>
      <c r="F500" s="33" t="n">
        <v>1</v>
      </c>
      <c r="G500" s="33" t="inlineStr">
        <is>
          <t>u</t>
        </is>
      </c>
      <c r="H500" s="17" t="inlineStr">
        <is>
          <t>Nuevo</t>
        </is>
      </c>
      <c r="I500" s="17" t="inlineStr">
        <is>
          <t>IRAM 3517-2:2020 8.3.3 · relevado Suyai/Firegram</t>
        </is>
      </c>
      <c r="J500" s="33" t="inlineStr">
        <is>
          <t>Sí</t>
        </is>
      </c>
      <c r="K500" s="17" t="inlineStr">
        <is>
          <t>Astuprint</t>
        </is>
      </c>
      <c r="L500" s="17" t="inlineStr">
        <is>
          <t>Multilabel Argentina S.A.</t>
        </is>
      </c>
    </row>
    <row r="501">
      <c r="A501" s="33" t="inlineStr">
        <is>
          <t>RK-ABC100-B</t>
        </is>
      </c>
      <c r="B501" s="33" t="inlineStr">
        <is>
          <t>FL_MAT_ABC_100kg</t>
        </is>
      </c>
      <c r="C501" s="33" t="inlineStr">
        <is>
          <t>Extintor ABC 100 kg sobre ruedas</t>
        </is>
      </c>
      <c r="D501" s="17" t="inlineStr">
        <is>
          <t>B - Mantenimiento con apertura sin descarga (control interior, PH)</t>
        </is>
      </c>
      <c r="E501" s="17" t="inlineStr">
        <is>
          <t>Oblea PBA de recarga Ø46 + estampilla precinto 1" × 200 mm válvula-cuerpo</t>
        </is>
      </c>
      <c r="F501" s="33" t="n">
        <v>1</v>
      </c>
      <c r="G501" s="33" t="inlineStr">
        <is>
          <t>u</t>
        </is>
      </c>
      <c r="H501" s="17" t="inlineStr">
        <is>
          <t>Nuevo (venta en PBA)</t>
        </is>
      </c>
      <c r="I501" s="17" t="inlineStr">
        <is>
          <t>IRAM 3517-2:2020 Res. OPDS 522/07</t>
        </is>
      </c>
      <c r="J501" s="33" t="inlineStr">
        <is>
          <t>Sí</t>
        </is>
      </c>
      <c r="K501" s="17" t="inlineStr">
        <is>
          <t>Ministerio de Ambiente PBA (ex OPDS)</t>
        </is>
      </c>
      <c r="L501" s="17" t="inlineStr">
        <is>
          <t>-</t>
        </is>
      </c>
    </row>
    <row r="502">
      <c r="A502" s="33" t="inlineStr">
        <is>
          <t>RK-ABC100-B</t>
        </is>
      </c>
      <c r="B502" s="33" t="inlineStr">
        <is>
          <t>FL_MAT_ABC_100kg</t>
        </is>
      </c>
      <c r="C502" s="33" t="inlineStr">
        <is>
          <t>Extintor ABC 100 kg sobre ruedas</t>
        </is>
      </c>
      <c r="D502" s="17" t="inlineStr">
        <is>
          <t>B - Mantenimiento con apertura sin descarga (control interior, PH)</t>
        </is>
      </c>
      <c r="E502" s="17" t="inlineStr">
        <is>
          <t>Tarjeta de identificación AGC (módulo papel con QR + etiqueta AGC)</t>
        </is>
      </c>
      <c r="F502" s="33" t="n">
        <v>1</v>
      </c>
      <c r="G502" s="33" t="inlineStr">
        <is>
          <t>u</t>
        </is>
      </c>
      <c r="H502" s="17" t="inlineStr">
        <is>
          <t>Nuevo (destino CABA)</t>
        </is>
      </c>
      <c r="I502" s="17" t="inlineStr">
        <is>
          <t>IRAM 3517-2:2020 Ord. 40.473 art. 6 · Res. AGC 32/15</t>
        </is>
      </c>
      <c r="J502" s="33" t="inlineStr">
        <is>
          <t>Sí</t>
        </is>
      </c>
      <c r="K502" s="17" t="inlineStr">
        <is>
          <t>Agencia Gubernamental de Control (CABA)</t>
        </is>
      </c>
      <c r="L502" s="17" t="inlineStr">
        <is>
          <t>-</t>
        </is>
      </c>
    </row>
    <row r="503">
      <c r="A503" s="33" t="inlineStr">
        <is>
          <t>RK-ABC100-B</t>
        </is>
      </c>
      <c r="B503" s="33" t="inlineStr">
        <is>
          <t>FL_MAT_ABC_100kg</t>
        </is>
      </c>
      <c r="C503" s="33" t="inlineStr">
        <is>
          <t>Extintor ABC 100 kg sobre ruedas</t>
        </is>
      </c>
      <c r="D503" s="17" t="inlineStr">
        <is>
          <t>B - Mantenimiento con apertura sin descarga (control interior, PH)</t>
        </is>
      </c>
      <c r="E503" s="17" t="inlineStr">
        <is>
          <t>Tarjeta de identificación DPS de revisión / recarga</t>
        </is>
      </c>
      <c r="F503" s="33" t="n">
        <v>1</v>
      </c>
      <c r="G503" s="33" t="inlineStr">
        <is>
          <t>u</t>
        </is>
      </c>
      <c r="H503" s="17" t="inlineStr">
        <is>
          <t>Nuevo (PBA)</t>
        </is>
      </c>
      <c r="I503" s="17" t="inlineStr">
        <is>
          <t>IRAM 3517-2:2020 Res. 349/07 art. 21</t>
        </is>
      </c>
      <c r="J503" s="33" t="inlineStr">
        <is>
          <t>Sí</t>
        </is>
      </c>
      <c r="K503" s="17" t="inlineStr">
        <is>
          <t>Ministerio de Ambiente PBA (ex OPDS)</t>
        </is>
      </c>
      <c r="L503" s="17" t="inlineStr">
        <is>
          <t>-</t>
        </is>
      </c>
    </row>
    <row r="504">
      <c r="A504" s="33" t="inlineStr">
        <is>
          <t>RK-ABC100-B</t>
        </is>
      </c>
      <c r="B504" s="33" t="inlineStr">
        <is>
          <t>FL_MAT_ABC_100kg</t>
        </is>
      </c>
      <c r="C504" s="33" t="inlineStr">
        <is>
          <t>Extintor ABC 100 kg sobre ruedas</t>
        </is>
      </c>
      <c r="D504" s="17" t="inlineStr">
        <is>
          <t>B - Mantenimiento con apertura sin descarga (control interior, PH)</t>
        </is>
      </c>
      <c r="E504" s="17" t="inlineStr">
        <is>
          <t>Grabado de la fecha del servicio en el tubo de pesca (lápiz vibratorio; en polvo, marcador indeleble)</t>
        </is>
      </c>
      <c r="F504" s="33" t="n">
        <v>1</v>
      </c>
      <c r="G504" s="33" t="inlineStr">
        <is>
          <t>u</t>
        </is>
      </c>
      <c r="H504" s="17" t="inlineStr">
        <is>
          <t>Proceso</t>
        </is>
      </c>
      <c r="I504" s="17" t="inlineStr">
        <is>
          <t>IRAM 3517-2:2020 Res. 349/07 art. 28</t>
        </is>
      </c>
      <c r="J504" s="33" t="inlineStr">
        <is>
          <t>No</t>
        </is>
      </c>
      <c r="K504" s="17" t="n"/>
      <c r="L504" s="17" t="n"/>
    </row>
    <row r="505">
      <c r="A505" s="33" t="inlineStr">
        <is>
          <t>RK-ABC100-B</t>
        </is>
      </c>
      <c r="B505" s="33" t="inlineStr">
        <is>
          <t>FL_MAT_ABC_100kg</t>
        </is>
      </c>
      <c r="C505" s="33" t="inlineStr">
        <is>
          <t>Extintor ABC 100 kg sobre ruedas</t>
        </is>
      </c>
      <c r="D505" s="17" t="inlineStr">
        <is>
          <t>B - Mantenimiento con apertura sin descarga (control interior, PH)</t>
        </is>
      </c>
      <c r="E505" s="17" t="inlineStr">
        <is>
          <t>Si hubo PH: oblea de vencimiento de PH + «PH» y fecha grabados en el tubo de pesca (CO₂: fecha y logo estampados en la ojiva)</t>
        </is>
      </c>
      <c r="F505" s="33" t="n">
        <v>1</v>
      </c>
      <c r="G505" s="33" t="inlineStr">
        <is>
          <t>u</t>
        </is>
      </c>
      <c r="H505" s="17" t="inlineStr">
        <is>
          <t>Proceso</t>
        </is>
      </c>
      <c r="I505" s="17" t="inlineStr">
        <is>
          <t>IRAM 3517-2:2020 Res. 349/07 art. 29 · IRAM 3517-2</t>
        </is>
      </c>
      <c r="J505" s="33" t="inlineStr">
        <is>
          <t>No</t>
        </is>
      </c>
      <c r="K505" s="17" t="n"/>
      <c r="L505" s="17" t="n"/>
    </row>
    <row r="506">
      <c r="A506" s="41" t="inlineStr">
        <is>
          <t>RK-ABC100-B</t>
        </is>
      </c>
      <c r="B506" s="41" t="inlineStr">
        <is>
          <t>FL_MAT_ABC_100kg</t>
        </is>
      </c>
      <c r="C506" s="41" t="inlineStr">
        <is>
          <t>Extintor ABC 100 kg sobre ruedas</t>
        </is>
      </c>
      <c r="D506" s="18" t="inlineStr">
        <is>
          <t>B - Mantenimiento con apertura sin descarga (control interior, PH)</t>
        </is>
      </c>
      <c r="E506" s="18" t="inlineStr">
        <is>
          <t>Junta tórica de asiento del cuello</t>
        </is>
      </c>
      <c r="F506" s="41" t="n">
        <v>1</v>
      </c>
      <c r="G506" s="41" t="inlineStr">
        <is>
          <t>u</t>
        </is>
      </c>
      <c r="H506" s="18" t="inlineStr">
        <is>
          <t>Nuevo (R: cambio sistemático)</t>
        </is>
      </c>
      <c r="I506" s="18" t="inlineStr"/>
      <c r="J506" s="41" t="inlineStr">
        <is>
          <t>Sí</t>
        </is>
      </c>
      <c r="K506" s="18" t="inlineStr">
        <is>
          <t>Argensold</t>
        </is>
      </c>
      <c r="L506" s="18" t="inlineStr">
        <is>
          <t>Matafuegos Iglesias</t>
        </is>
      </c>
    </row>
    <row r="507">
      <c r="A507" s="33" t="inlineStr">
        <is>
          <t>RK-ABC100-B</t>
        </is>
      </c>
      <c r="B507" s="33" t="inlineStr">
        <is>
          <t>FL_MAT_ABC_100kg</t>
        </is>
      </c>
      <c r="C507" s="33" t="inlineStr">
        <is>
          <t>Extintor ABC 100 kg sobre ruedas</t>
        </is>
      </c>
      <c r="D507" s="17" t="inlineStr">
        <is>
          <t>B - Mantenimiento con apertura sin descarga (control interior, PH)</t>
        </is>
      </c>
      <c r="E507" s="17" t="inlineStr">
        <is>
          <t>Gas impulsor N₂</t>
        </is>
      </c>
      <c r="F507" s="33" t="n">
        <v>0.5534</v>
      </c>
      <c r="G507" s="33" t="inlineStr">
        <is>
          <t>kg</t>
        </is>
      </c>
      <c r="H507" s="17" t="inlineStr">
        <is>
          <t>Nuevo</t>
        </is>
      </c>
      <c r="I507" s="17" t="inlineStr">
        <is>
          <t>IRAM 3517-2:2020 9.4.9 tabla 2</t>
        </is>
      </c>
      <c r="J507" s="33" t="inlineStr">
        <is>
          <t>Sí</t>
        </is>
      </c>
      <c r="K507" s="17" t="inlineStr">
        <is>
          <t>Air Liquide Argentina - sucursal Piñeyro</t>
        </is>
      </c>
      <c r="L507" s="17" t="inlineStr">
        <is>
          <t>Gogniat</t>
        </is>
      </c>
    </row>
    <row r="508">
      <c r="A508" s="33" t="inlineStr">
        <is>
          <t>RK-ABC100-C</t>
        </is>
      </c>
      <c r="B508" s="33" t="inlineStr">
        <is>
          <t>FL_MAT_ABC_100kg</t>
        </is>
      </c>
      <c r="C508" s="33" t="inlineStr">
        <is>
          <t>Extintor ABC 100 kg sobre ruedas</t>
        </is>
      </c>
      <c r="D508" s="17" t="inlineStr">
        <is>
          <t>C - Cambio obligatorio de polvo (versión anterior de la IRAM 3569)</t>
        </is>
      </c>
      <c r="E508" s="17" t="inlineStr">
        <is>
          <t>Polvo químico seco ABC (fosfato monoamónico)</t>
        </is>
      </c>
      <c r="F508" s="33" t="n">
        <v>100</v>
      </c>
      <c r="G508" s="33" t="inlineStr">
        <is>
          <t>kg</t>
        </is>
      </c>
      <c r="H508" s="17" t="inlineStr">
        <is>
          <t>Nuevo 100 %; el viejo va a residuos (RC-IR)</t>
        </is>
      </c>
      <c r="I508" s="17" t="inlineStr">
        <is>
          <t>IRAM 3517-2:2020 9.9.4</t>
        </is>
      </c>
      <c r="J508" s="33" t="inlineStr">
        <is>
          <t>Sí</t>
        </is>
      </c>
      <c r="K508" s="17" t="inlineStr">
        <is>
          <t>DEM S.A. (DEMSA)</t>
        </is>
      </c>
      <c r="L508" s="17" t="inlineStr">
        <is>
          <t>Polvex S.R.L. / Sancibrao</t>
        </is>
      </c>
    </row>
    <row r="509">
      <c r="A509" s="33" t="inlineStr">
        <is>
          <t>RK-ABC100-C</t>
        </is>
      </c>
      <c r="B509" s="33" t="inlineStr">
        <is>
          <t>FL_MAT_ABC_100kg</t>
        </is>
      </c>
      <c r="C509" s="33" t="inlineStr">
        <is>
          <t>Extintor ABC 100 kg sobre ruedas</t>
        </is>
      </c>
      <c r="D509" s="17" t="inlineStr">
        <is>
          <t>C - Cambio obligatorio de polvo (versión anterior de la IRAM 3569)</t>
        </is>
      </c>
      <c r="E509" s="17" t="inlineStr">
        <is>
          <t>Precinto plástico numerado, color, con nombre del recargador</t>
        </is>
      </c>
      <c r="F509" s="33" t="n">
        <v>1</v>
      </c>
      <c r="G509" s="33" t="inlineStr">
        <is>
          <t>u</t>
        </is>
      </c>
      <c r="H509" s="17" t="inlineStr">
        <is>
          <t>Nuevo</t>
        </is>
      </c>
      <c r="I509" s="17" t="inlineStr">
        <is>
          <t>IRAM 3517-2:2020 9.4.13</t>
        </is>
      </c>
      <c r="J509" s="33" t="inlineStr">
        <is>
          <t>Sí</t>
        </is>
      </c>
      <c r="K509" s="17" t="inlineStr">
        <is>
          <t>SonFuertes (vía Papelera Damián)</t>
        </is>
      </c>
      <c r="L509" s="17" t="inlineStr">
        <is>
          <t>Precinter S.R.L.</t>
        </is>
      </c>
    </row>
    <row r="510">
      <c r="A510" s="33" t="inlineStr">
        <is>
          <t>RK-ABC100-C</t>
        </is>
      </c>
      <c r="B510" s="33" t="inlineStr">
        <is>
          <t>FL_MAT_ABC_100kg</t>
        </is>
      </c>
      <c r="C510" s="33" t="inlineStr">
        <is>
          <t>Extintor ABC 100 kg sobre ruedas</t>
        </is>
      </c>
      <c r="D510" s="17" t="inlineStr">
        <is>
          <t>C - Cambio obligatorio de polvo (versión anterior de la IRAM 3569)</t>
        </is>
      </c>
      <c r="E510" s="17" t="inlineStr">
        <is>
          <t>Marbete (anillo, color del año)</t>
        </is>
      </c>
      <c r="F510" s="33" t="n">
        <v>1</v>
      </c>
      <c r="G510" s="33" t="inlineStr">
        <is>
          <t>u</t>
        </is>
      </c>
      <c r="H510" s="17" t="inlineStr">
        <is>
          <t>Nuevo</t>
        </is>
      </c>
      <c r="I510" s="17" t="inlineStr">
        <is>
          <t>IRAM 3517-2:2020 9.4.14 · fig. 9 · tabla 4</t>
        </is>
      </c>
      <c r="J510" s="33" t="inlineStr">
        <is>
          <t>Sí</t>
        </is>
      </c>
      <c r="K510" s="17" t="inlineStr">
        <is>
          <t>Astuprint</t>
        </is>
      </c>
      <c r="L510" s="17" t="inlineStr">
        <is>
          <t>Multilabel Argentina S.A.</t>
        </is>
      </c>
    </row>
    <row r="511">
      <c r="A511" s="33" t="inlineStr">
        <is>
          <t>RK-ABC100-C</t>
        </is>
      </c>
      <c r="B511" s="33" t="inlineStr">
        <is>
          <t>FL_MAT_ABC_100kg</t>
        </is>
      </c>
      <c r="C511" s="33" t="inlineStr">
        <is>
          <t>Extintor ABC 100 kg sobre ruedas</t>
        </is>
      </c>
      <c r="D511" s="17" t="inlineStr">
        <is>
          <t>C - Cambio obligatorio de polvo (versión anterior de la IRAM 3569)</t>
        </is>
      </c>
      <c r="E511" s="17" t="inlineStr">
        <is>
          <t>Etiqueta de servicio del recargador (extintor n°, serie, próxima recarga y PH)</t>
        </is>
      </c>
      <c r="F511" s="33" t="n">
        <v>1</v>
      </c>
      <c r="G511" s="33" t="inlineStr">
        <is>
          <t>u</t>
        </is>
      </c>
      <c r="H511" s="17" t="inlineStr">
        <is>
          <t>Nuevo</t>
        </is>
      </c>
      <c r="I511" s="17" t="inlineStr">
        <is>
          <t>IRAM 3517-2:2020 8.3.3 · relevado Suyai/Firegram</t>
        </is>
      </c>
      <c r="J511" s="33" t="inlineStr">
        <is>
          <t>Sí</t>
        </is>
      </c>
      <c r="K511" s="17" t="inlineStr">
        <is>
          <t>Astuprint</t>
        </is>
      </c>
      <c r="L511" s="17" t="inlineStr">
        <is>
          <t>Multilabel Argentina S.A.</t>
        </is>
      </c>
    </row>
    <row r="512">
      <c r="A512" s="33" t="inlineStr">
        <is>
          <t>RK-ABC100-C</t>
        </is>
      </c>
      <c r="B512" s="33" t="inlineStr">
        <is>
          <t>FL_MAT_ABC_100kg</t>
        </is>
      </c>
      <c r="C512" s="33" t="inlineStr">
        <is>
          <t>Extintor ABC 100 kg sobre ruedas</t>
        </is>
      </c>
      <c r="D512" s="17" t="inlineStr">
        <is>
          <t>C - Cambio obligatorio de polvo (versión anterior de la IRAM 3569)</t>
        </is>
      </c>
      <c r="E512" s="17" t="inlineStr">
        <is>
          <t>Oblea PBA de recarga Ø46 + estampilla precinto 1" × 200 mm válvula-cuerpo</t>
        </is>
      </c>
      <c r="F512" s="33" t="n">
        <v>1</v>
      </c>
      <c r="G512" s="33" t="inlineStr">
        <is>
          <t>u</t>
        </is>
      </c>
      <c r="H512" s="17" t="inlineStr">
        <is>
          <t>Nuevo (venta en PBA)</t>
        </is>
      </c>
      <c r="I512" s="17" t="inlineStr">
        <is>
          <t>IRAM 3517-2:2020 Res. OPDS 522/07</t>
        </is>
      </c>
      <c r="J512" s="33" t="inlineStr">
        <is>
          <t>Sí</t>
        </is>
      </c>
      <c r="K512" s="17" t="inlineStr">
        <is>
          <t>Ministerio de Ambiente PBA (ex OPDS)</t>
        </is>
      </c>
      <c r="L512" s="17" t="inlineStr">
        <is>
          <t>-</t>
        </is>
      </c>
    </row>
    <row r="513">
      <c r="A513" s="33" t="inlineStr">
        <is>
          <t>RK-ABC100-C</t>
        </is>
      </c>
      <c r="B513" s="33" t="inlineStr">
        <is>
          <t>FL_MAT_ABC_100kg</t>
        </is>
      </c>
      <c r="C513" s="33" t="inlineStr">
        <is>
          <t>Extintor ABC 100 kg sobre ruedas</t>
        </is>
      </c>
      <c r="D513" s="17" t="inlineStr">
        <is>
          <t>C - Cambio obligatorio de polvo (versión anterior de la IRAM 3569)</t>
        </is>
      </c>
      <c r="E513" s="17" t="inlineStr">
        <is>
          <t>Tarjeta de identificación AGC (módulo papel con QR + etiqueta AGC)</t>
        </is>
      </c>
      <c r="F513" s="33" t="n">
        <v>1</v>
      </c>
      <c r="G513" s="33" t="inlineStr">
        <is>
          <t>u</t>
        </is>
      </c>
      <c r="H513" s="17" t="inlineStr">
        <is>
          <t>Nuevo (destino CABA)</t>
        </is>
      </c>
      <c r="I513" s="17" t="inlineStr">
        <is>
          <t>IRAM 3517-2:2020 Ord. 40.473 art. 6 · Res. AGC 32/15</t>
        </is>
      </c>
      <c r="J513" s="33" t="inlineStr">
        <is>
          <t>Sí</t>
        </is>
      </c>
      <c r="K513" s="17" t="inlineStr">
        <is>
          <t>Agencia Gubernamental de Control (CABA)</t>
        </is>
      </c>
      <c r="L513" s="17" t="inlineStr">
        <is>
          <t>-</t>
        </is>
      </c>
    </row>
    <row r="514">
      <c r="A514" s="33" t="inlineStr">
        <is>
          <t>RK-ABC100-C</t>
        </is>
      </c>
      <c r="B514" s="33" t="inlineStr">
        <is>
          <t>FL_MAT_ABC_100kg</t>
        </is>
      </c>
      <c r="C514" s="33" t="inlineStr">
        <is>
          <t>Extintor ABC 100 kg sobre ruedas</t>
        </is>
      </c>
      <c r="D514" s="17" t="inlineStr">
        <is>
          <t>C - Cambio obligatorio de polvo (versión anterior de la IRAM 3569)</t>
        </is>
      </c>
      <c r="E514" s="17" t="inlineStr">
        <is>
          <t>Tarjeta de identificación DPS de revisión / recarga</t>
        </is>
      </c>
      <c r="F514" s="33" t="n">
        <v>1</v>
      </c>
      <c r="G514" s="33" t="inlineStr">
        <is>
          <t>u</t>
        </is>
      </c>
      <c r="H514" s="17" t="inlineStr">
        <is>
          <t>Nuevo (PBA)</t>
        </is>
      </c>
      <c r="I514" s="17" t="inlineStr">
        <is>
          <t>IRAM 3517-2:2020 Res. 349/07 art. 21</t>
        </is>
      </c>
      <c r="J514" s="33" t="inlineStr">
        <is>
          <t>Sí</t>
        </is>
      </c>
      <c r="K514" s="17" t="inlineStr">
        <is>
          <t>Ministerio de Ambiente PBA (ex OPDS)</t>
        </is>
      </c>
      <c r="L514" s="17" t="inlineStr">
        <is>
          <t>-</t>
        </is>
      </c>
    </row>
    <row r="515">
      <c r="A515" s="33" t="inlineStr">
        <is>
          <t>RK-ABC100-C</t>
        </is>
      </c>
      <c r="B515" s="33" t="inlineStr">
        <is>
          <t>FL_MAT_ABC_100kg</t>
        </is>
      </c>
      <c r="C515" s="33" t="inlineStr">
        <is>
          <t>Extintor ABC 100 kg sobre ruedas</t>
        </is>
      </c>
      <c r="D515" s="17" t="inlineStr">
        <is>
          <t>C - Cambio obligatorio de polvo (versión anterior de la IRAM 3569)</t>
        </is>
      </c>
      <c r="E515" s="17" t="inlineStr">
        <is>
          <t>Grabado de la fecha del servicio en el tubo de pesca (lápiz vibratorio; en polvo, marcador indeleble)</t>
        </is>
      </c>
      <c r="F515" s="33" t="n">
        <v>1</v>
      </c>
      <c r="G515" s="33" t="inlineStr">
        <is>
          <t>u</t>
        </is>
      </c>
      <c r="H515" s="17" t="inlineStr">
        <is>
          <t>Proceso</t>
        </is>
      </c>
      <c r="I515" s="17" t="inlineStr">
        <is>
          <t>IRAM 3517-2:2020 Res. 349/07 art. 28</t>
        </is>
      </c>
      <c r="J515" s="33" t="inlineStr">
        <is>
          <t>No</t>
        </is>
      </c>
      <c r="K515" s="17" t="n"/>
      <c r="L515" s="17" t="n"/>
    </row>
    <row r="516">
      <c r="A516" s="33" t="inlineStr">
        <is>
          <t>RK-ABC100-C</t>
        </is>
      </c>
      <c r="B516" s="33" t="inlineStr">
        <is>
          <t>FL_MAT_ABC_100kg</t>
        </is>
      </c>
      <c r="C516" s="33" t="inlineStr">
        <is>
          <t>Extintor ABC 100 kg sobre ruedas</t>
        </is>
      </c>
      <c r="D516" s="17" t="inlineStr">
        <is>
          <t>C - Cambio obligatorio de polvo (versión anterior de la IRAM 3569)</t>
        </is>
      </c>
      <c r="E516" s="17" t="inlineStr">
        <is>
          <t>Si hubo PH: oblea de vencimiento de PH + «PH» y fecha grabados en el tubo de pesca (CO₂: fecha y logo estampados en la ojiva)</t>
        </is>
      </c>
      <c r="F516" s="33" t="n">
        <v>1</v>
      </c>
      <c r="G516" s="33" t="inlineStr">
        <is>
          <t>u</t>
        </is>
      </c>
      <c r="H516" s="17" t="inlineStr">
        <is>
          <t>Proceso</t>
        </is>
      </c>
      <c r="I516" s="17" t="inlineStr">
        <is>
          <t>IRAM 3517-2:2020 Res. 349/07 art. 29 · IRAM 3517-2</t>
        </is>
      </c>
      <c r="J516" s="33" t="inlineStr">
        <is>
          <t>No</t>
        </is>
      </c>
      <c r="K516" s="17" t="n"/>
      <c r="L516" s="17" t="n"/>
    </row>
    <row r="517">
      <c r="A517" s="41" t="inlineStr">
        <is>
          <t>RK-ABC100-C</t>
        </is>
      </c>
      <c r="B517" s="41" t="inlineStr">
        <is>
          <t>FL_MAT_ABC_100kg</t>
        </is>
      </c>
      <c r="C517" s="41" t="inlineStr">
        <is>
          <t>Extintor ABC 100 kg sobre ruedas</t>
        </is>
      </c>
      <c r="D517" s="18" t="inlineStr">
        <is>
          <t>C - Cambio obligatorio de polvo (versión anterior de la IRAM 3569)</t>
        </is>
      </c>
      <c r="E517" s="18" t="inlineStr">
        <is>
          <t>Junta tórica de asiento del cuello</t>
        </is>
      </c>
      <c r="F517" s="41" t="n">
        <v>1</v>
      </c>
      <c r="G517" s="41" t="inlineStr">
        <is>
          <t>u</t>
        </is>
      </c>
      <c r="H517" s="18" t="inlineStr">
        <is>
          <t>Nuevo (R: cambio sistemático)</t>
        </is>
      </c>
      <c r="I517" s="18" t="inlineStr"/>
      <c r="J517" s="41" t="inlineStr">
        <is>
          <t>Sí</t>
        </is>
      </c>
      <c r="K517" s="18" t="inlineStr">
        <is>
          <t>Argensold</t>
        </is>
      </c>
      <c r="L517" s="18" t="inlineStr">
        <is>
          <t>Matafuegos Iglesias</t>
        </is>
      </c>
    </row>
    <row r="518">
      <c r="A518" s="33" t="inlineStr">
        <is>
          <t>RK-ABC100-C</t>
        </is>
      </c>
      <c r="B518" s="33" t="inlineStr">
        <is>
          <t>FL_MAT_ABC_100kg</t>
        </is>
      </c>
      <c r="C518" s="33" t="inlineStr">
        <is>
          <t>Extintor ABC 100 kg sobre ruedas</t>
        </is>
      </c>
      <c r="D518" s="17" t="inlineStr">
        <is>
          <t>C - Cambio obligatorio de polvo (versión anterior de la IRAM 3569)</t>
        </is>
      </c>
      <c r="E518" s="17" t="inlineStr">
        <is>
          <t>Gas impulsor N₂</t>
        </is>
      </c>
      <c r="F518" s="33" t="n">
        <v>0.5534</v>
      </c>
      <c r="G518" s="33" t="inlineStr">
        <is>
          <t>kg</t>
        </is>
      </c>
      <c r="H518" s="17" t="inlineStr">
        <is>
          <t>Nuevo</t>
        </is>
      </c>
      <c r="I518" s="17" t="inlineStr">
        <is>
          <t>IRAM 3517-2:2020 9.4.9 tabla 2</t>
        </is>
      </c>
      <c r="J518" s="33" t="inlineStr">
        <is>
          <t>Sí</t>
        </is>
      </c>
      <c r="K518" s="17" t="inlineStr">
        <is>
          <t>Air Liquide Argentina - sucursal Piñeyro</t>
        </is>
      </c>
      <c r="L518" s="17" t="inlineStr">
        <is>
          <t>Gogniat</t>
        </is>
      </c>
    </row>
    <row r="519">
      <c r="A519" s="33" t="inlineStr">
        <is>
          <t>RK-ABC100-I</t>
        </is>
      </c>
      <c r="B519" s="33" t="inlineStr">
        <is>
          <t>FL_MAT_ABC_100kg</t>
        </is>
      </c>
      <c r="C519" s="33" t="inlineStr">
        <is>
          <t>Extintor ABC 100 kg sobre ruedas</t>
        </is>
      </c>
      <c r="D519" s="17" t="inlineStr">
        <is>
          <t>Según inspección (consumo estadístico a definir)</t>
        </is>
      </c>
      <c r="E519" s="17" t="inlineStr">
        <is>
          <t>Manómetro / manguera / tobera / kit de válvula</t>
        </is>
      </c>
      <c r="F519" s="33" t="inlineStr">
        <is>
          <t>-</t>
        </is>
      </c>
      <c r="G519" s="33" t="inlineStr">
        <is>
          <t>u</t>
        </is>
      </c>
      <c r="H519" s="17" t="inlineStr">
        <is>
          <t>Recambio sólo si falla</t>
        </is>
      </c>
      <c r="I519" s="17" t="inlineStr">
        <is>
          <t>IRAM 3517-2:2020 9.4.11 (cada manguera vuelve a su extintor)</t>
        </is>
      </c>
      <c r="J519" s="33" t="inlineStr">
        <is>
          <t>Sí</t>
        </is>
      </c>
      <c r="K519" s="17" t="inlineStr">
        <is>
          <t>Polvex S.R.L. / Sancibrao</t>
        </is>
      </c>
      <c r="L519" s="17" t="inlineStr">
        <is>
          <t>Yukon / MatafuegosYa S.R.L.</t>
        </is>
      </c>
    </row>
  </sheetData>
  <autoFilter ref="A9:L519"/>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50" t="n">
        <v>0.85</v>
      </c>
      <c r="H5" s="50" t="n">
        <v>0.9</v>
      </c>
      <c r="I5" s="50" t="n">
        <v>0.98</v>
      </c>
      <c r="J5" s="50"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50" t="n">
        <v>0.85</v>
      </c>
      <c r="H6" s="50" t="n">
        <v>0.9</v>
      </c>
      <c r="I6" s="50" t="n">
        <v>1</v>
      </c>
      <c r="J6" s="50" t="n">
        <v>0.028</v>
      </c>
      <c r="K6" s="17" t="inlineStr">
        <is>
          <t>DEMSA HDS Púrpura K: &gt; 0,85 · Buckeye estándar 0,90 · Purple K aireado 0,88</t>
        </is>
      </c>
      <c r="L6" s="50"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50" t="n">
        <v>0.85</v>
      </c>
      <c r="H7" s="50" t="n">
        <v>1</v>
      </c>
      <c r="I7" s="50" t="n">
        <v>1.2</v>
      </c>
      <c r="J7" s="50" t="n">
        <v>0.028</v>
      </c>
      <c r="K7" s="17" t="inlineStr">
        <is>
          <t>DEMSA HDS polvo D: &gt; 0,85 · típica R (pedir valor garantizado)</t>
        </is>
      </c>
      <c r="L7" s="50"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50" t="n">
        <v>1.47</v>
      </c>
      <c r="H8" s="50" t="n">
        <v>1.48</v>
      </c>
      <c r="I8" s="50" t="n">
        <v>1.48</v>
      </c>
      <c r="J8" s="50" t="n">
        <v>0.04</v>
      </c>
      <c r="K8" s="17" t="inlineStr">
        <is>
          <t>Halotron I HDS: 1,48 kg/L a 25 °C; 655 kPa a 20 °C (IRAM 3526-1: pedir ficha local)</t>
        </is>
      </c>
      <c r="L8" s="50"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50" t="n">
        <v>1</v>
      </c>
      <c r="H9" s="50" t="n">
        <v>1</v>
      </c>
      <c r="I9" s="50" t="n">
        <v>1</v>
      </c>
      <c r="J9" s="50" t="n">
        <v>0.029</v>
      </c>
      <c r="K9" s="17" t="inlineStr">
        <is>
          <t>Catálogo de referencia: aire comprimido</t>
        </is>
      </c>
      <c r="L9" s="50"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50" t="n">
        <v>1</v>
      </c>
      <c r="H10" s="50" t="n">
        <v>1</v>
      </c>
      <c r="I10" s="50" t="n">
        <v>1</v>
      </c>
      <c r="J10" s="50" t="n">
        <v>0.029</v>
      </c>
      <c r="K10" s="17" t="inlineStr">
        <is>
          <t>DEMSA 203 MN: concentrado 1,025 g/cm³ → premezcla ≈ 1,001</t>
        </is>
      </c>
      <c r="L10" s="50"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50" t="n">
        <v>1.3</v>
      </c>
      <c r="H11" s="50" t="n">
        <v>1.3</v>
      </c>
      <c r="I11" s="50" t="n">
        <v>1.3</v>
      </c>
      <c r="J11" s="50" t="n">
        <v>0.028</v>
      </c>
      <c r="K11" s="17" t="inlineStr">
        <is>
          <t>DEMSA Kitchen: 1,300 g/ml a 20 °C, pH 8,5; agente certificado en las licencias IRAM 3694 de Drago y Georgia/Fadesa</t>
        </is>
      </c>
      <c r="L11" s="50"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1">
        <f>'08_Quimica_Agentes'!$G$5</f>
        <v/>
      </c>
      <c r="J8" s="51">
        <f>'08_Quimica_Agentes'!$L$5</f>
        <v/>
      </c>
      <c r="K8" s="51">
        <f>C8/J8</f>
        <v/>
      </c>
      <c r="L8" s="51">
        <f>F8-K8</f>
        <v/>
      </c>
      <c r="M8" s="52">
        <f>L8/F8</f>
        <v/>
      </c>
      <c r="N8" s="51">
        <f>(G8+0.101)*1000000*MAX(0,L8)/1000/(8.314*293.15)*'08_Quimica_Agentes'!$J$5*1000</f>
        <v/>
      </c>
      <c r="O8" s="21">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1">
        <f>'08_Quimica_Agentes'!$G$5</f>
        <v/>
      </c>
      <c r="J9" s="51">
        <f>'08_Quimica_Agentes'!$L$5</f>
        <v/>
      </c>
      <c r="K9" s="51">
        <f>C9/J9</f>
        <v/>
      </c>
      <c r="L9" s="51">
        <f>F9-K9</f>
        <v/>
      </c>
      <c r="M9" s="52">
        <f>L9/F9</f>
        <v/>
      </c>
      <c r="N9" s="51">
        <f>(G9+0.101)*1000000*MAX(0,L9)/1000/(8.314*293.15)*'08_Quimica_Agentes'!$J$5*1000</f>
        <v/>
      </c>
      <c r="O9" s="21">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1">
        <f>'08_Quimica_Agentes'!$G$5</f>
        <v/>
      </c>
      <c r="J10" s="51">
        <f>'08_Quimica_Agentes'!$L$5</f>
        <v/>
      </c>
      <c r="K10" s="51">
        <f>C10/J10</f>
        <v/>
      </c>
      <c r="L10" s="51">
        <f>F10-K10</f>
        <v/>
      </c>
      <c r="M10" s="52">
        <f>L10/F10</f>
        <v/>
      </c>
      <c r="N10" s="51">
        <f>(G10+0.101)*1000000*MAX(0,L10)/1000/(8.314*293.15)*'08_Quimica_Agentes'!$J$5*1000</f>
        <v/>
      </c>
      <c r="O10" s="21">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1">
        <f>'08_Quimica_Agentes'!$G$5</f>
        <v/>
      </c>
      <c r="J11" s="51">
        <f>'08_Quimica_Agentes'!$L$5</f>
        <v/>
      </c>
      <c r="K11" s="51">
        <f>C11/J11</f>
        <v/>
      </c>
      <c r="L11" s="51">
        <f>F11-K11</f>
        <v/>
      </c>
      <c r="M11" s="52">
        <f>L11/F11</f>
        <v/>
      </c>
      <c r="N11" s="51">
        <f>(G11+0.101)*1000000*MAX(0,L11)/1000/(8.314*293.15)*'08_Quimica_Agentes'!$J$5*1000</f>
        <v/>
      </c>
      <c r="O11" s="21">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1">
        <f>'08_Quimica_Agentes'!$G$9</f>
        <v/>
      </c>
      <c r="J12" s="21">
        <f>'08_Quimica_Agentes'!$L$9</f>
        <v/>
      </c>
      <c r="K12" s="21">
        <f>C12</f>
        <v/>
      </c>
      <c r="L12" s="21">
        <f>F12-K12</f>
        <v/>
      </c>
      <c r="M12" s="22">
        <f>L12/F12</f>
        <v/>
      </c>
      <c r="N12" s="21">
        <f>(G12+0.101)*1000000*MAX(0,L12)/1000/(8.314*293.15)*'08_Quimica_Agentes'!$J$9*1000</f>
        <v/>
      </c>
      <c r="O12" s="21">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1">
        <f>'08_Quimica_Agentes'!$G$10</f>
        <v/>
      </c>
      <c r="J13" s="21">
        <f>'08_Quimica_Agentes'!$L$10</f>
        <v/>
      </c>
      <c r="K13" s="21">
        <f>C13</f>
        <v/>
      </c>
      <c r="L13" s="21">
        <f>F13-K13</f>
        <v/>
      </c>
      <c r="M13" s="22">
        <f>L13/F13</f>
        <v/>
      </c>
      <c r="N13" s="21">
        <f>(G13+0.101)*1000000*MAX(0,L13)/1000/(8.314*293.15)*'08_Quimica_Agentes'!$J$10*1000</f>
        <v/>
      </c>
      <c r="O13" s="21">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1">
        <f>'08_Quimica_Agentes'!$G$10</f>
        <v/>
      </c>
      <c r="J14" s="21">
        <f>'08_Quimica_Agentes'!$L$10</f>
        <v/>
      </c>
      <c r="K14" s="21">
        <f>C14</f>
        <v/>
      </c>
      <c r="L14" s="21">
        <f>F14-K14</f>
        <v/>
      </c>
      <c r="M14" s="22">
        <f>L14/F14</f>
        <v/>
      </c>
      <c r="N14" s="21">
        <f>(G14+0.101)*1000000*MAX(0,L14)/1000/(8.314*293.15)*'08_Quimica_Agentes'!$J$10*1000</f>
        <v/>
      </c>
      <c r="O14" s="21">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1">
        <f>'08_Quimica_Agentes'!$G$6</f>
        <v/>
      </c>
      <c r="J15" s="21">
        <f>'08_Quimica_Agentes'!$L$6</f>
        <v/>
      </c>
      <c r="K15" s="21">
        <f>C15/J15</f>
        <v/>
      </c>
      <c r="L15" s="21">
        <f>F15-K15</f>
        <v/>
      </c>
      <c r="M15" s="22">
        <f>L15/F15</f>
        <v/>
      </c>
      <c r="N15" s="21">
        <f>(G15+0.101)*1000000*MAX(0,L15)/1000/(8.314*293.15)*'08_Quimica_Agentes'!$J$6*1000</f>
        <v/>
      </c>
      <c r="O15" s="21">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1">
        <f>'08_Quimica_Agentes'!$G$11</f>
        <v/>
      </c>
      <c r="J16" s="21">
        <f>'08_Quimica_Agentes'!$L$11</f>
        <v/>
      </c>
      <c r="K16" s="21">
        <f>C16</f>
        <v/>
      </c>
      <c r="L16" s="21">
        <f>F16-K16</f>
        <v/>
      </c>
      <c r="M16" s="22">
        <f>L16/F16</f>
        <v/>
      </c>
      <c r="N16" s="21">
        <f>(G16+0.101)*1000000*MAX(0,L16)/1000/(8.314*293.15)*'08_Quimica_Agentes'!$J$11*1000</f>
        <v/>
      </c>
      <c r="O16" s="21">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1" t="n"/>
      <c r="J17" s="21" t="n"/>
      <c r="K17" s="21" t="n"/>
      <c r="L17" s="21" t="n"/>
      <c r="M17" s="22" t="n"/>
      <c r="N17" s="21" t="n"/>
      <c r="O17" s="21"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1" t="n"/>
      <c r="J18" s="21" t="n"/>
      <c r="K18" s="21" t="n"/>
      <c r="L18" s="21" t="n"/>
      <c r="M18" s="22" t="n"/>
      <c r="N18" s="21" t="n"/>
      <c r="O18" s="21"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1">
        <f>'08_Quimica_Agentes'!$G$8</f>
        <v/>
      </c>
      <c r="J19" s="21">
        <f>'08_Quimica_Agentes'!$L$8</f>
        <v/>
      </c>
      <c r="K19" s="21">
        <f>C19/J19</f>
        <v/>
      </c>
      <c r="L19" s="21">
        <f>F19-K19</f>
        <v/>
      </c>
      <c r="M19" s="22">
        <f>L19/F19</f>
        <v/>
      </c>
      <c r="N19" s="21">
        <f>(G19+0.101)*1000000*MAX(0,L19)/1000/(8.314*293.15)*'08_Quimica_Agentes'!$J$8*1000</f>
        <v/>
      </c>
      <c r="O19" s="21">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1">
        <f>'08_Quimica_Agentes'!$G$7</f>
        <v/>
      </c>
      <c r="J20" s="21">
        <f>'08_Quimica_Agentes'!$L$7</f>
        <v/>
      </c>
      <c r="K20" s="21">
        <f>C20/J20</f>
        <v/>
      </c>
      <c r="L20" s="21">
        <f>F20-K20</f>
        <v/>
      </c>
      <c r="M20" s="22">
        <f>L20/F20</f>
        <v/>
      </c>
      <c r="N20" s="21">
        <f>(G20+0.101)*1000000*MAX(0,L20)/1000/(8.314*293.15)*'08_Quimica_Agentes'!$J$7*1000</f>
        <v/>
      </c>
      <c r="O20" s="21">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1">
        <f>'08_Quimica_Agentes'!$G$5</f>
        <v/>
      </c>
      <c r="J21" s="51">
        <f>'08_Quimica_Agentes'!$L$5</f>
        <v/>
      </c>
      <c r="K21" s="51">
        <f>C21/J21</f>
        <v/>
      </c>
      <c r="L21" s="51">
        <f>F21-K21</f>
        <v/>
      </c>
      <c r="M21" s="52">
        <f>L21/F21</f>
        <v/>
      </c>
      <c r="N21" s="51">
        <f>(G21+0.101)*1000000*MAX(0,L21)/1000/(8.314*293.15)*'08_Quimica_Agentes'!$J$5*1000</f>
        <v/>
      </c>
      <c r="O21" s="21">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1">
        <f>'08_Quimica_Agentes'!$G$5</f>
        <v/>
      </c>
      <c r="J22" s="51">
        <f>'08_Quimica_Agentes'!$L$5</f>
        <v/>
      </c>
      <c r="K22" s="51">
        <f>C22/J22</f>
        <v/>
      </c>
      <c r="L22" s="51">
        <f>F22-K22</f>
        <v/>
      </c>
      <c r="M22" s="52">
        <f>L22/F22</f>
        <v/>
      </c>
      <c r="N22" s="51">
        <f>(G22+0.101)*1000000*MAX(0,L22)/1000/(8.314*293.15)*'08_Quimica_Agentes'!$J$5*1000</f>
        <v/>
      </c>
      <c r="O22" s="21">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86</v>
      </c>
      <c r="G23" s="5" t="n">
        <v>1.4</v>
      </c>
      <c r="H23" s="5" t="inlineStr">
        <is>
          <t>N₂</t>
        </is>
      </c>
      <c r="I23" s="21">
        <f>'08_Quimica_Agentes'!$G$5</f>
        <v/>
      </c>
      <c r="J23" s="51">
        <f>'08_Quimica_Agentes'!$L$5</f>
        <v/>
      </c>
      <c r="K23" s="51">
        <f>C23/J23</f>
        <v/>
      </c>
      <c r="L23" s="51">
        <f>F23-K23</f>
        <v/>
      </c>
      <c r="M23" s="52">
        <f>L23/F23</f>
        <v/>
      </c>
      <c r="N23" s="51">
        <f>(G23+0.101)*1000000*MAX(0,L23)/1000/(8.314*293.15)*'08_Quimica_Agentes'!$J$5*1000</f>
        <v/>
      </c>
      <c r="O23" s="21">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123</v>
      </c>
      <c r="G24" s="5" t="n">
        <v>1.4</v>
      </c>
      <c r="H24" s="5" t="inlineStr">
        <is>
          <t>N₂</t>
        </is>
      </c>
      <c r="I24" s="21">
        <f>'08_Quimica_Agentes'!$G$5</f>
        <v/>
      </c>
      <c r="J24" s="51">
        <f>'08_Quimica_Agentes'!$L$5</f>
        <v/>
      </c>
      <c r="K24" s="51">
        <f>C24/J24</f>
        <v/>
      </c>
      <c r="L24" s="51">
        <f>F24-K24</f>
        <v/>
      </c>
      <c r="M24" s="52">
        <f>L24/F24</f>
        <v/>
      </c>
      <c r="N24" s="51">
        <f>(G24+0.101)*1000000*MAX(0,L24)/1000/(8.314*293.15)*'08_Quimica_Agentes'!$J$5*1000</f>
        <v/>
      </c>
      <c r="O24" s="21">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8" t="inlineStr">
        <is>
          <t>MP-VARILLA</t>
        </is>
      </c>
      <c r="B10" s="18" t="inlineStr">
        <is>
          <t>Varilla de refuerzo interior 70 / 100 kg</t>
        </is>
      </c>
      <c r="C10" s="18" t="inlineStr">
        <is>
          <t>Redondo liso SAE 1010 Ø8, barra 6 m (soldable con ER70S-6)</t>
        </is>
      </c>
      <c r="D10" s="18" t="inlineStr">
        <is>
          <t>Hierros Parrotta</t>
        </is>
      </c>
      <c r="E10" s="18" t="inlineStr">
        <is>
          <t>Av. Debenedetti 2851, Avellaneda</t>
        </is>
      </c>
      <c r="F10" s="18" t="inlineStr">
        <is>
          <t>≈ 3 km (aprox.)</t>
        </is>
      </c>
      <c r="G10" s="18" t="n"/>
      <c r="H10" s="18" t="inlineStr">
        <is>
          <t>Aceros Inoxidables Caseros</t>
        </is>
      </c>
      <c r="I10" s="18" t="inlineStr">
        <is>
          <t>Caseros, Tres de Febrero (PBA)</t>
        </is>
      </c>
      <c r="J10" s="18" t="inlineStr">
        <is>
          <t>≈ 25 km (aprox.)</t>
        </is>
      </c>
      <c r="K10" s="18" t="inlineStr">
        <is>
          <t>Planilla MP-22: $15.000/kg + IVA (Caseros)</t>
        </is>
      </c>
      <c r="L10" s="18" t="inlineStr">
        <is>
          <t>-</t>
        </is>
      </c>
      <c r="M10" s="18" t="inlineStr">
        <is>
          <t>Q-PARROTTA (00413329)</t>
        </is>
      </c>
      <c r="N10" s="18" t="inlineStr">
        <is>
          <t>Estimado</t>
        </is>
      </c>
      <c r="O10" s="18" t="inlineStr">
        <is>
          <t>Ø8 = propuesta de diseño (sin cálculo). Caseros cotizó como acero inoxidable: confirmar SAE 1010; inoxidable no se suelda con ER70S-6</t>
        </is>
      </c>
    </row>
    <row r="11">
      <c r="A11" s="17" t="inlineStr">
        <is>
          <t>MP-CUELLO</t>
        </is>
      </c>
      <c r="B11" s="17" t="inlineStr">
        <is>
          <t>Cuello roscado de manuales</t>
        </is>
      </c>
      <c r="C11" s="17" t="inlineStr">
        <is>
          <t>Asiento roscado SAE 1020 M22 (1 kg) / M30 × 1,5 (2,5-10 kg), mecanizado bajo plano</t>
        </is>
      </c>
      <c r="D11" s="17" t="inlineStr">
        <is>
          <t>Eli-Met</t>
        </is>
      </c>
      <c r="E11" s="17" t="inlineStr">
        <is>
          <t>Albariño 2047, Mataderos, CABA</t>
        </is>
      </c>
      <c r="F11" s="17" t="inlineStr">
        <is>
          <t>≈ 15 km (aprox.)</t>
        </is>
      </c>
      <c r="G11" s="17" t="n"/>
      <c r="H11" s="17" t="n"/>
      <c r="I11" s="17" t="n"/>
      <c r="J11" s="17" t="n"/>
      <c r="K11" s="17" t="inlineStr">
        <is>
          <t>Planilla MP-18/19: sin cotizar (Eli-Met cotizó la cupla M30 de carros)</t>
        </is>
      </c>
      <c r="L11" s="17" t="inlineStr">
        <is>
          <t>-</t>
        </is>
      </c>
      <c r="M11" s="17" t="inlineStr">
        <is>
          <t>Planilla MP-20/21 (cupla M30 $5.261; cupla 2½" $13.479 + IVA; 35-40 días)</t>
        </is>
      </c>
      <c r="N11" s="17" t="inlineStr">
        <is>
          <t>A cotizar</t>
        </is>
      </c>
      <c r="O11" s="17" t="inlineStr">
        <is>
          <t>Segundo tornero CNC a relevar</t>
        </is>
      </c>
    </row>
    <row r="12">
      <c r="A12" s="17" t="inlineStr">
        <is>
          <t>MP-CUPLA</t>
        </is>
      </c>
      <c r="B12" s="17" t="inlineStr">
        <is>
          <t>Cupla soldable de rodantes</t>
        </is>
      </c>
      <c r="C12" s="17" t="inlineStr">
        <is>
          <t>Cupla SAE 1020 M30 × 1,5 (25/50 kg) / RBSP 2½" (70/100 kg)</t>
        </is>
      </c>
      <c r="D12" s="17" t="inlineStr">
        <is>
          <t>Eli-Met</t>
        </is>
      </c>
      <c r="E12" s="17" t="inlineStr">
        <is>
          <t>Albariño 2047, Mataderos, CABA</t>
        </is>
      </c>
      <c r="F12" s="17" t="inlineStr">
        <is>
          <t>≈ 15 km (aprox.)</t>
        </is>
      </c>
      <c r="G12" s="17" t="n"/>
      <c r="H12" s="17" t="n"/>
      <c r="I12" s="17" t="n"/>
      <c r="J12" s="17" t="n"/>
      <c r="K12" s="17" t="inlineStr">
        <is>
          <t>Planilla MP-20/21: $5.261 / $13.479 c/u + IVA</t>
        </is>
      </c>
      <c r="L12" s="17" t="inlineStr">
        <is>
          <t>-</t>
        </is>
      </c>
      <c r="M12" s="17" t="inlineStr">
        <is>
          <t>Planilla MP-20/21 (cupla M30 $5.261; cupla 2½" $13.479 + IVA; 35-40 días)</t>
        </is>
      </c>
      <c r="N12" s="17" t="inlineStr">
        <is>
          <t>Cotizado</t>
        </is>
      </c>
      <c r="O12" s="17" t="inlineStr">
        <is>
          <t>35-40 días</t>
        </is>
      </c>
    </row>
    <row r="13">
      <c r="A13" s="17" t="inlineStr">
        <is>
          <t>TAPA-ROD-G</t>
        </is>
      </c>
      <c r="B13" s="17" t="inlineStr">
        <is>
          <t>Tapas (cúpula y fondo) 70 / 100 kg</t>
        </is>
      </c>
      <c r="C13" s="17" t="inlineStr">
        <is>
          <t>Casquete embutido toriesférico Ø350 / Ø390 × 4,75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MP-17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TAPA-ROD-C</t>
        </is>
      </c>
      <c r="B14" s="17" t="inlineStr">
        <is>
          <t>Tapas (cúpula y fondo) 25 / 50 kg</t>
        </is>
      </c>
      <c r="C14" s="17" t="inlineStr">
        <is>
          <t>Casquete embutido Ø276 / Ø320 × 3,2 LAC</t>
        </is>
      </c>
      <c r="D14" s="17" t="inlineStr">
        <is>
          <t>Gockel Ingeniería S.R.L.</t>
        </is>
      </c>
      <c r="E14" s="17" t="inlineStr">
        <is>
          <t>San Carlos 755, Wilde, Avellaneda</t>
        </is>
      </c>
      <c r="F14" s="17" t="inlineStr">
        <is>
          <t>≈ 5 km (aprox.)</t>
        </is>
      </c>
      <c r="G14" s="17" t="inlineStr">
        <is>
          <t>011-7713-5110 · gockelingenieria@gmail.com</t>
        </is>
      </c>
      <c r="H14" s="17" t="n"/>
      <c r="I14" s="17" t="n"/>
      <c r="J14" s="17" t="n"/>
      <c r="K14" s="17" t="inlineStr">
        <is>
          <t>Sin cotizar (la planilla MP-15/16 lo daba importado)</t>
        </is>
      </c>
      <c r="L14" s="17" t="inlineStr">
        <is>
          <t>Matrices de corte, punzonado, plegado y embutido en frío y en caliente</t>
        </is>
      </c>
      <c r="M14" s="17" t="inlineStr">
        <is>
          <t>Proveedor de FLAMA · gockelingenieria.com.ar</t>
        </is>
      </c>
      <c r="N14" s="17" t="inlineStr">
        <is>
          <t>A cotizar</t>
        </is>
      </c>
      <c r="O14" s="17" t="inlineStr">
        <is>
          <t>Embutido con matriz propia de Gockel (Wilde); cotizar con certificado de material de la chapa</t>
        </is>
      </c>
    </row>
    <row r="15">
      <c r="A15" s="17" t="inlineStr">
        <is>
          <t>C1</t>
        </is>
      </c>
      <c r="B15" s="17" t="inlineStr">
        <is>
          <t>Alambre MAG</t>
        </is>
      </c>
      <c r="C15" s="17" t="inlineStr">
        <is>
          <t>ER70S-6 (AWS A5.18) Ø0,9 manuales / Ø1,2 rodantes, carrete 15 kg</t>
        </is>
      </c>
      <c r="D15" s="17" t="inlineStr">
        <is>
          <t>Conarco (ESAB Argentina)</t>
        </is>
      </c>
      <c r="E15" s="17" t="inlineStr">
        <is>
          <t>Venta por distribuidores de soldadura</t>
        </is>
      </c>
      <c r="F15" s="17" t="inlineStr">
        <is>
          <t>a confirmar</t>
        </is>
      </c>
      <c r="G15" s="17" t="n"/>
      <c r="H15" s="17" t="n"/>
      <c r="I15" s="17" t="n"/>
      <c r="J15" s="17" t="n"/>
      <c r="K15" s="17" t="inlineStr">
        <is>
          <t>Planilla MP-23/24: sin cotizar</t>
        </is>
      </c>
      <c r="L15" s="17" t="inlineStr">
        <is>
          <t>AWS A5.18 ER70S-6</t>
        </is>
      </c>
      <c r="M15" s="17" t="inlineStr">
        <is>
          <t>Planilla MP-23/24 (sin cotizar)</t>
        </is>
      </c>
      <c r="N15" s="17" t="inlineStr">
        <is>
          <t>A cotizar</t>
        </is>
      </c>
      <c r="O15" s="17" t="inlineStr">
        <is>
          <t>Comprar al distribuidor de soldadura de zona sur</t>
        </is>
      </c>
    </row>
    <row r="16">
      <c r="A16" s="17" t="inlineStr">
        <is>
          <t>C2</t>
        </is>
      </c>
      <c r="B16" s="17" t="inlineStr">
        <is>
          <t>Gas de protección MAG</t>
        </is>
      </c>
      <c r="C16" s="17" t="inlineStr">
        <is>
          <t>Arcal 21 / ARCAL Speed: Ar + 8 % CO₂ (EN ISO 14175 M20-ArC-8)</t>
        </is>
      </c>
      <c r="D16" s="17" t="inlineStr">
        <is>
          <t>Air Liquide Argentina - sucursal Piñeyro</t>
        </is>
      </c>
      <c r="E16" s="17" t="inlineStr">
        <is>
          <t>Tte. Cnel. Guiffra 799, Piñeyro, Avellaneda</t>
        </is>
      </c>
      <c r="F16" s="17" t="inlineStr">
        <is>
          <t>≈ 3 km (aprox.)</t>
        </is>
      </c>
      <c r="G16" s="17" t="inlineStr">
        <is>
          <t>0810-222-5272</t>
        </is>
      </c>
      <c r="H16" s="17" t="inlineStr">
        <is>
          <t>Gogniat</t>
        </is>
      </c>
      <c r="I16" s="17" t="inlineStr">
        <is>
          <t>GBA (gogniat.com.ar)</t>
        </is>
      </c>
      <c r="J16" s="17" t="inlineStr">
        <is>
          <t>a confirmar</t>
        </is>
      </c>
      <c r="K16" s="17" t="inlineStr">
        <is>
          <t>Planilla MP-25: $8.800/m³ + $1.000/m³ acarreo (batería 11 × 50 L)</t>
        </is>
      </c>
      <c r="L16" s="17" t="inlineStr">
        <is>
          <t>ARCAL 21 / ARCAL Speed EN ISO 14175 M20-ArC-8; N₂ ≥ 99,8 %</t>
        </is>
      </c>
      <c r="M16" s="17" t="inlineStr">
        <is>
          <t>Q-ARCAL · Q-N2 · planilla MP-25 ($8.800/m³ + acarreo) y MP-34 ($1.800/m³ + acarreo)</t>
        </is>
      </c>
      <c r="N16" s="17" t="inlineStr">
        <is>
          <t>Cotizado</t>
        </is>
      </c>
      <c r="O16" s="17" t="inlineStr">
        <is>
          <t>Decisión FLAMA: MAG 135; acreditar con el certificador (IRAM 3523 3.2.4.2 c)</t>
        </is>
      </c>
    </row>
    <row r="17">
      <c r="A17" s="17" t="inlineStr">
        <is>
          <t>C3</t>
        </is>
      </c>
      <c r="B17" s="17" t="inlineStr">
        <is>
          <t>Granalla de acero</t>
        </is>
      </c>
      <c r="C17" s="17" t="inlineStr">
        <is>
          <t>S330 / S390 esférica alto C (SAE J444 / ISO 11124-3), bolsa 25 kg</t>
        </is>
      </c>
      <c r="D17" s="17" t="inlineStr">
        <is>
          <t>CyM Materiales</t>
        </is>
      </c>
      <c r="E17" s="17" t="inlineStr">
        <is>
          <t>GBA (cymba@cym.com.ar)</t>
        </is>
      </c>
      <c r="F17" s="17" t="inlineStr">
        <is>
          <t>a confirmar</t>
        </is>
      </c>
      <c r="G17" s="17" t="inlineStr">
        <is>
          <t>cymba@cym.com.ar</t>
        </is>
      </c>
      <c r="H17" s="17" t="inlineStr">
        <is>
          <t>Roca Ingeniería</t>
        </is>
      </c>
      <c r="I17" s="17" t="inlineStr">
        <is>
          <t>San Justo, La Matanza (PBA)</t>
        </is>
      </c>
      <c r="J17" s="17" t="inlineStr">
        <is>
          <t>≈ 20 km (aprox.)</t>
        </is>
      </c>
      <c r="K17" s="17" t="inlineStr">
        <is>
          <t>Planilla MP-28: $2.000/kg</t>
        </is>
      </c>
      <c r="L17" s="17" t="inlineStr">
        <is>
          <t>SAE J444 / ISO 11124-3</t>
        </is>
      </c>
      <c r="M17" s="17" t="inlineStr">
        <is>
          <t>Planilla MP-28 ($2.000/kg)</t>
        </is>
      </c>
      <c r="N17" s="17" t="inlineStr">
        <is>
          <t>Cotizado</t>
        </is>
      </c>
      <c r="O17" s="17" t="n"/>
    </row>
    <row r="18">
      <c r="A18" s="17" t="inlineStr">
        <is>
          <t>C4M</t>
        </is>
      </c>
      <c r="B18" s="17" t="inlineStr">
        <is>
          <t>Pintura de manuales (servicio)</t>
        </is>
      </c>
      <c r="C18" s="17" t="inlineStr">
        <is>
          <t>Pintura en polvo poliéster al horno, rojo 03-1-050, por cilindro</t>
        </is>
      </c>
      <c r="D18" s="17" t="inlineStr">
        <is>
          <t>Prymax</t>
        </is>
      </c>
      <c r="E18" s="17" t="inlineStr">
        <is>
          <t>Según presupuesto S00469</t>
        </is>
      </c>
      <c r="F18" s="17" t="inlineStr">
        <is>
          <t>a confirmar</t>
        </is>
      </c>
      <c r="G18" s="17" t="n"/>
      <c r="H18" s="17" t="inlineStr">
        <is>
          <t>Pintor de carros (cotización por mensaje)</t>
        </is>
      </c>
      <c r="I18" s="17" t="inlineStr">
        <is>
          <t>Según cotización</t>
        </is>
      </c>
      <c r="J18" s="17" t="inlineStr">
        <is>
          <t>a confirmar</t>
        </is>
      </c>
      <c r="K18" s="17" t="inlineStr">
        <is>
          <t>Q-PRYMAX (S00469, por unidad)</t>
        </is>
      </c>
      <c r="L18" s="17" t="inlineStr">
        <is>
          <t>Pedir informe de niebla salina IRAM 121</t>
        </is>
      </c>
      <c r="M18" s="17" t="inlineStr">
        <is>
          <t>Q-PRYMAX (S00469)</t>
        </is>
      </c>
      <c r="N18" s="17" t="inlineStr">
        <is>
          <t>Cotizado</t>
        </is>
      </c>
      <c r="O18" s="17" t="inlineStr">
        <is>
          <t>Tercerización sujeta a aceptación del Ministerio (Res. 349/07 art. 18)</t>
        </is>
      </c>
    </row>
    <row r="19">
      <c r="A19" s="17" t="inlineStr">
        <is>
          <t>C4R</t>
        </is>
      </c>
      <c r="B19" s="17" t="inlineStr">
        <is>
          <t>Pintura de rodantes (servicio)</t>
        </is>
      </c>
      <c r="C19" s="17" t="inlineStr">
        <is>
          <t>Preparación por quemado + pintura en polvo rojo 03-1-050, por carro</t>
        </is>
      </c>
      <c r="D19" s="17" t="inlineStr">
        <is>
          <t>Pintor de carros (cotización por mensaje)</t>
        </is>
      </c>
      <c r="E19" s="17" t="inlineStr">
        <is>
          <t>Según cotización</t>
        </is>
      </c>
      <c r="F19" s="17" t="inlineStr">
        <is>
          <t>a confirmar</t>
        </is>
      </c>
      <c r="G19" s="17" t="n"/>
      <c r="H19" s="17" t="inlineStr">
        <is>
          <t>Prymax</t>
        </is>
      </c>
      <c r="I19" s="17" t="inlineStr">
        <is>
          <t>Según presupuesto S00469</t>
        </is>
      </c>
      <c r="J19" s="17" t="inlineStr">
        <is>
          <t>a confirmar</t>
        </is>
      </c>
      <c r="K19" s="17" t="inlineStr">
        <is>
          <t>Q-CARROS (por carro)</t>
        </is>
      </c>
      <c r="L19" s="17" t="inlineStr">
        <is>
          <t>Pedir informe de niebla salina IRAM 121 (3550 4.5: 240 h)</t>
        </is>
      </c>
      <c r="M19" s="17" t="inlineStr">
        <is>
          <t>Q-CARROS</t>
        </is>
      </c>
      <c r="N19" s="17" t="inlineStr">
        <is>
          <t>Cotizado</t>
        </is>
      </c>
      <c r="O19" s="17" t="inlineStr">
        <is>
          <t>Tercerización sujeta a aceptación del Ministerio (Res. 349/07 art. 18)</t>
        </is>
      </c>
    </row>
    <row r="20">
      <c r="A20" s="17" t="inlineStr">
        <is>
          <t>VALV-1</t>
        </is>
      </c>
      <c r="B20" s="17" t="inlineStr">
        <is>
          <t>Válvula 1 kg</t>
        </is>
      </c>
      <c r="C20" s="17" t="inlineStr">
        <is>
          <t>Válvula HZ M-22 con tubo de pesca plástico</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MP-42: $4.200 c/u</t>
        </is>
      </c>
      <c r="L20" s="17" t="inlineStr">
        <is>
          <t>Polvo «según IRAM 3569» (sello no confirmado); válvulas HZ</t>
        </is>
      </c>
      <c r="M20" s="17" t="inlineStr">
        <is>
          <t>Q-AGENTES (lista de precios)</t>
        </is>
      </c>
      <c r="N20" s="17" t="inlineStr">
        <is>
          <t>Cotizado</t>
        </is>
      </c>
      <c r="O20" s="17" t="inlineStr">
        <is>
          <t>Mozart fabrica válvulas (licencias IRAM 3509 / 3565): cotizar</t>
        </is>
      </c>
    </row>
    <row r="21">
      <c r="A21" s="17" t="inlineStr">
        <is>
          <t>VALV-M30</t>
        </is>
      </c>
      <c r="B21" s="17" t="inlineStr">
        <is>
          <t>Válvula 2,5 a 10 kg</t>
        </is>
      </c>
      <c r="C21" s="17" t="inlineStr">
        <is>
          <t>Válvula HZ M-30 × 1,5 con resorte y tubo 7/8</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MP-43: $6.800 c/u</t>
        </is>
      </c>
      <c r="L21" s="17" t="inlineStr">
        <is>
          <t>Polvo «según IRAM 3569» (sello no confirmado); válvulas HZ</t>
        </is>
      </c>
      <c r="M21" s="17" t="inlineStr">
        <is>
          <t>Q-AGENTES (lista de precios)</t>
        </is>
      </c>
      <c r="N21" s="17" t="inlineStr">
        <is>
          <t>Cotizado</t>
        </is>
      </c>
      <c r="O21" s="17" t="n"/>
    </row>
    <row r="22">
      <c r="A22" s="17" t="inlineStr">
        <is>
          <t>VALV-CARRO</t>
        </is>
      </c>
      <c r="B22" s="17" t="inlineStr">
        <is>
          <t>Válvula de carro</t>
        </is>
      </c>
      <c r="C22" s="17" t="inlineStr">
        <is>
          <t>Válvula HZ de carro 25 kg (traba, manija, resorte) / 50-70-100 kg</t>
        </is>
      </c>
      <c r="D22" s="17" t="inlineStr">
        <is>
          <t>Polvex S.R.L. / Sancibrao</t>
        </is>
      </c>
      <c r="E22" s="17" t="inlineStr">
        <is>
          <t>Boulogne Sur Mer 1813, Villa Maipú, San Martín (PBA)</t>
        </is>
      </c>
      <c r="F22" s="17" t="inlineStr">
        <is>
          <t>≈ 25 km (aprox.)</t>
        </is>
      </c>
      <c r="G22" s="17" t="inlineStr">
        <is>
          <t>11 4405-3382</t>
        </is>
      </c>
      <c r="H22" s="17" t="inlineStr">
        <is>
          <t>Mozart S.R.L.</t>
        </is>
      </c>
      <c r="I22" s="17" t="inlineStr">
        <is>
          <t>Ucrania 1564, Valentín Alsina, Lanús (PBA)</t>
        </is>
      </c>
      <c r="J22" s="17" t="inlineStr">
        <is>
          <t>≈ 9 km (aprox.)</t>
        </is>
      </c>
      <c r="K22" s="17" t="inlineStr">
        <is>
          <t>Planilla MP-44: $7.500 c/u</t>
        </is>
      </c>
      <c r="L22" s="17" t="inlineStr">
        <is>
          <t>Polvo «según IRAM 3569» (sello no confirmado); válvulas HZ</t>
        </is>
      </c>
      <c r="M22" s="17" t="inlineStr">
        <is>
          <t>Q-AGENTES (lista de precios)</t>
        </is>
      </c>
      <c r="N22" s="17" t="inlineStr">
        <is>
          <t>Cotizado</t>
        </is>
      </c>
      <c r="O22" s="17" t="n"/>
    </row>
    <row r="23">
      <c r="A23" s="19" t="inlineStr">
        <is>
          <t>MANOMETRO</t>
        </is>
      </c>
      <c r="B23" s="19" t="inlineStr">
        <is>
          <t>Manómetro</t>
        </is>
      </c>
      <c r="C23" s="19" t="inlineStr">
        <is>
          <t>Manómetro con sello IRAM 3533, 1,4 MPa (rosca de la válvula)</t>
        </is>
      </c>
      <c r="D23" s="19" t="inlineStr">
        <is>
          <t>Yukon / MatafuegosYa S.R.L.</t>
        </is>
      </c>
      <c r="E23" s="19" t="inlineStr">
        <is>
          <t>Estomba 954, CABA</t>
        </is>
      </c>
      <c r="F23" s="19" t="inlineStr">
        <is>
          <t>≈ 12 km (aprox.)</t>
        </is>
      </c>
      <c r="G23" s="19" t="inlineStr">
        <is>
          <t>4555-5100</t>
        </is>
      </c>
      <c r="H23" s="19" t="inlineStr">
        <is>
          <t>Matafuegos Iglesias</t>
        </is>
      </c>
      <c r="I23" s="19" t="inlineStr">
        <is>
          <t>Av. Entre Ríos 1127, CABA</t>
        </is>
      </c>
      <c r="J23" s="19" t="inlineStr">
        <is>
          <t>≈ 7 km (aprox.)</t>
        </is>
      </c>
      <c r="K23" s="19" t="inlineStr">
        <is>
          <t>Planilla MP-45: sin cotizar</t>
        </is>
      </c>
      <c r="L23" s="19" t="inlineStr">
        <is>
          <t>Vástagos, manómetros, etiquetas, mangueras, toberas y válvulas</t>
        </is>
      </c>
      <c r="M23" s="19" t="inlineStr">
        <is>
          <t>Registro de proveedores PJN · Q-YUKON (equipos)</t>
        </is>
      </c>
      <c r="N23" s="19" t="inlineStr">
        <is>
          <t>A validar</t>
        </is>
      </c>
      <c r="O23" s="19" t="inlineStr">
        <is>
          <t>Ambos venden manómetros sueltos: confirmar sello IRAM 3533 en la cotización</t>
        </is>
      </c>
    </row>
    <row r="24">
      <c r="A24" s="17" t="inlineStr">
        <is>
          <t>REP-VALV</t>
        </is>
      </c>
      <c r="B24" s="17" t="inlineStr">
        <is>
          <t>Repuestos de válvula</t>
        </is>
      </c>
      <c r="C24" s="17" t="inlineStr">
        <is>
          <t>Manijas, eje, pasador, disco de seguridad de la válvula HZ</t>
        </is>
      </c>
      <c r="D24" s="17" t="inlineStr">
        <is>
          <t>Polvex S.R.L. / Sancibrao</t>
        </is>
      </c>
      <c r="E24" s="17" t="inlineStr">
        <is>
          <t>Boulogne Sur Mer 1813, Villa Maipú, San Martín (PBA)</t>
        </is>
      </c>
      <c r="F24" s="17" t="inlineStr">
        <is>
          <t>≈ 25 km (aprox.)</t>
        </is>
      </c>
      <c r="G24" s="17" t="inlineStr">
        <is>
          <t>11 4405-3382</t>
        </is>
      </c>
      <c r="H24" s="17" t="inlineStr">
        <is>
          <t>Yukon / MatafuegosYa S.R.L.</t>
        </is>
      </c>
      <c r="I24" s="17" t="inlineStr">
        <is>
          <t>Estomba 954, CABA</t>
        </is>
      </c>
      <c r="J24" s="17" t="inlineStr">
        <is>
          <t>≈ 12 km (aprox.)</t>
        </is>
      </c>
      <c r="K24" s="17" t="inlineStr">
        <is>
          <t>Q-AGENTES (válvula armada)</t>
        </is>
      </c>
      <c r="L24" s="17" t="inlineStr">
        <is>
          <t>Polvo «según IRAM 3569» (sello no confirmado); válvulas HZ</t>
        </is>
      </c>
      <c r="M24" s="17" t="inlineStr">
        <is>
          <t>Q-AGENTES (lista de precios)</t>
        </is>
      </c>
      <c r="N24" s="17" t="inlineStr">
        <is>
          <t>A cotizar</t>
        </is>
      </c>
      <c r="O24" s="17" t="inlineStr">
        <is>
          <t>Vienen con la válvula armada; sueltos sólo para recarga</t>
        </is>
      </c>
    </row>
    <row r="25">
      <c r="A25" s="17" t="inlineStr">
        <is>
          <t>DESC-MAN</t>
        </is>
      </c>
      <c r="B25" s="17" t="inlineStr">
        <is>
          <t>Manga y tobera de manuales</t>
        </is>
      </c>
      <c r="C25" s="17" t="inlineStr">
        <is>
          <t>Manguera EPDM/NBR trenzada ≥ 350 mm con racor + tobera (PH 2 × Ps)</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MP-48: sin cotizar</t>
        </is>
      </c>
      <c r="L25" s="17" t="inlineStr">
        <is>
          <t>Vástagos, manómetros, etiquetas, mangueras, toberas y válvulas</t>
        </is>
      </c>
      <c r="M25" s="17" t="inlineStr">
        <is>
          <t>Registro de proveedores PJN · Q-YUKON (equipos)</t>
        </is>
      </c>
      <c r="N25" s="17" t="inlineStr">
        <is>
          <t>A cotizar</t>
        </is>
      </c>
      <c r="O25" s="17" t="inlineStr">
        <is>
          <t>Pedir ensayo de PH de la manga (IRAM 3523 4.2)</t>
        </is>
      </c>
    </row>
    <row r="26">
      <c r="A26" s="17" t="inlineStr">
        <is>
          <t>DESC-ROD</t>
        </is>
      </c>
      <c r="B26" s="17" t="inlineStr">
        <is>
          <t>Manga, lanza y válvula de rodantes</t>
        </is>
      </c>
      <c r="C26" s="17" t="inlineStr">
        <is>
          <t>Manguera armada 5 / 12 m + lanza o válvula esférica + tobera campana</t>
        </is>
      </c>
      <c r="D26" s="17" t="inlineStr">
        <is>
          <t>Yukon / MatafuegosYa S.R.L.</t>
        </is>
      </c>
      <c r="E26" s="17" t="inlineStr">
        <is>
          <t>Estomba 954, CABA</t>
        </is>
      </c>
      <c r="F26" s="17" t="inlineStr">
        <is>
          <t>≈ 12 km (aprox.)</t>
        </is>
      </c>
      <c r="G26" s="17" t="inlineStr">
        <is>
          <t>4555-5100</t>
        </is>
      </c>
      <c r="H26" s="17" t="inlineStr">
        <is>
          <t>Matafuegos Iglesias</t>
        </is>
      </c>
      <c r="I26" s="17" t="inlineStr">
        <is>
          <t>Av. Entre Ríos 1127, CABA</t>
        </is>
      </c>
      <c r="J26" s="17" t="inlineStr">
        <is>
          <t>≈ 7 km (aprox.)</t>
        </is>
      </c>
      <c r="K26" s="17" t="inlineStr">
        <is>
          <t>Planilla MP-49: sin cotizar</t>
        </is>
      </c>
      <c r="L26" s="17" t="inlineStr">
        <is>
          <t>Vástagos, manómetros, etiquetas, mangueras, toberas y válvulas</t>
        </is>
      </c>
      <c r="M26" s="17" t="inlineStr">
        <is>
          <t>Registro de proveedores PJN · Q-YUKON (equipos)</t>
        </is>
      </c>
      <c r="N26" s="17" t="inlineStr">
        <is>
          <t>A cotizar</t>
        </is>
      </c>
      <c r="O26" s="17" t="n"/>
    </row>
    <row r="27">
      <c r="A27" s="17" t="inlineStr">
        <is>
          <t>ORING</t>
        </is>
      </c>
      <c r="B27" s="17" t="inlineStr">
        <is>
          <t>Junta tórica</t>
        </is>
      </c>
      <c r="C27" s="17" t="inlineStr">
        <is>
          <t>O-ring NBR 70 Shore A, medida del cuello</t>
        </is>
      </c>
      <c r="D27" s="17" t="inlineStr">
        <is>
          <t>Argensold</t>
        </is>
      </c>
      <c r="E27" s="17" t="inlineStr">
        <is>
          <t>Av. J. M. de Rosas 698, Lomas del Mirador (PBA)</t>
        </is>
      </c>
      <c r="F27" s="17" t="inlineStr">
        <is>
          <t>≈ 20 km (aprox.)</t>
        </is>
      </c>
      <c r="G27" s="17" t="inlineStr">
        <is>
          <t>4699-3788</t>
        </is>
      </c>
      <c r="H27" s="17" t="inlineStr">
        <is>
          <t>Matafuegos Iglesias</t>
        </is>
      </c>
      <c r="I27" s="17" t="inlineStr">
        <is>
          <t>Av. Entre Ríos 1127, CABA</t>
        </is>
      </c>
      <c r="J27" s="17" t="inlineStr">
        <is>
          <t>≈ 7 km (aprox.)</t>
        </is>
      </c>
      <c r="K27" s="17" t="inlineStr">
        <is>
          <t>Planilla MP-50: sin cotizar</t>
        </is>
      </c>
      <c r="L27" s="17" t="inlineStr">
        <is>
          <t>O-rings AS-568 en NBR</t>
        </is>
      </c>
      <c r="M27" s="17" t="inlineStr">
        <is>
          <t>Web o-ring.com.ar (producto verificado)</t>
        </is>
      </c>
      <c r="N27" s="17" t="inlineStr">
        <is>
          <t>A cotizar</t>
        </is>
      </c>
      <c r="O27" s="17" t="n"/>
    </row>
    <row r="28">
      <c r="A28" s="19" t="inlineStr">
        <is>
          <t>RUEDA-300</t>
        </is>
      </c>
      <c r="B28" s="19" t="inlineStr">
        <is>
          <t>Rueda Ø300 (carro 25 kg)</t>
        </is>
      </c>
      <c r="C28" s="19" t="inlineStr">
        <is>
          <t>Rueda goma maciza Ø300 × 60, buje para eje Ø25</t>
        </is>
      </c>
      <c r="D28" s="19" t="inlineStr">
        <is>
          <t>Ruedar</t>
        </is>
      </c>
      <c r="E28" s="19" t="inlineStr">
        <is>
          <t>Gral. Paunero 557, Ciudad Madero, La Matanza (PBA)</t>
        </is>
      </c>
      <c r="F28" s="19" t="inlineStr">
        <is>
          <t>≈ 20 km (aprox.)</t>
        </is>
      </c>
      <c r="G28" s="19" t="inlineStr">
        <is>
          <t>4442-4752</t>
        </is>
      </c>
      <c r="H28" s="19" t="n"/>
      <c r="I28" s="19" t="n"/>
      <c r="J28" s="19" t="n"/>
      <c r="K28" s="19" t="inlineStr">
        <is>
          <t>Planilla MP-54: sin cotizar</t>
        </is>
      </c>
      <c r="L28" s="19" t="inlineStr">
        <is>
          <t>Goma maciza vulcanizada: Ø300 × 60 (M-1509, buje 20, 250 kg); Ø350 × 60 (buje 20/25/28, 150 kg)</t>
        </is>
      </c>
      <c r="M28" s="19" t="inlineStr">
        <is>
          <t>Catálogo web ruedar.com.ar (sin cotización)</t>
        </is>
      </c>
      <c r="N28" s="19" t="inlineStr">
        <is>
          <t>A validar</t>
        </is>
      </c>
      <c r="O28" s="19" t="inlineStr">
        <is>
          <t>M-1509 de catálogo trae buje 20: pedir buje 25 o rebajar puntas de eje</t>
        </is>
      </c>
    </row>
    <row r="29">
      <c r="A29" s="17" t="inlineStr">
        <is>
          <t>RUEDA-350</t>
        </is>
      </c>
      <c r="B29" s="17" t="inlineStr">
        <is>
          <t>Rueda Ø350 (carros 50 / 70 kg)</t>
        </is>
      </c>
      <c r="C29" s="17" t="inlineStr">
        <is>
          <t>Rueda goma maciza Ø350 × 60, buje 25, 150 kg</t>
        </is>
      </c>
      <c r="D29" s="17" t="inlineStr">
        <is>
          <t>Ruedar</t>
        </is>
      </c>
      <c r="E29" s="17" t="inlineStr">
        <is>
          <t>Gral. Paunero 557, Ciudad Madero, La Matanza (PBA)</t>
        </is>
      </c>
      <c r="F29" s="17" t="inlineStr">
        <is>
          <t>≈ 20 km (aprox.)</t>
        </is>
      </c>
      <c r="G29" s="17" t="inlineStr">
        <is>
          <t>4442-4752</t>
        </is>
      </c>
      <c r="H29" s="17" t="inlineStr">
        <is>
          <t>Escanort S.A.</t>
        </is>
      </c>
      <c r="I29" s="17" t="inlineStr">
        <is>
          <t>San Martín 1930, Florida, Vicente López (PBA)</t>
        </is>
      </c>
      <c r="J29" s="17" t="inlineStr">
        <is>
          <t>≈ 22 km (aprox.)</t>
        </is>
      </c>
      <c r="K29" s="17" t="inlineStr">
        <is>
          <t>Planilla MP-54: sin cotizar</t>
        </is>
      </c>
      <c r="L29" s="17" t="inlineStr">
        <is>
          <t>Goma maciza vulcanizada: Ø300 × 60 (M-1509, buje 20, 250 kg); Ø350 × 60 (buje 20/25/28, 150 kg)</t>
        </is>
      </c>
      <c r="M29" s="17" t="inlineStr">
        <is>
          <t>Catálogo web ruedar.com.ar (sin cotización)</t>
        </is>
      </c>
      <c r="N29" s="17" t="inlineStr">
        <is>
          <t>A cotizar</t>
        </is>
      </c>
      <c r="O29" s="17" t="inlineStr">
        <is>
          <t>150 kg por rueda &gt; carga por rueda del 70 kg cargado (≈ 70 kg)</t>
        </is>
      </c>
    </row>
    <row r="30">
      <c r="A30" s="20" t="inlineStr">
        <is>
          <t>RUEDA-400</t>
        </is>
      </c>
      <c r="B30" s="20" t="inlineStr">
        <is>
          <t>Rueda Ø400 (carro 100 kg)</t>
        </is>
      </c>
      <c r="C30" s="20" t="inlineStr">
        <is>
          <t>Rueda goma maciza Ø400, buje 25</t>
        </is>
      </c>
      <c r="D30" s="20" t="inlineStr">
        <is>
          <t>Ruedar</t>
        </is>
      </c>
      <c r="E30" s="20" t="inlineStr">
        <is>
          <t>Gral. Paunero 557, Ciudad Madero, La Matanza (PBA)</t>
        </is>
      </c>
      <c r="F30" s="20" t="inlineStr">
        <is>
          <t>≈ 20 km (aprox.)</t>
        </is>
      </c>
      <c r="G30" s="20" t="inlineStr">
        <is>
          <t>4442-4752</t>
        </is>
      </c>
      <c r="H30" s="20" t="inlineStr">
        <is>
          <t>Escanort S.A.</t>
        </is>
      </c>
      <c r="I30" s="20" t="inlineStr">
        <is>
          <t>San Martín 1930, Florida, Vicente López (PBA)</t>
        </is>
      </c>
      <c r="J30" s="20" t="inlineStr">
        <is>
          <t>≈ 22 km (aprox.)</t>
        </is>
      </c>
      <c r="K30" s="20" t="inlineStr">
        <is>
          <t>Sin cotizar</t>
        </is>
      </c>
      <c r="L30" s="20" t="inlineStr">
        <is>
          <t>Goma maciza vulcanizada: Ø300 × 60 (M-1509, buje 20, 250 kg); Ø350 × 60 (buje 20/25/28, 150 kg)</t>
        </is>
      </c>
      <c r="M30" s="20" t="inlineStr">
        <is>
          <t>Catálogo web ruedar.com.ar (sin cotización)</t>
        </is>
      </c>
      <c r="N30" s="20" t="inlineStr">
        <is>
          <t>No cumple / a definir</t>
        </is>
      </c>
      <c r="O30" s="20" t="inlineStr">
        <is>
          <t>No se halló Ø400 maciza nacional en catálogo; Escanort tiene Ø400 × 100 NEUMÁTICA (eje 25, 200 kg)</t>
        </is>
      </c>
    </row>
    <row r="31">
      <c r="A31" s="17" t="inlineStr">
        <is>
          <t>MP-EJE</t>
        </is>
      </c>
      <c r="B31" s="17" t="inlineStr">
        <is>
          <t>Eje de ruedas</t>
        </is>
      </c>
      <c r="C31" s="17" t="inlineStr">
        <is>
          <t>Redondo SAE 1045 Ø25, barra 6 m</t>
        </is>
      </c>
      <c r="D31" s="17" t="inlineStr">
        <is>
          <t>Hierros Parrotta</t>
        </is>
      </c>
      <c r="E31" s="17" t="inlineStr">
        <is>
          <t>Av. Debenedetti 2851, Avellaneda</t>
        </is>
      </c>
      <c r="F31" s="17" t="inlineStr">
        <is>
          <t>≈ 3 km (aprox.)</t>
        </is>
      </c>
      <c r="G31" s="17" t="n"/>
      <c r="H31" s="17" t="n"/>
      <c r="I31" s="17" t="n"/>
      <c r="J31" s="17" t="n"/>
      <c r="K31" s="17" t="inlineStr">
        <is>
          <t>Sin cotizar</t>
        </is>
      </c>
      <c r="L31" s="17" t="inlineStr">
        <is>
          <t>-</t>
        </is>
      </c>
      <c r="M31" s="17" t="inlineStr">
        <is>
          <t>Q-PARROTTA (00413329)</t>
        </is>
      </c>
      <c r="N31" s="17" t="inlineStr">
        <is>
          <t>A cotizar</t>
        </is>
      </c>
      <c r="O31" s="17" t="inlineStr">
        <is>
          <t>Confirmar SAE 1045 con certificado</t>
        </is>
      </c>
    </row>
    <row r="32">
      <c r="A32" s="17" t="inlineStr">
        <is>
          <t>MP-CANO-CARRO</t>
        </is>
      </c>
      <c r="B32" s="17" t="inlineStr">
        <is>
          <t>Caño del bastidor</t>
        </is>
      </c>
      <c r="C32" s="17" t="inlineStr">
        <is>
          <t>Caño SAE 1010 Ø25,4 × 1,6,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del 1 kg)</t>
        </is>
      </c>
      <c r="L32" s="17" t="inlineStr">
        <is>
          <t>-</t>
        </is>
      </c>
      <c r="M32" s="17" t="inlineStr">
        <is>
          <t>Q-METALPRI (mail 09/09/2026)</t>
        </is>
      </c>
      <c r="N32" s="17" t="inlineStr">
        <is>
          <t>A cotizar</t>
        </is>
      </c>
      <c r="O32" s="17" t="n"/>
    </row>
    <row r="33">
      <c r="A33" s="17" t="inlineStr">
        <is>
          <t>MP-PLANCHUELA</t>
        </is>
      </c>
      <c r="B33" s="17" t="inlineStr">
        <is>
          <t>Planchuela de sunchos</t>
        </is>
      </c>
      <c r="C33" s="17" t="inlineStr">
        <is>
          <t>Planchuela SAE 1010 40 × 6, barra 6 m</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n"/>
    </row>
    <row r="34">
      <c r="A34" s="17" t="inlineStr">
        <is>
          <t>MP-CHAPA-APOYO</t>
        </is>
      </c>
      <c r="B34" s="17" t="inlineStr">
        <is>
          <t>Chapa del apoyo</t>
        </is>
      </c>
      <c r="C34" s="17" t="inlineStr">
        <is>
          <t>Chapa LAC e=3,2 (recorte de la hoja de rodantes)</t>
        </is>
      </c>
      <c r="D34" s="17" t="inlineStr">
        <is>
          <t>Pradecon S.A.</t>
        </is>
      </c>
      <c r="E34" s="17" t="inlineStr">
        <is>
          <t>Garín, Escobar (PBA)</t>
        </is>
      </c>
      <c r="F34" s="17" t="inlineStr">
        <is>
          <t>≈ 55 km (aprox.)</t>
        </is>
      </c>
      <c r="G34" s="17" t="n"/>
      <c r="H34" s="17" t="inlineStr">
        <is>
          <t>Pacheco Chapas</t>
        </is>
      </c>
      <c r="I34" s="17" t="inlineStr">
        <is>
          <t>El Talar, Tigre (PBA)</t>
        </is>
      </c>
      <c r="J34" s="17" t="inlineStr">
        <is>
          <t>≈ 40 km (aprox.)</t>
        </is>
      </c>
      <c r="K34" s="17" t="inlineStr">
        <is>
          <t>Mismo material que la planilla MP-11</t>
        </is>
      </c>
      <c r="L34" s="17" t="inlineStr">
        <is>
          <t>Bobinas de origen Ternium</t>
        </is>
      </c>
      <c r="M34" s="17" t="inlineStr">
        <is>
          <t>Q-PRADECON (173170 / 173195)</t>
        </is>
      </c>
      <c r="N34" s="17" t="inlineStr">
        <is>
          <t>Cotizado</t>
        </is>
      </c>
      <c r="O34" s="17" t="n"/>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20" t="inlineStr">
        <is>
          <t>TAPON</t>
        </is>
      </c>
      <c r="B57" s="20" t="inlineStr">
        <is>
          <t>Tapón protector de rosca</t>
        </is>
      </c>
      <c r="C57" s="20" t="inlineStr">
        <is>
          <t>Tapón PE para M22 / M30 / RBSP 2½"</t>
        </is>
      </c>
      <c r="D57" s="20" t="inlineStr">
        <is>
          <t>Sin proveedor nacional identificado</t>
        </is>
      </c>
      <c r="E57" s="20" t="n"/>
      <c r="F57" s="20" t="n"/>
      <c r="G57" s="20" t="n"/>
      <c r="H57" s="20" t="n"/>
      <c r="I57" s="20" t="n"/>
      <c r="J57" s="20" t="n"/>
      <c r="K57" s="20" t="inlineStr">
        <is>
          <t>Planilla MP-62: inyectora local sin identificar</t>
        </is>
      </c>
      <c r="L57" s="20" t="n"/>
      <c r="M57" s="20" t="n"/>
      <c r="N57" s="20" t="inlineStr">
        <is>
          <t>No cumple / a definir</t>
        </is>
      </c>
      <c r="O57" s="20"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19" t="inlineStr">
        <is>
          <t>EQ-D</t>
        </is>
      </c>
      <c r="B64" s="19" t="inlineStr">
        <is>
          <t>Extintor clase D terminado</t>
        </is>
      </c>
      <c r="C64" s="19" t="inlineStr">
        <is>
          <t>Extintor de polvo clase D</t>
        </is>
      </c>
      <c r="D64" s="19" t="inlineStr">
        <is>
          <t>Matafuegos Georgia - venta mayorista</t>
        </is>
      </c>
      <c r="E64" s="19" t="inlineStr">
        <is>
          <t>Gral. Manuel A. Rodríguez 2838, CABA</t>
        </is>
      </c>
      <c r="F64" s="19" t="inlineStr">
        <is>
          <t>≈ 15 km (aprox.)</t>
        </is>
      </c>
      <c r="G64" s="19" t="inlineStr">
        <is>
          <t>4585-4400 · ventas@matafuegosgeorgia.com</t>
        </is>
      </c>
      <c r="H64" s="19" t="inlineStr">
        <is>
          <t>Melisam</t>
        </is>
      </c>
      <c r="I64" s="19" t="inlineStr">
        <is>
          <t>Los Ceibos 428, San Isidro (PBA)</t>
        </is>
      </c>
      <c r="J64" s="19" t="inlineStr">
        <is>
          <t>≈ 30 km (aprox.)</t>
        </is>
      </c>
      <c r="K64" s="19" t="inlineStr">
        <is>
          <t>Sin cotizar</t>
        </is>
      </c>
      <c r="L64" s="19" t="inlineStr">
        <is>
          <t>Sello IRAM en sus extintores (fichas técnicas F1)</t>
        </is>
      </c>
      <c r="M64" s="19" t="inlineStr">
        <is>
          <t>Fichas técnicas (sin cotización de repuestos)</t>
        </is>
      </c>
      <c r="N64" s="19" t="inlineStr">
        <is>
          <t>A validar</t>
        </is>
      </c>
      <c r="O64" s="19"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19" t="inlineStr">
        <is>
          <t>REC-D</t>
        </is>
      </c>
      <c r="B66" s="19" t="inlineStr">
        <is>
          <t>Polvo clase D para recarga</t>
        </is>
      </c>
      <c r="C66" s="19" t="inlineStr">
        <is>
          <t>Polvo NaCl para metales combustibles</t>
        </is>
      </c>
      <c r="D66" s="19" t="inlineStr">
        <is>
          <t>DEM S.A. (DEMSA)</t>
        </is>
      </c>
      <c r="E66" s="19" t="inlineStr">
        <is>
          <t>Ruta 9 km 79, Campana (PBA)</t>
        </is>
      </c>
      <c r="F66" s="19" t="inlineStr">
        <is>
          <t>≈ 85 km (aprox.)</t>
        </is>
      </c>
      <c r="G66" s="19" t="n"/>
      <c r="H66" s="19" t="n"/>
      <c r="I66" s="19" t="n"/>
      <c r="J66" s="19" t="n"/>
      <c r="K66" s="19" t="inlineStr">
        <is>
          <t>Planilla MP-36: sin cotizar</t>
        </is>
      </c>
      <c r="L66" s="19" t="inlineStr">
        <is>
          <t>Sello IRAM 3569 (ABC) y BVQI</t>
        </is>
      </c>
      <c r="M66" s="19" t="inlineStr">
        <is>
          <t>L-DEMSA · L-DRAGO (potencial con DEM-60/90)</t>
        </is>
      </c>
      <c r="N66" s="19" t="inlineStr">
        <is>
          <t>A validar</t>
        </is>
      </c>
      <c r="O66" s="19" t="inlineStr">
        <is>
          <t>DEMSA tiene hoja de seguridad de polvo D</t>
        </is>
      </c>
    </row>
    <row r="67">
      <c r="A67" s="20" t="inlineStr">
        <is>
          <t>REC-HCFC</t>
        </is>
      </c>
      <c r="B67" s="20" t="inlineStr">
        <is>
          <t>Agente limpio para recarga</t>
        </is>
      </c>
      <c r="C67" s="20" t="inlineStr">
        <is>
          <t>HCFC-123 (Mezcla B) / HFC-236fa, IRAM 3526-1</t>
        </is>
      </c>
      <c r="D67" s="20" t="inlineStr">
        <is>
          <t>Sin proveedor nacional identificado</t>
        </is>
      </c>
      <c r="E67" s="20" t="n"/>
      <c r="F67" s="20" t="n"/>
      <c r="G67" s="20" t="n"/>
      <c r="H67" s="20" t="n"/>
      <c r="I67" s="20" t="n"/>
      <c r="J67" s="20" t="n"/>
      <c r="K67" s="20" t="inlineStr">
        <is>
          <t>Planilla MP-38: proveedor a definir</t>
        </is>
      </c>
      <c r="L67" s="20" t="n"/>
      <c r="M67" s="20" t="n"/>
      <c r="N67" s="20" t="inlineStr">
        <is>
          <t>No cumple / a definir</t>
        </is>
      </c>
      <c r="O67" s="20"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METALPRI</t>
        </is>
      </c>
      <c r="B80" s="17" t="inlineStr">
        <is>
          <t>Metalpri / Prilux</t>
        </is>
      </c>
      <c r="C80" s="17" t="inlineStr">
        <is>
          <t>Caño con costura</t>
        </is>
      </c>
      <c r="D80" s="17" t="inlineStr">
        <is>
          <t>Nueva Pompeya, CABA</t>
        </is>
      </c>
      <c r="E80" s="17" t="inlineStr">
        <is>
          <t>≈ 8 km (aprox.)</t>
        </is>
      </c>
      <c r="F80" s="17" t="n"/>
      <c r="G80" s="17" t="inlineStr">
        <is>
          <t>-</t>
        </is>
      </c>
      <c r="H80" s="17" t="inlineStr">
        <is>
          <t>Q-METALPRI (mail 09/09/2026)</t>
        </is>
      </c>
    </row>
    <row r="81">
      <c r="A81" s="17" t="inlineStr">
        <is>
          <t>MID</t>
        </is>
      </c>
      <c r="B81" s="17" t="inlineStr">
        <is>
          <t>Comercial MID</t>
        </is>
      </c>
      <c r="C81" s="17" t="inlineStr">
        <is>
          <t>Caños</t>
        </is>
      </c>
      <c r="D81" s="17" t="inlineStr">
        <is>
          <t>Don Torcuato, Tigre (PBA)</t>
        </is>
      </c>
      <c r="E81" s="17" t="inlineStr">
        <is>
          <t>≈ 40 km (aprox.)</t>
        </is>
      </c>
      <c r="F81" s="17" t="n"/>
      <c r="G81" s="17" t="inlineStr">
        <is>
          <t>-</t>
        </is>
      </c>
      <c r="H81" s="17" t="inlineStr">
        <is>
          <t>Q-MID (27626)</t>
        </is>
      </c>
    </row>
    <row r="82">
      <c r="A82" s="17" t="inlineStr">
        <is>
          <t>CASEROS</t>
        </is>
      </c>
      <c r="B82" s="17" t="inlineStr">
        <is>
          <t>Aceros Inoxidables Caseros</t>
        </is>
      </c>
      <c r="C82" s="17" t="inlineStr">
        <is>
          <t>Barras</t>
        </is>
      </c>
      <c r="D82" s="17" t="inlineStr">
        <is>
          <t>Caseros, Tres de Febrero (PBA)</t>
        </is>
      </c>
      <c r="E82" s="17" t="inlineStr">
        <is>
          <t>≈ 25 km (aprox.)</t>
        </is>
      </c>
      <c r="F82" s="17" t="n"/>
      <c r="G82" s="17" t="inlineStr">
        <is>
          <t>-</t>
        </is>
      </c>
      <c r="H82" s="17" t="inlineStr">
        <is>
          <t>Planilla MP-22 ($15.000/kg + IVA, barras de 6 m)</t>
        </is>
      </c>
    </row>
    <row r="83">
      <c r="A83" s="17" t="inlineStr">
        <is>
          <t>GOCKEL</t>
        </is>
      </c>
      <c r="B83" s="17" t="inlineStr">
        <is>
          <t>Gockel Ingeniería S.R.L.</t>
        </is>
      </c>
      <c r="C83" s="17" t="inlineStr">
        <is>
          <t>Matricería propia y estampado / embutido hasta 100 t</t>
        </is>
      </c>
      <c r="D83" s="17" t="inlineStr">
        <is>
          <t>San Carlos 755, Wilde, Avellaneda</t>
        </is>
      </c>
      <c r="E83" s="17" t="inlineStr">
        <is>
          <t>≈ 5 km (aprox.)</t>
        </is>
      </c>
      <c r="F83" s="17" t="inlineStr">
        <is>
          <t>011-7713-5110 · gockelingenieria@gmail.com</t>
        </is>
      </c>
      <c r="G83" s="17" t="inlineStr">
        <is>
          <t>Matrices de corte, punzonado, plegado y embutido en frío y en caliente</t>
        </is>
      </c>
      <c r="H83" s="17" t="inlineStr">
        <is>
          <t>Proveedor de FLAMA · gockelingenieria.com.ar</t>
        </is>
      </c>
    </row>
    <row r="84">
      <c r="A84" s="17" t="inlineStr">
        <is>
          <t>ELIMET</t>
        </is>
      </c>
      <c r="B84" s="17" t="inlineStr">
        <is>
          <t>Eli-Met</t>
        </is>
      </c>
      <c r="C84" s="17" t="inlineStr">
        <is>
          <t>Mecanizado CNC bajo plano</t>
        </is>
      </c>
      <c r="D84" s="17" t="inlineStr">
        <is>
          <t>Albariño 2047, Mataderos, CABA</t>
        </is>
      </c>
      <c r="E84" s="17" t="inlineStr">
        <is>
          <t>≈ 15 km (aprox.)</t>
        </is>
      </c>
      <c r="F84" s="17" t="n"/>
      <c r="G84" s="17" t="inlineStr">
        <is>
          <t>-</t>
        </is>
      </c>
      <c r="H84" s="17" t="inlineStr">
        <is>
          <t>Planilla MP-20/21 (cupla M30 $5.261; cupla 2½" $13.479 + IVA; 35-40 días)</t>
        </is>
      </c>
    </row>
    <row r="85">
      <c r="A85" s="17" t="inlineStr">
        <is>
          <t>CONARCO</t>
        </is>
      </c>
      <c r="B85" s="17" t="inlineStr">
        <is>
          <t>Conarco (ESAB Argentina)</t>
        </is>
      </c>
      <c r="C85" s="17" t="inlineStr">
        <is>
          <t>Alambre macizo para MAG</t>
        </is>
      </c>
      <c r="D85" s="17" t="inlineStr">
        <is>
          <t>Venta por distribuidores de soldadura</t>
        </is>
      </c>
      <c r="E85" s="17" t="inlineStr">
        <is>
          <t>a confirmar</t>
        </is>
      </c>
      <c r="F85" s="17" t="n"/>
      <c r="G85" s="17" t="inlineStr">
        <is>
          <t>AWS A5.18 ER70S-6</t>
        </is>
      </c>
      <c r="H85" s="17" t="inlineStr">
        <is>
          <t>Planilla MP-23/24 (sin cotizar)</t>
        </is>
      </c>
    </row>
    <row r="86">
      <c r="A86" s="17" t="inlineStr">
        <is>
          <t>AIRLIQ</t>
        </is>
      </c>
      <c r="B86" s="17" t="inlineStr">
        <is>
          <t>Air Liquide Argentina - sucursal Piñeyro</t>
        </is>
      </c>
      <c r="C86" s="17" t="inlineStr">
        <is>
          <t>Gases industriales</t>
        </is>
      </c>
      <c r="D86" s="17" t="inlineStr">
        <is>
          <t>Tte. Cnel. Guiffra 799, Piñeyro, Avellaneda</t>
        </is>
      </c>
      <c r="E86" s="17" t="inlineStr">
        <is>
          <t>≈ 3 km (aprox.)</t>
        </is>
      </c>
      <c r="F86" s="17" t="inlineStr">
        <is>
          <t>0810-222-5272</t>
        </is>
      </c>
      <c r="G86" s="17" t="inlineStr">
        <is>
          <t>ARCAL 21 / ARCAL Speed EN ISO 14175 M20-ArC-8; N₂ ≥ 99,8 %</t>
        </is>
      </c>
      <c r="H86" s="17" t="inlineStr">
        <is>
          <t>Q-ARCAL · Q-N2 · planilla MP-25 ($8.800/m³ + acarreo) y MP-34 ($1.800/m³ + acarreo)</t>
        </is>
      </c>
    </row>
    <row r="87">
      <c r="A87" s="17" t="inlineStr">
        <is>
          <t>GOGNIAT</t>
        </is>
      </c>
      <c r="B87" s="17" t="inlineStr">
        <is>
          <t>Gogniat</t>
        </is>
      </c>
      <c r="C87" s="17" t="inlineStr">
        <is>
          <t>Gases industriales</t>
        </is>
      </c>
      <c r="D87" s="17" t="inlineStr">
        <is>
          <t>GBA (gogniat.com.ar)</t>
        </is>
      </c>
      <c r="E87" s="17" t="inlineStr">
        <is>
          <t>a confirmar</t>
        </is>
      </c>
      <c r="F87" s="17" t="n"/>
      <c r="G87" s="17" t="inlineStr">
        <is>
          <t>Mezclas Ar/CO₂ para MAG (publica 75/25 y 80/20; confirmar 92/8)</t>
        </is>
      </c>
      <c r="H87" s="17" t="inlineStr">
        <is>
          <t>Web gogniat.com.ar</t>
        </is>
      </c>
    </row>
    <row r="88">
      <c r="A88" s="17" t="inlineStr">
        <is>
          <t>CYM</t>
        </is>
      </c>
      <c r="B88" s="17" t="inlineStr">
        <is>
          <t>CyM Materiales</t>
        </is>
      </c>
      <c r="C88" s="17" t="inlineStr">
        <is>
          <t>Granalla de acero</t>
        </is>
      </c>
      <c r="D88" s="17" t="inlineStr">
        <is>
          <t>GBA (cymba@cym.com.ar)</t>
        </is>
      </c>
      <c r="E88" s="17" t="inlineStr">
        <is>
          <t>a confirmar</t>
        </is>
      </c>
      <c r="F88" s="17" t="inlineStr">
        <is>
          <t>cymba@cym.com.ar</t>
        </is>
      </c>
      <c r="G88" s="17" t="inlineStr">
        <is>
          <t>SAE J444 / ISO 11124-3</t>
        </is>
      </c>
      <c r="H88" s="17" t="inlineStr">
        <is>
          <t>Planilla MP-28 ($2.000/kg)</t>
        </is>
      </c>
    </row>
    <row r="89">
      <c r="A89" s="17" t="inlineStr">
        <is>
          <t>ROCA</t>
        </is>
      </c>
      <c r="B89" s="17" t="inlineStr">
        <is>
          <t>Roca Ingeniería</t>
        </is>
      </c>
      <c r="C89" s="17" t="inlineStr">
        <is>
          <t>Granalla y equipos de granallado</t>
        </is>
      </c>
      <c r="D89" s="17" t="inlineStr">
        <is>
          <t>San Justo, La Matanza (PBA)</t>
        </is>
      </c>
      <c r="E89" s="17" t="inlineStr">
        <is>
          <t>≈ 20 km (aprox.)</t>
        </is>
      </c>
      <c r="F89" s="17" t="n"/>
      <c r="G89" s="17" t="inlineStr">
        <is>
          <t>SAE J444</t>
        </is>
      </c>
      <c r="H89" s="17" t="inlineStr">
        <is>
          <t>Web (sin cotización)</t>
        </is>
      </c>
    </row>
    <row r="90">
      <c r="A90" s="17" t="inlineStr">
        <is>
          <t>PRYMAX</t>
        </is>
      </c>
      <c r="B90" s="17" t="inlineStr">
        <is>
          <t>Prymax</t>
        </is>
      </c>
      <c r="C90" s="17" t="inlineStr">
        <is>
          <t>Pintura en polvo al horno (servicio)</t>
        </is>
      </c>
      <c r="D90" s="17" t="inlineStr">
        <is>
          <t>Según presupuesto S00469</t>
        </is>
      </c>
      <c r="E90" s="17" t="inlineStr">
        <is>
          <t>a confirmar</t>
        </is>
      </c>
      <c r="F90" s="17" t="n"/>
      <c r="G90" s="17" t="inlineStr">
        <is>
          <t>Pedir informe de niebla salina IRAM 121</t>
        </is>
      </c>
      <c r="H90" s="17" t="inlineStr">
        <is>
          <t>Q-PRYMAX (S00469)</t>
        </is>
      </c>
    </row>
    <row r="91">
      <c r="A91" s="17" t="inlineStr">
        <is>
          <t>PINTCARROS</t>
        </is>
      </c>
      <c r="B91" s="17" t="inlineStr">
        <is>
          <t>Pintor de carros (cotización por mensaje)</t>
        </is>
      </c>
      <c r="C91" s="17" t="inlineStr">
        <is>
          <t>Pintura de rodantes (servicio)</t>
        </is>
      </c>
      <c r="D91" s="17" t="inlineStr">
        <is>
          <t>Según cotización</t>
        </is>
      </c>
      <c r="E91" s="17" t="inlineStr">
        <is>
          <t>a confirmar</t>
        </is>
      </c>
      <c r="F91" s="17" t="n"/>
      <c r="G91" s="17" t="inlineStr">
        <is>
          <t>Pedir informe de niebla salina IRAM 121 (3550 4.5: 240 h)</t>
        </is>
      </c>
      <c r="H91" s="17" t="inlineStr">
        <is>
          <t>Q-CARROS</t>
        </is>
      </c>
    </row>
    <row r="92">
      <c r="A92" s="17" t="inlineStr">
        <is>
          <t>DEMSA</t>
        </is>
      </c>
      <c r="B92" s="17" t="inlineStr">
        <is>
          <t>DEM S.A. (DEMSA)</t>
        </is>
      </c>
      <c r="C92" s="17" t="inlineStr">
        <is>
          <t>Agentes extintores</t>
        </is>
      </c>
      <c r="D92" s="17" t="inlineStr">
        <is>
          <t>Ruta 9 km 79, Campana (PBA)</t>
        </is>
      </c>
      <c r="E92" s="17" t="inlineStr">
        <is>
          <t>≈ 85 km (aprox.)</t>
        </is>
      </c>
      <c r="F92" s="17" t="n"/>
      <c r="G92" s="17" t="inlineStr">
        <is>
          <t>Sello IRAM 3569 (ABC) y BVQI</t>
        </is>
      </c>
      <c r="H92" s="17" t="inlineStr">
        <is>
          <t>L-DEMSA · L-DRAGO (potencial con DEM-60/90)</t>
        </is>
      </c>
    </row>
    <row r="93">
      <c r="A93" s="17" t="inlineStr">
        <is>
          <t>POLVEX</t>
        </is>
      </c>
      <c r="B93" s="17" t="inlineStr">
        <is>
          <t>Polvex S.R.L. / Sancibrao</t>
        </is>
      </c>
      <c r="C93" s="17" t="inlineStr">
        <is>
          <t>Agentes y válvulas HZ (distribuidor)</t>
        </is>
      </c>
      <c r="D93" s="17" t="inlineStr">
        <is>
          <t>Boulogne Sur Mer 1813, Villa Maipú, San Martín (PBA)</t>
        </is>
      </c>
      <c r="E93" s="17" t="inlineStr">
        <is>
          <t>≈ 25 km (aprox.)</t>
        </is>
      </c>
      <c r="F93" s="17" t="inlineStr">
        <is>
          <t>11 4405-3382</t>
        </is>
      </c>
      <c r="G93" s="17" t="inlineStr">
        <is>
          <t>Polvo «según IRAM 3569» (sello no confirmado); válvulas HZ</t>
        </is>
      </c>
      <c r="H93" s="17" t="inlineStr">
        <is>
          <t>Q-AGENTES (lista de precios)</t>
        </is>
      </c>
    </row>
    <row r="94">
      <c r="A94" s="17" t="inlineStr">
        <is>
          <t>MOZART</t>
        </is>
      </c>
      <c r="B94" s="17" t="inlineStr">
        <is>
          <t>Mozart S.R.L.</t>
        </is>
      </c>
      <c r="C94" s="17" t="inlineStr">
        <is>
          <t>Fabricante de extintores, válvulas y repuestos</t>
        </is>
      </c>
      <c r="D94" s="17" t="inlineStr">
        <is>
          <t>Ucrania 1564, Valentín Alsina, Lanús (PBA)</t>
        </is>
      </c>
      <c r="E94" s="17" t="inlineStr">
        <is>
          <t>≈ 9 km (aprox.)</t>
        </is>
      </c>
      <c r="F94" s="17" t="inlineStr">
        <is>
          <t>4218-3690 · info@mozartsrl.com.ar</t>
        </is>
      </c>
      <c r="G94" s="17" t="inlineStr">
        <is>
          <t>Licencias IRAM de extintores y cilindros (2525/2526/2533, 3509, 3565)</t>
        </is>
      </c>
      <c r="H94" s="17" t="inlineStr">
        <is>
          <t>Web (sin cotización)</t>
        </is>
      </c>
    </row>
    <row r="95">
      <c r="A95" s="17" t="inlineStr">
        <is>
          <t>GEORGIA</t>
        </is>
      </c>
      <c r="B95" s="17" t="inlineStr">
        <is>
          <t>Matafuegos Georgia - venta mayorista</t>
        </is>
      </c>
      <c r="C95" s="17" t="inlineStr">
        <is>
          <t>Fabricante de extintores y repuestos</t>
        </is>
      </c>
      <c r="D95" s="17" t="inlineStr">
        <is>
          <t>Gral. Manuel A. Rodríguez 2838, CABA</t>
        </is>
      </c>
      <c r="E95" s="17" t="inlineStr">
        <is>
          <t>≈ 15 km (aprox.)</t>
        </is>
      </c>
      <c r="F95" s="17" t="inlineStr">
        <is>
          <t>4585-4400 · ventas@matafuegosgeorgia.com</t>
        </is>
      </c>
      <c r="G95" s="17" t="inlineStr">
        <is>
          <t>Sello IRAM en sus extintores (fichas técnicas F1)</t>
        </is>
      </c>
      <c r="H95" s="17" t="inlineStr">
        <is>
          <t>Fichas técnicas (sin cotización de repuestos)</t>
        </is>
      </c>
    </row>
    <row r="96">
      <c r="A96" s="17" t="inlineStr">
        <is>
          <t>DRAGO</t>
        </is>
      </c>
      <c r="B96" s="17" t="inlineStr">
        <is>
          <t>Drago (Luis Pasquinelli e Hijos S.A.)</t>
        </is>
      </c>
      <c r="C96" s="17" t="inlineStr">
        <is>
          <t>Fabricante de extintores</t>
        </is>
      </c>
      <c r="D96" s="17" t="inlineStr">
        <is>
          <t>Saladillo 1884, Castelar (PBA)</t>
        </is>
      </c>
      <c r="E96" s="17" t="inlineStr">
        <is>
          <t>≈ 30 km (aprox.)</t>
        </is>
      </c>
      <c r="F96" s="17" t="n"/>
      <c r="G96" s="17" t="inlineStr">
        <is>
          <t>Licencias IRAM 3523, 3525, 3527, 3694, 3504, 3509</t>
        </is>
      </c>
      <c r="H96" s="17" t="inlineStr">
        <is>
          <t>L-DRAGO (licencias)</t>
        </is>
      </c>
    </row>
    <row r="97">
      <c r="A97" s="17" t="inlineStr">
        <is>
          <t>MELISAM</t>
        </is>
      </c>
      <c r="B97" s="17" t="inlineStr">
        <is>
          <t>Melisam</t>
        </is>
      </c>
      <c r="C97" s="17" t="inlineStr">
        <is>
          <t>Fabricante de extintores</t>
        </is>
      </c>
      <c r="D97" s="17" t="inlineStr">
        <is>
          <t>Los Ceibos 428, San Isidro (PBA)</t>
        </is>
      </c>
      <c r="E97" s="17" t="inlineStr">
        <is>
          <t>≈ 30 km (aprox.)</t>
        </is>
      </c>
      <c r="F97" s="17" t="inlineStr">
        <is>
          <t>4766-6100</t>
        </is>
      </c>
      <c r="G97" s="17" t="inlineStr">
        <is>
          <t>Sello IRAM en sus extintores</t>
        </is>
      </c>
      <c r="H97" s="17" t="inlineStr">
        <is>
          <t>Fichas técnicas F2</t>
        </is>
      </c>
    </row>
    <row r="98">
      <c r="A98" s="17" t="inlineStr">
        <is>
          <t>RUEDAR</t>
        </is>
      </c>
      <c r="B98" s="17" t="inlineStr">
        <is>
          <t>Ruedar</t>
        </is>
      </c>
      <c r="C98" s="17" t="inlineStr">
        <is>
          <t>Fábrica de ruedas industriales</t>
        </is>
      </c>
      <c r="D98" s="17" t="inlineStr">
        <is>
          <t>Gral. Paunero 557, Ciudad Madero, La Matanza (PBA)</t>
        </is>
      </c>
      <c r="E98" s="17" t="inlineStr">
        <is>
          <t>≈ 20 km (aprox.)</t>
        </is>
      </c>
      <c r="F98" s="17" t="inlineStr">
        <is>
          <t>4442-4752</t>
        </is>
      </c>
      <c r="G98" s="17" t="inlineStr">
        <is>
          <t>Goma maciza vulcanizada: Ø300 × 60 (M-1509, buje 20, 250 kg); Ø350 × 60 (buje 20/25/28, 150 kg)</t>
        </is>
      </c>
      <c r="H98" s="17" t="inlineStr">
        <is>
          <t>Catálogo web ruedar.com.ar (sin cotización)</t>
        </is>
      </c>
    </row>
    <row r="99">
      <c r="A99" s="17" t="inlineStr">
        <is>
          <t>ESCANORT</t>
        </is>
      </c>
      <c r="B99" s="17" t="inlineStr">
        <is>
          <t>Escanort S.A.</t>
        </is>
      </c>
      <c r="C99" s="17" t="inlineStr">
        <is>
          <t>Escaleras, carros y ruedas</t>
        </is>
      </c>
      <c r="D99" s="17" t="inlineStr">
        <is>
          <t>San Martín 1930, Florida, Vicente López (PBA)</t>
        </is>
      </c>
      <c r="E99" s="17" t="inlineStr">
        <is>
          <t>≈ 22 km (aprox.)</t>
        </is>
      </c>
      <c r="F99" s="17" t="inlineStr">
        <is>
          <t>4795-0943</t>
        </is>
      </c>
      <c r="G99" s="17" t="inlineStr">
        <is>
          <t>Ø400 × 100 neumática, rodamiento para eje 25, 200 kg (no maciza)</t>
        </is>
      </c>
      <c r="H99" s="17" t="inlineStr">
        <is>
          <t>Web escanort.com.ar</t>
        </is>
      </c>
    </row>
    <row r="100">
      <c r="A100" s="17" t="inlineStr">
        <is>
          <t>ASTUPRINT</t>
        </is>
      </c>
      <c r="B100" s="17" t="inlineStr">
        <is>
          <t>Astuprint</t>
        </is>
      </c>
      <c r="C100" s="17" t="inlineStr">
        <is>
          <t>Etiquetas autoadhesivas industriales</t>
        </is>
      </c>
      <c r="D100" s="17" t="inlineStr">
        <is>
          <t>Tte. Cnel. Guiffra 970, Piñeyro, Avellaneda</t>
        </is>
      </c>
      <c r="E100" s="17" t="inlineStr">
        <is>
          <t>≈ 3 km (aprox.)</t>
        </is>
      </c>
      <c r="F100" s="17" t="n"/>
      <c r="G100" s="17" t="inlineStr">
        <is>
          <t>Vinilo / PP con laminado UV</t>
        </is>
      </c>
      <c r="H100" s="17" t="inlineStr">
        <is>
          <t>Web (sin cotización)</t>
        </is>
      </c>
    </row>
    <row r="101">
      <c r="A101" s="17" t="inlineStr">
        <is>
          <t>MULTILABEL</t>
        </is>
      </c>
      <c r="B101" s="17" t="inlineStr">
        <is>
          <t>Multilabel Argentina S.A.</t>
        </is>
      </c>
      <c r="C101" s="17" t="inlineStr">
        <is>
          <t>Impresión de etiquetas autoadhesivas</t>
        </is>
      </c>
      <c r="D101" s="17" t="inlineStr">
        <is>
          <t>Planta: Rodríguez Peña 1616 (GBA)</t>
        </is>
      </c>
      <c r="E101" s="17" t="inlineStr">
        <is>
          <t>a confirmar</t>
        </is>
      </c>
      <c r="F101" s="17" t="inlineStr">
        <is>
          <t>4664-7899</t>
        </is>
      </c>
      <c r="G101" s="17" t="inlineStr">
        <is>
          <t>-</t>
        </is>
      </c>
      <c r="H101" s="17" t="inlineStr">
        <is>
          <t>Web multilabel.com (producto verificado)</t>
        </is>
      </c>
    </row>
    <row r="102">
      <c r="A102" s="17" t="inlineStr">
        <is>
          <t>SONFUERTES</t>
        </is>
      </c>
      <c r="B102" s="17" t="inlineStr">
        <is>
          <t>SonFuertes (vía Papelera Damián)</t>
        </is>
      </c>
      <c r="C102" s="17" t="inlineStr">
        <is>
          <t>Precintos plásticos numerados y film</t>
        </is>
      </c>
      <c r="D102" s="17" t="inlineStr">
        <is>
          <t>GBA</t>
        </is>
      </c>
      <c r="E102" s="17" t="inlineStr">
        <is>
          <t>a confirmar</t>
        </is>
      </c>
      <c r="F102" s="17" t="n"/>
      <c r="G102" s="17" t="inlineStr">
        <is>
          <t>Numeración correlativa, color a pedido</t>
        </is>
      </c>
      <c r="H102" s="17" t="inlineStr">
        <is>
          <t>Web (sin cotización)</t>
        </is>
      </c>
    </row>
    <row r="103">
      <c r="A103" s="17" t="inlineStr">
        <is>
          <t>PRECINTER</t>
        </is>
      </c>
      <c r="B103" s="17" t="inlineStr">
        <is>
          <t>Precinter S.R.L.</t>
        </is>
      </c>
      <c r="C103" s="17" t="inlineStr">
        <is>
          <t>Fábrica de precintos de seguridad</t>
        </is>
      </c>
      <c r="D103" s="17" t="inlineStr">
        <is>
          <t>Vera 518, Villa Crespo, CABA</t>
        </is>
      </c>
      <c r="E103" s="17" t="inlineStr">
        <is>
          <t>≈ 10 km (aprox.)</t>
        </is>
      </c>
      <c r="F103" s="17" t="n"/>
      <c r="G103" s="17" t="inlineStr">
        <is>
          <t>Precintos de nylon numerados, de color y grabados</t>
        </is>
      </c>
      <c r="H103" s="17" t="inlineStr">
        <is>
          <t>Web precinter.com.ar (producto verificado)</t>
        </is>
      </c>
    </row>
    <row r="104">
      <c r="A104" s="17" t="inlineStr">
        <is>
          <t>MAXIPACK</t>
        </is>
      </c>
      <c r="B104" s="17" t="inlineStr">
        <is>
          <t>Maxipack</t>
        </is>
      </c>
      <c r="C104" s="17" t="inlineStr">
        <is>
          <t>Cajas de cartón corrugado a medida</t>
        </is>
      </c>
      <c r="D104" s="17" t="inlineStr">
        <is>
          <t>Aldecoa 953, Avellaneda</t>
        </is>
      </c>
      <c r="E104" s="17" t="inlineStr">
        <is>
          <t>≈ 3 km (aprox.)</t>
        </is>
      </c>
      <c r="F104" s="17" t="inlineStr">
        <is>
          <t>5281-8000</t>
        </is>
      </c>
      <c r="G104" s="17" t="inlineStr">
        <is>
          <t>Corrugado simple / doble</t>
        </is>
      </c>
      <c r="H104" s="17" t="inlineStr">
        <is>
          <t>Web (sin cotización)</t>
        </is>
      </c>
    </row>
    <row r="105">
      <c r="A105" s="17" t="inlineStr">
        <is>
          <t>CARTOCAN</t>
        </is>
      </c>
      <c r="B105" s="17" t="inlineStr">
        <is>
          <t>Cartocan</t>
        </is>
      </c>
      <c r="C105" s="17" t="inlineStr">
        <is>
          <t>Cajas de cartón corrugado</t>
        </is>
      </c>
      <c r="D105" s="17" t="inlineStr">
        <is>
          <t>La Rioja 1642, Avellaneda</t>
        </is>
      </c>
      <c r="E105" s="17" t="inlineStr">
        <is>
          <t>≈ 3 km (aprox.)</t>
        </is>
      </c>
      <c r="F105" s="17" t="inlineStr">
        <is>
          <t>4208-0997</t>
        </is>
      </c>
      <c r="G105" s="17" t="inlineStr">
        <is>
          <t>-</t>
        </is>
      </c>
      <c r="H105" s="17" t="inlineStr">
        <is>
          <t>Web (sin cotización)</t>
        </is>
      </c>
    </row>
    <row r="106">
      <c r="A106" s="17" t="inlineStr">
        <is>
          <t>INDUSPALLETS</t>
        </is>
      </c>
      <c r="B106" s="17" t="inlineStr">
        <is>
          <t>IndusPallets</t>
        </is>
      </c>
      <c r="C106" s="17" t="inlineStr">
        <is>
          <t>Pallets de madera</t>
        </is>
      </c>
      <c r="D106" s="17" t="inlineStr">
        <is>
          <t>Las Higueritas 548, Lanús Este (PBA)</t>
        </is>
      </c>
      <c r="E106" s="17" t="inlineStr">
        <is>
          <t>≈ 8 km (aprox.)</t>
        </is>
      </c>
      <c r="F106" s="17" t="inlineStr">
        <is>
          <t>4220-9600</t>
        </is>
      </c>
      <c r="G106" s="17" t="inlineStr">
        <is>
          <t>1200 × 1000 (IRAM 10016)</t>
        </is>
      </c>
      <c r="H106" s="17" t="inlineStr">
        <is>
          <t>Web (sin cotización)</t>
        </is>
      </c>
    </row>
    <row r="107">
      <c r="A107" s="17" t="inlineStr">
        <is>
          <t>MVEMB</t>
        </is>
      </c>
      <c r="B107" s="17" t="inlineStr">
        <is>
          <t>MV Embalajes</t>
        </is>
      </c>
      <c r="C107" s="17" t="inlineStr">
        <is>
          <t>Fabricación de film stretch y cintas de embalaje</t>
        </is>
      </c>
      <c r="D107" s="17" t="inlineStr">
        <is>
          <t>Zona Oeste (PBA)</t>
        </is>
      </c>
      <c r="E107" s="17" t="inlineStr">
        <is>
          <t>a confirmar</t>
        </is>
      </c>
      <c r="F107" s="17" t="inlineStr">
        <is>
          <t>7520-0870 · ventas@mvembalajes.com.ar</t>
        </is>
      </c>
      <c r="G107" s="17" t="inlineStr">
        <is>
          <t>Film stretch y cinta de embalaje</t>
        </is>
      </c>
      <c r="H107" s="17" t="inlineStr">
        <is>
          <t>Web mvembalajes.com (producto verificado)</t>
        </is>
      </c>
    </row>
    <row r="108">
      <c r="A108" s="17" t="inlineStr">
        <is>
          <t>EMBALPACK</t>
        </is>
      </c>
      <c r="B108" s="17" t="inlineStr">
        <is>
          <t>Embalpack</t>
        </is>
      </c>
      <c r="C108" s="17" t="inlineStr">
        <is>
          <t>Film stretch y embalaje</t>
        </is>
      </c>
      <c r="D108" s="17" t="inlineStr">
        <is>
          <t>Nicasio Oroño 2444, CABA</t>
        </is>
      </c>
      <c r="E108" s="17" t="inlineStr">
        <is>
          <t>≈ 10 km (aprox.)</t>
        </is>
      </c>
      <c r="F108" s="17" t="inlineStr">
        <is>
          <t>4581-7775</t>
        </is>
      </c>
      <c r="G108" s="17" t="inlineStr">
        <is>
          <t>-</t>
        </is>
      </c>
      <c r="H108" s="17" t="inlineStr">
        <is>
          <t>Web embalpack.com.ar (producto verificado)</t>
        </is>
      </c>
    </row>
    <row r="109">
      <c r="A109" s="17" t="inlineStr">
        <is>
          <t>ARGENSOLD</t>
        </is>
      </c>
      <c r="B109" s="17" t="inlineStr">
        <is>
          <t>Argensold</t>
        </is>
      </c>
      <c r="C109" s="17" t="inlineStr">
        <is>
          <t>Fábrica de O-rings y sellos</t>
        </is>
      </c>
      <c r="D109" s="17" t="inlineStr">
        <is>
          <t>Av. J. M. de Rosas 698, Lomas del Mirador (PBA)</t>
        </is>
      </c>
      <c r="E109" s="17" t="inlineStr">
        <is>
          <t>≈ 20 km (aprox.)</t>
        </is>
      </c>
      <c r="F109" s="17" t="inlineStr">
        <is>
          <t>4699-3788</t>
        </is>
      </c>
      <c r="G109" s="17" t="inlineStr">
        <is>
          <t>O-rings AS-568 en NBR</t>
        </is>
      </c>
      <c r="H109" s="17" t="inlineStr">
        <is>
          <t>Web o-ring.com.ar (producto verificado)</t>
        </is>
      </c>
    </row>
    <row r="110">
      <c r="A110" s="17" t="inlineStr">
        <is>
          <t>WURTH</t>
        </is>
      </c>
      <c r="B110" s="17" t="inlineStr">
        <is>
          <t>Würth Argentina</t>
        </is>
      </c>
      <c r="C110" s="17" t="inlineStr">
        <is>
          <t>Bulonería, tarugos y O-rings</t>
        </is>
      </c>
      <c r="D110" s="17" t="inlineStr">
        <is>
          <t>Sucursales GBA</t>
        </is>
      </c>
      <c r="E110" s="17" t="inlineStr">
        <is>
          <t>a confirmar</t>
        </is>
      </c>
      <c r="F110" s="17" t="n"/>
      <c r="G110" s="17" t="inlineStr">
        <is>
          <t>-</t>
        </is>
      </c>
      <c r="H110" s="17" t="inlineStr">
        <is>
          <t>Web (sin cotización)</t>
        </is>
      </c>
    </row>
    <row r="111">
      <c r="A111" s="17" t="inlineStr">
        <is>
          <t>MAXISEG</t>
        </is>
      </c>
      <c r="B111" s="17" t="inlineStr">
        <is>
          <t>Maxiseguridad</t>
        </is>
      </c>
      <c r="C111" s="17" t="inlineStr">
        <is>
          <t>Soportes y accesorios de extintores</t>
        </is>
      </c>
      <c r="D111" s="17" t="inlineStr">
        <is>
          <t>Vélez Sarsfield 5263, Munro (PBA)</t>
        </is>
      </c>
      <c r="E111" s="17" t="inlineStr">
        <is>
          <t>≈ 25 km (aprox.)</t>
        </is>
      </c>
      <c r="F111" s="17" t="inlineStr">
        <is>
          <t>4756-3979</t>
        </is>
      </c>
      <c r="G111" s="17" t="inlineStr">
        <is>
          <t>Soportes de chapa para 1 kg, de pared y de piso</t>
        </is>
      </c>
      <c r="H111" s="17" t="inlineStr">
        <is>
          <t>Web catalogo.maxiseguridad.com.ar (producto verificado)</t>
        </is>
      </c>
    </row>
    <row r="112">
      <c r="A112" s="17" t="inlineStr">
        <is>
          <t>CMREP</t>
        </is>
      </c>
      <c r="B112" s="17" t="inlineStr">
        <is>
          <t>CM Representaciones</t>
        </is>
      </c>
      <c r="C112" s="17" t="inlineStr">
        <is>
          <t>Repuestos para semirremolques</t>
        </is>
      </c>
      <c r="D112" s="17" t="inlineStr">
        <is>
          <t>GBA</t>
        </is>
      </c>
      <c r="E112" s="17" t="inlineStr">
        <is>
          <t>a confirmar</t>
        </is>
      </c>
      <c r="F112" s="17" t="n"/>
      <c r="G112" s="17" t="inlineStr">
        <is>
          <t>Soporte de chapa para matafuego de 10 kg (vehicular)</t>
        </is>
      </c>
      <c r="H112" s="17" t="inlineStr">
        <is>
          <t>Web cmrepresentaciones.com.ar</t>
        </is>
      </c>
    </row>
    <row r="113">
      <c r="A113" s="17" t="inlineStr">
        <is>
          <t>GS1</t>
        </is>
      </c>
      <c r="B113" s="17" t="inlineStr">
        <is>
          <t>GS1 Argentina</t>
        </is>
      </c>
      <c r="C113" s="17" t="inlineStr">
        <is>
          <t>Códigos GTIN 779</t>
        </is>
      </c>
      <c r="D113" s="17" t="inlineStr">
        <is>
          <t>CABA</t>
        </is>
      </c>
      <c r="E113" s="17" t="inlineStr">
        <is>
          <t>≈ 10 km (aprox.)</t>
        </is>
      </c>
      <c r="F113" s="17" t="n"/>
      <c r="G113" s="17" t="inlineStr">
        <is>
          <t>Estándar GS1</t>
        </is>
      </c>
      <c r="H113" s="17" t="inlineStr">
        <is>
          <t>Web</t>
        </is>
      </c>
    </row>
    <row r="114">
      <c r="A114" s="17" t="inlineStr">
        <is>
          <t>IRAM</t>
        </is>
      </c>
      <c r="B114" s="17" t="inlineStr">
        <is>
          <t>IRAM - Instituto Argentino de Normalización</t>
        </is>
      </c>
      <c r="C114" s="17" t="inlineStr">
        <is>
          <t>Estampilla de conformidad</t>
        </is>
      </c>
      <c r="D114" s="17" t="inlineStr">
        <is>
          <t>Perú 552/556, CABA</t>
        </is>
      </c>
      <c r="E114" s="17" t="inlineStr">
        <is>
          <t>≈ 6 km (aprox.)</t>
        </is>
      </c>
      <c r="F114" s="17" t="n"/>
      <c r="G114" s="17" t="inlineStr">
        <is>
          <t>Anexo R (DC-PG-129)</t>
        </is>
      </c>
      <c r="H114" s="17" t="inlineStr">
        <is>
          <t>N-3523</t>
        </is>
      </c>
    </row>
    <row r="115">
      <c r="A115" s="17" t="inlineStr">
        <is>
          <t>DPS</t>
        </is>
      </c>
      <c r="B115" s="17" t="inlineStr">
        <is>
          <t>Ministerio de Ambiente PBA (ex OPDS)</t>
        </is>
      </c>
      <c r="C115" s="17" t="inlineStr">
        <is>
          <t>Oblea y tarjetas DPS</t>
        </is>
      </c>
      <c r="D115" s="17" t="inlineStr">
        <is>
          <t>La Plata (PBA)</t>
        </is>
      </c>
      <c r="E115" s="17" t="inlineStr">
        <is>
          <t>≈ 55 km (aprox.)</t>
        </is>
      </c>
      <c r="F115" s="17" t="n"/>
      <c r="G115" s="17" t="inlineStr">
        <is>
          <t>Res. 522/07 · Res. 349/07</t>
        </is>
      </c>
      <c r="H115" s="17" t="inlineStr">
        <is>
          <t>N-349</t>
        </is>
      </c>
    </row>
    <row r="116">
      <c r="A116" s="17" t="inlineStr">
        <is>
          <t>AGC</t>
        </is>
      </c>
      <c r="B116" s="17" t="inlineStr">
        <is>
          <t>Agencia Gubernamental de Control (CABA)</t>
        </is>
      </c>
      <c r="C116" s="17" t="inlineStr">
        <is>
          <t>Tarjeta AGC</t>
        </is>
      </c>
      <c r="D116" s="17" t="inlineStr">
        <is>
          <t>CABA</t>
        </is>
      </c>
      <c r="E116" s="17" t="inlineStr">
        <is>
          <t>≈ 6 km (aprox.)</t>
        </is>
      </c>
      <c r="F116" s="17" t="n"/>
      <c r="G116" s="17" t="inlineStr">
        <is>
          <t>Ord. 40.473 · Res. AGC 32/15</t>
        </is>
      </c>
      <c r="H116" s="17" t="inlineStr">
        <is>
          <t>N-AGC</t>
        </is>
      </c>
    </row>
    <row r="117">
      <c r="A117" s="17" t="inlineStr">
        <is>
          <t>YUKON</t>
        </is>
      </c>
      <c r="B117" s="17" t="inlineStr">
        <is>
          <t>Yukon / MatafuegosYa S.R.L.</t>
        </is>
      </c>
      <c r="C117" s="17" t="inlineStr">
        <is>
          <t>Agentes y repuestos de matafuegos</t>
        </is>
      </c>
      <c r="D117" s="17" t="inlineStr">
        <is>
          <t>Estomba 954, CABA</t>
        </is>
      </c>
      <c r="E117" s="17" t="inlineStr">
        <is>
          <t>≈ 12 km (aprox.)</t>
        </is>
      </c>
      <c r="F117" s="17" t="inlineStr">
        <is>
          <t>4555-5100</t>
        </is>
      </c>
      <c r="G117" s="17" t="inlineStr">
        <is>
          <t>Vástagos, manómetros, etiquetas, mangueras, toberas y válvulas</t>
        </is>
      </c>
      <c r="H117" s="17" t="inlineStr">
        <is>
          <t>Registro de proveedores PJN · Q-YUKON (equipos)</t>
        </is>
      </c>
    </row>
    <row r="118">
      <c r="A118" s="17" t="inlineStr">
        <is>
          <t>IGLESIAS</t>
        </is>
      </c>
      <c r="B118" s="17" t="inlineStr">
        <is>
          <t>Matafuegos Iglesias</t>
        </is>
      </c>
      <c r="C118" s="17" t="inlineStr">
        <is>
          <t>Repuestos y accesorios de matafuegos</t>
        </is>
      </c>
      <c r="D118" s="17" t="inlineStr">
        <is>
          <t>Av. Entre Ríos 1127, CABA</t>
        </is>
      </c>
      <c r="E118" s="17" t="inlineStr">
        <is>
          <t>≈ 7 km (aprox.)</t>
        </is>
      </c>
      <c r="F118" s="17" t="inlineStr">
        <is>
          <t>15-5308-5666</t>
        </is>
      </c>
      <c r="G118" s="17" t="inlineStr">
        <is>
          <t>Manómetros, mangueras, O-rings, trabas, precintos, vástagos y válvulas</t>
        </is>
      </c>
      <c r="H118"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53"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53"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53"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53" t="inlineStr">
        <is>
          <t>VALIDADA CON CONDICIÓN</t>
        </is>
      </c>
      <c r="G7" s="17" t="inlineStr">
        <is>
          <t>4,75 cumple el mínimo de 4,5 (Ø &gt; 320). 50 kg con 3,2 (igual que Fadesa G689) cumple la fórmula sólo con σf ≥ 265 MPa: exigirlo en el certificado o pasar a 4,0.</t>
        </is>
      </c>
    </row>
    <row r="8">
      <c r="A8" s="17" t="inlineStr">
        <is>
          <t>Semielaborado</t>
        </is>
      </c>
      <c r="B8" s="17" t="inlineStr">
        <is>
          <t>Tapas (cúpula y fondo) de rodantes 25 / 50 / 70 / 100 kg</t>
        </is>
      </c>
      <c r="C8" s="17" t="inlineStr">
        <is>
          <t>Casquete embutido Ø276 / Ø320 × 3,2 y Ø350 / Ø390 × 4,75, embutido tercerizado en Gockel Ingeniería (Wilde, Avellaneda)</t>
        </is>
      </c>
      <c r="D8" s="17" t="inlineStr">
        <is>
          <t>IRAM 3550 3.2.1 / 4.1.3</t>
        </is>
      </c>
      <c r="E8" s="17" t="inlineStr">
        <is>
          <t>Proveedor de FLAMA (Gockel)</t>
        </is>
      </c>
      <c r="F8" s="53"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19"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54" t="inlineStr">
        <is>
          <t>VALIDADA</t>
        </is>
      </c>
      <c r="G10" s="17" t="inlineStr">
        <is>
          <t>Cotizada: $5.261 / $13.479 c/u + IVA, 35-40 días.</t>
        </is>
      </c>
    </row>
    <row r="11">
      <c r="A11" s="17" t="inlineStr">
        <is>
          <t>Semielaborado</t>
        </is>
      </c>
      <c r="B11" s="17" t="inlineStr">
        <is>
          <t>Varilla de refuerzo interior 70 / 100 kg</t>
        </is>
      </c>
      <c r="C11" s="17" t="inlineStr">
        <is>
          <t>Redondo SAE 1010 Ø8, interior detrás de la costura longitudinal, punteado antes de soldar</t>
        </is>
      </c>
      <c r="D11" s="17" t="inlineStr">
        <is>
          <t>—</t>
        </is>
      </c>
      <c r="E11" s="17" t="inlineStr">
        <is>
          <t>Decisión FLAMA · planilla MP-22</t>
        </is>
      </c>
      <c r="F11" s="18" t="inlineStr">
        <is>
          <t>ESTIMADA</t>
        </is>
      </c>
      <c r="G11" s="17" t="inlineStr">
        <is>
          <t>Posición y función decididas por FLAMA (simetría del cilindrado). Ø8 = propuesta sin cálculo; Caseros la cotizó como inoxidable: confirmar SAE 1010 (soldable con ER70S-6).</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53"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53"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53"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54"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53"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19"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19" t="inlineStr">
        <is>
          <t>A VALIDAR</t>
        </is>
      </c>
      <c r="G20" s="17" t="inlineStr">
        <is>
          <t>Sin cotización: cotizar con ensayo de PH de la manga.</t>
        </is>
      </c>
    </row>
    <row r="21">
      <c r="A21" s="17" t="inlineStr">
        <is>
          <t>Componente</t>
        </is>
      </c>
      <c r="B21" s="17" t="inlineStr">
        <is>
          <t>Carro de rodantes</t>
        </is>
      </c>
      <c r="C21" s="17" t="inlineStr">
        <is>
          <t>Fabricado en planta: caño Ø25,4 × 1,6, eje SAE 1045 Ø25, planchuela 40 × 6, apoyo de chapa; ruedas compradas</t>
        </is>
      </c>
      <c r="D21" s="17" t="inlineStr">
        <is>
          <t>IRAM 3550 3.12 y 4.8 (ruedas ≥ Ø300 × 50)</t>
        </is>
      </c>
      <c r="E21" s="17" t="inlineStr">
        <is>
          <t>Catálogo Ruedar / Escanort</t>
        </is>
      </c>
      <c r="F21" s="19" t="inlineStr">
        <is>
          <t>A VALIDAR</t>
        </is>
      </c>
      <c r="G21" s="17" t="inlineStr">
        <is>
          <t>No hay proveedor nacional del carro armado.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53"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19"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varilla de refuerzo en 70/100 kg;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407"/>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8"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lleva cada producto (matafuegos, cilindros, sustitutos y kits de recarga), por unidad</t>
        </is>
      </c>
    </row>
    <row r="2">
      <c r="A2" t="inlineStr">
        <is>
          <t>Entra MRP = Sí: se compra. No: se fabrica (su materia prima está en las filas de Materia prima), viene dentro de un conjunto comprado, es referencia del revendido o es un proceso. Filtrar por Rubro o por Entra MRP.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55" t="inlineStr">
        <is>
          <t>Matafuego FL_MAT</t>
        </is>
      </c>
      <c r="H5" s="55" t="inlineStr">
        <is>
          <t>Matafuego FL_MAT</t>
        </is>
      </c>
      <c r="I5" s="55" t="inlineStr">
        <is>
          <t>Matafuego FL_MAT</t>
        </is>
      </c>
      <c r="J5" s="55" t="inlineStr">
        <is>
          <t>Matafuego FL_MAT</t>
        </is>
      </c>
      <c r="K5" s="55" t="inlineStr">
        <is>
          <t>Matafuego FL_MAT</t>
        </is>
      </c>
      <c r="L5" s="55" t="inlineStr">
        <is>
          <t>Matafuego FL_MAT</t>
        </is>
      </c>
      <c r="M5" s="55" t="inlineStr">
        <is>
          <t>Matafuego FL_MAT</t>
        </is>
      </c>
      <c r="N5" s="55" t="inlineStr">
        <is>
          <t>Matafuego FL_MAT</t>
        </is>
      </c>
      <c r="O5" s="55" t="inlineStr">
        <is>
          <t>Matafuego FL_MAT</t>
        </is>
      </c>
      <c r="P5" s="55" t="inlineStr">
        <is>
          <t>Matafuego FL_MAT</t>
        </is>
      </c>
      <c r="Q5" s="55" t="inlineStr">
        <is>
          <t>Matafuego FL_MAT</t>
        </is>
      </c>
      <c r="R5" s="55" t="inlineStr">
        <is>
          <t>Matafuego FL_MAT</t>
        </is>
      </c>
      <c r="S5" s="55" t="inlineStr">
        <is>
          <t>Matafuego FL_MAT</t>
        </is>
      </c>
      <c r="T5" s="55" t="inlineStr">
        <is>
          <t>Matafuego FL_MAT</t>
        </is>
      </c>
      <c r="U5" s="55" t="inlineStr">
        <is>
          <t>Matafuego FL_MAT</t>
        </is>
      </c>
      <c r="V5" s="55" t="inlineStr">
        <is>
          <t>Matafuego FL_MAT</t>
        </is>
      </c>
      <c r="W5" s="55" t="inlineStr">
        <is>
          <t>Matafuego FL_MAT</t>
        </is>
      </c>
      <c r="X5" s="55" t="inlineStr">
        <is>
          <t>Cilindro FL_REC</t>
        </is>
      </c>
      <c r="Y5" s="55" t="inlineStr">
        <is>
          <t>Cilindro FL_REC</t>
        </is>
      </c>
      <c r="Z5" s="55" t="inlineStr">
        <is>
          <t>Cilindro FL_REC</t>
        </is>
      </c>
      <c r="AA5" s="55" t="inlineStr">
        <is>
          <t>Cilindro FL_REC</t>
        </is>
      </c>
      <c r="AB5" s="55" t="inlineStr">
        <is>
          <t>Cilindro FL_REC</t>
        </is>
      </c>
      <c r="AC5" s="55" t="inlineStr">
        <is>
          <t>Cilindro FL_REC</t>
        </is>
      </c>
      <c r="AD5" s="55" t="inlineStr">
        <is>
          <t>Cilindro FL_REC</t>
        </is>
      </c>
      <c r="AE5" s="55" t="inlineStr">
        <is>
          <t>Cilindro FL_REC</t>
        </is>
      </c>
      <c r="AF5" s="55" t="inlineStr">
        <is>
          <t>Sustituto FL_SUS</t>
        </is>
      </c>
      <c r="AG5" s="55" t="inlineStr">
        <is>
          <t>Sustituto FL_SUS</t>
        </is>
      </c>
      <c r="AH5" s="55" t="inlineStr">
        <is>
          <t>Sustituto FL_SUS</t>
        </is>
      </c>
      <c r="AI5" s="55" t="inlineStr">
        <is>
          <t>Sustituto FL_SUS</t>
        </is>
      </c>
      <c r="AJ5" s="55" t="inlineStr">
        <is>
          <t>Sustituto FL_SUS</t>
        </is>
      </c>
      <c r="AK5" s="55" t="inlineStr">
        <is>
          <t>Sustituto FL_SUS</t>
        </is>
      </c>
      <c r="AL5" s="55" t="inlineStr">
        <is>
          <t>Sustituto FL_SUS</t>
        </is>
      </c>
      <c r="AM5" s="55" t="inlineStr">
        <is>
          <t>Sustituto FL_SUS</t>
        </is>
      </c>
      <c r="AN5" s="55" t="inlineStr">
        <is>
          <t>Sustituto FL_SUS</t>
        </is>
      </c>
      <c r="AO5" s="55" t="inlineStr">
        <is>
          <t>Sustituto FL_SUS</t>
        </is>
      </c>
      <c r="AP5" s="55" t="inlineStr">
        <is>
          <t>Sustituto FL_SUS</t>
        </is>
      </c>
      <c r="AQ5" s="55" t="inlineStr">
        <is>
          <t>Sustituto FL_SUS</t>
        </is>
      </c>
      <c r="AR5" s="55" t="inlineStr">
        <is>
          <t>Sustituto FL_SUS</t>
        </is>
      </c>
      <c r="AS5" s="55" t="inlineStr">
        <is>
          <t>Sustituto FL_SUS</t>
        </is>
      </c>
      <c r="AT5" s="55" t="inlineStr">
        <is>
          <t>Sustituto FL_SUS</t>
        </is>
      </c>
      <c r="AU5" s="55" t="inlineStr">
        <is>
          <t>Sustituto FL_SUS</t>
        </is>
      </c>
      <c r="AV5" s="55" t="inlineStr">
        <is>
          <t>Sustituto FL_SUS</t>
        </is>
      </c>
      <c r="AW5" s="55" t="inlineStr">
        <is>
          <t>Kit de recarga RK</t>
        </is>
      </c>
      <c r="AX5" s="55" t="inlineStr">
        <is>
          <t>Kit de recarga RK</t>
        </is>
      </c>
      <c r="AY5" s="55" t="inlineStr">
        <is>
          <t>Kit de recarga RK</t>
        </is>
      </c>
      <c r="AZ5" s="55" t="inlineStr">
        <is>
          <t>Kit de recarga RK</t>
        </is>
      </c>
      <c r="BA5" s="55" t="inlineStr">
        <is>
          <t>Kit de recarga RK</t>
        </is>
      </c>
      <c r="BB5" s="55" t="inlineStr">
        <is>
          <t>Kit de recarga RK</t>
        </is>
      </c>
      <c r="BC5" s="55" t="inlineStr">
        <is>
          <t>Kit de recarga RK</t>
        </is>
      </c>
      <c r="BD5" s="55" t="inlineStr">
        <is>
          <t>Kit de recarga RK</t>
        </is>
      </c>
      <c r="BE5" s="55" t="inlineStr">
        <is>
          <t>Kit de recarga RK</t>
        </is>
      </c>
      <c r="BF5" s="55" t="inlineStr">
        <is>
          <t>Kit de recarga RK</t>
        </is>
      </c>
      <c r="BG5" s="55" t="inlineStr">
        <is>
          <t>Kit de recarga RK</t>
        </is>
      </c>
      <c r="BH5" s="55" t="inlineStr">
        <is>
          <t>Kit de recarga RK</t>
        </is>
      </c>
      <c r="BI5" s="55" t="inlineStr">
        <is>
          <t>Kit de recarga RK</t>
        </is>
      </c>
      <c r="BJ5" s="55" t="inlineStr">
        <is>
          <t>Kit de recarga RK</t>
        </is>
      </c>
      <c r="BK5" s="55" t="inlineStr">
        <is>
          <t>Kit de recarga RK</t>
        </is>
      </c>
      <c r="BL5" s="55" t="inlineStr">
        <is>
          <t>Kit de recarga RK</t>
        </is>
      </c>
      <c r="BM5" s="55" t="inlineStr">
        <is>
          <t>Kit de recarga RK</t>
        </is>
      </c>
      <c r="BN5" s="55" t="inlineStr">
        <is>
          <t>Kit de recarga RK</t>
        </is>
      </c>
      <c r="BO5" s="55" t="inlineStr">
        <is>
          <t>Kit de recarga RK</t>
        </is>
      </c>
      <c r="BP5" s="55" t="inlineStr">
        <is>
          <t>Kit de recarga RK</t>
        </is>
      </c>
      <c r="BQ5" s="55" t="inlineStr">
        <is>
          <t>Kit de recarga RK</t>
        </is>
      </c>
      <c r="BR5" s="55" t="inlineStr">
        <is>
          <t>Kit de recarga RK</t>
        </is>
      </c>
      <c r="BS5" s="55" t="inlineStr">
        <is>
          <t>Kit de recarga RK</t>
        </is>
      </c>
      <c r="BT5" s="55" t="inlineStr">
        <is>
          <t>Kit de recarga RK</t>
        </is>
      </c>
      <c r="BU5" s="55" t="inlineStr">
        <is>
          <t>Kit de recarga RK</t>
        </is>
      </c>
      <c r="BV5" s="55" t="inlineStr">
        <is>
          <t>Kit de recarga RK</t>
        </is>
      </c>
      <c r="BW5" s="55" t="inlineStr">
        <is>
          <t>Kit de recarga RK</t>
        </is>
      </c>
      <c r="BX5" s="55" t="inlineStr">
        <is>
          <t>Kit de recarga RK</t>
        </is>
      </c>
      <c r="BY5" s="55" t="inlineStr">
        <is>
          <t>Kit de recarga RK</t>
        </is>
      </c>
      <c r="BZ5" s="55" t="inlineStr">
        <is>
          <t>Kit de recarga RK</t>
        </is>
      </c>
      <c r="CA5" s="55" t="inlineStr">
        <is>
          <t>Kit de recarga RK</t>
        </is>
      </c>
      <c r="CB5" s="55" t="inlineStr">
        <is>
          <t>Kit de recarga RK</t>
        </is>
      </c>
      <c r="CC5" s="55" t="inlineStr">
        <is>
          <t>Kit de recarga RK</t>
        </is>
      </c>
      <c r="CD5" s="55" t="inlineStr">
        <is>
          <t>Kit de recarga RK</t>
        </is>
      </c>
      <c r="CE5" s="55" t="inlineStr">
        <is>
          <t>Kit de recarga RK</t>
        </is>
      </c>
      <c r="CF5" s="55" t="inlineStr">
        <is>
          <t>Kit de recarga RK</t>
        </is>
      </c>
      <c r="CG5" s="55" t="inlineStr">
        <is>
          <t>Kit de recarga RK</t>
        </is>
      </c>
      <c r="CH5" s="55" t="inlineStr">
        <is>
          <t>Kit de recarga RK</t>
        </is>
      </c>
      <c r="CI5" s="55" t="inlineStr">
        <is>
          <t>Kit de recarga RK</t>
        </is>
      </c>
      <c r="CJ5" s="55" t="inlineStr">
        <is>
          <t>Kit de recarga RK</t>
        </is>
      </c>
      <c r="CK5" s="55" t="inlineStr">
        <is>
          <t>Kit de recarga RK</t>
        </is>
      </c>
      <c r="CL5" s="55" t="inlineStr">
        <is>
          <t>Kit de recarga RK</t>
        </is>
      </c>
      <c r="CM5" s="55" t="inlineStr">
        <is>
          <t>Kit de recarga RK</t>
        </is>
      </c>
      <c r="CN5" s="55" t="inlineStr">
        <is>
          <t>Kit de recarga RK</t>
        </is>
      </c>
      <c r="CO5" s="55" t="inlineStr">
        <is>
          <t>Kit de recarga RK</t>
        </is>
      </c>
      <c r="CP5" s="55" t="inlineStr">
        <is>
          <t>Kit de recarga RK</t>
        </is>
      </c>
      <c r="CQ5" s="55" t="inlineStr">
        <is>
          <t>Kit de recarga RK</t>
        </is>
      </c>
      <c r="CR5" s="55" t="inlineStr">
        <is>
          <t>Kit de recarga RK</t>
        </is>
      </c>
      <c r="CS5" s="55" t="inlineStr">
        <is>
          <t>Kit de recarga RK</t>
        </is>
      </c>
      <c r="CT5" s="55" t="inlineStr">
        <is>
          <t>Kit de recarga RK</t>
        </is>
      </c>
      <c r="CU5" s="55" t="inlineStr">
        <is>
          <t>Kit de recarga RK</t>
        </is>
      </c>
      <c r="CV5" s="55" t="inlineStr">
        <is>
          <t>Kit de recarga RK</t>
        </is>
      </c>
      <c r="CW5" s="55" t="inlineStr">
        <is>
          <t>Kit de recarga RK</t>
        </is>
      </c>
      <c r="CX5" s="55" t="inlineStr">
        <is>
          <t>Kit de recarga RK</t>
        </is>
      </c>
      <c r="CY5" s="55" t="inlineStr">
        <is>
          <t>Kit de recarga RK</t>
        </is>
      </c>
      <c r="CZ5" s="55" t="inlineStr">
        <is>
          <t>Kit de recarga RK</t>
        </is>
      </c>
      <c r="DA5" s="55" t="inlineStr">
        <is>
          <t>Kit de recarga RK</t>
        </is>
      </c>
      <c r="DB5" s="55" t="inlineStr">
        <is>
          <t>Kit de recarga RK</t>
        </is>
      </c>
      <c r="DC5" s="55" t="inlineStr">
        <is>
          <t>Kit de recarga RK</t>
        </is>
      </c>
      <c r="DD5" s="55" t="inlineStr">
        <is>
          <t>Kit de recarga RK</t>
        </is>
      </c>
      <c r="DE5" s="55" t="inlineStr">
        <is>
          <t>Kit de recarga RK</t>
        </is>
      </c>
    </row>
    <row r="6" ht="110" customHeight="1">
      <c r="A6" s="16" t="inlineStr">
        <is>
          <t>Rubro</t>
        </is>
      </c>
      <c r="B6" s="16" t="inlineStr">
        <is>
          <t>Ítem</t>
        </is>
      </c>
      <c r="C6" s="16" t="inlineStr">
        <is>
          <t>UM</t>
        </is>
      </c>
      <c r="D6" s="16" t="inlineStr">
        <is>
          <t>Entra MRP</t>
        </is>
      </c>
      <c r="E6" s="16" t="inlineStr">
        <is>
          <t>Proveedor principal</t>
        </is>
      </c>
      <c r="F6" s="16" t="inlineStr">
        <is>
          <t>Proceso / operación</t>
        </is>
      </c>
      <c r="G6" s="56" t="inlineStr">
        <is>
          <t>MAT ABC_1kg</t>
        </is>
      </c>
      <c r="H6" s="56" t="inlineStr">
        <is>
          <t>MAT ABC_2.5kg</t>
        </is>
      </c>
      <c r="I6" s="56" t="inlineStr">
        <is>
          <t>MAT ABC_5kg</t>
        </is>
      </c>
      <c r="J6" s="56" t="inlineStr">
        <is>
          <t>MAT ABC_10kg</t>
        </is>
      </c>
      <c r="K6" s="56" t="inlineStr">
        <is>
          <t>MAT AGUA_10l</t>
        </is>
      </c>
      <c r="L6" s="56" t="inlineStr">
        <is>
          <t>MAT AFFF_10l</t>
        </is>
      </c>
      <c r="M6" s="56" t="inlineStr">
        <is>
          <t>MAT AFFF_50l</t>
        </is>
      </c>
      <c r="N6" s="56" t="inlineStr">
        <is>
          <t>MAT BC_5kg</t>
        </is>
      </c>
      <c r="O6" s="56" t="inlineStr">
        <is>
          <t>MAT SALESK_6l</t>
        </is>
      </c>
      <c r="P6" s="56" t="inlineStr">
        <is>
          <t>MAT CO2_2kg</t>
        </is>
      </c>
      <c r="Q6" s="56" t="inlineStr">
        <is>
          <t>MAT CO2_5kg</t>
        </is>
      </c>
      <c r="R6" s="56" t="inlineStr">
        <is>
          <t>MAT HCFC-HFC_5kg</t>
        </is>
      </c>
      <c r="S6" s="56" t="inlineStr">
        <is>
          <t>MAT CLASED_9l</t>
        </is>
      </c>
      <c r="T6" s="56" t="inlineStr">
        <is>
          <t>MAT ABC_25kg</t>
        </is>
      </c>
      <c r="U6" s="56" t="inlineStr">
        <is>
          <t>MAT ABC_50kg</t>
        </is>
      </c>
      <c r="V6" s="56" t="inlineStr">
        <is>
          <t>MAT ABC_70kg</t>
        </is>
      </c>
      <c r="W6" s="56" t="inlineStr">
        <is>
          <t>MAT ABC_100kg</t>
        </is>
      </c>
      <c r="X6" s="56" t="inlineStr">
        <is>
          <t>REC ABC_1kg</t>
        </is>
      </c>
      <c r="Y6" s="56" t="inlineStr">
        <is>
          <t>REC ABC_2.5kg</t>
        </is>
      </c>
      <c r="Z6" s="56" t="inlineStr">
        <is>
          <t>REC ABC_5kg</t>
        </is>
      </c>
      <c r="AA6" s="56" t="inlineStr">
        <is>
          <t>REC ABC_10kg</t>
        </is>
      </c>
      <c r="AB6" s="56" t="inlineStr">
        <is>
          <t>REC ABC_25kg</t>
        </is>
      </c>
      <c r="AC6" s="56" t="inlineStr">
        <is>
          <t>REC ABC_50kg</t>
        </is>
      </c>
      <c r="AD6" s="56" t="inlineStr">
        <is>
          <t>REC ABC_70kg</t>
        </is>
      </c>
      <c r="AE6" s="56" t="inlineStr">
        <is>
          <t>REC ABC_100kg</t>
        </is>
      </c>
      <c r="AF6" s="56" t="inlineStr">
        <is>
          <t>SUS ABC_1kg</t>
        </is>
      </c>
      <c r="AG6" s="56" t="inlineStr">
        <is>
          <t>SUS ABC_2.5kg</t>
        </is>
      </c>
      <c r="AH6" s="56" t="inlineStr">
        <is>
          <t>SUS ABC_5kg</t>
        </is>
      </c>
      <c r="AI6" s="56" t="inlineStr">
        <is>
          <t>SUS ABC_10kg</t>
        </is>
      </c>
      <c r="AJ6" s="56" t="inlineStr">
        <is>
          <t>SUS AGUA_10l</t>
        </is>
      </c>
      <c r="AK6" s="56" t="inlineStr">
        <is>
          <t>SUS AFFF_10l</t>
        </is>
      </c>
      <c r="AL6" s="56" t="inlineStr">
        <is>
          <t>SUS AFFF_50l</t>
        </is>
      </c>
      <c r="AM6" s="56" t="inlineStr">
        <is>
          <t>SUS BC_5kg</t>
        </is>
      </c>
      <c r="AN6" s="56" t="inlineStr">
        <is>
          <t>SUS SALESK_6l</t>
        </is>
      </c>
      <c r="AO6" s="56" t="inlineStr">
        <is>
          <t>SUS CO2_2kg</t>
        </is>
      </c>
      <c r="AP6" s="56" t="inlineStr">
        <is>
          <t>SUS CO2_5kg</t>
        </is>
      </c>
      <c r="AQ6" s="56" t="inlineStr">
        <is>
          <t>SUS HCFC-HFC_5kg</t>
        </is>
      </c>
      <c r="AR6" s="56" t="inlineStr">
        <is>
          <t>SUS CLASED_9l</t>
        </is>
      </c>
      <c r="AS6" s="56" t="inlineStr">
        <is>
          <t>SUS ABC_25kg</t>
        </is>
      </c>
      <c r="AT6" s="56" t="inlineStr">
        <is>
          <t>SUS ABC_50kg</t>
        </is>
      </c>
      <c r="AU6" s="56" t="inlineStr">
        <is>
          <t>SUS ABC_70kg</t>
        </is>
      </c>
      <c r="AV6" s="56" t="inlineStr">
        <is>
          <t>SUS ABC_100kg</t>
        </is>
      </c>
      <c r="AW6" s="56" t="inlineStr">
        <is>
          <t>RK-ABC1-A</t>
        </is>
      </c>
      <c r="AX6" s="56" t="inlineStr">
        <is>
          <t>RK-ABC1-B</t>
        </is>
      </c>
      <c r="AY6" s="56" t="inlineStr">
        <is>
          <t>RK-ABC1-C</t>
        </is>
      </c>
      <c r="AZ6" s="56" t="inlineStr">
        <is>
          <t>RK-ABC1-I</t>
        </is>
      </c>
      <c r="BA6" s="56" t="inlineStr">
        <is>
          <t>RK-ABC2.5-A</t>
        </is>
      </c>
      <c r="BB6" s="56" t="inlineStr">
        <is>
          <t>RK-ABC2.5-B</t>
        </is>
      </c>
      <c r="BC6" s="56" t="inlineStr">
        <is>
          <t>RK-ABC2.5-C</t>
        </is>
      </c>
      <c r="BD6" s="56" t="inlineStr">
        <is>
          <t>RK-ABC2.5-I</t>
        </is>
      </c>
      <c r="BE6" s="56" t="inlineStr">
        <is>
          <t>RK-ABC5-A</t>
        </is>
      </c>
      <c r="BF6" s="56" t="inlineStr">
        <is>
          <t>RK-ABC5-B</t>
        </is>
      </c>
      <c r="BG6" s="56" t="inlineStr">
        <is>
          <t>RK-ABC5-C</t>
        </is>
      </c>
      <c r="BH6" s="56" t="inlineStr">
        <is>
          <t>RK-ABC5-I</t>
        </is>
      </c>
      <c r="BI6" s="56" t="inlineStr">
        <is>
          <t>RK-ABC10-A</t>
        </is>
      </c>
      <c r="BJ6" s="56" t="inlineStr">
        <is>
          <t>RK-ABC10-B</t>
        </is>
      </c>
      <c r="BK6" s="56" t="inlineStr">
        <is>
          <t>RK-ABC10-C</t>
        </is>
      </c>
      <c r="BL6" s="56" t="inlineStr">
        <is>
          <t>RK-ABC10-I</t>
        </is>
      </c>
      <c r="BM6" s="56" t="inlineStr">
        <is>
          <t>RK-AGUA10-A</t>
        </is>
      </c>
      <c r="BN6" s="56" t="inlineStr">
        <is>
          <t>RK-AGUA10-B</t>
        </is>
      </c>
      <c r="BO6" s="56" t="inlineStr">
        <is>
          <t>RK-AGUA10-I</t>
        </is>
      </c>
      <c r="BP6" s="56" t="inlineStr">
        <is>
          <t>RK-AFFF10-A</t>
        </is>
      </c>
      <c r="BQ6" s="56" t="inlineStr">
        <is>
          <t>RK-AFFF10-B</t>
        </is>
      </c>
      <c r="BR6" s="56" t="inlineStr">
        <is>
          <t>RK-AFFF10-I</t>
        </is>
      </c>
      <c r="BS6" s="56" t="inlineStr">
        <is>
          <t>RK-AFFF50-A</t>
        </is>
      </c>
      <c r="BT6" s="56" t="inlineStr">
        <is>
          <t>RK-AFFF50-B</t>
        </is>
      </c>
      <c r="BU6" s="56" t="inlineStr">
        <is>
          <t>RK-AFFF50-I</t>
        </is>
      </c>
      <c r="BV6" s="56" t="inlineStr">
        <is>
          <t>RK-BC5-A</t>
        </is>
      </c>
      <c r="BW6" s="56" t="inlineStr">
        <is>
          <t>RK-BC5-B</t>
        </is>
      </c>
      <c r="BX6" s="56" t="inlineStr">
        <is>
          <t>RK-BC5-C</t>
        </is>
      </c>
      <c r="BY6" s="56" t="inlineStr">
        <is>
          <t>RK-BC5-I</t>
        </is>
      </c>
      <c r="BZ6" s="56" t="inlineStr">
        <is>
          <t>RK-SALESK6-A</t>
        </is>
      </c>
      <c r="CA6" s="56" t="inlineStr">
        <is>
          <t>RK-SALESK6-B</t>
        </is>
      </c>
      <c r="CB6" s="56" t="inlineStr">
        <is>
          <t>RK-SALESK6-I</t>
        </is>
      </c>
      <c r="CC6" s="56" t="inlineStr">
        <is>
          <t>RK-CO22-A</t>
        </is>
      </c>
      <c r="CD6" s="56" t="inlineStr">
        <is>
          <t>RK-CO22-B</t>
        </is>
      </c>
      <c r="CE6" s="56" t="inlineStr">
        <is>
          <t>RK-CO22-I</t>
        </is>
      </c>
      <c r="CF6" s="56" t="inlineStr">
        <is>
          <t>RK-CO25-A</t>
        </is>
      </c>
      <c r="CG6" s="56" t="inlineStr">
        <is>
          <t>RK-CO25-B</t>
        </is>
      </c>
      <c r="CH6" s="56" t="inlineStr">
        <is>
          <t>RK-CO25-I</t>
        </is>
      </c>
      <c r="CI6" s="56" t="inlineStr">
        <is>
          <t>RK-HCFCHFC5-A</t>
        </is>
      </c>
      <c r="CJ6" s="56" t="inlineStr">
        <is>
          <t>RK-HCFCHFC5-B</t>
        </is>
      </c>
      <c r="CK6" s="56" t="inlineStr">
        <is>
          <t>RK-HCFCHFC5-I</t>
        </is>
      </c>
      <c r="CL6" s="56" t="inlineStr">
        <is>
          <t>RK-CLASED9-A</t>
        </is>
      </c>
      <c r="CM6" s="56" t="inlineStr">
        <is>
          <t>RK-CLASED9-B</t>
        </is>
      </c>
      <c r="CN6" s="56" t="inlineStr">
        <is>
          <t>RK-CLASED9-C</t>
        </is>
      </c>
      <c r="CO6" s="56" t="inlineStr">
        <is>
          <t>RK-CLASED9-I</t>
        </is>
      </c>
      <c r="CP6" s="56" t="inlineStr">
        <is>
          <t>RK-ABC25-A</t>
        </is>
      </c>
      <c r="CQ6" s="56" t="inlineStr">
        <is>
          <t>RK-ABC25-B</t>
        </is>
      </c>
      <c r="CR6" s="56" t="inlineStr">
        <is>
          <t>RK-ABC25-C</t>
        </is>
      </c>
      <c r="CS6" s="56" t="inlineStr">
        <is>
          <t>RK-ABC25-I</t>
        </is>
      </c>
      <c r="CT6" s="56" t="inlineStr">
        <is>
          <t>RK-ABC50-A</t>
        </is>
      </c>
      <c r="CU6" s="56" t="inlineStr">
        <is>
          <t>RK-ABC50-B</t>
        </is>
      </c>
      <c r="CV6" s="56" t="inlineStr">
        <is>
          <t>RK-ABC50-C</t>
        </is>
      </c>
      <c r="CW6" s="56" t="inlineStr">
        <is>
          <t>RK-ABC50-I</t>
        </is>
      </c>
      <c r="CX6" s="56" t="inlineStr">
        <is>
          <t>RK-ABC70-A</t>
        </is>
      </c>
      <c r="CY6" s="56" t="inlineStr">
        <is>
          <t>RK-ABC70-B</t>
        </is>
      </c>
      <c r="CZ6" s="56" t="inlineStr">
        <is>
          <t>RK-ABC70-C</t>
        </is>
      </c>
      <c r="DA6" s="56" t="inlineStr">
        <is>
          <t>RK-ABC70-I</t>
        </is>
      </c>
      <c r="DB6" s="56" t="inlineStr">
        <is>
          <t>RK-ABC100-A</t>
        </is>
      </c>
      <c r="DC6" s="56" t="inlineStr">
        <is>
          <t>RK-ABC100-B</t>
        </is>
      </c>
      <c r="DD6" s="56" t="inlineStr">
        <is>
          <t>RK-ABC100-C</t>
        </is>
      </c>
      <c r="DE6" s="56" t="inlineStr">
        <is>
          <t>RK-ABC100-I</t>
        </is>
      </c>
    </row>
    <row r="7">
      <c r="A7" t="inlineStr">
        <is>
          <t>Materia prima</t>
        </is>
      </c>
      <c r="B7" t="inlineStr">
        <is>
          <t>Caño SAE 1010 Ø25,4 × 1,6</t>
        </is>
      </c>
      <c r="C7" t="inlineStr">
        <is>
          <t>barra 6 m</t>
        </is>
      </c>
      <c r="D7" t="inlineStr">
        <is>
          <t>Sí</t>
        </is>
      </c>
      <c r="E7" t="inlineStr">
        <is>
          <t>Metalpri / Prilux</t>
        </is>
      </c>
      <c r="F7" t="inlineStr">
        <is>
          <t>Corte en sierra</t>
        </is>
      </c>
      <c r="T7" t="n">
        <v>0.3448</v>
      </c>
      <c r="U7" t="n">
        <v>0.358</v>
      </c>
      <c r="V7" t="n">
        <v>0.415</v>
      </c>
      <c r="W7" t="n">
        <v>0.4267</v>
      </c>
    </row>
    <row r="8">
      <c r="A8" t="inlineStr">
        <is>
          <t>Materia prima</t>
        </is>
      </c>
      <c r="B8" t="inlineStr">
        <is>
          <t>Caño Ø76,2 × 1,25</t>
        </is>
      </c>
      <c r="C8" t="inlineStr">
        <is>
          <t>barra 6 m</t>
        </is>
      </c>
      <c r="D8" t="inlineStr">
        <is>
          <t>Sí</t>
        </is>
      </c>
      <c r="E8" t="inlineStr">
        <is>
          <t>Metalpri / Prilux</t>
        </is>
      </c>
      <c r="F8" t="inlineStr">
        <is>
          <t>AL-1T cantiléver</t>
        </is>
      </c>
      <c r="G8" t="n">
        <v>0.0435</v>
      </c>
      <c r="X8" t="n">
        <v>0.0435</v>
      </c>
    </row>
    <row r="9">
      <c r="A9" t="inlineStr">
        <is>
          <t>Materia prima</t>
        </is>
      </c>
      <c r="B9" t="inlineStr">
        <is>
          <t>Chapa LAC 1500 × 3000 e=3,2</t>
        </is>
      </c>
      <c r="C9" t="inlineStr">
        <is>
          <t>kg</t>
        </is>
      </c>
      <c r="D9" t="inlineStr">
        <is>
          <t>Sí</t>
        </is>
      </c>
      <c r="E9" t="inlineStr">
        <is>
          <t>Pradecon S.A.</t>
        </is>
      </c>
      <c r="F9" t="inlineStr">
        <is>
          <t>AL-1H paquetes de hojas</t>
        </is>
      </c>
      <c r="T9" t="n">
        <v>12.558</v>
      </c>
      <c r="U9" t="n">
        <v>18.845</v>
      </c>
      <c r="AB9" t="n">
        <v>12.558</v>
      </c>
      <c r="AC9" t="n">
        <v>18.845</v>
      </c>
    </row>
    <row r="10">
      <c r="A10" t="inlineStr">
        <is>
          <t>Materia prima</t>
        </is>
      </c>
      <c r="B10" t="inlineStr">
        <is>
          <t>Chapa LAC 1500 × 3000 e=4,75</t>
        </is>
      </c>
      <c r="C10" t="inlineStr">
        <is>
          <t>kg</t>
        </is>
      </c>
      <c r="D10" t="inlineStr">
        <is>
          <t>Sí</t>
        </is>
      </c>
      <c r="E10" t="inlineStr">
        <is>
          <t>Pradecon S.A.</t>
        </is>
      </c>
      <c r="F10" t="inlineStr">
        <is>
          <t>AL-1H paquetes de hojas</t>
        </is>
      </c>
      <c r="V10" t="n">
        <v>41.925</v>
      </c>
      <c r="W10" t="n">
        <v>55.947</v>
      </c>
      <c r="AD10" t="n">
        <v>41.925</v>
      </c>
      <c r="AE10" t="n">
        <v>55.947</v>
      </c>
    </row>
    <row r="11">
      <c r="A11" t="inlineStr">
        <is>
          <t>Materia prima</t>
        </is>
      </c>
      <c r="B11" t="inlineStr">
        <is>
          <t>Chapa LAF 1000 × 2000 e=1,6</t>
        </is>
      </c>
      <c r="C11" t="inlineStr">
        <is>
          <t>kg</t>
        </is>
      </c>
      <c r="D11" t="inlineStr">
        <is>
          <t>Sí</t>
        </is>
      </c>
      <c r="E11" t="inlineStr">
        <is>
          <t>Pradecon S.A.</t>
        </is>
      </c>
      <c r="F11" t="inlineStr">
        <is>
          <t>AL-1H paquetes de hojas</t>
        </is>
      </c>
      <c r="I11" t="n">
        <v>2.092</v>
      </c>
      <c r="Z11" t="n">
        <v>2.092</v>
      </c>
    </row>
    <row r="12">
      <c r="A12" t="inlineStr">
        <is>
          <t>Materia prima</t>
        </is>
      </c>
      <c r="B12" t="inlineStr">
        <is>
          <t>Chapa LAF 1220 × 2440 e=1,25</t>
        </is>
      </c>
      <c r="C12" t="inlineStr">
        <is>
          <t>kg</t>
        </is>
      </c>
      <c r="D12" t="inlineStr">
        <is>
          <t>Sí</t>
        </is>
      </c>
      <c r="E12" t="inlineStr">
        <is>
          <t>Pradecon S.A.</t>
        </is>
      </c>
      <c r="F12" t="inlineStr">
        <is>
          <t>AL-1H paquetes de hojas</t>
        </is>
      </c>
      <c r="H12" t="n">
        <v>1.082</v>
      </c>
      <c r="Y12" t="n">
        <v>1.082</v>
      </c>
    </row>
    <row r="13">
      <c r="A13" t="inlineStr">
        <is>
          <t>Materia prima</t>
        </is>
      </c>
      <c r="B13" t="inlineStr">
        <is>
          <t>Chapa LAF 1500 × 3000 e=2</t>
        </is>
      </c>
      <c r="C13" t="inlineStr">
        <is>
          <t>kg</t>
        </is>
      </c>
      <c r="D13" t="inlineStr">
        <is>
          <t>Sí</t>
        </is>
      </c>
      <c r="E13" t="inlineStr">
        <is>
          <t>Pradecon S.A.</t>
        </is>
      </c>
      <c r="F13" t="inlineStr">
        <is>
          <t>AL-1H paquetes de hojas</t>
        </is>
      </c>
      <c r="J13" t="n">
        <v>4.71</v>
      </c>
      <c r="AA13" t="n">
        <v>4.71</v>
      </c>
    </row>
    <row r="14">
      <c r="A14" s="57" t="inlineStr">
        <is>
          <t>Materia prima</t>
        </is>
      </c>
      <c r="B14" s="57" t="inlineStr">
        <is>
          <t>Fleje e=0,9 × 106</t>
        </is>
      </c>
      <c r="C14" s="57" t="inlineStr">
        <is>
          <t>m</t>
        </is>
      </c>
      <c r="D14" s="57" t="inlineStr">
        <is>
          <t>Sí</t>
        </is>
      </c>
      <c r="E14" s="57" t="inlineStr">
        <is>
          <t>Pacheco Chapas</t>
        </is>
      </c>
      <c r="F14" s="57" t="inlineStr">
        <is>
          <t>AL-1F porta-flejes</t>
        </is>
      </c>
      <c r="G14" t="n">
        <v>0.103</v>
      </c>
      <c r="X14" t="n">
        <v>0.103</v>
      </c>
    </row>
    <row r="15">
      <c r="A15" t="inlineStr">
        <is>
          <t>Materia prima</t>
        </is>
      </c>
      <c r="B15" t="inlineStr">
        <is>
          <t>Fleje e=0,9 × 114</t>
        </is>
      </c>
      <c r="C15" t="inlineStr">
        <is>
          <t>m</t>
        </is>
      </c>
      <c r="D15" t="inlineStr">
        <is>
          <t>Sí</t>
        </is>
      </c>
      <c r="E15" t="inlineStr">
        <is>
          <t>Pacheco Chapas</t>
        </is>
      </c>
      <c r="F15" t="inlineStr">
        <is>
          <t>AL-1F porta-flejes</t>
        </is>
      </c>
      <c r="G15" t="n">
        <v>0.111</v>
      </c>
      <c r="X15" t="n">
        <v>0.111</v>
      </c>
    </row>
    <row r="16">
      <c r="A16" t="inlineStr">
        <is>
          <t>Materia prima</t>
        </is>
      </c>
      <c r="B16" t="inlineStr">
        <is>
          <t>Fleje e=1,25 × 200</t>
        </is>
      </c>
      <c r="C16" t="inlineStr">
        <is>
          <t>m</t>
        </is>
      </c>
      <c r="D16" t="inlineStr">
        <is>
          <t>Sí</t>
        </is>
      </c>
      <c r="E16" t="inlineStr">
        <is>
          <t>Pacheco Chapas</t>
        </is>
      </c>
      <c r="F16" t="inlineStr">
        <is>
          <t>AL-1F porta-flejes</t>
        </is>
      </c>
      <c r="H16" t="n">
        <v>0.333</v>
      </c>
      <c r="Y16" t="n">
        <v>0.333</v>
      </c>
    </row>
    <row r="17">
      <c r="A17" t="inlineStr">
        <is>
          <t>Materia prima</t>
        </is>
      </c>
      <c r="B17" t="inlineStr">
        <is>
          <t>Fleje e=1,6 × 200</t>
        </is>
      </c>
      <c r="C17" t="inlineStr">
        <is>
          <t>m</t>
        </is>
      </c>
      <c r="D17" t="inlineStr">
        <is>
          <t>Sí</t>
        </is>
      </c>
      <c r="E17" t="inlineStr">
        <is>
          <t>Pacheco Chapas</t>
        </is>
      </c>
      <c r="F17" t="inlineStr">
        <is>
          <t>AL-1F porta-flejes</t>
        </is>
      </c>
      <c r="I17" t="n">
        <v>0.18</v>
      </c>
      <c r="Z17" t="n">
        <v>0.18</v>
      </c>
    </row>
    <row r="18">
      <c r="A18" t="inlineStr">
        <is>
          <t>Materia prima</t>
        </is>
      </c>
      <c r="B18" t="inlineStr">
        <is>
          <t>Fleje e=1,6 × 250</t>
        </is>
      </c>
      <c r="C18" t="inlineStr">
        <is>
          <t>m</t>
        </is>
      </c>
      <c r="D18" t="inlineStr">
        <is>
          <t>Sí</t>
        </is>
      </c>
      <c r="E18" t="inlineStr">
        <is>
          <t>Pacheco Chapas</t>
        </is>
      </c>
      <c r="F18" t="inlineStr">
        <is>
          <t>AL-1F porta-flejes</t>
        </is>
      </c>
      <c r="I18" t="n">
        <v>0.224</v>
      </c>
      <c r="Z18" t="n">
        <v>0.224</v>
      </c>
    </row>
    <row r="19">
      <c r="A19" t="inlineStr">
        <is>
          <t>Materia prima</t>
        </is>
      </c>
      <c r="B19" t="inlineStr">
        <is>
          <t>Fleje e=2 × 249</t>
        </is>
      </c>
      <c r="C19" t="inlineStr">
        <is>
          <t>m</t>
        </is>
      </c>
      <c r="D19" t="inlineStr">
        <is>
          <t>Sí</t>
        </is>
      </c>
      <c r="E19" t="inlineStr">
        <is>
          <t>Pacheco Chapas</t>
        </is>
      </c>
      <c r="F19" t="inlineStr">
        <is>
          <t>AL-1F porta-flejes</t>
        </is>
      </c>
      <c r="J19" t="n">
        <v>0.208</v>
      </c>
      <c r="AA19" t="n">
        <v>0.208</v>
      </c>
    </row>
    <row r="20">
      <c r="A20" s="57" t="inlineStr">
        <is>
          <t>Materia prima</t>
        </is>
      </c>
      <c r="B20" s="57" t="inlineStr">
        <is>
          <t>Fleje e=2 × 300</t>
        </is>
      </c>
      <c r="C20" s="57" t="inlineStr">
        <is>
          <t>m</t>
        </is>
      </c>
      <c r="D20" s="57" t="inlineStr">
        <is>
          <t>Sí</t>
        </is>
      </c>
      <c r="E20" s="57" t="inlineStr">
        <is>
          <t>Pacheco Chapas</t>
        </is>
      </c>
      <c r="F20" s="57" t="inlineStr">
        <is>
          <t>AL-1F porta-flejes</t>
        </is>
      </c>
      <c r="J20" t="n">
        <v>0.261</v>
      </c>
      <c r="AA20" t="n">
        <v>0.261</v>
      </c>
    </row>
    <row r="21">
      <c r="A21" t="inlineStr">
        <is>
          <t>Materia prima</t>
        </is>
      </c>
      <c r="B21" t="inlineStr">
        <is>
          <t>Planchuela SAE 1010 40 × 6</t>
        </is>
      </c>
      <c r="C21" t="inlineStr">
        <is>
          <t>barra 6 m</t>
        </is>
      </c>
      <c r="D21" t="inlineStr">
        <is>
          <t>Sí</t>
        </is>
      </c>
      <c r="E21" t="inlineStr">
        <is>
          <t>Hierros Parrotta</t>
        </is>
      </c>
      <c r="F21" t="inlineStr">
        <is>
          <t>Corte en sierra</t>
        </is>
      </c>
      <c r="T21" t="n">
        <v>0.4824</v>
      </c>
      <c r="U21" t="n">
        <v>0.4797</v>
      </c>
      <c r="V21" t="n">
        <v>0.6131</v>
      </c>
      <c r="W21" t="n">
        <v>0.6919</v>
      </c>
    </row>
    <row r="22">
      <c r="A22" s="58" t="inlineStr">
        <is>
          <t>Materia prima</t>
        </is>
      </c>
      <c r="B22" s="58" t="inlineStr">
        <is>
          <t>Recorte de chapa LAC e=3,2 para el apoyo plegado</t>
        </is>
      </c>
      <c r="C22" s="58" t="inlineStr">
        <is>
          <t>kg</t>
        </is>
      </c>
      <c r="D22" s="58" t="inlineStr">
        <is>
          <t>Sí</t>
        </is>
      </c>
      <c r="E22" s="58" t="inlineStr">
        <is>
          <t>Pradecon S.A.</t>
        </is>
      </c>
      <c r="F22" s="58" t="inlineStr">
        <is>
          <t>Corte y plegado</t>
        </is>
      </c>
      <c r="T22" t="n">
        <v>0.348</v>
      </c>
      <c r="U22" t="n">
        <v>0.348</v>
      </c>
      <c r="V22" t="n">
        <v>0.348</v>
      </c>
      <c r="W22" t="n">
        <v>0.348</v>
      </c>
    </row>
    <row r="23">
      <c r="A23" t="inlineStr">
        <is>
          <t>Materia prima</t>
        </is>
      </c>
      <c r="B23" t="inlineStr">
        <is>
          <t>Redondo SAE 1045 Ø25</t>
        </is>
      </c>
      <c r="C23" t="inlineStr">
        <is>
          <t>barra 6 m</t>
        </is>
      </c>
      <c r="D23" t="inlineStr">
        <is>
          <t>Sí</t>
        </is>
      </c>
      <c r="E23" t="inlineStr">
        <is>
          <t>Hierros Parrotta</t>
        </is>
      </c>
      <c r="F23" t="inlineStr">
        <is>
          <t>Corte en sierra</t>
        </is>
      </c>
      <c r="T23" t="n">
        <v>0.0608</v>
      </c>
      <c r="U23" t="n">
        <v>0.0577</v>
      </c>
      <c r="V23" t="n">
        <v>0.07580000000000001</v>
      </c>
      <c r="W23" t="n">
        <v>0.08169999999999999</v>
      </c>
    </row>
    <row r="24">
      <c r="A24" s="58" t="inlineStr">
        <is>
          <t>Materia prima</t>
        </is>
      </c>
      <c r="B24" s="58" t="inlineStr">
        <is>
          <t>Redondo liso SAE 1010 Ø8</t>
        </is>
      </c>
      <c r="C24" s="58" t="inlineStr">
        <is>
          <t>barra 6 m</t>
        </is>
      </c>
      <c r="D24" s="58" t="inlineStr">
        <is>
          <t>Sí</t>
        </is>
      </c>
      <c r="E24" s="58" t="inlineStr">
        <is>
          <t>Hierros Parrotta</t>
        </is>
      </c>
      <c r="F24" s="58" t="inlineStr">
        <is>
          <t>Corte en sierra</t>
        </is>
      </c>
      <c r="V24" t="n">
        <v>0.1089</v>
      </c>
      <c r="W24" t="n">
        <v>0.1265</v>
      </c>
      <c r="AD24" t="n">
        <v>0.1089</v>
      </c>
      <c r="AE24" t="n">
        <v>0.1265</v>
      </c>
    </row>
    <row r="25">
      <c r="A25" t="inlineStr">
        <is>
          <t>Semielaborado comprado</t>
        </is>
      </c>
      <c r="B25" t="inlineStr">
        <is>
          <t>Cuello roscado — Ø29 × 12,5 de alto, rosca M22x1,5, asiento Ø26</t>
        </is>
      </c>
      <c r="C25" t="inlineStr">
        <is>
          <t>u</t>
        </is>
      </c>
      <c r="D25" t="inlineStr">
        <is>
          <t>Sí</t>
        </is>
      </c>
      <c r="E25" t="inlineStr">
        <is>
          <t>Eli-Met</t>
        </is>
      </c>
      <c r="F25" t="inlineStr">
        <is>
          <t>Compra -&gt; 8 soldadura de cuello</t>
        </is>
      </c>
      <c r="G25" t="n">
        <v>1</v>
      </c>
      <c r="X25" t="n">
        <v>1</v>
      </c>
    </row>
    <row r="26">
      <c r="A26" t="inlineStr">
        <is>
          <t>Semielaborado comprado</t>
        </is>
      </c>
      <c r="B26" t="inlineStr">
        <is>
          <t>Cuello roscado — Ø36,8 × 14 de alto, rosca M30x1,5, asiento Ø35</t>
        </is>
      </c>
      <c r="C26" t="inlineStr">
        <is>
          <t>u</t>
        </is>
      </c>
      <c r="D26" t="inlineStr">
        <is>
          <t>Sí</t>
        </is>
      </c>
      <c r="E26" t="inlineStr">
        <is>
          <t>Eli-Met</t>
        </is>
      </c>
      <c r="F26" t="inlineStr">
        <is>
          <t>Compra -&gt; 8 soldadura de cuello</t>
        </is>
      </c>
      <c r="J26" t="n">
        <v>1</v>
      </c>
      <c r="AA26" t="n">
        <v>1</v>
      </c>
    </row>
    <row r="27">
      <c r="A27" t="inlineStr">
        <is>
          <t>Semielaborado comprado</t>
        </is>
      </c>
      <c r="B27" t="inlineStr">
        <is>
          <t>Cuello roscado — Ø37 × 14 de alto, rosca M30x1,5, asiento Ø35</t>
        </is>
      </c>
      <c r="C27" t="inlineStr">
        <is>
          <t>u</t>
        </is>
      </c>
      <c r="D27" t="inlineStr">
        <is>
          <t>Sí</t>
        </is>
      </c>
      <c r="E27" t="inlineStr">
        <is>
          <t>Eli-Met</t>
        </is>
      </c>
      <c r="F27" t="inlineStr">
        <is>
          <t>Compra -&gt; 8 soldadura de cuello</t>
        </is>
      </c>
      <c r="H27" t="n">
        <v>1</v>
      </c>
      <c r="Y27" t="n">
        <v>1</v>
      </c>
    </row>
    <row r="28">
      <c r="A28" t="inlineStr">
        <is>
          <t>Semielaborado comprado</t>
        </is>
      </c>
      <c r="B28" t="inlineStr">
        <is>
          <t>Cuello roscado — Ø37 × 15 de alto, rosca M30x1,5, asiento Ø35</t>
        </is>
      </c>
      <c r="C28" t="inlineStr">
        <is>
          <t>u</t>
        </is>
      </c>
      <c r="D28" t="inlineStr">
        <is>
          <t>Sí</t>
        </is>
      </c>
      <c r="E28" t="inlineStr">
        <is>
          <t>Eli-Met</t>
        </is>
      </c>
      <c r="F28" t="inlineStr">
        <is>
          <t>Compra -&gt; 8 soldadura de cuello</t>
        </is>
      </c>
      <c r="I28" t="n">
        <v>1</v>
      </c>
      <c r="Z28" t="n">
        <v>1</v>
      </c>
    </row>
    <row r="29">
      <c r="A29" t="inlineStr">
        <is>
          <t>Semielaborado comprado</t>
        </is>
      </c>
      <c r="B29" t="inlineStr">
        <is>
          <t>Cuello roscado — Ø37 × 35 de alto, rosca M30x1,5, asiento Ø35</t>
        </is>
      </c>
      <c r="C29" t="inlineStr">
        <is>
          <t>u</t>
        </is>
      </c>
      <c r="D29" t="inlineStr">
        <is>
          <t>Sí</t>
        </is>
      </c>
      <c r="E29" t="inlineStr">
        <is>
          <t>Eli-Met</t>
        </is>
      </c>
      <c r="F29" t="inlineStr">
        <is>
          <t>Compra -&gt; C2 punteo</t>
        </is>
      </c>
      <c r="T29" t="n">
        <v>1</v>
      </c>
      <c r="AB29" t="n">
        <v>1</v>
      </c>
    </row>
    <row r="30">
      <c r="A30" t="inlineStr">
        <is>
          <t>Semielaborado comprado</t>
        </is>
      </c>
      <c r="B30" t="inlineStr">
        <is>
          <t>Cuello roscado — Ø88 × 37 de alto, rosca RBSP 2 1/2"-11 h, asiento Ø80</t>
        </is>
      </c>
      <c r="C30" t="inlineStr">
        <is>
          <t>u</t>
        </is>
      </c>
      <c r="D30" t="inlineStr">
        <is>
          <t>Sí</t>
        </is>
      </c>
      <c r="E30" t="inlineStr">
        <is>
          <t>Eli-Met</t>
        </is>
      </c>
      <c r="F30" t="inlineStr">
        <is>
          <t>Compra -&gt; C2 punteo</t>
        </is>
      </c>
      <c r="U30" t="n">
        <v>1</v>
      </c>
      <c r="V30" t="n">
        <v>1</v>
      </c>
      <c r="W30" t="n">
        <v>1</v>
      </c>
      <c r="AC30" t="n">
        <v>1</v>
      </c>
      <c r="AD30" t="n">
        <v>1</v>
      </c>
      <c r="AE30" t="n">
        <v>1</v>
      </c>
    </row>
    <row r="31">
      <c r="A31" t="inlineStr">
        <is>
          <t>Semielaborado comprado</t>
        </is>
      </c>
      <c r="B31" t="inlineStr">
        <is>
          <t>Cúpula — Ø276,5 × e3,2 × 86,3 de alto; disco Ø341</t>
        </is>
      </c>
      <c r="C31" t="inlineStr">
        <is>
          <t>u</t>
        </is>
      </c>
      <c r="D31" t="inlineStr">
        <is>
          <t>Sí</t>
        </is>
      </c>
      <c r="E31" t="inlineStr">
        <is>
          <t>Gockel Ingeniería S.R.L.</t>
        </is>
      </c>
      <c r="F31" t="inlineStr">
        <is>
          <t>Compra (casquetes de carros, rack RK1)</t>
        </is>
      </c>
      <c r="T31" t="n">
        <v>1</v>
      </c>
      <c r="AB31" t="n">
        <v>1</v>
      </c>
    </row>
    <row r="32">
      <c r="A32" t="inlineStr">
        <is>
          <t>Semielaborado comprado</t>
        </is>
      </c>
      <c r="B32" t="inlineStr">
        <is>
          <t>Cúpula — Ø320 × e3,2 × 101,7 de alto; disco Ø393,8</t>
        </is>
      </c>
      <c r="C32" t="inlineStr">
        <is>
          <t>u</t>
        </is>
      </c>
      <c r="D32" t="inlineStr">
        <is>
          <t>Sí</t>
        </is>
      </c>
      <c r="E32" t="inlineStr">
        <is>
          <t>Gockel Ingeniería S.R.L.</t>
        </is>
      </c>
      <c r="F32" t="inlineStr">
        <is>
          <t>Compra (casquetes de carros, rack RK1)</t>
        </is>
      </c>
      <c r="U32" t="n">
        <v>1</v>
      </c>
      <c r="AC32" t="n">
        <v>1</v>
      </c>
    </row>
    <row r="33">
      <c r="A33" t="inlineStr">
        <is>
          <t>Semielaborado comprado</t>
        </is>
      </c>
      <c r="B33" t="inlineStr">
        <is>
          <t>Cúpula — Ø350 × e4,75 × 111,8 de alto; disco Ø430,9</t>
        </is>
      </c>
      <c r="C33" t="inlineStr">
        <is>
          <t>u</t>
        </is>
      </c>
      <c r="D33" t="inlineStr">
        <is>
          <t>Sí</t>
        </is>
      </c>
      <c r="E33" t="inlineStr">
        <is>
          <t>Gockel Ingeniería S.R.L.</t>
        </is>
      </c>
      <c r="F33" t="inlineStr">
        <is>
          <t>Compra (casquetes de carros, rack RK1)</t>
        </is>
      </c>
      <c r="V33" t="n">
        <v>1</v>
      </c>
      <c r="AD33" t="n">
        <v>1</v>
      </c>
    </row>
    <row r="34">
      <c r="A34" t="inlineStr">
        <is>
          <t>Semielaborado comprado</t>
        </is>
      </c>
      <c r="B34" t="inlineStr">
        <is>
          <t>Cúpula — Ø390 × e4,75 × 125,2 de alto; disco Ø482,2</t>
        </is>
      </c>
      <c r="C34" t="inlineStr">
        <is>
          <t>u</t>
        </is>
      </c>
      <c r="D34" t="inlineStr">
        <is>
          <t>Sí</t>
        </is>
      </c>
      <c r="E34" t="inlineStr">
        <is>
          <t>Gockel Ingeniería S.R.L.</t>
        </is>
      </c>
      <c r="F34" t="inlineStr">
        <is>
          <t>Compra (casquetes de carros, rack RK1)</t>
        </is>
      </c>
      <c r="W34" t="n">
        <v>1</v>
      </c>
      <c r="AE34" t="n">
        <v>1</v>
      </c>
    </row>
    <row r="35">
      <c r="A35" t="inlineStr">
        <is>
          <t>Semielaborado comprado</t>
        </is>
      </c>
      <c r="B35" t="inlineStr">
        <is>
          <t>Fondo — Ø276,5 × e3,2 × 87 de alto; disco Ø347,3</t>
        </is>
      </c>
      <c r="C35" t="inlineStr">
        <is>
          <t>u</t>
        </is>
      </c>
      <c r="D35" t="inlineStr">
        <is>
          <t>Sí</t>
        </is>
      </c>
      <c r="E35" t="inlineStr">
        <is>
          <t>Gockel Ingeniería S.R.L.</t>
        </is>
      </c>
      <c r="F35" t="inlineStr">
        <is>
          <t>Compra (casquetes de carros, rack RK1)</t>
        </is>
      </c>
      <c r="T35" t="n">
        <v>1</v>
      </c>
      <c r="AB35" t="n">
        <v>1</v>
      </c>
    </row>
    <row r="36">
      <c r="A36" t="inlineStr">
        <is>
          <t>Semielaborado comprado</t>
        </is>
      </c>
      <c r="B36" t="inlineStr">
        <is>
          <t>Fondo — Ø320 × e3,2 × 105 de alto; disco Ø408,5</t>
        </is>
      </c>
      <c r="C36" t="inlineStr">
        <is>
          <t>u</t>
        </is>
      </c>
      <c r="D36" t="inlineStr">
        <is>
          <t>Sí</t>
        </is>
      </c>
      <c r="E36" t="inlineStr">
        <is>
          <t>Gockel Ingeniería S.R.L.</t>
        </is>
      </c>
      <c r="F36" t="inlineStr">
        <is>
          <t>Compra (casquetes de carros, rack RK1)</t>
        </is>
      </c>
      <c r="U36" t="n">
        <v>1</v>
      </c>
      <c r="AC36" t="n">
        <v>1</v>
      </c>
    </row>
    <row r="37">
      <c r="A37" t="inlineStr">
        <is>
          <t>Semielaborado comprado</t>
        </is>
      </c>
      <c r="B37" t="inlineStr">
        <is>
          <t>Fondo — Ø350 × e4,75 × 114,8 de alto; disco Ø443,7</t>
        </is>
      </c>
      <c r="C37" t="inlineStr">
        <is>
          <t>u</t>
        </is>
      </c>
      <c r="D37" t="inlineStr">
        <is>
          <t>Sí</t>
        </is>
      </c>
      <c r="E37" t="inlineStr">
        <is>
          <t>Gockel Ingeniería S.R.L.</t>
        </is>
      </c>
      <c r="F37" t="inlineStr">
        <is>
          <t>Compra (casquetes de carros, rack RK1)</t>
        </is>
      </c>
      <c r="V37" t="n">
        <v>1</v>
      </c>
      <c r="AD37" t="n">
        <v>1</v>
      </c>
    </row>
    <row r="38">
      <c r="A38" t="inlineStr">
        <is>
          <t>Semielaborado comprado</t>
        </is>
      </c>
      <c r="B38" t="inlineStr">
        <is>
          <t>Fondo — Ø390 × e4,75 × 127,9 de alto; disco Ø495,6</t>
        </is>
      </c>
      <c r="C38" t="inlineStr">
        <is>
          <t>u</t>
        </is>
      </c>
      <c r="D38" t="inlineStr">
        <is>
          <t>Sí</t>
        </is>
      </c>
      <c r="E38" t="inlineStr">
        <is>
          <t>Gockel Ingeniería S.R.L.</t>
        </is>
      </c>
      <c r="F38" t="inlineStr">
        <is>
          <t>Compra (casquetes de carros, rack RK1)</t>
        </is>
      </c>
      <c r="W38" t="n">
        <v>1</v>
      </c>
      <c r="AE38" t="n">
        <v>1</v>
      </c>
    </row>
    <row r="39">
      <c r="A39" t="inlineStr">
        <is>
          <t>Componente comprado</t>
        </is>
      </c>
      <c r="B39" t="inlineStr">
        <is>
          <t>Faja amarilla de sustituto en la pollera (3 leyendas) — 28 × 410 (alto ≤ 40; perímetro + 20 de solape)</t>
        </is>
      </c>
      <c r="C39" t="inlineStr">
        <is>
          <t>u</t>
        </is>
      </c>
      <c r="D39" t="inlineStr">
        <is>
          <t>Sí</t>
        </is>
      </c>
      <c r="E39" t="inlineStr">
        <is>
          <t>Astuprint</t>
        </is>
      </c>
      <c r="AG39" t="n">
        <v>1</v>
      </c>
    </row>
    <row r="40">
      <c r="A40" t="inlineStr">
        <is>
          <t>Componente comprado</t>
        </is>
      </c>
      <c r="B40" t="inlineStr">
        <is>
          <t>Faja amarilla de sustituto en la pollera (3 leyendas) — 30 × 259 (alto ≤ 40; perímetro + 20 de solape)</t>
        </is>
      </c>
      <c r="C40" t="inlineStr">
        <is>
          <t>u</t>
        </is>
      </c>
      <c r="D40" t="inlineStr">
        <is>
          <t>Sí</t>
        </is>
      </c>
      <c r="E40" t="inlineStr">
        <is>
          <t>Astuprint</t>
        </is>
      </c>
      <c r="AF40" t="n">
        <v>1</v>
      </c>
    </row>
    <row r="41">
      <c r="A41" t="inlineStr">
        <is>
          <t>Componente comprado</t>
        </is>
      </c>
      <c r="B41" t="inlineStr">
        <is>
          <t>Faja amarilla de sustituto en la pollera (3 leyendas) — 34 × 378 (alto ≤ 40; perímetro + 20 de solape)</t>
        </is>
      </c>
      <c r="C41" t="inlineStr">
        <is>
          <t>u</t>
        </is>
      </c>
      <c r="D41" t="inlineStr">
        <is>
          <t>Sí</t>
        </is>
      </c>
      <c r="E41" t="inlineStr">
        <is>
          <t>Astuprint</t>
        </is>
      </c>
      <c r="AO41" t="n">
        <v>1</v>
      </c>
    </row>
    <row r="42">
      <c r="A42" t="inlineStr">
        <is>
          <t>Componente comprado</t>
        </is>
      </c>
      <c r="B42" t="inlineStr">
        <is>
          <t>Faja amarilla de sustituto en la pollera (3 leyendas) — 40 × 1025 (alto ≤ 40; perímetro + 20 de solape)</t>
        </is>
      </c>
      <c r="C42" t="inlineStr">
        <is>
          <t>u</t>
        </is>
      </c>
      <c r="D42" t="inlineStr">
        <is>
          <t>Sí</t>
        </is>
      </c>
      <c r="E42" t="inlineStr">
        <is>
          <t>Astuprint</t>
        </is>
      </c>
      <c r="AL42" t="n">
        <v>1</v>
      </c>
      <c r="AT42" t="n">
        <v>1</v>
      </c>
    </row>
    <row r="43">
      <c r="A43" t="inlineStr">
        <is>
          <t>Componente comprado</t>
        </is>
      </c>
      <c r="B43" t="inlineStr">
        <is>
          <t>Faja amarilla de sustituto en la pollera (3 leyendas) — 40 × 1120 (alto ≤ 40; perímetro + 20 de solape)</t>
        </is>
      </c>
      <c r="C43" t="inlineStr">
        <is>
          <t>u</t>
        </is>
      </c>
      <c r="D43" t="inlineStr">
        <is>
          <t>Sí</t>
        </is>
      </c>
      <c r="E43" t="inlineStr">
        <is>
          <t>Astuprint</t>
        </is>
      </c>
      <c r="AU43" t="n">
        <v>1</v>
      </c>
    </row>
    <row r="44">
      <c r="A44" t="inlineStr">
        <is>
          <t>Componente comprado</t>
        </is>
      </c>
      <c r="B44" t="inlineStr">
        <is>
          <t>Faja amarilla de sustituto en la pollera (3 leyendas) — 40 × 1245 (alto ≤ 40; perímetro + 20 de solape)</t>
        </is>
      </c>
      <c r="C44" t="inlineStr">
        <is>
          <t>u</t>
        </is>
      </c>
      <c r="D44" t="inlineStr">
        <is>
          <t>Sí</t>
        </is>
      </c>
      <c r="E44" t="inlineStr">
        <is>
          <t>Astuprint</t>
        </is>
      </c>
      <c r="AV44" t="n">
        <v>1</v>
      </c>
    </row>
    <row r="45">
      <c r="A45" t="inlineStr">
        <is>
          <t>Componente comprado</t>
        </is>
      </c>
      <c r="B45" t="inlineStr">
        <is>
          <t>Faja amarilla de sustituto en la pollera (3 leyendas) — 40 × 460 (alto ≤ 40; perímetro + 20 de solape)</t>
        </is>
      </c>
      <c r="C45" t="inlineStr">
        <is>
          <t>u</t>
        </is>
      </c>
      <c r="D45" t="inlineStr">
        <is>
          <t>Sí</t>
        </is>
      </c>
      <c r="E45" t="inlineStr">
        <is>
          <t>Astuprint</t>
        </is>
      </c>
      <c r="AP45" t="n">
        <v>1</v>
      </c>
    </row>
    <row r="46">
      <c r="A46" t="inlineStr">
        <is>
          <t>Componente comprado</t>
        </is>
      </c>
      <c r="B46" t="inlineStr">
        <is>
          <t>Faja amarilla de sustituto en la pollera (3 leyendas) — 40 × 501 (alto ≤ 40; perímetro + 20 de solape)</t>
        </is>
      </c>
      <c r="C46" t="inlineStr">
        <is>
          <t>u</t>
        </is>
      </c>
      <c r="D46" t="inlineStr">
        <is>
          <t>Sí</t>
        </is>
      </c>
      <c r="E46" t="inlineStr">
        <is>
          <t>Astuprint</t>
        </is>
      </c>
      <c r="AH46" t="n">
        <v>1</v>
      </c>
      <c r="AM46" t="n">
        <v>1</v>
      </c>
      <c r="AQ46" t="n">
        <v>1</v>
      </c>
    </row>
    <row r="47">
      <c r="A47" t="inlineStr">
        <is>
          <t>Componente comprado</t>
        </is>
      </c>
      <c r="B47" t="inlineStr">
        <is>
          <t>Faja amarilla de sustituto en la pollera (3 leyendas) — 40 × 590 (alto ≤ 40; perímetro + 20 de solape)</t>
        </is>
      </c>
      <c r="C47" t="inlineStr">
        <is>
          <t>u</t>
        </is>
      </c>
      <c r="D47" t="inlineStr">
        <is>
          <t>Sí</t>
        </is>
      </c>
      <c r="E47" t="inlineStr">
        <is>
          <t>Astuprint</t>
        </is>
      </c>
      <c r="AI47" t="n">
        <v>1</v>
      </c>
      <c r="AR47" t="n">
        <v>1</v>
      </c>
    </row>
    <row r="48">
      <c r="A48" t="inlineStr">
        <is>
          <t>Componente comprado</t>
        </is>
      </c>
      <c r="B48" t="inlineStr">
        <is>
          <t>Faja amarilla de sustituto en la pollera (3 leyendas) — 40 × 617 (alto ≤ 40; perímetro + 20 de solape)</t>
        </is>
      </c>
      <c r="C48" t="inlineStr">
        <is>
          <t>u</t>
        </is>
      </c>
      <c r="D48" t="inlineStr">
        <is>
          <t>Sí</t>
        </is>
      </c>
      <c r="E48" t="inlineStr">
        <is>
          <t>Astuprint</t>
        </is>
      </c>
      <c r="AJ48" t="n">
        <v>1</v>
      </c>
      <c r="AK48" t="n">
        <v>1</v>
      </c>
      <c r="AN48" t="n">
        <v>1</v>
      </c>
    </row>
    <row r="49">
      <c r="A49" t="inlineStr">
        <is>
          <t>Componente comprado</t>
        </is>
      </c>
      <c r="B49" t="inlineStr">
        <is>
          <t>Faja amarilla de sustituto en la pollera (3 leyendas) — 40 × 889 (alto ≤ 40; perímetro + 20 de solape)</t>
        </is>
      </c>
      <c r="C49" t="inlineStr">
        <is>
          <t>u</t>
        </is>
      </c>
      <c r="D49" t="inlineStr">
        <is>
          <t>Sí</t>
        </is>
      </c>
      <c r="E49" t="inlineStr">
        <is>
          <t>Astuprint</t>
        </is>
      </c>
      <c r="AS49" t="n">
        <v>1</v>
      </c>
    </row>
    <row r="50">
      <c r="A50" t="inlineStr">
        <is>
          <t>Componente comprado</t>
        </is>
      </c>
      <c r="B50" t="inlineStr">
        <is>
          <t>Junta tórica de asiento — Ø23,4 ext. × cordón 3</t>
        </is>
      </c>
      <c r="C50" t="inlineStr">
        <is>
          <t>u</t>
        </is>
      </c>
      <c r="D50" t="inlineStr">
        <is>
          <t>Sí</t>
        </is>
      </c>
      <c r="E50" t="inlineStr">
        <is>
          <t>Argensold</t>
        </is>
      </c>
      <c r="F50" t="inlineStr">
        <is>
          <t>19 Ensamblaje de válvula (T03/T04)</t>
        </is>
      </c>
      <c r="G50" t="n">
        <v>1</v>
      </c>
    </row>
    <row r="51">
      <c r="A51" t="inlineStr">
        <is>
          <t>Componente comprado</t>
        </is>
      </c>
      <c r="B51" t="inlineStr">
        <is>
          <t>Junta tórica de asiento — Ø31,4 ext. × cordón 3</t>
        </is>
      </c>
      <c r="C51" t="inlineStr">
        <is>
          <t>u</t>
        </is>
      </c>
      <c r="D51" t="inlineStr">
        <is>
          <t>Sí</t>
        </is>
      </c>
      <c r="E51" t="inlineStr">
        <is>
          <t>Argensold</t>
        </is>
      </c>
      <c r="F51" t="inlineStr">
        <is>
          <t>19 Ensamblaje de válvula (T03/T04)</t>
        </is>
      </c>
      <c r="H51" t="n">
        <v>1</v>
      </c>
      <c r="I51" t="n">
        <v>1</v>
      </c>
      <c r="J51" t="n">
        <v>1</v>
      </c>
      <c r="T51" t="n">
        <v>1</v>
      </c>
    </row>
    <row r="52">
      <c r="A52" t="inlineStr">
        <is>
          <t>Componente comprado</t>
        </is>
      </c>
      <c r="B52" t="inlineStr">
        <is>
          <t>Junta tórica de asiento — Ø75,2 ext. × cordón 3</t>
        </is>
      </c>
      <c r="C52" t="inlineStr">
        <is>
          <t>u</t>
        </is>
      </c>
      <c r="D52" t="inlineStr">
        <is>
          <t>Sí</t>
        </is>
      </c>
      <c r="E52" t="inlineStr">
        <is>
          <t>Argensold</t>
        </is>
      </c>
      <c r="F52" t="inlineStr">
        <is>
          <t>C9 armado</t>
        </is>
      </c>
      <c r="U52" t="n">
        <v>1</v>
      </c>
      <c r="V52" t="n">
        <v>1</v>
      </c>
      <c r="W52" t="n">
        <v>1</v>
      </c>
    </row>
    <row r="53">
      <c r="A53" t="inlineStr">
        <is>
          <t>Componente comprado</t>
        </is>
      </c>
      <c r="B53" t="inlineStr">
        <is>
          <t>Manguera (tramo enrollado) — Ø25 × 1.263 de largo desarrollado</t>
        </is>
      </c>
      <c r="C53" t="inlineStr">
        <is>
          <t>u</t>
        </is>
      </c>
      <c r="D53" t="inlineStr">
        <is>
          <t>Sí</t>
        </is>
      </c>
      <c r="E53" t="inlineStr">
        <is>
          <t>Yukon / MatafuegosYa S.R.L.</t>
        </is>
      </c>
      <c r="F53" t="inlineStr">
        <is>
          <t>C9 armado de ruedas y manguera</t>
        </is>
      </c>
      <c r="U53" t="n">
        <v>1</v>
      </c>
    </row>
    <row r="54">
      <c r="A54" t="inlineStr">
        <is>
          <t>Componente comprado</t>
        </is>
      </c>
      <c r="B54" t="inlineStr">
        <is>
          <t>Manguera (tramo enrollado) — Ø25 × 1.544 de largo desarrollado</t>
        </is>
      </c>
      <c r="C54" t="inlineStr">
        <is>
          <t>u</t>
        </is>
      </c>
      <c r="D54" t="inlineStr">
        <is>
          <t>Sí</t>
        </is>
      </c>
      <c r="E54" t="inlineStr">
        <is>
          <t>Yukon / MatafuegosYa S.R.L.</t>
        </is>
      </c>
      <c r="F54" t="inlineStr">
        <is>
          <t>C9 armado de ruedas y manguera</t>
        </is>
      </c>
      <c r="V54" t="n">
        <v>1</v>
      </c>
    </row>
    <row r="55">
      <c r="A55" t="inlineStr">
        <is>
          <t>Componente comprado</t>
        </is>
      </c>
      <c r="B55" t="inlineStr">
        <is>
          <t>Manguera (tramo enrollado) — Ø25 × 1.767 de largo desarrollado</t>
        </is>
      </c>
      <c r="C55" t="inlineStr">
        <is>
          <t>u</t>
        </is>
      </c>
      <c r="D55" t="inlineStr">
        <is>
          <t>Sí</t>
        </is>
      </c>
      <c r="E55" t="inlineStr">
        <is>
          <t>Yukon / MatafuegosYa S.R.L.</t>
        </is>
      </c>
      <c r="F55" t="inlineStr">
        <is>
          <t>C9 armado de ruedas y manguera</t>
        </is>
      </c>
      <c r="W55" t="n">
        <v>1</v>
      </c>
    </row>
    <row r="56">
      <c r="A56" t="inlineStr">
        <is>
          <t>Componente comprado</t>
        </is>
      </c>
      <c r="B56" t="inlineStr">
        <is>
          <t>Manguera (tramo enrollado) — Ø25 × 992 de largo desarrollado</t>
        </is>
      </c>
      <c r="C56" t="inlineStr">
        <is>
          <t>u</t>
        </is>
      </c>
      <c r="D56" t="inlineStr">
        <is>
          <t>Sí</t>
        </is>
      </c>
      <c r="E56" t="inlineStr">
        <is>
          <t>Yukon / MatafuegosYa S.R.L.</t>
        </is>
      </c>
      <c r="F56" t="inlineStr">
        <is>
          <t>C9 armado de ruedas y manguera</t>
        </is>
      </c>
      <c r="T56" t="n">
        <v>1</v>
      </c>
    </row>
    <row r="57">
      <c r="A57" t="inlineStr">
        <is>
          <t>Componente comprado</t>
        </is>
      </c>
      <c r="B57" t="inlineStr">
        <is>
          <t>Manguera — Ø16 × 1.144 de largo desarrollado</t>
        </is>
      </c>
      <c r="C57" t="inlineStr">
        <is>
          <t>u</t>
        </is>
      </c>
      <c r="D57" t="inlineStr">
        <is>
          <t>Sí</t>
        </is>
      </c>
      <c r="E57" t="inlineStr">
        <is>
          <t>Yukon / MatafuegosYa S.R.L.</t>
        </is>
      </c>
      <c r="F57" t="inlineStr">
        <is>
          <t>C9 armado de ruedas y manguera</t>
        </is>
      </c>
      <c r="U57" t="n">
        <v>1</v>
      </c>
    </row>
    <row r="58">
      <c r="A58" t="inlineStr">
        <is>
          <t>Componente comprado</t>
        </is>
      </c>
      <c r="B58" t="inlineStr">
        <is>
          <t>Manguera — Ø16 × 1.393 de largo desarrollado</t>
        </is>
      </c>
      <c r="C58" t="inlineStr">
        <is>
          <t>u</t>
        </is>
      </c>
      <c r="D58" t="inlineStr">
        <is>
          <t>Sí</t>
        </is>
      </c>
      <c r="E58" t="inlineStr">
        <is>
          <t>Yukon / MatafuegosYa S.R.L.</t>
        </is>
      </c>
      <c r="F58" t="inlineStr">
        <is>
          <t>C9 armado de ruedas y manguera</t>
        </is>
      </c>
      <c r="V58" t="n">
        <v>1</v>
      </c>
    </row>
    <row r="59">
      <c r="A59" t="inlineStr">
        <is>
          <t>Componente comprado</t>
        </is>
      </c>
      <c r="B59" t="inlineStr">
        <is>
          <t>Manguera — Ø16 × 1.603 de largo desarrollado</t>
        </is>
      </c>
      <c r="C59" t="inlineStr">
        <is>
          <t>u</t>
        </is>
      </c>
      <c r="D59" t="inlineStr">
        <is>
          <t>Sí</t>
        </is>
      </c>
      <c r="E59" t="inlineStr">
        <is>
          <t>Yukon / MatafuegosYa S.R.L.</t>
        </is>
      </c>
      <c r="F59" t="inlineStr">
        <is>
          <t>C9 armado de ruedas y manguera</t>
        </is>
      </c>
      <c r="W59" t="n">
        <v>1</v>
      </c>
    </row>
    <row r="60">
      <c r="A60" t="inlineStr">
        <is>
          <t>Componente comprado</t>
        </is>
      </c>
      <c r="B60" t="inlineStr">
        <is>
          <t>Manguera — Ø16 × 224 de largo desarrollado</t>
        </is>
      </c>
      <c r="C60" t="inlineStr">
        <is>
          <t>u</t>
        </is>
      </c>
      <c r="D60" t="inlineStr">
        <is>
          <t>Sí</t>
        </is>
      </c>
      <c r="E60" t="inlineStr">
        <is>
          <t>Yukon / MatafuegosYa S.R.L.</t>
        </is>
      </c>
      <c r="F60" t="inlineStr">
        <is>
          <t>19 Ensamblaje (T03/T04)</t>
        </is>
      </c>
      <c r="H60" t="n">
        <v>1</v>
      </c>
    </row>
    <row r="61">
      <c r="A61" t="inlineStr">
        <is>
          <t>Componente comprado</t>
        </is>
      </c>
      <c r="B61" t="inlineStr">
        <is>
          <t>Manguera — Ø16 × 298 de largo desarrollado</t>
        </is>
      </c>
      <c r="C61" t="inlineStr">
        <is>
          <t>u</t>
        </is>
      </c>
      <c r="D61" t="inlineStr">
        <is>
          <t>Sí</t>
        </is>
      </c>
      <c r="E61" t="inlineStr">
        <is>
          <t>Yukon / MatafuegosYa S.R.L.</t>
        </is>
      </c>
      <c r="F61" t="inlineStr">
        <is>
          <t>19 Ensamblaje (T03/T04)</t>
        </is>
      </c>
      <c r="I61" t="n">
        <v>1</v>
      </c>
    </row>
    <row r="62">
      <c r="A62" t="inlineStr">
        <is>
          <t>Componente comprado</t>
        </is>
      </c>
      <c r="B62" t="inlineStr">
        <is>
          <t>Manguera — Ø16 × 458 de largo desarrollado</t>
        </is>
      </c>
      <c r="C62" t="inlineStr">
        <is>
          <t>u</t>
        </is>
      </c>
      <c r="D62" t="inlineStr">
        <is>
          <t>Sí</t>
        </is>
      </c>
      <c r="E62" t="inlineStr">
        <is>
          <t>Yukon / MatafuegosYa S.R.L.</t>
        </is>
      </c>
      <c r="F62" t="inlineStr">
        <is>
          <t>19 Ensamblaje (T03/T04)</t>
        </is>
      </c>
      <c r="J62" t="n">
        <v>1</v>
      </c>
    </row>
    <row r="63">
      <c r="A63" t="inlineStr">
        <is>
          <t>Componente comprado</t>
        </is>
      </c>
      <c r="B63" t="inlineStr">
        <is>
          <t>Manguera — Ø16 × 895 de largo desarrollado</t>
        </is>
      </c>
      <c r="C63" t="inlineStr">
        <is>
          <t>u</t>
        </is>
      </c>
      <c r="D63" t="inlineStr">
        <is>
          <t>Sí</t>
        </is>
      </c>
      <c r="E63" t="inlineStr">
        <is>
          <t>Yukon / MatafuegosYa S.R.L.</t>
        </is>
      </c>
      <c r="F63" t="inlineStr">
        <is>
          <t>C9 armado de ruedas y manguera</t>
        </is>
      </c>
      <c r="T63" t="n">
        <v>1</v>
      </c>
    </row>
    <row r="64">
      <c r="A64" s="59" t="inlineStr">
        <is>
          <t>Componente comprado</t>
        </is>
      </c>
      <c r="B64" s="59" t="inlineStr">
        <is>
          <t>Manómetro — Ø28 esfera, rango 0-3,5 MPa, sector verde en 1,4</t>
        </is>
      </c>
      <c r="C64" s="59" t="inlineStr">
        <is>
          <t>u</t>
        </is>
      </c>
      <c r="D64" s="59" t="inlineStr">
        <is>
          <t>Sí</t>
        </is>
      </c>
      <c r="E64" s="59" t="inlineStr">
        <is>
          <t>Yukon / MatafuegosYa S.R.L.</t>
        </is>
      </c>
      <c r="F64" s="59" t="inlineStr">
        <is>
          <t>19 Ensamblaje de válvula (T03/T04)</t>
        </is>
      </c>
      <c r="G64" t="n">
        <v>1</v>
      </c>
    </row>
    <row r="65">
      <c r="A65" s="59" t="inlineStr">
        <is>
          <t>Componente comprado</t>
        </is>
      </c>
      <c r="B65" s="59" t="inlineStr">
        <is>
          <t>Manómetro — Ø38 esfera, rango 0-3,5 MPa, sector verde en 1,4</t>
        </is>
      </c>
      <c r="C65" s="59" t="inlineStr">
        <is>
          <t>u</t>
        </is>
      </c>
      <c r="D65" s="59" t="inlineStr">
        <is>
          <t>Sí</t>
        </is>
      </c>
      <c r="E65" s="59" t="inlineStr">
        <is>
          <t>Yukon / MatafuegosYa S.R.L.</t>
        </is>
      </c>
      <c r="F65" s="59" t="inlineStr">
        <is>
          <t>19 Ensamblaje de válvula (T03/T04)</t>
        </is>
      </c>
      <c r="H65" t="n">
        <v>1</v>
      </c>
      <c r="I65" t="n">
        <v>1</v>
      </c>
      <c r="J65" t="n">
        <v>1</v>
      </c>
    </row>
    <row r="66">
      <c r="A66" s="59" t="inlineStr">
        <is>
          <t>Componente comprado</t>
        </is>
      </c>
      <c r="B66" s="59" t="inlineStr">
        <is>
          <t>Manómetro — Ø50 esfera, rango 0-3,5 MPa, sector verde en 1,4</t>
        </is>
      </c>
      <c r="C66" s="59" t="inlineStr">
        <is>
          <t>u</t>
        </is>
      </c>
      <c r="D66" s="59" t="inlineStr">
        <is>
          <t>Sí</t>
        </is>
      </c>
      <c r="E66" s="59" t="inlineStr">
        <is>
          <t>Yukon / MatafuegosYa S.R.L.</t>
        </is>
      </c>
      <c r="F66" s="59" t="inlineStr">
        <is>
          <t>C9 armado</t>
        </is>
      </c>
      <c r="T66" t="n">
        <v>1</v>
      </c>
      <c r="U66" t="n">
        <v>1</v>
      </c>
      <c r="V66" t="n">
        <v>1</v>
      </c>
      <c r="W66" t="n">
        <v>1</v>
      </c>
    </row>
    <row r="67">
      <c r="A67" s="59" t="inlineStr">
        <is>
          <t>Componente comprado</t>
        </is>
      </c>
      <c r="B67" s="59" t="inlineStr">
        <is>
          <t>Neumático macizo — Ø300 × 55 de ancho</t>
        </is>
      </c>
      <c r="C67" s="59" t="inlineStr">
        <is>
          <t>u</t>
        </is>
      </c>
      <c r="D67" s="59" t="inlineStr">
        <is>
          <t>Sí</t>
        </is>
      </c>
      <c r="E67" s="59" t="inlineStr">
        <is>
          <t>Ruedar</t>
        </is>
      </c>
      <c r="F67" s="59" t="inlineStr">
        <is>
          <t>C9 armado de ruedas (S-TC)</t>
        </is>
      </c>
      <c r="T67" t="n">
        <v>2</v>
      </c>
    </row>
    <row r="68">
      <c r="A68" t="inlineStr">
        <is>
          <t>Componente comprado</t>
        </is>
      </c>
      <c r="B68" t="inlineStr">
        <is>
          <t>Neumático macizo — Ø350 × 70 de ancho</t>
        </is>
      </c>
      <c r="C68" t="inlineStr">
        <is>
          <t>u</t>
        </is>
      </c>
      <c r="D68" t="inlineStr">
        <is>
          <t>Sí</t>
        </is>
      </c>
      <c r="E68" t="inlineStr">
        <is>
          <t>Ruedar</t>
        </is>
      </c>
      <c r="F68" t="inlineStr">
        <is>
          <t>C9 armado de ruedas (S-TC)</t>
        </is>
      </c>
      <c r="U68" t="n">
        <v>2</v>
      </c>
      <c r="V68" t="n">
        <v>2</v>
      </c>
    </row>
    <row r="69">
      <c r="A69" s="57" t="inlineStr">
        <is>
          <t>Componente comprado</t>
        </is>
      </c>
      <c r="B69" s="57" t="inlineStr">
        <is>
          <t>Neumático macizo — Ø400 × 80 de ancho</t>
        </is>
      </c>
      <c r="C69" s="57" t="inlineStr">
        <is>
          <t>u</t>
        </is>
      </c>
      <c r="D69" s="57" t="inlineStr">
        <is>
          <t>Sí</t>
        </is>
      </c>
      <c r="E69" s="57" t="inlineStr">
        <is>
          <t>Ruedar</t>
        </is>
      </c>
      <c r="F69" s="57" t="inlineStr">
        <is>
          <t>C9 armado de ruedas (S-TC)</t>
        </is>
      </c>
      <c r="W69" t="n">
        <v>2</v>
      </c>
    </row>
    <row r="70">
      <c r="A70" t="inlineStr">
        <is>
          <t>Componente comprado</t>
        </is>
      </c>
      <c r="B70" t="inlineStr">
        <is>
          <t>Racor de manguera — 18 × 18 × 12</t>
        </is>
      </c>
      <c r="C70" t="inlineStr">
        <is>
          <t>u</t>
        </is>
      </c>
      <c r="D70" t="inlineStr">
        <is>
          <t>Sí</t>
        </is>
      </c>
      <c r="E70" t="inlineStr">
        <is>
          <t>Yukon / MatafuegosYa S.R.L.</t>
        </is>
      </c>
      <c r="F70" t="inlineStr">
        <is>
          <t>19 Ensamblaje (T03/T04)</t>
        </is>
      </c>
      <c r="H70" t="n">
        <v>1</v>
      </c>
      <c r="I70" t="n">
        <v>1</v>
      </c>
      <c r="J70" t="n">
        <v>1</v>
      </c>
    </row>
    <row r="71">
      <c r="A71" t="inlineStr">
        <is>
          <t>Componente comprado</t>
        </is>
      </c>
      <c r="B71" t="inlineStr">
        <is>
          <t>Racor de manguera — 24 × 24 × 16</t>
        </is>
      </c>
      <c r="C71" t="inlineStr">
        <is>
          <t>u</t>
        </is>
      </c>
      <c r="D71" t="inlineStr">
        <is>
          <t>Sí</t>
        </is>
      </c>
      <c r="E71" t="inlineStr">
        <is>
          <t>Yukon / MatafuegosYa S.R.L.</t>
        </is>
      </c>
      <c r="F71" t="inlineStr">
        <is>
          <t>C9 armado de ruedas y manguera</t>
        </is>
      </c>
      <c r="T71" t="n">
        <v>1</v>
      </c>
      <c r="U71" t="n">
        <v>1</v>
      </c>
      <c r="V71" t="n">
        <v>1</v>
      </c>
      <c r="W71" t="n">
        <v>1</v>
      </c>
    </row>
    <row r="72">
      <c r="A72" t="inlineStr">
        <is>
          <t>Componente comprado</t>
        </is>
      </c>
      <c r="B72" t="inlineStr">
        <is>
          <t>Soporte de manguera — 378,4 × 193,1 × 40,5</t>
        </is>
      </c>
      <c r="C72" t="inlineStr">
        <is>
          <t>u</t>
        </is>
      </c>
      <c r="D72" t="inlineStr">
        <is>
          <t>Sí</t>
        </is>
      </c>
      <c r="E72" t="inlineStr">
        <is>
          <t>Yukon / MatafuegosYa S.R.L.</t>
        </is>
      </c>
      <c r="F72" t="inlineStr">
        <is>
          <t>C9 armado de ruedas y manguera</t>
        </is>
      </c>
      <c r="T72" t="n">
        <v>1</v>
      </c>
    </row>
    <row r="73">
      <c r="A73" t="inlineStr">
        <is>
          <t>Componente comprado</t>
        </is>
      </c>
      <c r="B73" t="inlineStr">
        <is>
          <t>Soporte de manguera — 490,8 × 217 × 40,5</t>
        </is>
      </c>
      <c r="C73" t="inlineStr">
        <is>
          <t>u</t>
        </is>
      </c>
      <c r="D73" t="inlineStr">
        <is>
          <t>Sí</t>
        </is>
      </c>
      <c r="E73" t="inlineStr">
        <is>
          <t>Yukon / MatafuegosYa S.R.L.</t>
        </is>
      </c>
      <c r="F73" t="inlineStr">
        <is>
          <t>C9 armado de ruedas y manguera</t>
        </is>
      </c>
      <c r="U73" t="n">
        <v>1</v>
      </c>
    </row>
    <row r="74">
      <c r="A74" t="inlineStr">
        <is>
          <t>Componente comprado</t>
        </is>
      </c>
      <c r="B74" t="inlineStr">
        <is>
          <t>Soporte de manguera — 615,3 × 233,5 × 40,5</t>
        </is>
      </c>
      <c r="C74" t="inlineStr">
        <is>
          <t>u</t>
        </is>
      </c>
      <c r="D74" t="inlineStr">
        <is>
          <t>Sí</t>
        </is>
      </c>
      <c r="E74" t="inlineStr">
        <is>
          <t>Yukon / MatafuegosYa S.R.L.</t>
        </is>
      </c>
      <c r="F74" t="inlineStr">
        <is>
          <t>C9 armado de ruedas y manguera</t>
        </is>
      </c>
      <c r="V74" t="n">
        <v>1</v>
      </c>
    </row>
    <row r="75">
      <c r="A75" t="inlineStr">
        <is>
          <t>Componente comprado</t>
        </is>
      </c>
      <c r="B75" t="inlineStr">
        <is>
          <t>Soporte de manguera — 705,3 × 255,5 × 40,5</t>
        </is>
      </c>
      <c r="C75" t="inlineStr">
        <is>
          <t>u</t>
        </is>
      </c>
      <c r="D75" t="inlineStr">
        <is>
          <t>Sí</t>
        </is>
      </c>
      <c r="E75" t="inlineStr">
        <is>
          <t>Yukon / MatafuegosYa S.R.L.</t>
        </is>
      </c>
      <c r="F75" t="inlineStr">
        <is>
          <t>C9 armado de ruedas y manguera</t>
        </is>
      </c>
      <c r="W75" t="n">
        <v>1</v>
      </c>
    </row>
    <row r="76">
      <c r="A76" t="inlineStr">
        <is>
          <t>Componente comprado</t>
        </is>
      </c>
      <c r="B76" t="inlineStr">
        <is>
          <t>Suncho portatobera — 130,9 × 127 × 18</t>
        </is>
      </c>
      <c r="C76" t="inlineStr">
        <is>
          <t>u</t>
        </is>
      </c>
      <c r="D76" t="inlineStr">
        <is>
          <t>Sí</t>
        </is>
      </c>
      <c r="E76" t="inlineStr">
        <is>
          <t>Yukon / MatafuegosYa S.R.L.</t>
        </is>
      </c>
      <c r="F76" t="inlineStr">
        <is>
          <t>19 Ensamblaje (T03/T04)</t>
        </is>
      </c>
      <c r="H76" t="n">
        <v>1</v>
      </c>
    </row>
    <row r="77">
      <c r="A77" t="inlineStr">
        <is>
          <t>Componente comprado</t>
        </is>
      </c>
      <c r="B77" t="inlineStr">
        <is>
          <t>Suncho portatobera — 159,9 × 156 × 18</t>
        </is>
      </c>
      <c r="C77" t="inlineStr">
        <is>
          <t>u</t>
        </is>
      </c>
      <c r="D77" t="inlineStr">
        <is>
          <t>Sí</t>
        </is>
      </c>
      <c r="E77" t="inlineStr">
        <is>
          <t>Yukon / MatafuegosYa S.R.L.</t>
        </is>
      </c>
      <c r="F77" t="inlineStr">
        <is>
          <t>19 Ensamblaje (T03/T04)</t>
        </is>
      </c>
      <c r="I77" t="n">
        <v>1</v>
      </c>
    </row>
    <row r="78">
      <c r="A78" t="inlineStr">
        <is>
          <t>Componente comprado</t>
        </is>
      </c>
      <c r="B78" t="inlineStr">
        <is>
          <t>Suncho portatobera — 188,4 × 184,5 × 18</t>
        </is>
      </c>
      <c r="C78" t="inlineStr">
        <is>
          <t>u</t>
        </is>
      </c>
      <c r="D78" t="inlineStr">
        <is>
          <t>Sí</t>
        </is>
      </c>
      <c r="E78" t="inlineStr">
        <is>
          <t>Yukon / MatafuegosYa S.R.L.</t>
        </is>
      </c>
      <c r="F78" t="inlineStr">
        <is>
          <t>19 Ensamblaje (T03/T04)</t>
        </is>
      </c>
      <c r="J78" t="n">
        <v>1</v>
      </c>
    </row>
    <row r="79">
      <c r="A79" t="inlineStr">
        <is>
          <t>Componente comprado</t>
        </is>
      </c>
      <c r="B79" t="inlineStr">
        <is>
          <t>Tarjeta AGC con «Es sustituto» (sin domicilio de instalación) — formato oficial</t>
        </is>
      </c>
      <c r="C79" t="inlineStr">
        <is>
          <t>u</t>
        </is>
      </c>
      <c r="D79" t="inlineStr">
        <is>
          <t>Sí</t>
        </is>
      </c>
      <c r="E79" t="inlineStr">
        <is>
          <t>Agencia Gubernamental de Control (CABA)</t>
        </is>
      </c>
      <c r="AF79" t="n">
        <v>1</v>
      </c>
      <c r="AG79" t="n">
        <v>1</v>
      </c>
      <c r="AH79" t="n">
        <v>1</v>
      </c>
      <c r="AI79" t="n">
        <v>1</v>
      </c>
      <c r="AJ79" t="n">
        <v>1</v>
      </c>
      <c r="AK79" t="n">
        <v>1</v>
      </c>
      <c r="AL79" t="n">
        <v>1</v>
      </c>
      <c r="AM79" t="n">
        <v>1</v>
      </c>
      <c r="AN79" t="n">
        <v>1</v>
      </c>
      <c r="AO79" t="n">
        <v>1</v>
      </c>
      <c r="AP79" t="n">
        <v>1</v>
      </c>
      <c r="AQ79" t="n">
        <v>1</v>
      </c>
      <c r="AR79" t="n">
        <v>1</v>
      </c>
      <c r="AS79" t="n">
        <v>1</v>
      </c>
      <c r="AT79" t="n">
        <v>1</v>
      </c>
      <c r="AU79" t="n">
        <v>1</v>
      </c>
      <c r="AV79" t="n">
        <v>1</v>
      </c>
    </row>
    <row r="80">
      <c r="A80" t="inlineStr">
        <is>
          <t>Componente comprado</t>
        </is>
      </c>
      <c r="B80" t="inlineStr">
        <is>
          <t>Tarjeta de identificación DPS con sello «SUSTITUTO HABILITADO» — formato oficial</t>
        </is>
      </c>
      <c r="C80" t="inlineStr">
        <is>
          <t>u</t>
        </is>
      </c>
      <c r="D80" t="inlineStr">
        <is>
          <t>Sí</t>
        </is>
      </c>
      <c r="E80" t="inlineStr">
        <is>
          <t>Ministerio de Ambiente PBA (ex OPDS)</t>
        </is>
      </c>
      <c r="AF80" t="n">
        <v>1</v>
      </c>
      <c r="AG80" t="n">
        <v>1</v>
      </c>
      <c r="AH80" t="n">
        <v>1</v>
      </c>
      <c r="AI80" t="n">
        <v>1</v>
      </c>
      <c r="AJ80" t="n">
        <v>1</v>
      </c>
      <c r="AK80" t="n">
        <v>1</v>
      </c>
      <c r="AL80" t="n">
        <v>1</v>
      </c>
      <c r="AM80" t="n">
        <v>1</v>
      </c>
      <c r="AN80" t="n">
        <v>1</v>
      </c>
      <c r="AO80" t="n">
        <v>1</v>
      </c>
      <c r="AP80" t="n">
        <v>1</v>
      </c>
      <c r="AQ80" t="n">
        <v>1</v>
      </c>
      <c r="AR80" t="n">
        <v>1</v>
      </c>
      <c r="AS80" t="n">
        <v>1</v>
      </c>
      <c r="AT80" t="n">
        <v>1</v>
      </c>
      <c r="AU80" t="n">
        <v>1</v>
      </c>
      <c r="AV80" t="n">
        <v>1</v>
      </c>
    </row>
    <row r="81">
      <c r="A81" t="inlineStr">
        <is>
          <t>Componente comprado</t>
        </is>
      </c>
      <c r="B81" t="inlineStr">
        <is>
          <t>Tobera campana — 200 × 68 × 68</t>
        </is>
      </c>
      <c r="C81" t="inlineStr">
        <is>
          <t>u</t>
        </is>
      </c>
      <c r="D81" t="inlineStr">
        <is>
          <t>Sí</t>
        </is>
      </c>
      <c r="E81" t="inlineStr">
        <is>
          <t>Yukon / MatafuegosYa S.R.L.</t>
        </is>
      </c>
      <c r="F81" t="inlineStr">
        <is>
          <t>C9 armado de ruedas y manguera</t>
        </is>
      </c>
      <c r="T81" t="n">
        <v>1</v>
      </c>
      <c r="U81" t="n">
        <v>1</v>
      </c>
      <c r="V81" t="n">
        <v>1</v>
      </c>
      <c r="W81" t="n">
        <v>1</v>
      </c>
    </row>
    <row r="82">
      <c r="A82" t="inlineStr">
        <is>
          <t>Componente comprado</t>
        </is>
      </c>
      <c r="B82" t="inlineStr">
        <is>
          <t>Tobera con portatobera — 75 × 24 × 24</t>
        </is>
      </c>
      <c r="C82" t="inlineStr">
        <is>
          <t>u</t>
        </is>
      </c>
      <c r="D82" t="inlineStr">
        <is>
          <t>Sí</t>
        </is>
      </c>
      <c r="E82" t="inlineStr">
        <is>
          <t>Yukon / MatafuegosYa S.R.L.</t>
        </is>
      </c>
      <c r="F82" t="inlineStr">
        <is>
          <t>19 Ensamblaje (T03/T04)</t>
        </is>
      </c>
      <c r="H82" t="n">
        <v>1</v>
      </c>
      <c r="I82" t="n">
        <v>1</v>
      </c>
      <c r="J82" t="n">
        <v>1</v>
      </c>
    </row>
    <row r="83">
      <c r="A83" t="inlineStr">
        <is>
          <t>Componente comprado</t>
        </is>
      </c>
      <c r="B83" t="inlineStr">
        <is>
          <t>Tobera — 26 × 9,6 × 9,6</t>
        </is>
      </c>
      <c r="C83" t="inlineStr">
        <is>
          <t>u</t>
        </is>
      </c>
      <c r="D83" t="inlineStr">
        <is>
          <t>Sí</t>
        </is>
      </c>
      <c r="E83" t="inlineStr">
        <is>
          <t>Yukon / MatafuegosYa S.R.L.</t>
        </is>
      </c>
      <c r="F83" t="inlineStr">
        <is>
          <t>19 Ensamblaje (T03/T04)</t>
        </is>
      </c>
      <c r="G83" t="n">
        <v>1</v>
      </c>
    </row>
    <row r="84">
      <c r="A84" t="inlineStr">
        <is>
          <t>Componente comprado</t>
        </is>
      </c>
      <c r="B84" t="inlineStr">
        <is>
          <t>Válvula HZ armada M-22 1 kg c/tubo de pesca plástico</t>
        </is>
      </c>
      <c r="C84" t="inlineStr">
        <is>
          <t>u</t>
        </is>
      </c>
      <c r="D84" t="inlineStr">
        <is>
          <t>Sí</t>
        </is>
      </c>
      <c r="E84" t="inlineStr">
        <is>
          <t>Polvex S.R.L. / Sancibrao</t>
        </is>
      </c>
      <c r="F84" t="inlineStr">
        <is>
          <t>19 Ensamblaje de válvula</t>
        </is>
      </c>
      <c r="G84" t="n">
        <v>1</v>
      </c>
    </row>
    <row r="85">
      <c r="A85" t="inlineStr">
        <is>
          <t>Componente comprado</t>
        </is>
      </c>
      <c r="B85" t="inlineStr">
        <is>
          <t>Válvula HZ armada M-30 c/resorte y tubo 7/8</t>
        </is>
      </c>
      <c r="C85" t="inlineStr">
        <is>
          <t>u</t>
        </is>
      </c>
      <c r="D85" t="inlineStr">
        <is>
          <t>Sí</t>
        </is>
      </c>
      <c r="E85" t="inlineStr">
        <is>
          <t>Polvex S.R.L. / Sancibrao</t>
        </is>
      </c>
      <c r="F85" t="inlineStr">
        <is>
          <t>19 Ensamblaje de válvula</t>
        </is>
      </c>
      <c r="H85" t="n">
        <v>1</v>
      </c>
      <c r="I85" t="n">
        <v>1</v>
      </c>
      <c r="J85" t="n">
        <v>1</v>
      </c>
    </row>
    <row r="86">
      <c r="A86" t="inlineStr">
        <is>
          <t>Componente comprado</t>
        </is>
      </c>
      <c r="B86" t="inlineStr">
        <is>
          <t>Válvula HZ armada de carro 25 kg c/traba, manija y resorte</t>
        </is>
      </c>
      <c r="C86" t="inlineStr">
        <is>
          <t>u</t>
        </is>
      </c>
      <c r="D86" t="inlineStr">
        <is>
          <t>Sí</t>
        </is>
      </c>
      <c r="E86" t="inlineStr">
        <is>
          <t>Polvex S.R.L. / Sancibrao</t>
        </is>
      </c>
      <c r="F86" t="inlineStr">
        <is>
          <t>19 Ensamblaje de válvula</t>
        </is>
      </c>
      <c r="T86" t="n">
        <v>1</v>
      </c>
    </row>
    <row r="87">
      <c r="A87" t="inlineStr">
        <is>
          <t>Componente comprado</t>
        </is>
      </c>
      <c r="B87" t="inlineStr">
        <is>
          <t>Válvula HZ armada de carro 50-70-100 kg</t>
        </is>
      </c>
      <c r="C87" t="inlineStr">
        <is>
          <t>u</t>
        </is>
      </c>
      <c r="D87" t="inlineStr">
        <is>
          <t>Sí</t>
        </is>
      </c>
      <c r="E87" t="inlineStr">
        <is>
          <t>Polvex S.R.L. / Sancibrao</t>
        </is>
      </c>
      <c r="F87" t="inlineStr">
        <is>
          <t>19 Ensamblaje de válvula</t>
        </is>
      </c>
      <c r="U87" t="n">
        <v>1</v>
      </c>
      <c r="V87" t="n">
        <v>1</v>
      </c>
      <c r="W87" t="n">
        <v>1</v>
      </c>
    </row>
    <row r="88">
      <c r="A88" t="inlineStr">
        <is>
          <t>Componente comprado</t>
        </is>
      </c>
      <c r="B88" t="inlineStr">
        <is>
          <t>Válvula esférica — 130 × 60 × 40</t>
        </is>
      </c>
      <c r="C88" t="inlineStr">
        <is>
          <t>u</t>
        </is>
      </c>
      <c r="D88" t="inlineStr">
        <is>
          <t>Sí</t>
        </is>
      </c>
      <c r="E88" t="inlineStr">
        <is>
          <t>Yukon / MatafuegosYa S.R.L.</t>
        </is>
      </c>
      <c r="F88" t="inlineStr">
        <is>
          <t>C9 armado de ruedas y manguera</t>
        </is>
      </c>
      <c r="T88" t="n">
        <v>1</v>
      </c>
      <c r="U88" t="n">
        <v>1</v>
      </c>
      <c r="V88" t="n">
        <v>1</v>
      </c>
      <c r="W88" t="n">
        <v>1</v>
      </c>
    </row>
    <row r="89">
      <c r="A89" s="58" t="inlineStr">
        <is>
          <t>Consumible de proceso</t>
        </is>
      </c>
      <c r="B89" s="58" t="inlineStr">
        <is>
          <t>Alambre MAG ER70S-6 Ø0,9 (AWS A5.18)</t>
        </is>
      </c>
      <c r="C89" s="58" t="inlineStr">
        <is>
          <t>kg</t>
        </is>
      </c>
      <c r="D89" s="58" t="inlineStr">
        <is>
          <t>Sí</t>
        </is>
      </c>
      <c r="E89" s="58" t="inlineStr">
        <is>
          <t>Conarco (ESAB Argentina)</t>
        </is>
      </c>
      <c r="F89" s="58" t="inlineStr">
        <is>
          <t>4 sold. long. / 8 cuello / 11 circunferencial</t>
        </is>
      </c>
      <c r="G89" t="n">
        <v>0.0208</v>
      </c>
      <c r="H89" t="n">
        <v>0.0294</v>
      </c>
      <c r="I89" t="n">
        <v>0.0553</v>
      </c>
      <c r="J89" t="n">
        <v>0.0987</v>
      </c>
      <c r="X89" t="n">
        <v>0.0208</v>
      </c>
      <c r="Y89" t="n">
        <v>0.0294</v>
      </c>
      <c r="Z89" t="n">
        <v>0.0553</v>
      </c>
      <c r="AA89" t="n">
        <v>0.0987</v>
      </c>
    </row>
    <row r="90">
      <c r="A90" s="58" t="inlineStr">
        <is>
          <t>Consumible de proceso</t>
        </is>
      </c>
      <c r="B90" s="58" t="inlineStr">
        <is>
          <t>Alambre MAG ER70S-6 Ø1,2 (AWS A5.18)</t>
        </is>
      </c>
      <c r="C90" s="58" t="inlineStr">
        <is>
          <t>kg</t>
        </is>
      </c>
      <c r="D90" s="58" t="inlineStr">
        <is>
          <t>Sí</t>
        </is>
      </c>
      <c r="E90" s="58" t="inlineStr">
        <is>
          <t>Conarco (ESAB Argentina)</t>
        </is>
      </c>
      <c r="F90" s="58" t="inlineStr">
        <is>
          <t>4 sold. long. / 8 cuello / 11 circunferencial</t>
        </is>
      </c>
      <c r="T90" t="n">
        <v>0.3374</v>
      </c>
      <c r="U90" t="n">
        <v>0.4194</v>
      </c>
      <c r="V90" t="n">
        <v>0.9806</v>
      </c>
      <c r="W90" t="n">
        <v>1.0848</v>
      </c>
      <c r="AB90" t="n">
        <v>0.3374</v>
      </c>
      <c r="AC90" t="n">
        <v>0.4194</v>
      </c>
      <c r="AD90" t="n">
        <v>0.9806</v>
      </c>
      <c r="AE90" t="n">
        <v>1.0848</v>
      </c>
    </row>
    <row r="91">
      <c r="A91" s="58" t="inlineStr">
        <is>
          <t>Consumible de proceso</t>
        </is>
      </c>
      <c r="B91" s="58" t="inlineStr">
        <is>
          <t>Gas de protección MAG Arcal 21 / ARCAL Speed (Ar + 8 % CO₂, M20)</t>
        </is>
      </c>
      <c r="C91" s="58" t="inlineStr">
        <is>
          <t>L</t>
        </is>
      </c>
      <c r="D91" s="58" t="inlineStr">
        <is>
          <t>Sí</t>
        </is>
      </c>
      <c r="E91" s="58" t="inlineStr">
        <is>
          <t>Air Liquide Argentina - sucursal Piñeyro</t>
        </is>
      </c>
      <c r="F91" s="58" t="inlineStr">
        <is>
          <t>Colector SC</t>
        </is>
      </c>
      <c r="G91" t="n">
        <v>13.3</v>
      </c>
      <c r="H91" t="n">
        <v>27</v>
      </c>
      <c r="I91" t="n">
        <v>32.6</v>
      </c>
      <c r="J91" t="n">
        <v>40.7</v>
      </c>
      <c r="T91" t="n">
        <v>52.7</v>
      </c>
      <c r="U91" t="n">
        <v>65.8</v>
      </c>
      <c r="V91" t="n">
        <v>73.7</v>
      </c>
      <c r="W91" t="n">
        <v>82</v>
      </c>
      <c r="X91" t="n">
        <v>13.3</v>
      </c>
      <c r="Y91" t="n">
        <v>27</v>
      </c>
      <c r="Z91" t="n">
        <v>32.6</v>
      </c>
      <c r="AA91" t="n">
        <v>40.7</v>
      </c>
      <c r="AB91" t="n">
        <v>52.7</v>
      </c>
      <c r="AC91" t="n">
        <v>65.8</v>
      </c>
      <c r="AD91" t="n">
        <v>73.7</v>
      </c>
      <c r="AE91" t="n">
        <v>82</v>
      </c>
    </row>
    <row r="92">
      <c r="A92" s="57" t="inlineStr">
        <is>
          <t>Consumible de proceso</t>
        </is>
      </c>
      <c r="B92" s="57" t="inlineStr">
        <is>
          <t>Granalla de acero S330 / S390 (ISO 11124-3, SAE J444)</t>
        </is>
      </c>
      <c r="C92" s="57" t="inlineStr">
        <is>
          <t>kg</t>
        </is>
      </c>
      <c r="D92" s="57" t="inlineStr">
        <is>
          <t>Sí</t>
        </is>
      </c>
      <c r="E92" s="57" t="inlineStr">
        <is>
          <t>CyM Materiales</t>
        </is>
      </c>
      <c r="F92" s="57" t="inlineStr">
        <is>
          <t>14 Granallado (B08)</t>
        </is>
      </c>
      <c r="G92" t="n">
        <v>0.08</v>
      </c>
      <c r="H92" t="n">
        <v>0.08</v>
      </c>
      <c r="I92" t="n">
        <v>0.08</v>
      </c>
      <c r="J92" t="n">
        <v>0.08</v>
      </c>
      <c r="X92" t="n">
        <v>0.08</v>
      </c>
      <c r="Y92" t="n">
        <v>0.08</v>
      </c>
      <c r="Z92" t="n">
        <v>0.08</v>
      </c>
      <c r="AA92" t="n">
        <v>0.08</v>
      </c>
    </row>
    <row r="93">
      <c r="A93" t="inlineStr">
        <is>
          <t>Servicio</t>
        </is>
      </c>
      <c r="B93" t="inlineStr">
        <is>
          <t>Servicio de pintura en polvo al horno, rojo 03-1-050</t>
        </is>
      </c>
      <c r="C93" t="inlineStr">
        <is>
          <t>u</t>
        </is>
      </c>
      <c r="D93" t="inlineStr">
        <is>
          <t>Sí</t>
        </is>
      </c>
      <c r="E93" t="inlineStr">
        <is>
          <t>Prymax</t>
        </is>
      </c>
      <c r="F93" t="inlineStr">
        <is>
          <t>17 Pintura tercerizada</t>
        </is>
      </c>
      <c r="G93" t="n">
        <v>1</v>
      </c>
      <c r="H93" t="n">
        <v>1</v>
      </c>
      <c r="I93" t="n">
        <v>1</v>
      </c>
      <c r="J93" t="n">
        <v>1</v>
      </c>
      <c r="X93" t="n">
        <v>1</v>
      </c>
      <c r="Y93" t="n">
        <v>1</v>
      </c>
      <c r="Z93" t="n">
        <v>1</v>
      </c>
      <c r="AA93" t="n">
        <v>1</v>
      </c>
    </row>
    <row r="94">
      <c r="A94" t="inlineStr">
        <is>
          <t>Servicio</t>
        </is>
      </c>
      <c r="B94" t="inlineStr">
        <is>
          <t>Servicio de pintura en polvo al horno, rojo 03-1-050 (con preparación por quemado)</t>
        </is>
      </c>
      <c r="C94" t="inlineStr">
        <is>
          <t>u</t>
        </is>
      </c>
      <c r="D94" t="inlineStr">
        <is>
          <t>Sí</t>
        </is>
      </c>
      <c r="E94" t="inlineStr">
        <is>
          <t>Pintor de carros (cotización por mensaje)</t>
        </is>
      </c>
      <c r="F94" t="inlineStr">
        <is>
          <t>17 Pintura tercerizada</t>
        </is>
      </c>
      <c r="T94" t="n">
        <v>1</v>
      </c>
      <c r="U94" t="n">
        <v>1</v>
      </c>
      <c r="V94" t="n">
        <v>1</v>
      </c>
      <c r="W94" t="n">
        <v>1</v>
      </c>
      <c r="AB94" t="n">
        <v>1</v>
      </c>
      <c r="AC94" t="n">
        <v>1</v>
      </c>
      <c r="AD94" t="n">
        <v>1</v>
      </c>
      <c r="AE94" t="n">
        <v>1</v>
      </c>
    </row>
    <row r="95">
      <c r="A95" s="58" t="inlineStr">
        <is>
          <t>Carga (agente y gas)</t>
        </is>
      </c>
      <c r="B95" s="58" t="inlineStr">
        <is>
          <t>Gas impulsor: N₂</t>
        </is>
      </c>
      <c r="C95" s="58" t="inlineStr">
        <is>
          <t>kg</t>
        </is>
      </c>
      <c r="D95" s="58" t="inlineStr">
        <is>
          <t>Sí</t>
        </is>
      </c>
      <c r="E95" s="58" t="inlineStr">
        <is>
          <t>Air Liquide Argentina - sucursal Piñeyro</t>
        </is>
      </c>
      <c r="F95" s="58" t="inlineStr">
        <is>
          <t>20 Presurización (T05) / C10</t>
        </is>
      </c>
      <c r="G95" t="n">
        <v>0.0047</v>
      </c>
      <c r="H95" t="n">
        <v>0.0212</v>
      </c>
      <c r="I95" t="n">
        <v>0.0251</v>
      </c>
      <c r="J95" t="n">
        <v>0.0588</v>
      </c>
      <c r="T95" t="n">
        <v>0.2013</v>
      </c>
      <c r="U95" t="n">
        <v>0.2819</v>
      </c>
      <c r="V95" t="n">
        <v>0.3856</v>
      </c>
      <c r="W95" t="n">
        <v>0.5534</v>
      </c>
    </row>
    <row r="96">
      <c r="A96" t="inlineStr">
        <is>
          <t>Carga (agente y gas)</t>
        </is>
      </c>
      <c r="B96" t="inlineStr">
        <is>
          <t>Polvo químico seco ABC 60 (Sello IRAM 3569)</t>
        </is>
      </c>
      <c r="C96" t="inlineStr">
        <is>
          <t>kg</t>
        </is>
      </c>
      <c r="D96" t="inlineStr">
        <is>
          <t>Sí</t>
        </is>
      </c>
      <c r="E96" t="inlineStr">
        <is>
          <t>DEM S.A. (DEMSA)</t>
        </is>
      </c>
      <c r="F96" t="inlineStr">
        <is>
          <t>SP-1 almacén previo a la carga</t>
        </is>
      </c>
      <c r="G96" t="n">
        <v>1.05</v>
      </c>
      <c r="H96" t="n">
        <v>2.55</v>
      </c>
      <c r="I96" t="n">
        <v>5.15</v>
      </c>
      <c r="J96" t="n">
        <v>10.15</v>
      </c>
    </row>
    <row r="97">
      <c r="A97" t="inlineStr">
        <is>
          <t>Carga (agente y gas)</t>
        </is>
      </c>
      <c r="B97" t="inlineStr">
        <is>
          <t>Polvo químico seco ABC 90 (Sello IRAM 3569)</t>
        </is>
      </c>
      <c r="C97" t="inlineStr">
        <is>
          <t>kg</t>
        </is>
      </c>
      <c r="D97" t="inlineStr">
        <is>
          <t>Sí</t>
        </is>
      </c>
      <c r="E97" t="inlineStr">
        <is>
          <t>DEM S.A. (DEMSA)</t>
        </is>
      </c>
      <c r="F97" t="inlineStr">
        <is>
          <t>SP-1 almacén previo a la carga</t>
        </is>
      </c>
      <c r="T97" t="n">
        <v>25</v>
      </c>
      <c r="U97" t="n">
        <v>50</v>
      </c>
      <c r="V97" t="n">
        <v>70</v>
      </c>
      <c r="W97" t="n">
        <v>100</v>
      </c>
    </row>
    <row r="98">
      <c r="A98" t="inlineStr">
        <is>
          <t>Identificación</t>
        </is>
      </c>
      <c r="B98" t="inlineStr">
        <is>
          <t>Estampilla IRAM de conformidad — 60 × 40</t>
        </is>
      </c>
      <c r="C98" t="inlineStr">
        <is>
          <t>u</t>
        </is>
      </c>
      <c r="D98" t="inlineStr">
        <is>
          <t>Sí</t>
        </is>
      </c>
      <c r="E98" t="inlineStr">
        <is>
          <t>IRAM - Instituto Argentino de Normalización</t>
        </is>
      </c>
      <c r="F98" t="inlineStr">
        <is>
          <t>22 Etiquetado (T07)</t>
        </is>
      </c>
      <c r="G98" t="n">
        <v>1</v>
      </c>
      <c r="H98" t="n">
        <v>1</v>
      </c>
      <c r="I98" t="n">
        <v>1</v>
      </c>
      <c r="J98" t="n">
        <v>1</v>
      </c>
      <c r="T98" t="n">
        <v>1</v>
      </c>
      <c r="U98" t="n">
        <v>1</v>
      </c>
      <c r="V98" t="n">
        <v>1</v>
      </c>
      <c r="W98" t="n">
        <v>1</v>
      </c>
    </row>
    <row r="99">
      <c r="A99" t="inlineStr">
        <is>
          <t>Identificación</t>
        </is>
      </c>
      <c r="B99" t="inlineStr">
        <is>
          <t>Etiqueta / placa de características — 168 × 136 (desarrollo × alto: panel central 108° + 2 alas laterales), e ≈ 0,3, laminado UV</t>
        </is>
      </c>
      <c r="C99" t="inlineStr">
        <is>
          <t>u</t>
        </is>
      </c>
      <c r="D99" t="inlineStr">
        <is>
          <t>Sí</t>
        </is>
      </c>
      <c r="E99" t="inlineStr">
        <is>
          <t>Astuprint</t>
        </is>
      </c>
      <c r="F99" t="inlineStr">
        <is>
          <t>22 Etiquetado (T07)</t>
        </is>
      </c>
      <c r="G99" t="n">
        <v>1</v>
      </c>
    </row>
    <row r="100">
      <c r="A100" t="inlineStr">
        <is>
          <t>Identificación</t>
        </is>
      </c>
      <c r="B100" t="inlineStr">
        <is>
          <t>Etiqueta / placa de características — 234 × 151 (desarrollo × alto: panel central 108° + 2 alas laterales), e ≈ 0,3, laminado UV</t>
        </is>
      </c>
      <c r="C100" t="inlineStr">
        <is>
          <t>u</t>
        </is>
      </c>
      <c r="D100" t="inlineStr">
        <is>
          <t>Sí</t>
        </is>
      </c>
      <c r="E100" t="inlineStr">
        <is>
          <t>Astuprint</t>
        </is>
      </c>
      <c r="F100" t="inlineStr">
        <is>
          <t>22 Etiquetado (T07)</t>
        </is>
      </c>
      <c r="H100" t="n">
        <v>1</v>
      </c>
    </row>
    <row r="101">
      <c r="A101" t="inlineStr">
        <is>
          <t>Identificación</t>
        </is>
      </c>
      <c r="B101" t="inlineStr">
        <is>
          <t>Etiqueta / placa de características — 289 × 142 (desarrollo × alto: panel central 108° + 2 alas laterales), e ≈ 0,3, laminado UV</t>
        </is>
      </c>
      <c r="C101" t="inlineStr">
        <is>
          <t>u</t>
        </is>
      </c>
      <c r="D101" t="inlineStr">
        <is>
          <t>Sí</t>
        </is>
      </c>
      <c r="E101" t="inlineStr">
        <is>
          <t>Astuprint</t>
        </is>
      </c>
      <c r="F101" t="inlineStr">
        <is>
          <t>22 Etiquetado (T07)</t>
        </is>
      </c>
      <c r="I101" t="n">
        <v>1</v>
      </c>
    </row>
    <row r="102">
      <c r="A102" t="inlineStr">
        <is>
          <t>Identificación</t>
        </is>
      </c>
      <c r="B102" t="inlineStr">
        <is>
          <t>Etiqueta / placa de características — 343 × 221 (desarrollo × alto: panel central 108° + 2 alas laterales), e ≈ 0,3, laminado UV</t>
        </is>
      </c>
      <c r="C102" t="inlineStr">
        <is>
          <t>u</t>
        </is>
      </c>
      <c r="D102" t="inlineStr">
        <is>
          <t>Sí</t>
        </is>
      </c>
      <c r="E102" t="inlineStr">
        <is>
          <t>Astuprint</t>
        </is>
      </c>
      <c r="F102" t="inlineStr">
        <is>
          <t>22 Etiquetado (T07)</t>
        </is>
      </c>
      <c r="J102" t="n">
        <v>1</v>
      </c>
    </row>
    <row r="103">
      <c r="A103" t="inlineStr">
        <is>
          <t>Identificación</t>
        </is>
      </c>
      <c r="B103" t="inlineStr">
        <is>
          <t>Etiqueta / placa de características — 522 × 208 (desarrollo × alto: panel central 108° + 2 alas laterales), e ≈ 0,3, laminado UV</t>
        </is>
      </c>
      <c r="C103" t="inlineStr">
        <is>
          <t>u</t>
        </is>
      </c>
      <c r="D103" t="inlineStr">
        <is>
          <t>Sí</t>
        </is>
      </c>
      <c r="E103" t="inlineStr">
        <is>
          <t>Astuprint</t>
        </is>
      </c>
      <c r="F103" t="inlineStr">
        <is>
          <t>22 Etiquetado (T07)</t>
        </is>
      </c>
      <c r="T103" t="n">
        <v>1</v>
      </c>
    </row>
    <row r="104">
      <c r="A104" t="inlineStr">
        <is>
          <t>Identificación</t>
        </is>
      </c>
      <c r="B104" t="inlineStr">
        <is>
          <t>Etiqueta / placa de características — 604 × 204 (desarrollo × alto: panel central 108° + 2 alas laterales), e ≈ 0,3, laminado UV</t>
        </is>
      </c>
      <c r="C104" t="inlineStr">
        <is>
          <t>u</t>
        </is>
      </c>
      <c r="D104" t="inlineStr">
        <is>
          <t>Sí</t>
        </is>
      </c>
      <c r="E104" t="inlineStr">
        <is>
          <t>Astuprint</t>
        </is>
      </c>
      <c r="F104" t="inlineStr">
        <is>
          <t>22 Etiquetado (T07)</t>
        </is>
      </c>
      <c r="U104" t="n">
        <v>1</v>
      </c>
    </row>
    <row r="105">
      <c r="A105" t="inlineStr">
        <is>
          <t>Identificación</t>
        </is>
      </c>
      <c r="B105" t="inlineStr">
        <is>
          <t>Etiqueta / placa de características — 660 × 205 (desarrollo × alto: panel central 108° + 2 alas laterales), e ≈ 0,3, laminado UV</t>
        </is>
      </c>
      <c r="C105" t="inlineStr">
        <is>
          <t>u</t>
        </is>
      </c>
      <c r="D105" t="inlineStr">
        <is>
          <t>Sí</t>
        </is>
      </c>
      <c r="E105" t="inlineStr">
        <is>
          <t>Astuprint</t>
        </is>
      </c>
      <c r="F105" t="inlineStr">
        <is>
          <t>22 Etiquetado (T07)</t>
        </is>
      </c>
      <c r="V105" t="n">
        <v>1</v>
      </c>
    </row>
    <row r="106">
      <c r="A106" t="inlineStr">
        <is>
          <t>Identificación</t>
        </is>
      </c>
      <c r="B106" t="inlineStr">
        <is>
          <t>Etiqueta / placa de características — 736 × 211 (desarrollo × alto: panel central 108° + 2 alas laterales), e ≈ 0,3, laminado UV</t>
        </is>
      </c>
      <c r="C106" t="inlineStr">
        <is>
          <t>u</t>
        </is>
      </c>
      <c r="D106" t="inlineStr">
        <is>
          <t>Sí</t>
        </is>
      </c>
      <c r="E106" t="inlineStr">
        <is>
          <t>Astuprint</t>
        </is>
      </c>
      <c r="F106" t="inlineStr">
        <is>
          <t>22 Etiquetado (T07)</t>
        </is>
      </c>
      <c r="W106" t="n">
        <v>1</v>
      </c>
    </row>
    <row r="107">
      <c r="A107" t="inlineStr">
        <is>
          <t>Identificación</t>
        </is>
      </c>
      <c r="B107" t="inlineStr">
        <is>
          <t>Etiqueta de identificación del cilindro suelto</t>
        </is>
      </c>
      <c r="C107" t="inlineStr">
        <is>
          <t>u</t>
        </is>
      </c>
      <c r="D107" t="inlineStr">
        <is>
          <t>Sí</t>
        </is>
      </c>
      <c r="E107" t="inlineStr">
        <is>
          <t>Astuprint</t>
        </is>
      </c>
      <c r="F107" t="inlineStr">
        <is>
          <t>Etiquetado</t>
        </is>
      </c>
      <c r="X107" t="n">
        <v>1</v>
      </c>
      <c r="Y107" t="n">
        <v>1</v>
      </c>
      <c r="Z107" t="n">
        <v>1</v>
      </c>
      <c r="AA107" t="n">
        <v>1</v>
      </c>
      <c r="AB107" t="n">
        <v>1</v>
      </c>
      <c r="AC107" t="n">
        <v>1</v>
      </c>
      <c r="AD107" t="n">
        <v>1</v>
      </c>
      <c r="AE107" t="n">
        <v>1</v>
      </c>
    </row>
    <row r="108">
      <c r="A108" t="inlineStr">
        <is>
          <t>Identificación</t>
        </is>
      </c>
      <c r="B108" t="inlineStr">
        <is>
          <t>Etiqueta de n° de serie GS1 — 45 × 25</t>
        </is>
      </c>
      <c r="C108" t="inlineStr">
        <is>
          <t>u</t>
        </is>
      </c>
      <c r="D108" t="inlineStr">
        <is>
          <t>Sí</t>
        </is>
      </c>
      <c r="E108" t="inlineStr">
        <is>
          <t>Astuprint</t>
        </is>
      </c>
      <c r="F108" t="inlineStr">
        <is>
          <t>22 Etiquetado (T07)</t>
        </is>
      </c>
      <c r="G108" t="n">
        <v>1</v>
      </c>
      <c r="H108" t="n">
        <v>1</v>
      </c>
      <c r="I108" t="n">
        <v>1</v>
      </c>
      <c r="J108" t="n">
        <v>1</v>
      </c>
      <c r="T108" t="n">
        <v>1</v>
      </c>
      <c r="U108" t="n">
        <v>1</v>
      </c>
      <c r="V108" t="n">
        <v>1</v>
      </c>
      <c r="W108" t="n">
        <v>1</v>
      </c>
    </row>
    <row r="109">
      <c r="A109" t="inlineStr">
        <is>
          <t>Identificación</t>
        </is>
      </c>
      <c r="B109" t="inlineStr">
        <is>
          <t>Faja de garantía válvula-cuello — 30 × 40</t>
        </is>
      </c>
      <c r="C109" t="inlineStr">
        <is>
          <t>u</t>
        </is>
      </c>
      <c r="D109" t="inlineStr">
        <is>
          <t>Sí</t>
        </is>
      </c>
      <c r="E109" t="inlineStr">
        <is>
          <t>Astuprint</t>
        </is>
      </c>
      <c r="F109" t="inlineStr">
        <is>
          <t>22 Etiquetado (T07)</t>
        </is>
      </c>
      <c r="G109" t="n">
        <v>1</v>
      </c>
      <c r="H109" t="n">
        <v>1</v>
      </c>
      <c r="I109" t="n">
        <v>1</v>
      </c>
      <c r="J109" t="n">
        <v>1</v>
      </c>
      <c r="T109" t="n">
        <v>1</v>
      </c>
      <c r="U109" t="n">
        <v>1</v>
      </c>
      <c r="V109" t="n">
        <v>1</v>
      </c>
      <c r="W109" t="n">
        <v>1</v>
      </c>
    </row>
    <row r="110">
      <c r="A110" t="inlineStr">
        <is>
          <t>Identificación</t>
        </is>
      </c>
      <c r="B110" t="inlineStr">
        <is>
          <t>Oblea de fabricación (PBA) — Ø46 (Res. OPDS 522/07), numerada, autodestructible</t>
        </is>
      </c>
      <c r="C110" t="inlineStr">
        <is>
          <t>u</t>
        </is>
      </c>
      <c r="D110" t="inlineStr">
        <is>
          <t>Sí</t>
        </is>
      </c>
      <c r="E110" t="inlineStr">
        <is>
          <t>Ministerio de Ambiente PBA (ex OPDS)</t>
        </is>
      </c>
      <c r="F110" t="inlineStr">
        <is>
          <t>22 Etiquetado (T07)</t>
        </is>
      </c>
      <c r="G110" t="n">
        <v>1</v>
      </c>
      <c r="H110" t="n">
        <v>1</v>
      </c>
      <c r="I110" t="n">
        <v>1</v>
      </c>
      <c r="J110" t="n">
        <v>1</v>
      </c>
      <c r="T110" t="n">
        <v>1</v>
      </c>
      <c r="U110" t="n">
        <v>1</v>
      </c>
      <c r="V110" t="n">
        <v>1</v>
      </c>
      <c r="W110" t="n">
        <v>1</v>
      </c>
    </row>
    <row r="111">
      <c r="A111" t="inlineStr">
        <is>
          <t>Identificación</t>
        </is>
      </c>
      <c r="B111" t="inlineStr">
        <is>
          <t>Precinto de fábrica — Ø5 × 10, numerado, rotura 30-50 N</t>
        </is>
      </c>
      <c r="C111" t="inlineStr">
        <is>
          <t>u</t>
        </is>
      </c>
      <c r="D111" t="inlineStr">
        <is>
          <t>Sí</t>
        </is>
      </c>
      <c r="E111" t="inlineStr">
        <is>
          <t>SonFuertes (vía Papelera Damián)</t>
        </is>
      </c>
      <c r="F111" t="inlineStr">
        <is>
          <t>20 Presurización (T05)</t>
        </is>
      </c>
      <c r="G111" t="n">
        <v>1</v>
      </c>
      <c r="H111" t="n">
        <v>1</v>
      </c>
      <c r="I111" t="n">
        <v>1</v>
      </c>
      <c r="J111" t="n">
        <v>1</v>
      </c>
      <c r="T111" t="n">
        <v>1</v>
      </c>
      <c r="U111" t="n">
        <v>1</v>
      </c>
      <c r="V111" t="n">
        <v>1</v>
      </c>
      <c r="W111" t="n">
        <v>1</v>
      </c>
    </row>
    <row r="112">
      <c r="A112" t="inlineStr">
        <is>
          <t>Identificación</t>
        </is>
      </c>
      <c r="B112" t="inlineStr">
        <is>
          <t>Tarjeta de identificación AGC (CABA) — 140 × 55</t>
        </is>
      </c>
      <c r="C112" t="inlineStr">
        <is>
          <t>u</t>
        </is>
      </c>
      <c r="D112" t="inlineStr">
        <is>
          <t>Sí</t>
        </is>
      </c>
      <c r="E112" t="inlineStr">
        <is>
          <t>Agencia Gubernamental de Control (CABA)</t>
        </is>
      </c>
      <c r="F112" t="inlineStr">
        <is>
          <t>22 Etiquetado (T07)</t>
        </is>
      </c>
      <c r="H112" t="n">
        <v>1</v>
      </c>
      <c r="I112" t="n">
        <v>1</v>
      </c>
      <c r="J112" t="n">
        <v>1</v>
      </c>
      <c r="K112" t="n">
        <v>1</v>
      </c>
      <c r="L112" t="n">
        <v>1</v>
      </c>
      <c r="M112" t="n">
        <v>1</v>
      </c>
      <c r="N112" t="n">
        <v>1</v>
      </c>
      <c r="O112" t="n">
        <v>1</v>
      </c>
      <c r="P112" t="n">
        <v>1</v>
      </c>
      <c r="Q112" t="n">
        <v>1</v>
      </c>
      <c r="R112" t="n">
        <v>1</v>
      </c>
      <c r="S112" t="n">
        <v>1</v>
      </c>
      <c r="T112" t="n">
        <v>1</v>
      </c>
      <c r="U112" t="n">
        <v>1</v>
      </c>
      <c r="V112" t="n">
        <v>1</v>
      </c>
      <c r="W112" t="n">
        <v>1</v>
      </c>
    </row>
    <row r="113">
      <c r="A113" t="inlineStr">
        <is>
          <t>Soporte</t>
        </is>
      </c>
      <c r="B113" t="inlineStr">
        <is>
          <t>Soporte de pared (FL_ACC_01)</t>
        </is>
      </c>
      <c r="C113" t="inlineStr">
        <is>
          <t>u</t>
        </is>
      </c>
      <c r="D113" t="inlineStr">
        <is>
          <t>Sí</t>
        </is>
      </c>
      <c r="E113" t="inlineStr">
        <is>
          <t>Maxiseguridad</t>
        </is>
      </c>
      <c r="F113" t="inlineStr">
        <is>
          <t>23 Embalaje</t>
        </is>
      </c>
      <c r="H113" t="n">
        <v>1</v>
      </c>
      <c r="I113" t="n">
        <v>1</v>
      </c>
      <c r="J113" t="n">
        <v>1</v>
      </c>
    </row>
    <row r="114">
      <c r="A114" t="inlineStr">
        <is>
          <t>Soporte</t>
        </is>
      </c>
      <c r="B114" t="inlineStr">
        <is>
          <t>Soporte vehicular con cierre rápido (FL_ACC_02)</t>
        </is>
      </c>
      <c r="C114" t="inlineStr">
        <is>
          <t>u</t>
        </is>
      </c>
      <c r="D114" t="inlineStr">
        <is>
          <t>Sí</t>
        </is>
      </c>
      <c r="E114" t="inlineStr">
        <is>
          <t>Maxiseguridad</t>
        </is>
      </c>
      <c r="F114" t="inlineStr">
        <is>
          <t>23 Embalaje</t>
        </is>
      </c>
      <c r="G114" t="n">
        <v>1</v>
      </c>
    </row>
    <row r="115">
      <c r="A115" t="inlineStr">
        <is>
          <t>Soporte</t>
        </is>
      </c>
      <c r="B115" t="inlineStr">
        <is>
          <t>Tornillo y tarugo de fijación</t>
        </is>
      </c>
      <c r="C115" t="inlineStr">
        <is>
          <t>u</t>
        </is>
      </c>
      <c r="D115" t="inlineStr">
        <is>
          <t>Sí</t>
        </is>
      </c>
      <c r="E115" t="inlineStr">
        <is>
          <t>Würth Argentina</t>
        </is>
      </c>
      <c r="F115" t="inlineStr">
        <is>
          <t>23 Embalaje</t>
        </is>
      </c>
      <c r="H115" t="n">
        <v>2</v>
      </c>
      <c r="I115" t="n">
        <v>2</v>
      </c>
      <c r="J115" t="n">
        <v>2</v>
      </c>
    </row>
    <row r="116">
      <c r="A116" t="inlineStr">
        <is>
          <t>Embalaje</t>
        </is>
      </c>
      <c r="B116" t="inlineStr">
        <is>
          <t>Caja de cartón corrugado doble — 212 × 212 × 582 interior (envolvente del plano + 15 por lado)</t>
        </is>
      </c>
      <c r="C116" t="inlineStr">
        <is>
          <t>u</t>
        </is>
      </c>
      <c r="D116" t="inlineStr">
        <is>
          <t>Sí</t>
        </is>
      </c>
      <c r="E116" t="inlineStr">
        <is>
          <t>Maxipack</t>
        </is>
      </c>
      <c r="F116" t="inlineStr">
        <is>
          <t>23 Embalaje</t>
        </is>
      </c>
      <c r="AA116" t="n">
        <v>1</v>
      </c>
    </row>
    <row r="117">
      <c r="A117" t="inlineStr">
        <is>
          <t>Embalaje</t>
        </is>
      </c>
      <c r="B117" t="inlineStr">
        <is>
          <t>Caja de cartón corrugado doble — 260 × 214 × 675 interior (envolvente del plano + 15 por lado)</t>
        </is>
      </c>
      <c r="C117" t="inlineStr">
        <is>
          <t>u</t>
        </is>
      </c>
      <c r="D117" t="inlineStr">
        <is>
          <t>Sí</t>
        </is>
      </c>
      <c r="E117" t="inlineStr">
        <is>
          <t>Maxipack</t>
        </is>
      </c>
      <c r="F117" t="inlineStr">
        <is>
          <t>23 Embalaje</t>
        </is>
      </c>
      <c r="J117" t="n">
        <v>1</v>
      </c>
    </row>
    <row r="118">
      <c r="A118" t="inlineStr">
        <is>
          <t>Embalaje</t>
        </is>
      </c>
      <c r="B118" t="inlineStr">
        <is>
          <t>Caja de cartón corrugado simple — 106 × 106 × 318 interior (envolvente del plano + 15 por lado)</t>
        </is>
      </c>
      <c r="C118" t="inlineStr">
        <is>
          <t>u</t>
        </is>
      </c>
      <c r="D118" t="inlineStr">
        <is>
          <t>Sí</t>
        </is>
      </c>
      <c r="E118" t="inlineStr">
        <is>
          <t>Maxipack</t>
        </is>
      </c>
      <c r="F118" t="inlineStr">
        <is>
          <t>23 Embalaje</t>
        </is>
      </c>
      <c r="X118" t="n">
        <v>1</v>
      </c>
    </row>
    <row r="119">
      <c r="A119" t="inlineStr">
        <is>
          <t>Embalaje</t>
        </is>
      </c>
      <c r="B119" t="inlineStr">
        <is>
          <t>Caja de cartón corrugado simple — 122 × 107 × 360 interior (envolvente del plano + 15 por lado)</t>
        </is>
      </c>
      <c r="C119" t="inlineStr">
        <is>
          <t>u</t>
        </is>
      </c>
      <c r="D119" t="inlineStr">
        <is>
          <t>Sí</t>
        </is>
      </c>
      <c r="E119" t="inlineStr">
        <is>
          <t>Maxipack</t>
        </is>
      </c>
      <c r="F119" t="inlineStr">
        <is>
          <t>23 Embalaje</t>
        </is>
      </c>
      <c r="G119" t="n">
        <v>1</v>
      </c>
    </row>
    <row r="120">
      <c r="A120" t="inlineStr">
        <is>
          <t>Embalaje</t>
        </is>
      </c>
      <c r="B120" t="inlineStr">
        <is>
          <t>Caja de cartón corrugado simple — 154 × 154 × 334 interior (envolvente del plano + 15 por lado)</t>
        </is>
      </c>
      <c r="C120" t="inlineStr">
        <is>
          <t>u</t>
        </is>
      </c>
      <c r="D120" t="inlineStr">
        <is>
          <t>Sí</t>
        </is>
      </c>
      <c r="E120" t="inlineStr">
        <is>
          <t>Maxipack</t>
        </is>
      </c>
      <c r="F120" t="inlineStr">
        <is>
          <t>23 Embalaje</t>
        </is>
      </c>
      <c r="Y120" t="n">
        <v>1</v>
      </c>
    </row>
    <row r="121">
      <c r="A121" t="inlineStr">
        <is>
          <t>Embalaje</t>
        </is>
      </c>
      <c r="B121" t="inlineStr">
        <is>
          <t>Caja de cartón corrugado simple — 183 × 183 × 410 interior (envolvente del plano + 15 por lado)</t>
        </is>
      </c>
      <c r="C121" t="inlineStr">
        <is>
          <t>u</t>
        </is>
      </c>
      <c r="D121" t="inlineStr">
        <is>
          <t>Sí</t>
        </is>
      </c>
      <c r="E121" t="inlineStr">
        <is>
          <t>Maxipack</t>
        </is>
      </c>
      <c r="F121" t="inlineStr">
        <is>
          <t>23 Embalaje</t>
        </is>
      </c>
      <c r="Z121" t="n">
        <v>1</v>
      </c>
    </row>
    <row r="122">
      <c r="A122" t="inlineStr">
        <is>
          <t>Embalaje</t>
        </is>
      </c>
      <c r="B122" t="inlineStr">
        <is>
          <t>Caja de cartón corrugado simple — 250 × 157 × 435 interior (envolvente del plano + 15 por lado)</t>
        </is>
      </c>
      <c r="C122" t="inlineStr">
        <is>
          <t>u</t>
        </is>
      </c>
      <c r="D122" t="inlineStr">
        <is>
          <t>Sí</t>
        </is>
      </c>
      <c r="E122" t="inlineStr">
        <is>
          <t>Maxipack</t>
        </is>
      </c>
      <c r="F122" t="inlineStr">
        <is>
          <t>23 Embalaje</t>
        </is>
      </c>
      <c r="H122" t="n">
        <v>1</v>
      </c>
    </row>
    <row r="123">
      <c r="A123" t="inlineStr">
        <is>
          <t>Embalaje</t>
        </is>
      </c>
      <c r="B123" t="inlineStr">
        <is>
          <t>Caja de cartón corrugado simple — 255 × 186 × 500 interior (envolvente del plano + 15 por lado)</t>
        </is>
      </c>
      <c r="C123" t="inlineStr">
        <is>
          <t>u</t>
        </is>
      </c>
      <c r="D123" t="inlineStr">
        <is>
          <t>Sí</t>
        </is>
      </c>
      <c r="E123" t="inlineStr">
        <is>
          <t>Maxipack</t>
        </is>
      </c>
      <c r="F123" t="inlineStr">
        <is>
          <t>23 Embalaje</t>
        </is>
      </c>
      <c r="I123" t="n">
        <v>1</v>
      </c>
    </row>
    <row r="124">
      <c r="A124" s="58" t="inlineStr">
        <is>
          <t>Embalaje</t>
        </is>
      </c>
      <c r="B124" s="58" t="inlineStr">
        <is>
          <t>Cinta de embalaje PP 48 mm (cierre de la caja)</t>
        </is>
      </c>
      <c r="C124" s="58" t="inlineStr">
        <is>
          <t>m</t>
        </is>
      </c>
      <c r="D124" s="58" t="inlineStr">
        <is>
          <t>Sí</t>
        </is>
      </c>
      <c r="E124" s="58" t="inlineStr">
        <is>
          <t>MV Embalajes</t>
        </is>
      </c>
      <c r="F124" s="58" t="inlineStr">
        <is>
          <t>23 Embalaje</t>
        </is>
      </c>
      <c r="G124" t="n">
        <v>0.524</v>
      </c>
      <c r="H124" t="n">
        <v>0.78</v>
      </c>
      <c r="I124" t="n">
        <v>0.79</v>
      </c>
      <c r="J124" t="n">
        <v>0.8</v>
      </c>
      <c r="X124" t="n">
        <v>0.492</v>
      </c>
      <c r="Y124" t="n">
        <v>0.588</v>
      </c>
      <c r="Z124" t="n">
        <v>0.646</v>
      </c>
      <c r="AA124" t="n">
        <v>0.703</v>
      </c>
    </row>
    <row r="125">
      <c r="A125" t="inlineStr">
        <is>
          <t>Embalaje</t>
        </is>
      </c>
      <c r="B125" t="inlineStr">
        <is>
          <t>Esquineros de cartón 50 × 50 × 1200 (fracción del pallet)</t>
        </is>
      </c>
      <c r="C125" t="inlineStr">
        <is>
          <t>u</t>
        </is>
      </c>
      <c r="D125" t="inlineStr">
        <is>
          <t>Sí</t>
        </is>
      </c>
      <c r="E125" t="inlineStr">
        <is>
          <t>Maxipack</t>
        </is>
      </c>
      <c r="F125" t="inlineStr">
        <is>
          <t>24 Envolvedora (T11)</t>
        </is>
      </c>
      <c r="G125" t="n">
        <v>0.0114</v>
      </c>
      <c r="H125" t="n">
        <v>0.0476</v>
      </c>
      <c r="I125" t="n">
        <v>0.1</v>
      </c>
      <c r="J125" t="n">
        <v>0.125</v>
      </c>
      <c r="X125" t="n">
        <v>0.0101</v>
      </c>
      <c r="Y125" t="n">
        <v>0.0238</v>
      </c>
      <c r="Z125" t="n">
        <v>0.0444</v>
      </c>
      <c r="AA125" t="n">
        <v>0.1</v>
      </c>
    </row>
    <row r="126">
      <c r="A126" t="inlineStr">
        <is>
          <t>Embalaje</t>
        </is>
      </c>
      <c r="B126" t="inlineStr">
        <is>
          <t>Esquineros y funda de polietileno — a medida de la envolvente del plano</t>
        </is>
      </c>
      <c r="C126" t="inlineStr">
        <is>
          <t>jgo</t>
        </is>
      </c>
      <c r="D126" t="inlineStr">
        <is>
          <t>Sí</t>
        </is>
      </c>
      <c r="E126" t="inlineStr">
        <is>
          <t>MV Embalajes</t>
        </is>
      </c>
      <c r="F126" t="inlineStr">
        <is>
          <t>23 Embalaje</t>
        </is>
      </c>
      <c r="T126" t="n">
        <v>1</v>
      </c>
      <c r="U126" t="n">
        <v>1</v>
      </c>
      <c r="V126" t="n">
        <v>1</v>
      </c>
      <c r="W126" t="n">
        <v>1</v>
      </c>
      <c r="AB126" t="n">
        <v>1</v>
      </c>
      <c r="AC126" t="n">
        <v>1</v>
      </c>
      <c r="AD126" t="n">
        <v>1</v>
      </c>
      <c r="AE126" t="n">
        <v>1</v>
      </c>
    </row>
    <row r="127">
      <c r="A127" t="inlineStr">
        <is>
          <t>Embalaje</t>
        </is>
      </c>
      <c r="B127" t="inlineStr">
        <is>
          <t>Etiqueta de pallet (lote y destino, fracción)</t>
        </is>
      </c>
      <c r="C127" t="inlineStr">
        <is>
          <t>u</t>
        </is>
      </c>
      <c r="D127" t="inlineStr">
        <is>
          <t>Sí</t>
        </is>
      </c>
      <c r="E127" t="inlineStr">
        <is>
          <t>Astuprint</t>
        </is>
      </c>
      <c r="F127" t="inlineStr">
        <is>
          <t>24 Envolvedora</t>
        </is>
      </c>
      <c r="G127" t="n">
        <v>0.0028</v>
      </c>
      <c r="H127" t="n">
        <v>0.0119</v>
      </c>
      <c r="I127" t="n">
        <v>0.025</v>
      </c>
      <c r="J127" t="n">
        <v>0.0312</v>
      </c>
      <c r="T127" t="n">
        <v>0.5</v>
      </c>
      <c r="U127" t="n">
        <v>0.5</v>
      </c>
      <c r="V127" t="n">
        <v>0.5</v>
      </c>
      <c r="W127" t="n">
        <v>1</v>
      </c>
      <c r="X127" t="n">
        <v>0.0025</v>
      </c>
      <c r="Y127" t="n">
        <v>0.006</v>
      </c>
      <c r="Z127" t="n">
        <v>0.0111</v>
      </c>
      <c r="AA127" t="n">
        <v>0.025</v>
      </c>
      <c r="AB127" t="n">
        <v>0.0833</v>
      </c>
      <c r="AC127" t="n">
        <v>0.1111</v>
      </c>
      <c r="AD127" t="n">
        <v>0.1667</v>
      </c>
      <c r="AE127" t="n">
        <v>0.1667</v>
      </c>
    </row>
    <row r="128">
      <c r="A128" s="58" t="inlineStr">
        <is>
          <t>Embalaje</t>
        </is>
      </c>
      <c r="B128" s="58" t="inlineStr">
        <is>
          <t>Film stretch (fracción del pallet)</t>
        </is>
      </c>
      <c r="C128" s="58" t="inlineStr">
        <is>
          <t>kg</t>
        </is>
      </c>
      <c r="D128" s="58" t="inlineStr">
        <is>
          <t>Sí</t>
        </is>
      </c>
      <c r="E128" s="58" t="inlineStr">
        <is>
          <t>MV Embalajes</t>
        </is>
      </c>
      <c r="F128" s="58" t="inlineStr">
        <is>
          <t>24 Envolvedora (T11)</t>
        </is>
      </c>
      <c r="G128" t="n">
        <v>0.0003</v>
      </c>
      <c r="H128" t="n">
        <v>0.0014</v>
      </c>
      <c r="I128" t="n">
        <v>0.003</v>
      </c>
      <c r="J128" t="n">
        <v>0.0037</v>
      </c>
      <c r="T128" t="n">
        <v>0.06</v>
      </c>
      <c r="U128" t="n">
        <v>0.06</v>
      </c>
      <c r="V128" t="n">
        <v>0.06</v>
      </c>
      <c r="W128" t="n">
        <v>0.12</v>
      </c>
      <c r="X128" t="n">
        <v>0.0003</v>
      </c>
      <c r="Y128" t="n">
        <v>0.0007</v>
      </c>
      <c r="Z128" t="n">
        <v>0.0013</v>
      </c>
      <c r="AA128" t="n">
        <v>0.003</v>
      </c>
      <c r="AB128" t="n">
        <v>0.01</v>
      </c>
      <c r="AC128" t="n">
        <v>0.0133</v>
      </c>
      <c r="AD128" t="n">
        <v>0.02</v>
      </c>
      <c r="AE128" t="n">
        <v>0.02</v>
      </c>
    </row>
    <row r="129">
      <c r="A129" t="inlineStr">
        <is>
          <t>Embalaje</t>
        </is>
      </c>
      <c r="B129" t="inlineStr">
        <is>
          <t>Instructivo de uso y mantenimiento</t>
        </is>
      </c>
      <c r="C129" t="inlineStr">
        <is>
          <t>u</t>
        </is>
      </c>
      <c r="D129" t="inlineStr">
        <is>
          <t>Sí</t>
        </is>
      </c>
      <c r="E129" t="inlineStr">
        <is>
          <t>Astuprint</t>
        </is>
      </c>
      <c r="F129" t="inlineStr">
        <is>
          <t>23 Embalaje</t>
        </is>
      </c>
      <c r="G129" t="n">
        <v>1</v>
      </c>
      <c r="H129" t="n">
        <v>1</v>
      </c>
      <c r="I129" t="n">
        <v>1</v>
      </c>
      <c r="J129" t="n">
        <v>1</v>
      </c>
    </row>
    <row r="130">
      <c r="A130" t="inlineStr">
        <is>
          <t>Embalaje</t>
        </is>
      </c>
      <c r="B130" t="inlineStr">
        <is>
          <t>Pallet 1200 × 1000 (fracción)</t>
        </is>
      </c>
      <c r="C130" t="inlineStr">
        <is>
          <t>u</t>
        </is>
      </c>
      <c r="D130" t="inlineStr">
        <is>
          <t>Sí</t>
        </is>
      </c>
      <c r="E130" t="inlineStr">
        <is>
          <t>IndusPallets</t>
        </is>
      </c>
      <c r="F130" t="inlineStr">
        <is>
          <t>23 Embalaje</t>
        </is>
      </c>
      <c r="G130" t="n">
        <v>0.0028</v>
      </c>
      <c r="H130" t="n">
        <v>0.0119</v>
      </c>
      <c r="I130" t="n">
        <v>0.025</v>
      </c>
      <c r="J130" t="n">
        <v>0.0312</v>
      </c>
      <c r="T130" t="n">
        <v>0.5</v>
      </c>
      <c r="U130" t="n">
        <v>0.5</v>
      </c>
      <c r="V130" t="n">
        <v>0.5</v>
      </c>
      <c r="W130" t="n">
        <v>1</v>
      </c>
      <c r="X130" t="n">
        <v>0.0025</v>
      </c>
      <c r="Y130" t="n">
        <v>0.006</v>
      </c>
      <c r="Z130" t="n">
        <v>0.0111</v>
      </c>
      <c r="AA130" t="n">
        <v>0.025</v>
      </c>
      <c r="AB130" t="n">
        <v>0.0833</v>
      </c>
      <c r="AC130" t="n">
        <v>0.1111</v>
      </c>
      <c r="AD130" t="n">
        <v>0.1667</v>
      </c>
      <c r="AE130" t="n">
        <v>0.1667</v>
      </c>
    </row>
    <row r="131">
      <c r="A131" t="inlineStr">
        <is>
          <t>Embalaje</t>
        </is>
      </c>
      <c r="B131" t="inlineStr">
        <is>
          <t>Separador de capa de cartón 1200 × 1000 (fracción del pallet)</t>
        </is>
      </c>
      <c r="C131" t="inlineStr">
        <is>
          <t>u</t>
        </is>
      </c>
      <c r="D131" t="inlineStr">
        <is>
          <t>Sí</t>
        </is>
      </c>
      <c r="E131" t="inlineStr">
        <is>
          <t>Maxipack</t>
        </is>
      </c>
      <c r="F131" t="inlineStr">
        <is>
          <t>23 Embalaje</t>
        </is>
      </c>
      <c r="X131" t="n">
        <v>0.0076</v>
      </c>
      <c r="Y131" t="n">
        <v>0.0179</v>
      </c>
      <c r="Z131" t="n">
        <v>0.0222</v>
      </c>
      <c r="AA131" t="n">
        <v>0.025</v>
      </c>
    </row>
    <row r="132">
      <c r="A132" s="57" t="inlineStr">
        <is>
          <t>Embalaje</t>
        </is>
      </c>
      <c r="B132" s="57" t="inlineStr">
        <is>
          <t>Tapón protector de rosca del cuello</t>
        </is>
      </c>
      <c r="C132" s="57" t="inlineStr">
        <is>
          <t>u</t>
        </is>
      </c>
      <c r="D132" s="57" t="inlineStr">
        <is>
          <t>Sí</t>
        </is>
      </c>
      <c r="E132" s="57" t="inlineStr">
        <is>
          <t>-</t>
        </is>
      </c>
      <c r="F132" s="57" t="inlineStr">
        <is>
          <t>Embalaje</t>
        </is>
      </c>
      <c r="X132" t="n">
        <v>1</v>
      </c>
      <c r="Y132" t="n">
        <v>1</v>
      </c>
      <c r="Z132" t="n">
        <v>1</v>
      </c>
      <c r="AA132" t="n">
        <v>1</v>
      </c>
      <c r="AB132" t="n">
        <v>1</v>
      </c>
      <c r="AC132" t="n">
        <v>1</v>
      </c>
      <c r="AD132" t="n">
        <v>1</v>
      </c>
      <c r="AE132" t="n">
        <v>1</v>
      </c>
    </row>
    <row r="133">
      <c r="A133" t="inlineStr">
        <is>
          <t>Equipo terminado comprado</t>
        </is>
      </c>
      <c r="B133" t="inlineStr">
        <is>
          <t>Equipo terminado comprado (fabricante con Sello IRAM): FL_MAT_AFFF_10l</t>
        </is>
      </c>
      <c r="C133" t="inlineStr">
        <is>
          <t>u</t>
        </is>
      </c>
      <c r="D133" t="inlineStr">
        <is>
          <t>Sí</t>
        </is>
      </c>
      <c r="E133" t="inlineStr">
        <is>
          <t>Matafuegos Georgia - venta mayorista</t>
        </is>
      </c>
      <c r="F133" t="inlineStr">
        <is>
          <t>Recepción y control de ingreso (SP-1)</t>
        </is>
      </c>
      <c r="L133" t="n">
        <v>1</v>
      </c>
    </row>
    <row r="134">
      <c r="A134" t="inlineStr">
        <is>
          <t>Equipo terminado comprado</t>
        </is>
      </c>
      <c r="B134" t="inlineStr">
        <is>
          <t>Equipo terminado comprado (fabricante con Sello IRAM): FL_MAT_AFFF_50l</t>
        </is>
      </c>
      <c r="C134" t="inlineStr">
        <is>
          <t>u</t>
        </is>
      </c>
      <c r="D134" t="inlineStr">
        <is>
          <t>Sí</t>
        </is>
      </c>
      <c r="E134" t="inlineStr">
        <is>
          <t>Matafuegos Georgia - venta mayorista</t>
        </is>
      </c>
      <c r="F134" t="inlineStr">
        <is>
          <t>Recepción y control de ingreso (SP-1)</t>
        </is>
      </c>
      <c r="M134" t="n">
        <v>1</v>
      </c>
    </row>
    <row r="135">
      <c r="A135" t="inlineStr">
        <is>
          <t>Equipo terminado comprado</t>
        </is>
      </c>
      <c r="B135" t="inlineStr">
        <is>
          <t>Equipo terminado comprado (fabricante con Sello IRAM): FL_MAT_AGUA_10l</t>
        </is>
      </c>
      <c r="C135" t="inlineStr">
        <is>
          <t>u</t>
        </is>
      </c>
      <c r="D135" t="inlineStr">
        <is>
          <t>Sí</t>
        </is>
      </c>
      <c r="E135" t="inlineStr">
        <is>
          <t>Matafuegos Georgia - venta mayorista</t>
        </is>
      </c>
      <c r="F135" t="inlineStr">
        <is>
          <t>Recepción y control de ingreso (SP-1)</t>
        </is>
      </c>
      <c r="K135" t="n">
        <v>1</v>
      </c>
    </row>
    <row r="136">
      <c r="A136" t="inlineStr">
        <is>
          <t>Equipo terminado comprado</t>
        </is>
      </c>
      <c r="B136" t="inlineStr">
        <is>
          <t>Equipo terminado comprado (fabricante con Sello IRAM): FL_MAT_BC_5kg</t>
        </is>
      </c>
      <c r="C136" t="inlineStr">
        <is>
          <t>u</t>
        </is>
      </c>
      <c r="D136" t="inlineStr">
        <is>
          <t>Sí</t>
        </is>
      </c>
      <c r="E136" t="inlineStr">
        <is>
          <t>Matafuegos Georgia - venta mayorista</t>
        </is>
      </c>
      <c r="F136" t="inlineStr">
        <is>
          <t>Recepción y control de ingreso (SP-1)</t>
        </is>
      </c>
      <c r="N136" t="n">
        <v>1</v>
      </c>
    </row>
    <row r="137">
      <c r="A137" s="59" t="inlineStr">
        <is>
          <t>Equipo terminado comprado</t>
        </is>
      </c>
      <c r="B137" s="59" t="inlineStr">
        <is>
          <t>Equipo terminado comprado (fabricante con Sello IRAM): FL_MAT_CLASED_9l</t>
        </is>
      </c>
      <c r="C137" s="59" t="inlineStr">
        <is>
          <t>u</t>
        </is>
      </c>
      <c r="D137" s="59" t="inlineStr">
        <is>
          <t>Sí</t>
        </is>
      </c>
      <c r="E137" s="59" t="inlineStr">
        <is>
          <t>Matafuegos Georgia - venta mayorista</t>
        </is>
      </c>
      <c r="F137" s="59" t="inlineStr">
        <is>
          <t>Recepción y control de ingreso (SP-1)</t>
        </is>
      </c>
      <c r="S137" t="n">
        <v>1</v>
      </c>
    </row>
    <row r="138">
      <c r="A138" t="inlineStr">
        <is>
          <t>Equipo terminado comprado</t>
        </is>
      </c>
      <c r="B138" t="inlineStr">
        <is>
          <t>Equipo terminado comprado (fabricante con Sello IRAM): FL_MAT_CO2_2kg</t>
        </is>
      </c>
      <c r="C138" t="inlineStr">
        <is>
          <t>u</t>
        </is>
      </c>
      <c r="D138" t="inlineStr">
        <is>
          <t>Sí</t>
        </is>
      </c>
      <c r="E138" t="inlineStr">
        <is>
          <t>Mozart S.R.L.</t>
        </is>
      </c>
      <c r="F138" t="inlineStr">
        <is>
          <t>Recepción y control de ingreso (SP-1)</t>
        </is>
      </c>
      <c r="P138" t="n">
        <v>1</v>
      </c>
    </row>
    <row r="139">
      <c r="A139" t="inlineStr">
        <is>
          <t>Equipo terminado comprado</t>
        </is>
      </c>
      <c r="B139" t="inlineStr">
        <is>
          <t>Equipo terminado comprado (fabricante con Sello IRAM): FL_MAT_CO2_5kg</t>
        </is>
      </c>
      <c r="C139" t="inlineStr">
        <is>
          <t>u</t>
        </is>
      </c>
      <c r="D139" t="inlineStr">
        <is>
          <t>Sí</t>
        </is>
      </c>
      <c r="E139" t="inlineStr">
        <is>
          <t>Mozart S.R.L.</t>
        </is>
      </c>
      <c r="F139" t="inlineStr">
        <is>
          <t>Recepción y control de ingreso (SP-1)</t>
        </is>
      </c>
      <c r="Q139" t="n">
        <v>1</v>
      </c>
    </row>
    <row r="140">
      <c r="A140" t="inlineStr">
        <is>
          <t>Equipo terminado comprado</t>
        </is>
      </c>
      <c r="B140" t="inlineStr">
        <is>
          <t>Equipo terminado comprado (fabricante con Sello IRAM): FL_MAT_HCFC-HFC_5kg</t>
        </is>
      </c>
      <c r="C140" t="inlineStr">
        <is>
          <t>u</t>
        </is>
      </c>
      <c r="D140" t="inlineStr">
        <is>
          <t>Sí</t>
        </is>
      </c>
      <c r="E140" t="inlineStr">
        <is>
          <t>Matafuegos Georgia - venta mayorista</t>
        </is>
      </c>
      <c r="F140" t="inlineStr">
        <is>
          <t>Recepción y control de ingreso (SP-1)</t>
        </is>
      </c>
      <c r="R140" t="n">
        <v>1</v>
      </c>
    </row>
    <row r="141">
      <c r="A141" t="inlineStr">
        <is>
          <t>Equipo terminado comprado</t>
        </is>
      </c>
      <c r="B141" t="inlineStr">
        <is>
          <t>Equipo terminado comprado (fabricante con Sello IRAM): FL_MAT_SALESK_6l</t>
        </is>
      </c>
      <c r="C141" t="inlineStr">
        <is>
          <t>u</t>
        </is>
      </c>
      <c r="D141" t="inlineStr">
        <is>
          <t>Sí</t>
        </is>
      </c>
      <c r="E141" t="inlineStr">
        <is>
          <t>Matafuegos Georgia - venta mayorista</t>
        </is>
      </c>
      <c r="F141" t="inlineStr">
        <is>
          <t>Recepción y control de ingreso (SP-1)</t>
        </is>
      </c>
      <c r="O141" t="n">
        <v>1</v>
      </c>
    </row>
    <row r="142">
      <c r="A142" s="60" t="inlineStr">
        <is>
          <t>Equipo terminado comprado</t>
        </is>
      </c>
      <c r="B142" s="60" t="inlineStr">
        <is>
          <t>Extintor base del stock: FL_SUS_ABC_100kg</t>
        </is>
      </c>
      <c r="C142" s="60" t="inlineStr">
        <is>
          <t>u</t>
        </is>
      </c>
      <c r="D142" s="60" t="inlineStr">
        <is>
          <t>No</t>
        </is>
      </c>
      <c r="E142" s="60" t="n"/>
      <c r="F142" s="60" t="n"/>
      <c r="G142" s="60" t="n"/>
      <c r="H142" s="60" t="n"/>
      <c r="I142" s="60" t="n"/>
      <c r="J142" s="60" t="n"/>
      <c r="K142" s="60" t="n"/>
      <c r="L142" s="60" t="n"/>
      <c r="M142" s="60" t="n"/>
      <c r="N142" s="60" t="n"/>
      <c r="O142" s="60" t="n"/>
      <c r="P142" s="60" t="n"/>
      <c r="Q142" s="60" t="n"/>
      <c r="R142" s="60" t="n"/>
      <c r="S142" s="60" t="n"/>
      <c r="T142" s="60" t="n"/>
      <c r="U142" s="60" t="n"/>
      <c r="V142" s="60" t="n"/>
      <c r="W142" s="60" t="n"/>
      <c r="X142" s="60" t="n"/>
      <c r="Y142" s="60" t="n"/>
      <c r="Z142" s="60" t="n"/>
      <c r="AA142" s="60" t="n"/>
      <c r="AB142" s="60" t="n"/>
      <c r="AC142" s="60" t="n"/>
      <c r="AD142" s="60" t="n"/>
      <c r="AE142" s="60" t="n"/>
      <c r="AF142" s="60" t="n"/>
      <c r="AG142" s="60" t="n"/>
      <c r="AH142" s="60" t="n"/>
      <c r="AI142" s="60" t="n"/>
      <c r="AJ142" s="60" t="n"/>
      <c r="AK142" s="60" t="n"/>
      <c r="AL142" s="60" t="n"/>
      <c r="AM142" s="60" t="n"/>
      <c r="AN142" s="60" t="n"/>
      <c r="AO142" s="60" t="n"/>
      <c r="AP142" s="60" t="n"/>
      <c r="AQ142" s="60" t="n"/>
      <c r="AR142" s="60" t="n"/>
      <c r="AS142" s="60" t="n"/>
      <c r="AT142" s="60" t="n"/>
      <c r="AU142" s="60" t="n"/>
      <c r="AV142" s="60" t="n">
        <v>1</v>
      </c>
      <c r="AW142" s="60" t="n"/>
      <c r="AX142" s="60" t="n"/>
      <c r="AY142" s="60" t="n"/>
      <c r="AZ142" s="60" t="n"/>
      <c r="BA142" s="60" t="n"/>
      <c r="BB142" s="60" t="n"/>
      <c r="BC142" s="60" t="n"/>
      <c r="BD142" s="60" t="n"/>
      <c r="BE142" s="60" t="n"/>
      <c r="BF142" s="60" t="n"/>
      <c r="BG142" s="60" t="n"/>
      <c r="BH142" s="60" t="n"/>
      <c r="BI142" s="60" t="n"/>
      <c r="BJ142" s="60" t="n"/>
      <c r="BK142" s="60" t="n"/>
      <c r="BL142" s="60" t="n"/>
      <c r="BM142" s="60" t="n"/>
      <c r="BN142" s="60" t="n"/>
      <c r="BO142" s="60" t="n"/>
      <c r="BP142" s="60" t="n"/>
      <c r="BQ142" s="60" t="n"/>
      <c r="BR142" s="60" t="n"/>
      <c r="BS142" s="60" t="n"/>
      <c r="BT142" s="60" t="n"/>
      <c r="BU142" s="60" t="n"/>
      <c r="BV142" s="60" t="n"/>
      <c r="BW142" s="60" t="n"/>
      <c r="BX142" s="60" t="n"/>
      <c r="BY142" s="60" t="n"/>
      <c r="BZ142" s="60" t="n"/>
      <c r="CA142" s="60" t="n"/>
      <c r="CB142" s="60" t="n"/>
      <c r="CC142" s="60" t="n"/>
      <c r="CD142" s="60" t="n"/>
      <c r="CE142" s="60" t="n"/>
      <c r="CF142" s="60" t="n"/>
      <c r="CG142" s="60" t="n"/>
      <c r="CH142" s="60" t="n"/>
      <c r="CI142" s="60" t="n"/>
      <c r="CJ142" s="60" t="n"/>
      <c r="CK142" s="60" t="n"/>
      <c r="CL142" s="60" t="n"/>
      <c r="CM142" s="60" t="n"/>
      <c r="CN142" s="60" t="n"/>
      <c r="CO142" s="60" t="n"/>
      <c r="CP142" s="60" t="n"/>
      <c r="CQ142" s="60" t="n"/>
      <c r="CR142" s="60" t="n"/>
      <c r="CS142" s="60" t="n"/>
      <c r="CT142" s="60" t="n"/>
      <c r="CU142" s="60" t="n"/>
      <c r="CV142" s="60" t="n"/>
      <c r="CW142" s="60" t="n"/>
      <c r="CX142" s="60" t="n"/>
      <c r="CY142" s="60" t="n"/>
      <c r="CZ142" s="60" t="n"/>
      <c r="DA142" s="60" t="n"/>
      <c r="DB142" s="60" t="n"/>
      <c r="DC142" s="60" t="n"/>
      <c r="DD142" s="60" t="n"/>
      <c r="DE142" s="60" t="n"/>
    </row>
    <row r="143">
      <c r="A143" s="60" t="inlineStr">
        <is>
          <t>Equipo terminado comprado</t>
        </is>
      </c>
      <c r="B143" s="60" t="inlineStr">
        <is>
          <t>Extintor base del stock: FL_SUS_ABC_10kg</t>
        </is>
      </c>
      <c r="C143" s="60" t="inlineStr">
        <is>
          <t>u</t>
        </is>
      </c>
      <c r="D143" s="60" t="inlineStr">
        <is>
          <t>No</t>
        </is>
      </c>
      <c r="E143" s="60" t="n"/>
      <c r="F143" s="60" t="n"/>
      <c r="G143" s="60" t="n"/>
      <c r="H143" s="60" t="n"/>
      <c r="I143" s="60" t="n"/>
      <c r="J143" s="60" t="n"/>
      <c r="K143" s="60" t="n"/>
      <c r="L143" s="60" t="n"/>
      <c r="M143" s="60" t="n"/>
      <c r="N143" s="60" t="n"/>
      <c r="O143" s="60" t="n"/>
      <c r="P143" s="60" t="n"/>
      <c r="Q143" s="60" t="n"/>
      <c r="R143" s="60" t="n"/>
      <c r="S143" s="60" t="n"/>
      <c r="T143" s="60" t="n"/>
      <c r="U143" s="60" t="n"/>
      <c r="V143" s="60" t="n"/>
      <c r="W143" s="60" t="n"/>
      <c r="X143" s="60" t="n"/>
      <c r="Y143" s="60" t="n"/>
      <c r="Z143" s="60" t="n"/>
      <c r="AA143" s="60" t="n"/>
      <c r="AB143" s="60" t="n"/>
      <c r="AC143" s="60" t="n"/>
      <c r="AD143" s="60" t="n"/>
      <c r="AE143" s="60" t="n"/>
      <c r="AF143" s="60" t="n"/>
      <c r="AG143" s="60" t="n"/>
      <c r="AH143" s="60" t="n"/>
      <c r="AI143" s="60" t="n">
        <v>1</v>
      </c>
      <c r="AJ143" s="60" t="n"/>
      <c r="AK143" s="60" t="n"/>
      <c r="AL143" s="60" t="n"/>
      <c r="AM143" s="60" t="n"/>
      <c r="AN143" s="60" t="n"/>
      <c r="AO143" s="60" t="n"/>
      <c r="AP143" s="60" t="n"/>
      <c r="AQ143" s="60" t="n"/>
      <c r="AR143" s="60" t="n"/>
      <c r="AS143" s="60" t="n"/>
      <c r="AT143" s="60" t="n"/>
      <c r="AU143" s="60" t="n"/>
      <c r="AV143" s="60" t="n"/>
      <c r="AW143" s="60" t="n"/>
      <c r="AX143" s="60" t="n"/>
      <c r="AY143" s="60" t="n"/>
      <c r="AZ143" s="60" t="n"/>
      <c r="BA143" s="60" t="n"/>
      <c r="BB143" s="60" t="n"/>
      <c r="BC143" s="60" t="n"/>
      <c r="BD143" s="60" t="n"/>
      <c r="BE143" s="60" t="n"/>
      <c r="BF143" s="60" t="n"/>
      <c r="BG143" s="60" t="n"/>
      <c r="BH143" s="60" t="n"/>
      <c r="BI143" s="60" t="n"/>
      <c r="BJ143" s="60" t="n"/>
      <c r="BK143" s="60" t="n"/>
      <c r="BL143" s="60" t="n"/>
      <c r="BM143" s="60" t="n"/>
      <c r="BN143" s="60" t="n"/>
      <c r="BO143" s="60" t="n"/>
      <c r="BP143" s="60" t="n"/>
      <c r="BQ143" s="60" t="n"/>
      <c r="BR143" s="60" t="n"/>
      <c r="BS143" s="60" t="n"/>
      <c r="BT143" s="60" t="n"/>
      <c r="BU143" s="60" t="n"/>
      <c r="BV143" s="60" t="n"/>
      <c r="BW143" s="60" t="n"/>
      <c r="BX143" s="60" t="n"/>
      <c r="BY143" s="60" t="n"/>
      <c r="BZ143" s="60" t="n"/>
      <c r="CA143" s="60" t="n"/>
      <c r="CB143" s="60" t="n"/>
      <c r="CC143" s="60" t="n"/>
      <c r="CD143" s="60" t="n"/>
      <c r="CE143" s="60" t="n"/>
      <c r="CF143" s="60" t="n"/>
      <c r="CG143" s="60" t="n"/>
      <c r="CH143" s="60" t="n"/>
      <c r="CI143" s="60" t="n"/>
      <c r="CJ143" s="60" t="n"/>
      <c r="CK143" s="60" t="n"/>
      <c r="CL143" s="60" t="n"/>
      <c r="CM143" s="60" t="n"/>
      <c r="CN143" s="60" t="n"/>
      <c r="CO143" s="60" t="n"/>
      <c r="CP143" s="60" t="n"/>
      <c r="CQ143" s="60" t="n"/>
      <c r="CR143" s="60" t="n"/>
      <c r="CS143" s="60" t="n"/>
      <c r="CT143" s="60" t="n"/>
      <c r="CU143" s="60" t="n"/>
      <c r="CV143" s="60" t="n"/>
      <c r="CW143" s="60" t="n"/>
      <c r="CX143" s="60" t="n"/>
      <c r="CY143" s="60" t="n"/>
      <c r="CZ143" s="60" t="n"/>
      <c r="DA143" s="60" t="n"/>
      <c r="DB143" s="60" t="n"/>
      <c r="DC143" s="60" t="n"/>
      <c r="DD143" s="60" t="n"/>
      <c r="DE143" s="60" t="n"/>
    </row>
    <row r="144">
      <c r="A144" s="60" t="inlineStr">
        <is>
          <t>Equipo terminado comprado</t>
        </is>
      </c>
      <c r="B144" s="60" t="inlineStr">
        <is>
          <t>Extintor base del stock: FL_SUS_ABC_1kg</t>
        </is>
      </c>
      <c r="C144" s="60" t="inlineStr">
        <is>
          <t>u</t>
        </is>
      </c>
      <c r="D144" s="60" t="inlineStr">
        <is>
          <t>No</t>
        </is>
      </c>
      <c r="E144" s="60" t="n"/>
      <c r="F144" s="60" t="n"/>
      <c r="G144" s="60" t="n"/>
      <c r="H144" s="60" t="n"/>
      <c r="I144" s="60" t="n"/>
      <c r="J144" s="60" t="n"/>
      <c r="K144" s="60" t="n"/>
      <c r="L144" s="60" t="n"/>
      <c r="M144" s="60" t="n"/>
      <c r="N144" s="60" t="n"/>
      <c r="O144" s="60" t="n"/>
      <c r="P144" s="60" t="n"/>
      <c r="Q144" s="60" t="n"/>
      <c r="R144" s="60" t="n"/>
      <c r="S144" s="60" t="n"/>
      <c r="T144" s="60" t="n"/>
      <c r="U144" s="60" t="n"/>
      <c r="V144" s="60" t="n"/>
      <c r="W144" s="60" t="n"/>
      <c r="X144" s="60" t="n"/>
      <c r="Y144" s="60" t="n"/>
      <c r="Z144" s="60" t="n"/>
      <c r="AA144" s="60" t="n"/>
      <c r="AB144" s="60" t="n"/>
      <c r="AC144" s="60" t="n"/>
      <c r="AD144" s="60" t="n"/>
      <c r="AE144" s="60" t="n"/>
      <c r="AF144" s="60" t="n">
        <v>1</v>
      </c>
      <c r="AG144" s="60" t="n"/>
      <c r="AH144" s="60" t="n"/>
      <c r="AI144" s="60" t="n"/>
      <c r="AJ144" s="60" t="n"/>
      <c r="AK144" s="60" t="n"/>
      <c r="AL144" s="60" t="n"/>
      <c r="AM144" s="60" t="n"/>
      <c r="AN144" s="60" t="n"/>
      <c r="AO144" s="60" t="n"/>
      <c r="AP144" s="60" t="n"/>
      <c r="AQ144" s="60" t="n"/>
      <c r="AR144" s="60" t="n"/>
      <c r="AS144" s="60" t="n"/>
      <c r="AT144" s="60" t="n"/>
      <c r="AU144" s="60" t="n"/>
      <c r="AV144" s="60" t="n"/>
      <c r="AW144" s="60" t="n"/>
      <c r="AX144" s="60" t="n"/>
      <c r="AY144" s="60" t="n"/>
      <c r="AZ144" s="60" t="n"/>
      <c r="BA144" s="60" t="n"/>
      <c r="BB144" s="60" t="n"/>
      <c r="BC144" s="60" t="n"/>
      <c r="BD144" s="60" t="n"/>
      <c r="BE144" s="60" t="n"/>
      <c r="BF144" s="60" t="n"/>
      <c r="BG144" s="60" t="n"/>
      <c r="BH144" s="60" t="n"/>
      <c r="BI144" s="60" t="n"/>
      <c r="BJ144" s="60" t="n"/>
      <c r="BK144" s="60" t="n"/>
      <c r="BL144" s="60" t="n"/>
      <c r="BM144" s="60" t="n"/>
      <c r="BN144" s="60" t="n"/>
      <c r="BO144" s="60" t="n"/>
      <c r="BP144" s="60" t="n"/>
      <c r="BQ144" s="60" t="n"/>
      <c r="BR144" s="60" t="n"/>
      <c r="BS144" s="60" t="n"/>
      <c r="BT144" s="60" t="n"/>
      <c r="BU144" s="60" t="n"/>
      <c r="BV144" s="60" t="n"/>
      <c r="BW144" s="60" t="n"/>
      <c r="BX144" s="60" t="n"/>
      <c r="BY144" s="60" t="n"/>
      <c r="BZ144" s="60" t="n"/>
      <c r="CA144" s="60" t="n"/>
      <c r="CB144" s="60" t="n"/>
      <c r="CC144" s="60" t="n"/>
      <c r="CD144" s="60" t="n"/>
      <c r="CE144" s="60" t="n"/>
      <c r="CF144" s="60" t="n"/>
      <c r="CG144" s="60" t="n"/>
      <c r="CH144" s="60" t="n"/>
      <c r="CI144" s="60" t="n"/>
      <c r="CJ144" s="60" t="n"/>
      <c r="CK144" s="60" t="n"/>
      <c r="CL144" s="60" t="n"/>
      <c r="CM144" s="60" t="n"/>
      <c r="CN144" s="60" t="n"/>
      <c r="CO144" s="60" t="n"/>
      <c r="CP144" s="60" t="n"/>
      <c r="CQ144" s="60" t="n"/>
      <c r="CR144" s="60" t="n"/>
      <c r="CS144" s="60" t="n"/>
      <c r="CT144" s="60" t="n"/>
      <c r="CU144" s="60" t="n"/>
      <c r="CV144" s="60" t="n"/>
      <c r="CW144" s="60" t="n"/>
      <c r="CX144" s="60" t="n"/>
      <c r="CY144" s="60" t="n"/>
      <c r="CZ144" s="60" t="n"/>
      <c r="DA144" s="60" t="n"/>
      <c r="DB144" s="60" t="n"/>
      <c r="DC144" s="60" t="n"/>
      <c r="DD144" s="60" t="n"/>
      <c r="DE144" s="60" t="n"/>
    </row>
    <row r="145">
      <c r="A145" s="60" t="inlineStr">
        <is>
          <t>Equipo terminado comprado</t>
        </is>
      </c>
      <c r="B145" s="60" t="inlineStr">
        <is>
          <t>Extintor base del stock: FL_SUS_ABC_2.5kg</t>
        </is>
      </c>
      <c r="C145" s="60" t="inlineStr">
        <is>
          <t>u</t>
        </is>
      </c>
      <c r="D145" s="60" t="inlineStr">
        <is>
          <t>No</t>
        </is>
      </c>
      <c r="E145" s="60" t="n"/>
      <c r="F145" s="60" t="n"/>
      <c r="G145" s="60" t="n"/>
      <c r="H145" s="60" t="n"/>
      <c r="I145" s="60" t="n"/>
      <c r="J145" s="60" t="n"/>
      <c r="K145" s="60" t="n"/>
      <c r="L145" s="60" t="n"/>
      <c r="M145" s="60" t="n"/>
      <c r="N145" s="60" t="n"/>
      <c r="O145" s="60" t="n"/>
      <c r="P145" s="60" t="n"/>
      <c r="Q145" s="60" t="n"/>
      <c r="R145" s="60" t="n"/>
      <c r="S145" s="60" t="n"/>
      <c r="T145" s="60" t="n"/>
      <c r="U145" s="60" t="n"/>
      <c r="V145" s="60" t="n"/>
      <c r="W145" s="60" t="n"/>
      <c r="X145" s="60" t="n"/>
      <c r="Y145" s="60" t="n"/>
      <c r="Z145" s="60" t="n"/>
      <c r="AA145" s="60" t="n"/>
      <c r="AB145" s="60" t="n"/>
      <c r="AC145" s="60" t="n"/>
      <c r="AD145" s="60" t="n"/>
      <c r="AE145" s="60" t="n"/>
      <c r="AF145" s="60" t="n"/>
      <c r="AG145" s="60" t="n">
        <v>1</v>
      </c>
      <c r="AH145" s="60" t="n"/>
      <c r="AI145" s="60" t="n"/>
      <c r="AJ145" s="60" t="n"/>
      <c r="AK145" s="60" t="n"/>
      <c r="AL145" s="60" t="n"/>
      <c r="AM145" s="60" t="n"/>
      <c r="AN145" s="60" t="n"/>
      <c r="AO145" s="60" t="n"/>
      <c r="AP145" s="60" t="n"/>
      <c r="AQ145" s="60" t="n"/>
      <c r="AR145" s="60" t="n"/>
      <c r="AS145" s="60" t="n"/>
      <c r="AT145" s="60" t="n"/>
      <c r="AU145" s="60" t="n"/>
      <c r="AV145" s="60" t="n"/>
      <c r="AW145" s="60" t="n"/>
      <c r="AX145" s="60" t="n"/>
      <c r="AY145" s="60" t="n"/>
      <c r="AZ145" s="60" t="n"/>
      <c r="BA145" s="60" t="n"/>
      <c r="BB145" s="60" t="n"/>
      <c r="BC145" s="60" t="n"/>
      <c r="BD145" s="60" t="n"/>
      <c r="BE145" s="60" t="n"/>
      <c r="BF145" s="60" t="n"/>
      <c r="BG145" s="60" t="n"/>
      <c r="BH145" s="60" t="n"/>
      <c r="BI145" s="60" t="n"/>
      <c r="BJ145" s="60" t="n"/>
      <c r="BK145" s="60" t="n"/>
      <c r="BL145" s="60" t="n"/>
      <c r="BM145" s="60" t="n"/>
      <c r="BN145" s="60" t="n"/>
      <c r="BO145" s="60" t="n"/>
      <c r="BP145" s="60" t="n"/>
      <c r="BQ145" s="60" t="n"/>
      <c r="BR145" s="60" t="n"/>
      <c r="BS145" s="60" t="n"/>
      <c r="BT145" s="60" t="n"/>
      <c r="BU145" s="60" t="n"/>
      <c r="BV145" s="60" t="n"/>
      <c r="BW145" s="60" t="n"/>
      <c r="BX145" s="60" t="n"/>
      <c r="BY145" s="60" t="n"/>
      <c r="BZ145" s="60" t="n"/>
      <c r="CA145" s="60" t="n"/>
      <c r="CB145" s="60" t="n"/>
      <c r="CC145" s="60" t="n"/>
      <c r="CD145" s="60" t="n"/>
      <c r="CE145" s="60" t="n"/>
      <c r="CF145" s="60" t="n"/>
      <c r="CG145" s="60" t="n"/>
      <c r="CH145" s="60" t="n"/>
      <c r="CI145" s="60" t="n"/>
      <c r="CJ145" s="60" t="n"/>
      <c r="CK145" s="60" t="n"/>
      <c r="CL145" s="60" t="n"/>
      <c r="CM145" s="60" t="n"/>
      <c r="CN145" s="60" t="n"/>
      <c r="CO145" s="60" t="n"/>
      <c r="CP145" s="60" t="n"/>
      <c r="CQ145" s="60" t="n"/>
      <c r="CR145" s="60" t="n"/>
      <c r="CS145" s="60" t="n"/>
      <c r="CT145" s="60" t="n"/>
      <c r="CU145" s="60" t="n"/>
      <c r="CV145" s="60" t="n"/>
      <c r="CW145" s="60" t="n"/>
      <c r="CX145" s="60" t="n"/>
      <c r="CY145" s="60" t="n"/>
      <c r="CZ145" s="60" t="n"/>
      <c r="DA145" s="60" t="n"/>
      <c r="DB145" s="60" t="n"/>
      <c r="DC145" s="60" t="n"/>
      <c r="DD145" s="60" t="n"/>
      <c r="DE145" s="60" t="n"/>
    </row>
    <row r="146">
      <c r="A146" s="60" t="inlineStr">
        <is>
          <t>Equipo terminado comprado</t>
        </is>
      </c>
      <c r="B146" s="60" t="inlineStr">
        <is>
          <t>Extintor base del stock: FL_SUS_ABC_25kg</t>
        </is>
      </c>
      <c r="C146" s="60" t="inlineStr">
        <is>
          <t>u</t>
        </is>
      </c>
      <c r="D146" s="60" t="inlineStr">
        <is>
          <t>No</t>
        </is>
      </c>
      <c r="E146" s="60" t="n"/>
      <c r="F146" s="60" t="n"/>
      <c r="G146" s="60" t="n"/>
      <c r="H146" s="60" t="n"/>
      <c r="I146" s="60" t="n"/>
      <c r="J146" s="60" t="n"/>
      <c r="K146" s="60" t="n"/>
      <c r="L146" s="60" t="n"/>
      <c r="M146" s="60" t="n"/>
      <c r="N146" s="60" t="n"/>
      <c r="O146" s="60" t="n"/>
      <c r="P146" s="60" t="n"/>
      <c r="Q146" s="60" t="n"/>
      <c r="R146" s="60" t="n"/>
      <c r="S146" s="60" t="n"/>
      <c r="T146" s="60" t="n"/>
      <c r="U146" s="60" t="n"/>
      <c r="V146" s="60" t="n"/>
      <c r="W146" s="60" t="n"/>
      <c r="X146" s="60" t="n"/>
      <c r="Y146" s="60" t="n"/>
      <c r="Z146" s="60" t="n"/>
      <c r="AA146" s="60" t="n"/>
      <c r="AB146" s="60" t="n"/>
      <c r="AC146" s="60" t="n"/>
      <c r="AD146" s="60" t="n"/>
      <c r="AE146" s="60" t="n"/>
      <c r="AF146" s="60" t="n"/>
      <c r="AG146" s="60" t="n"/>
      <c r="AH146" s="60" t="n"/>
      <c r="AI146" s="60" t="n"/>
      <c r="AJ146" s="60" t="n"/>
      <c r="AK146" s="60" t="n"/>
      <c r="AL146" s="60" t="n"/>
      <c r="AM146" s="60" t="n"/>
      <c r="AN146" s="60" t="n"/>
      <c r="AO146" s="60" t="n"/>
      <c r="AP146" s="60" t="n"/>
      <c r="AQ146" s="60" t="n"/>
      <c r="AR146" s="60" t="n"/>
      <c r="AS146" s="60" t="n">
        <v>1</v>
      </c>
      <c r="AT146" s="60" t="n"/>
      <c r="AU146" s="60" t="n"/>
      <c r="AV146" s="60" t="n"/>
      <c r="AW146" s="60" t="n"/>
      <c r="AX146" s="60" t="n"/>
      <c r="AY146" s="60" t="n"/>
      <c r="AZ146" s="60" t="n"/>
      <c r="BA146" s="60" t="n"/>
      <c r="BB146" s="60" t="n"/>
      <c r="BC146" s="60" t="n"/>
      <c r="BD146" s="60" t="n"/>
      <c r="BE146" s="60" t="n"/>
      <c r="BF146" s="60" t="n"/>
      <c r="BG146" s="60" t="n"/>
      <c r="BH146" s="60" t="n"/>
      <c r="BI146" s="60" t="n"/>
      <c r="BJ146" s="60" t="n"/>
      <c r="BK146" s="60" t="n"/>
      <c r="BL146" s="60" t="n"/>
      <c r="BM146" s="60" t="n"/>
      <c r="BN146" s="60" t="n"/>
      <c r="BO146" s="60" t="n"/>
      <c r="BP146" s="60" t="n"/>
      <c r="BQ146" s="60" t="n"/>
      <c r="BR146" s="60" t="n"/>
      <c r="BS146" s="60" t="n"/>
      <c r="BT146" s="60" t="n"/>
      <c r="BU146" s="60" t="n"/>
      <c r="BV146" s="60" t="n"/>
      <c r="BW146" s="60" t="n"/>
      <c r="BX146" s="60" t="n"/>
      <c r="BY146" s="60" t="n"/>
      <c r="BZ146" s="60" t="n"/>
      <c r="CA146" s="60" t="n"/>
      <c r="CB146" s="60" t="n"/>
      <c r="CC146" s="60" t="n"/>
      <c r="CD146" s="60" t="n"/>
      <c r="CE146" s="60" t="n"/>
      <c r="CF146" s="60" t="n"/>
      <c r="CG146" s="60" t="n"/>
      <c r="CH146" s="60" t="n"/>
      <c r="CI146" s="60" t="n"/>
      <c r="CJ146" s="60" t="n"/>
      <c r="CK146" s="60" t="n"/>
      <c r="CL146" s="60" t="n"/>
      <c r="CM146" s="60" t="n"/>
      <c r="CN146" s="60" t="n"/>
      <c r="CO146" s="60" t="n"/>
      <c r="CP146" s="60" t="n"/>
      <c r="CQ146" s="60" t="n"/>
      <c r="CR146" s="60" t="n"/>
      <c r="CS146" s="60" t="n"/>
      <c r="CT146" s="60" t="n"/>
      <c r="CU146" s="60" t="n"/>
      <c r="CV146" s="60" t="n"/>
      <c r="CW146" s="60" t="n"/>
      <c r="CX146" s="60" t="n"/>
      <c r="CY146" s="60" t="n"/>
      <c r="CZ146" s="60" t="n"/>
      <c r="DA146" s="60" t="n"/>
      <c r="DB146" s="60" t="n"/>
      <c r="DC146" s="60" t="n"/>
      <c r="DD146" s="60" t="n"/>
      <c r="DE146" s="60" t="n"/>
    </row>
    <row r="147">
      <c r="A147" s="60" t="inlineStr">
        <is>
          <t>Equipo terminado comprado</t>
        </is>
      </c>
      <c r="B147" s="60" t="inlineStr">
        <is>
          <t>Extintor base del stock: FL_SUS_ABC_50kg</t>
        </is>
      </c>
      <c r="C147" s="60" t="inlineStr">
        <is>
          <t>u</t>
        </is>
      </c>
      <c r="D147" s="60" t="inlineStr">
        <is>
          <t>No</t>
        </is>
      </c>
      <c r="E147" s="60" t="n"/>
      <c r="F147" s="60" t="n"/>
      <c r="G147" s="60" t="n"/>
      <c r="H147" s="60" t="n"/>
      <c r="I147" s="60" t="n"/>
      <c r="J147" s="60" t="n"/>
      <c r="K147" s="60" t="n"/>
      <c r="L147" s="60" t="n"/>
      <c r="M147" s="60" t="n"/>
      <c r="N147" s="60" t="n"/>
      <c r="O147" s="60" t="n"/>
      <c r="P147" s="60" t="n"/>
      <c r="Q147" s="60" t="n"/>
      <c r="R147" s="60" t="n"/>
      <c r="S147" s="60" t="n"/>
      <c r="T147" s="60" t="n"/>
      <c r="U147" s="60" t="n"/>
      <c r="V147" s="60" t="n"/>
      <c r="W147" s="60" t="n"/>
      <c r="X147" s="60" t="n"/>
      <c r="Y147" s="60" t="n"/>
      <c r="Z147" s="60" t="n"/>
      <c r="AA147" s="60" t="n"/>
      <c r="AB147" s="60" t="n"/>
      <c r="AC147" s="60" t="n"/>
      <c r="AD147" s="60" t="n"/>
      <c r="AE147" s="60" t="n"/>
      <c r="AF147" s="60" t="n"/>
      <c r="AG147" s="60" t="n"/>
      <c r="AH147" s="60" t="n"/>
      <c r="AI147" s="60" t="n"/>
      <c r="AJ147" s="60" t="n"/>
      <c r="AK147" s="60" t="n"/>
      <c r="AL147" s="60" t="n"/>
      <c r="AM147" s="60" t="n"/>
      <c r="AN147" s="60" t="n"/>
      <c r="AO147" s="60" t="n"/>
      <c r="AP147" s="60" t="n"/>
      <c r="AQ147" s="60" t="n"/>
      <c r="AR147" s="60" t="n"/>
      <c r="AS147" s="60" t="n"/>
      <c r="AT147" s="60" t="n">
        <v>1</v>
      </c>
      <c r="AU147" s="60" t="n"/>
      <c r="AV147" s="60" t="n"/>
      <c r="AW147" s="60" t="n"/>
      <c r="AX147" s="60" t="n"/>
      <c r="AY147" s="60" t="n"/>
      <c r="AZ147" s="60" t="n"/>
      <c r="BA147" s="60" t="n"/>
      <c r="BB147" s="60" t="n"/>
      <c r="BC147" s="60" t="n"/>
      <c r="BD147" s="60" t="n"/>
      <c r="BE147" s="60" t="n"/>
      <c r="BF147" s="60" t="n"/>
      <c r="BG147" s="60" t="n"/>
      <c r="BH147" s="60" t="n"/>
      <c r="BI147" s="60" t="n"/>
      <c r="BJ147" s="60" t="n"/>
      <c r="BK147" s="60" t="n"/>
      <c r="BL147" s="60" t="n"/>
      <c r="BM147" s="60" t="n"/>
      <c r="BN147" s="60" t="n"/>
      <c r="BO147" s="60" t="n"/>
      <c r="BP147" s="60" t="n"/>
      <c r="BQ147" s="60" t="n"/>
      <c r="BR147" s="60" t="n"/>
      <c r="BS147" s="60" t="n"/>
      <c r="BT147" s="60" t="n"/>
      <c r="BU147" s="60" t="n"/>
      <c r="BV147" s="60" t="n"/>
      <c r="BW147" s="60" t="n"/>
      <c r="BX147" s="60" t="n"/>
      <c r="BY147" s="60" t="n"/>
      <c r="BZ147" s="60" t="n"/>
      <c r="CA147" s="60" t="n"/>
      <c r="CB147" s="60" t="n"/>
      <c r="CC147" s="60" t="n"/>
      <c r="CD147" s="60" t="n"/>
      <c r="CE147" s="60" t="n"/>
      <c r="CF147" s="60" t="n"/>
      <c r="CG147" s="60" t="n"/>
      <c r="CH147" s="60" t="n"/>
      <c r="CI147" s="60" t="n"/>
      <c r="CJ147" s="60" t="n"/>
      <c r="CK147" s="60" t="n"/>
      <c r="CL147" s="60" t="n"/>
      <c r="CM147" s="60" t="n"/>
      <c r="CN147" s="60" t="n"/>
      <c r="CO147" s="60" t="n"/>
      <c r="CP147" s="60" t="n"/>
      <c r="CQ147" s="60" t="n"/>
      <c r="CR147" s="60" t="n"/>
      <c r="CS147" s="60" t="n"/>
      <c r="CT147" s="60" t="n"/>
      <c r="CU147" s="60" t="n"/>
      <c r="CV147" s="60" t="n"/>
      <c r="CW147" s="60" t="n"/>
      <c r="CX147" s="60" t="n"/>
      <c r="CY147" s="60" t="n"/>
      <c r="CZ147" s="60" t="n"/>
      <c r="DA147" s="60" t="n"/>
      <c r="DB147" s="60" t="n"/>
      <c r="DC147" s="60" t="n"/>
      <c r="DD147" s="60" t="n"/>
      <c r="DE147" s="60" t="n"/>
    </row>
    <row r="148">
      <c r="A148" s="60" t="inlineStr">
        <is>
          <t>Equipo terminado comprado</t>
        </is>
      </c>
      <c r="B148" s="60" t="inlineStr">
        <is>
          <t>Extintor base del stock: FL_SUS_ABC_5kg</t>
        </is>
      </c>
      <c r="C148" s="60" t="inlineStr">
        <is>
          <t>u</t>
        </is>
      </c>
      <c r="D148" s="60" t="inlineStr">
        <is>
          <t>No</t>
        </is>
      </c>
      <c r="E148" s="60" t="n"/>
      <c r="F148" s="60" t="n"/>
      <c r="G148" s="60" t="n"/>
      <c r="H148" s="60" t="n"/>
      <c r="I148" s="60" t="n"/>
      <c r="J148" s="60" t="n"/>
      <c r="K148" s="60" t="n"/>
      <c r="L148" s="60" t="n"/>
      <c r="M148" s="60" t="n"/>
      <c r="N148" s="60" t="n"/>
      <c r="O148" s="60" t="n"/>
      <c r="P148" s="60" t="n"/>
      <c r="Q148" s="60" t="n"/>
      <c r="R148" s="60" t="n"/>
      <c r="S148" s="60" t="n"/>
      <c r="T148" s="60" t="n"/>
      <c r="U148" s="60" t="n"/>
      <c r="V148" s="60" t="n"/>
      <c r="W148" s="60" t="n"/>
      <c r="X148" s="60" t="n"/>
      <c r="Y148" s="60" t="n"/>
      <c r="Z148" s="60" t="n"/>
      <c r="AA148" s="60" t="n"/>
      <c r="AB148" s="60" t="n"/>
      <c r="AC148" s="60" t="n"/>
      <c r="AD148" s="60" t="n"/>
      <c r="AE148" s="60" t="n"/>
      <c r="AF148" s="60" t="n"/>
      <c r="AG148" s="60" t="n"/>
      <c r="AH148" s="60" t="n">
        <v>1</v>
      </c>
      <c r="AI148" s="60" t="n"/>
      <c r="AJ148" s="60" t="n"/>
      <c r="AK148" s="60" t="n"/>
      <c r="AL148" s="60" t="n"/>
      <c r="AM148" s="60" t="n"/>
      <c r="AN148" s="60" t="n"/>
      <c r="AO148" s="60" t="n"/>
      <c r="AP148" s="60" t="n"/>
      <c r="AQ148" s="60" t="n"/>
      <c r="AR148" s="60" t="n"/>
      <c r="AS148" s="60" t="n"/>
      <c r="AT148" s="60" t="n"/>
      <c r="AU148" s="60" t="n"/>
      <c r="AV148" s="60" t="n"/>
      <c r="AW148" s="60" t="n"/>
      <c r="AX148" s="60" t="n"/>
      <c r="AY148" s="60" t="n"/>
      <c r="AZ148" s="60" t="n"/>
      <c r="BA148" s="60" t="n"/>
      <c r="BB148" s="60" t="n"/>
      <c r="BC148" s="60" t="n"/>
      <c r="BD148" s="60" t="n"/>
      <c r="BE148" s="60" t="n"/>
      <c r="BF148" s="60" t="n"/>
      <c r="BG148" s="60" t="n"/>
      <c r="BH148" s="60" t="n"/>
      <c r="BI148" s="60" t="n"/>
      <c r="BJ148" s="60" t="n"/>
      <c r="BK148" s="60" t="n"/>
      <c r="BL148" s="60" t="n"/>
      <c r="BM148" s="60" t="n"/>
      <c r="BN148" s="60" t="n"/>
      <c r="BO148" s="60" t="n"/>
      <c r="BP148" s="60" t="n"/>
      <c r="BQ148" s="60" t="n"/>
      <c r="BR148" s="60" t="n"/>
      <c r="BS148" s="60" t="n"/>
      <c r="BT148" s="60" t="n"/>
      <c r="BU148" s="60" t="n"/>
      <c r="BV148" s="60" t="n"/>
      <c r="BW148" s="60" t="n"/>
      <c r="BX148" s="60" t="n"/>
      <c r="BY148" s="60" t="n"/>
      <c r="BZ148" s="60" t="n"/>
      <c r="CA148" s="60" t="n"/>
      <c r="CB148" s="60" t="n"/>
      <c r="CC148" s="60" t="n"/>
      <c r="CD148" s="60" t="n"/>
      <c r="CE148" s="60" t="n"/>
      <c r="CF148" s="60" t="n"/>
      <c r="CG148" s="60" t="n"/>
      <c r="CH148" s="60" t="n"/>
      <c r="CI148" s="60" t="n"/>
      <c r="CJ148" s="60" t="n"/>
      <c r="CK148" s="60" t="n"/>
      <c r="CL148" s="60" t="n"/>
      <c r="CM148" s="60" t="n"/>
      <c r="CN148" s="60" t="n"/>
      <c r="CO148" s="60" t="n"/>
      <c r="CP148" s="60" t="n"/>
      <c r="CQ148" s="60" t="n"/>
      <c r="CR148" s="60" t="n"/>
      <c r="CS148" s="60" t="n"/>
      <c r="CT148" s="60" t="n"/>
      <c r="CU148" s="60" t="n"/>
      <c r="CV148" s="60" t="n"/>
      <c r="CW148" s="60" t="n"/>
      <c r="CX148" s="60" t="n"/>
      <c r="CY148" s="60" t="n"/>
      <c r="CZ148" s="60" t="n"/>
      <c r="DA148" s="60" t="n"/>
      <c r="DB148" s="60" t="n"/>
      <c r="DC148" s="60" t="n"/>
      <c r="DD148" s="60" t="n"/>
      <c r="DE148" s="60" t="n"/>
    </row>
    <row r="149">
      <c r="A149" s="60" t="inlineStr">
        <is>
          <t>Equipo terminado comprado</t>
        </is>
      </c>
      <c r="B149" s="60" t="inlineStr">
        <is>
          <t>Extintor base del stock: FL_SUS_ABC_70kg</t>
        </is>
      </c>
      <c r="C149" s="60" t="inlineStr">
        <is>
          <t>u</t>
        </is>
      </c>
      <c r="D149" s="60" t="inlineStr">
        <is>
          <t>No</t>
        </is>
      </c>
      <c r="E149" s="60" t="n"/>
      <c r="F149" s="60" t="n"/>
      <c r="G149" s="60" t="n"/>
      <c r="H149" s="60" t="n"/>
      <c r="I149" s="60" t="n"/>
      <c r="J149" s="60" t="n"/>
      <c r="K149" s="60" t="n"/>
      <c r="L149" s="60" t="n"/>
      <c r="M149" s="60" t="n"/>
      <c r="N149" s="60" t="n"/>
      <c r="O149" s="60" t="n"/>
      <c r="P149" s="60" t="n"/>
      <c r="Q149" s="60" t="n"/>
      <c r="R149" s="60" t="n"/>
      <c r="S149" s="60" t="n"/>
      <c r="T149" s="60" t="n"/>
      <c r="U149" s="60" t="n"/>
      <c r="V149" s="60" t="n"/>
      <c r="W149" s="60" t="n"/>
      <c r="X149" s="60" t="n"/>
      <c r="Y149" s="60" t="n"/>
      <c r="Z149" s="60" t="n"/>
      <c r="AA149" s="60" t="n"/>
      <c r="AB149" s="60" t="n"/>
      <c r="AC149" s="60" t="n"/>
      <c r="AD149" s="60" t="n"/>
      <c r="AE149" s="60" t="n"/>
      <c r="AF149" s="60" t="n"/>
      <c r="AG149" s="60" t="n"/>
      <c r="AH149" s="60" t="n"/>
      <c r="AI149" s="60" t="n"/>
      <c r="AJ149" s="60" t="n"/>
      <c r="AK149" s="60" t="n"/>
      <c r="AL149" s="60" t="n"/>
      <c r="AM149" s="60" t="n"/>
      <c r="AN149" s="60" t="n"/>
      <c r="AO149" s="60" t="n"/>
      <c r="AP149" s="60" t="n"/>
      <c r="AQ149" s="60" t="n"/>
      <c r="AR149" s="60" t="n"/>
      <c r="AS149" s="60" t="n"/>
      <c r="AT149" s="60" t="n"/>
      <c r="AU149" s="60" t="n">
        <v>1</v>
      </c>
      <c r="AV149" s="60" t="n"/>
      <c r="AW149" s="60" t="n"/>
      <c r="AX149" s="60" t="n"/>
      <c r="AY149" s="60" t="n"/>
      <c r="AZ149" s="60" t="n"/>
      <c r="BA149" s="60" t="n"/>
      <c r="BB149" s="60" t="n"/>
      <c r="BC149" s="60" t="n"/>
      <c r="BD149" s="60" t="n"/>
      <c r="BE149" s="60" t="n"/>
      <c r="BF149" s="60" t="n"/>
      <c r="BG149" s="60" t="n"/>
      <c r="BH149" s="60" t="n"/>
      <c r="BI149" s="60" t="n"/>
      <c r="BJ149" s="60" t="n"/>
      <c r="BK149" s="60" t="n"/>
      <c r="BL149" s="60" t="n"/>
      <c r="BM149" s="60" t="n"/>
      <c r="BN149" s="60" t="n"/>
      <c r="BO149" s="60" t="n"/>
      <c r="BP149" s="60" t="n"/>
      <c r="BQ149" s="60" t="n"/>
      <c r="BR149" s="60" t="n"/>
      <c r="BS149" s="60" t="n"/>
      <c r="BT149" s="60" t="n"/>
      <c r="BU149" s="60" t="n"/>
      <c r="BV149" s="60" t="n"/>
      <c r="BW149" s="60" t="n"/>
      <c r="BX149" s="60" t="n"/>
      <c r="BY149" s="60" t="n"/>
      <c r="BZ149" s="60" t="n"/>
      <c r="CA149" s="60" t="n"/>
      <c r="CB149" s="60" t="n"/>
      <c r="CC149" s="60" t="n"/>
      <c r="CD149" s="60" t="n"/>
      <c r="CE149" s="60" t="n"/>
      <c r="CF149" s="60" t="n"/>
      <c r="CG149" s="60" t="n"/>
      <c r="CH149" s="60" t="n"/>
      <c r="CI149" s="60" t="n"/>
      <c r="CJ149" s="60" t="n"/>
      <c r="CK149" s="60" t="n"/>
      <c r="CL149" s="60" t="n"/>
      <c r="CM149" s="60" t="n"/>
      <c r="CN149" s="60" t="n"/>
      <c r="CO149" s="60" t="n"/>
      <c r="CP149" s="60" t="n"/>
      <c r="CQ149" s="60" t="n"/>
      <c r="CR149" s="60" t="n"/>
      <c r="CS149" s="60" t="n"/>
      <c r="CT149" s="60" t="n"/>
      <c r="CU149" s="60" t="n"/>
      <c r="CV149" s="60" t="n"/>
      <c r="CW149" s="60" t="n"/>
      <c r="CX149" s="60" t="n"/>
      <c r="CY149" s="60" t="n"/>
      <c r="CZ149" s="60" t="n"/>
      <c r="DA149" s="60" t="n"/>
      <c r="DB149" s="60" t="n"/>
      <c r="DC149" s="60" t="n"/>
      <c r="DD149" s="60" t="n"/>
      <c r="DE149" s="60" t="n"/>
    </row>
    <row r="150">
      <c r="A150" s="60" t="inlineStr">
        <is>
          <t>Equipo terminado comprado</t>
        </is>
      </c>
      <c r="B150" s="60" t="inlineStr">
        <is>
          <t>Extintor base del stock: FL_SUS_AFFF_10l</t>
        </is>
      </c>
      <c r="C150" s="60" t="inlineStr">
        <is>
          <t>u</t>
        </is>
      </c>
      <c r="D150" s="60" t="inlineStr">
        <is>
          <t>No</t>
        </is>
      </c>
      <c r="E150" s="60" t="n"/>
      <c r="F150" s="60" t="n"/>
      <c r="G150" s="60" t="n"/>
      <c r="H150" s="60" t="n"/>
      <c r="I150" s="60" t="n"/>
      <c r="J150" s="60" t="n"/>
      <c r="K150" s="60" t="n"/>
      <c r="L150" s="60" t="n"/>
      <c r="M150" s="60" t="n"/>
      <c r="N150" s="60" t="n"/>
      <c r="O150" s="60" t="n"/>
      <c r="P150" s="60" t="n"/>
      <c r="Q150" s="60" t="n"/>
      <c r="R150" s="60" t="n"/>
      <c r="S150" s="60" t="n"/>
      <c r="T150" s="60" t="n"/>
      <c r="U150" s="60" t="n"/>
      <c r="V150" s="60" t="n"/>
      <c r="W150" s="60" t="n"/>
      <c r="X150" s="60" t="n"/>
      <c r="Y150" s="60" t="n"/>
      <c r="Z150" s="60" t="n"/>
      <c r="AA150" s="60" t="n"/>
      <c r="AB150" s="60" t="n"/>
      <c r="AC150" s="60" t="n"/>
      <c r="AD150" s="60" t="n"/>
      <c r="AE150" s="60" t="n"/>
      <c r="AF150" s="60" t="n"/>
      <c r="AG150" s="60" t="n"/>
      <c r="AH150" s="60" t="n"/>
      <c r="AI150" s="60" t="n"/>
      <c r="AJ150" s="60" t="n"/>
      <c r="AK150" s="60" t="n">
        <v>1</v>
      </c>
      <c r="AL150" s="60" t="n"/>
      <c r="AM150" s="60" t="n"/>
      <c r="AN150" s="60" t="n"/>
      <c r="AO150" s="60" t="n"/>
      <c r="AP150" s="60" t="n"/>
      <c r="AQ150" s="60" t="n"/>
      <c r="AR150" s="60" t="n"/>
      <c r="AS150" s="60" t="n"/>
      <c r="AT150" s="60" t="n"/>
      <c r="AU150" s="60" t="n"/>
      <c r="AV150" s="60" t="n"/>
      <c r="AW150" s="60" t="n"/>
      <c r="AX150" s="60" t="n"/>
      <c r="AY150" s="60" t="n"/>
      <c r="AZ150" s="60" t="n"/>
      <c r="BA150" s="60" t="n"/>
      <c r="BB150" s="60" t="n"/>
      <c r="BC150" s="60" t="n"/>
      <c r="BD150" s="60" t="n"/>
      <c r="BE150" s="60" t="n"/>
      <c r="BF150" s="60" t="n"/>
      <c r="BG150" s="60" t="n"/>
      <c r="BH150" s="60" t="n"/>
      <c r="BI150" s="60" t="n"/>
      <c r="BJ150" s="60" t="n"/>
      <c r="BK150" s="60" t="n"/>
      <c r="BL150" s="60" t="n"/>
      <c r="BM150" s="60" t="n"/>
      <c r="BN150" s="60" t="n"/>
      <c r="BO150" s="60" t="n"/>
      <c r="BP150" s="60" t="n"/>
      <c r="BQ150" s="60" t="n"/>
      <c r="BR150" s="60" t="n"/>
      <c r="BS150" s="60" t="n"/>
      <c r="BT150" s="60" t="n"/>
      <c r="BU150" s="60" t="n"/>
      <c r="BV150" s="60" t="n"/>
      <c r="BW150" s="60" t="n"/>
      <c r="BX150" s="60" t="n"/>
      <c r="BY150" s="60" t="n"/>
      <c r="BZ150" s="60" t="n"/>
      <c r="CA150" s="60" t="n"/>
      <c r="CB150" s="60" t="n"/>
      <c r="CC150" s="60" t="n"/>
      <c r="CD150" s="60" t="n"/>
      <c r="CE150" s="60" t="n"/>
      <c r="CF150" s="60" t="n"/>
      <c r="CG150" s="60" t="n"/>
      <c r="CH150" s="60" t="n"/>
      <c r="CI150" s="60" t="n"/>
      <c r="CJ150" s="60" t="n"/>
      <c r="CK150" s="60" t="n"/>
      <c r="CL150" s="60" t="n"/>
      <c r="CM150" s="60" t="n"/>
      <c r="CN150" s="60" t="n"/>
      <c r="CO150" s="60" t="n"/>
      <c r="CP150" s="60" t="n"/>
      <c r="CQ150" s="60" t="n"/>
      <c r="CR150" s="60" t="n"/>
      <c r="CS150" s="60" t="n"/>
      <c r="CT150" s="60" t="n"/>
      <c r="CU150" s="60" t="n"/>
      <c r="CV150" s="60" t="n"/>
      <c r="CW150" s="60" t="n"/>
      <c r="CX150" s="60" t="n"/>
      <c r="CY150" s="60" t="n"/>
      <c r="CZ150" s="60" t="n"/>
      <c r="DA150" s="60" t="n"/>
      <c r="DB150" s="60" t="n"/>
      <c r="DC150" s="60" t="n"/>
      <c r="DD150" s="60" t="n"/>
      <c r="DE150" s="60" t="n"/>
    </row>
    <row r="151">
      <c r="A151" s="60" t="inlineStr">
        <is>
          <t>Equipo terminado comprado</t>
        </is>
      </c>
      <c r="B151" s="60" t="inlineStr">
        <is>
          <t>Extintor base del stock: FL_SUS_AFFF_50l</t>
        </is>
      </c>
      <c r="C151" s="60" t="inlineStr">
        <is>
          <t>u</t>
        </is>
      </c>
      <c r="D151" s="60" t="inlineStr">
        <is>
          <t>No</t>
        </is>
      </c>
      <c r="E151" s="60" t="n"/>
      <c r="F151" s="60" t="n"/>
      <c r="G151" s="60" t="n"/>
      <c r="H151" s="60" t="n"/>
      <c r="I151" s="60" t="n"/>
      <c r="J151" s="60" t="n"/>
      <c r="K151" s="60" t="n"/>
      <c r="L151" s="60" t="n"/>
      <c r="M151" s="60" t="n"/>
      <c r="N151" s="60" t="n"/>
      <c r="O151" s="60" t="n"/>
      <c r="P151" s="60" t="n"/>
      <c r="Q151" s="60" t="n"/>
      <c r="R151" s="60" t="n"/>
      <c r="S151" s="60" t="n"/>
      <c r="T151" s="60" t="n"/>
      <c r="U151" s="60" t="n"/>
      <c r="V151" s="60" t="n"/>
      <c r="W151" s="60" t="n"/>
      <c r="X151" s="60" t="n"/>
      <c r="Y151" s="60" t="n"/>
      <c r="Z151" s="60" t="n"/>
      <c r="AA151" s="60" t="n"/>
      <c r="AB151" s="60" t="n"/>
      <c r="AC151" s="60" t="n"/>
      <c r="AD151" s="60" t="n"/>
      <c r="AE151" s="60" t="n"/>
      <c r="AF151" s="60" t="n"/>
      <c r="AG151" s="60" t="n"/>
      <c r="AH151" s="60" t="n"/>
      <c r="AI151" s="60" t="n"/>
      <c r="AJ151" s="60" t="n"/>
      <c r="AK151" s="60" t="n"/>
      <c r="AL151" s="60" t="n">
        <v>1</v>
      </c>
      <c r="AM151" s="60" t="n"/>
      <c r="AN151" s="60" t="n"/>
      <c r="AO151" s="60" t="n"/>
      <c r="AP151" s="60" t="n"/>
      <c r="AQ151" s="60" t="n"/>
      <c r="AR151" s="60" t="n"/>
      <c r="AS151" s="60" t="n"/>
      <c r="AT151" s="60" t="n"/>
      <c r="AU151" s="60" t="n"/>
      <c r="AV151" s="60" t="n"/>
      <c r="AW151" s="60" t="n"/>
      <c r="AX151" s="60" t="n"/>
      <c r="AY151" s="60" t="n"/>
      <c r="AZ151" s="60" t="n"/>
      <c r="BA151" s="60" t="n"/>
      <c r="BB151" s="60" t="n"/>
      <c r="BC151" s="60" t="n"/>
      <c r="BD151" s="60" t="n"/>
      <c r="BE151" s="60" t="n"/>
      <c r="BF151" s="60" t="n"/>
      <c r="BG151" s="60" t="n"/>
      <c r="BH151" s="60" t="n"/>
      <c r="BI151" s="60" t="n"/>
      <c r="BJ151" s="60" t="n"/>
      <c r="BK151" s="60" t="n"/>
      <c r="BL151" s="60" t="n"/>
      <c r="BM151" s="60" t="n"/>
      <c r="BN151" s="60" t="n"/>
      <c r="BO151" s="60" t="n"/>
      <c r="BP151" s="60" t="n"/>
      <c r="BQ151" s="60" t="n"/>
      <c r="BR151" s="60" t="n"/>
      <c r="BS151" s="60" t="n"/>
      <c r="BT151" s="60" t="n"/>
      <c r="BU151" s="60" t="n"/>
      <c r="BV151" s="60" t="n"/>
      <c r="BW151" s="60" t="n"/>
      <c r="BX151" s="60" t="n"/>
      <c r="BY151" s="60" t="n"/>
      <c r="BZ151" s="60" t="n"/>
      <c r="CA151" s="60" t="n"/>
      <c r="CB151" s="60" t="n"/>
      <c r="CC151" s="60" t="n"/>
      <c r="CD151" s="60" t="n"/>
      <c r="CE151" s="60" t="n"/>
      <c r="CF151" s="60" t="n"/>
      <c r="CG151" s="60" t="n"/>
      <c r="CH151" s="60" t="n"/>
      <c r="CI151" s="60" t="n"/>
      <c r="CJ151" s="60" t="n"/>
      <c r="CK151" s="60" t="n"/>
      <c r="CL151" s="60" t="n"/>
      <c r="CM151" s="60" t="n"/>
      <c r="CN151" s="60" t="n"/>
      <c r="CO151" s="60" t="n"/>
      <c r="CP151" s="60" t="n"/>
      <c r="CQ151" s="60" t="n"/>
      <c r="CR151" s="60" t="n"/>
      <c r="CS151" s="60" t="n"/>
      <c r="CT151" s="60" t="n"/>
      <c r="CU151" s="60" t="n"/>
      <c r="CV151" s="60" t="n"/>
      <c r="CW151" s="60" t="n"/>
      <c r="CX151" s="60" t="n"/>
      <c r="CY151" s="60" t="n"/>
      <c r="CZ151" s="60" t="n"/>
      <c r="DA151" s="60" t="n"/>
      <c r="DB151" s="60" t="n"/>
      <c r="DC151" s="60" t="n"/>
      <c r="DD151" s="60" t="n"/>
      <c r="DE151" s="60" t="n"/>
    </row>
    <row r="152">
      <c r="A152" s="60" t="inlineStr">
        <is>
          <t>Equipo terminado comprado</t>
        </is>
      </c>
      <c r="B152" s="60" t="inlineStr">
        <is>
          <t>Extintor base del stock: FL_SUS_AGUA_10l</t>
        </is>
      </c>
      <c r="C152" s="60" t="inlineStr">
        <is>
          <t>u</t>
        </is>
      </c>
      <c r="D152" s="60" t="inlineStr">
        <is>
          <t>No</t>
        </is>
      </c>
      <c r="E152" s="60" t="n"/>
      <c r="F152" s="60" t="n"/>
      <c r="G152" s="60" t="n"/>
      <c r="H152" s="60" t="n"/>
      <c r="I152" s="60" t="n"/>
      <c r="J152" s="60" t="n"/>
      <c r="K152" s="60" t="n"/>
      <c r="L152" s="60" t="n"/>
      <c r="M152" s="60" t="n"/>
      <c r="N152" s="60" t="n"/>
      <c r="O152" s="60" t="n"/>
      <c r="P152" s="60" t="n"/>
      <c r="Q152" s="60" t="n"/>
      <c r="R152" s="60" t="n"/>
      <c r="S152" s="60" t="n"/>
      <c r="T152" s="60" t="n"/>
      <c r="U152" s="60" t="n"/>
      <c r="V152" s="60" t="n"/>
      <c r="W152" s="60" t="n"/>
      <c r="X152" s="60" t="n"/>
      <c r="Y152" s="60" t="n"/>
      <c r="Z152" s="60" t="n"/>
      <c r="AA152" s="60" t="n"/>
      <c r="AB152" s="60" t="n"/>
      <c r="AC152" s="60" t="n"/>
      <c r="AD152" s="60" t="n"/>
      <c r="AE152" s="60" t="n"/>
      <c r="AF152" s="60" t="n"/>
      <c r="AG152" s="60" t="n"/>
      <c r="AH152" s="60" t="n"/>
      <c r="AI152" s="60" t="n"/>
      <c r="AJ152" s="60" t="n">
        <v>1</v>
      </c>
      <c r="AK152" s="60" t="n"/>
      <c r="AL152" s="60" t="n"/>
      <c r="AM152" s="60" t="n"/>
      <c r="AN152" s="60" t="n"/>
      <c r="AO152" s="60" t="n"/>
      <c r="AP152" s="60" t="n"/>
      <c r="AQ152" s="60" t="n"/>
      <c r="AR152" s="60" t="n"/>
      <c r="AS152" s="60" t="n"/>
      <c r="AT152" s="60" t="n"/>
      <c r="AU152" s="60" t="n"/>
      <c r="AV152" s="60" t="n"/>
      <c r="AW152" s="60" t="n"/>
      <c r="AX152" s="60" t="n"/>
      <c r="AY152" s="60" t="n"/>
      <c r="AZ152" s="60" t="n"/>
      <c r="BA152" s="60" t="n"/>
      <c r="BB152" s="60" t="n"/>
      <c r="BC152" s="60" t="n"/>
      <c r="BD152" s="60" t="n"/>
      <c r="BE152" s="60" t="n"/>
      <c r="BF152" s="60" t="n"/>
      <c r="BG152" s="60" t="n"/>
      <c r="BH152" s="60" t="n"/>
      <c r="BI152" s="60" t="n"/>
      <c r="BJ152" s="60" t="n"/>
      <c r="BK152" s="60" t="n"/>
      <c r="BL152" s="60" t="n"/>
      <c r="BM152" s="60" t="n"/>
      <c r="BN152" s="60" t="n"/>
      <c r="BO152" s="60" t="n"/>
      <c r="BP152" s="60" t="n"/>
      <c r="BQ152" s="60" t="n"/>
      <c r="BR152" s="60" t="n"/>
      <c r="BS152" s="60" t="n"/>
      <c r="BT152" s="60" t="n"/>
      <c r="BU152" s="60" t="n"/>
      <c r="BV152" s="60" t="n"/>
      <c r="BW152" s="60" t="n"/>
      <c r="BX152" s="60" t="n"/>
      <c r="BY152" s="60" t="n"/>
      <c r="BZ152" s="60" t="n"/>
      <c r="CA152" s="60" t="n"/>
      <c r="CB152" s="60" t="n"/>
      <c r="CC152" s="60" t="n"/>
      <c r="CD152" s="60" t="n"/>
      <c r="CE152" s="60" t="n"/>
      <c r="CF152" s="60" t="n"/>
      <c r="CG152" s="60" t="n"/>
      <c r="CH152" s="60" t="n"/>
      <c r="CI152" s="60" t="n"/>
      <c r="CJ152" s="60" t="n"/>
      <c r="CK152" s="60" t="n"/>
      <c r="CL152" s="60" t="n"/>
      <c r="CM152" s="60" t="n"/>
      <c r="CN152" s="60" t="n"/>
      <c r="CO152" s="60" t="n"/>
      <c r="CP152" s="60" t="n"/>
      <c r="CQ152" s="60" t="n"/>
      <c r="CR152" s="60" t="n"/>
      <c r="CS152" s="60" t="n"/>
      <c r="CT152" s="60" t="n"/>
      <c r="CU152" s="60" t="n"/>
      <c r="CV152" s="60" t="n"/>
      <c r="CW152" s="60" t="n"/>
      <c r="CX152" s="60" t="n"/>
      <c r="CY152" s="60" t="n"/>
      <c r="CZ152" s="60" t="n"/>
      <c r="DA152" s="60" t="n"/>
      <c r="DB152" s="60" t="n"/>
      <c r="DC152" s="60" t="n"/>
      <c r="DD152" s="60" t="n"/>
      <c r="DE152" s="60" t="n"/>
    </row>
    <row r="153">
      <c r="A153" s="60" t="inlineStr">
        <is>
          <t>Equipo terminado comprado</t>
        </is>
      </c>
      <c r="B153" s="60" t="inlineStr">
        <is>
          <t>Extintor base del stock: FL_SUS_BC_5kg</t>
        </is>
      </c>
      <c r="C153" s="60" t="inlineStr">
        <is>
          <t>u</t>
        </is>
      </c>
      <c r="D153" s="60" t="inlineStr">
        <is>
          <t>No</t>
        </is>
      </c>
      <c r="E153" s="60" t="n"/>
      <c r="F153" s="60" t="n"/>
      <c r="G153" s="60" t="n"/>
      <c r="H153" s="60" t="n"/>
      <c r="I153" s="60" t="n"/>
      <c r="J153" s="60" t="n"/>
      <c r="K153" s="60" t="n"/>
      <c r="L153" s="60" t="n"/>
      <c r="M153" s="60" t="n"/>
      <c r="N153" s="60" t="n"/>
      <c r="O153" s="60" t="n"/>
      <c r="P153" s="60" t="n"/>
      <c r="Q153" s="60" t="n"/>
      <c r="R153" s="60" t="n"/>
      <c r="S153" s="60" t="n"/>
      <c r="T153" s="60" t="n"/>
      <c r="U153" s="60" t="n"/>
      <c r="V153" s="60" t="n"/>
      <c r="W153" s="60" t="n"/>
      <c r="X153" s="60" t="n"/>
      <c r="Y153" s="60" t="n"/>
      <c r="Z153" s="60" t="n"/>
      <c r="AA153" s="60" t="n"/>
      <c r="AB153" s="60" t="n"/>
      <c r="AC153" s="60" t="n"/>
      <c r="AD153" s="60" t="n"/>
      <c r="AE153" s="60" t="n"/>
      <c r="AF153" s="60" t="n"/>
      <c r="AG153" s="60" t="n"/>
      <c r="AH153" s="60" t="n"/>
      <c r="AI153" s="60" t="n"/>
      <c r="AJ153" s="60" t="n"/>
      <c r="AK153" s="60" t="n"/>
      <c r="AL153" s="60" t="n"/>
      <c r="AM153" s="60" t="n">
        <v>1</v>
      </c>
      <c r="AN153" s="60" t="n"/>
      <c r="AO153" s="60" t="n"/>
      <c r="AP153" s="60" t="n"/>
      <c r="AQ153" s="60" t="n"/>
      <c r="AR153" s="60" t="n"/>
      <c r="AS153" s="60" t="n"/>
      <c r="AT153" s="60" t="n"/>
      <c r="AU153" s="60" t="n"/>
      <c r="AV153" s="60" t="n"/>
      <c r="AW153" s="60" t="n"/>
      <c r="AX153" s="60" t="n"/>
      <c r="AY153" s="60" t="n"/>
      <c r="AZ153" s="60" t="n"/>
      <c r="BA153" s="60" t="n"/>
      <c r="BB153" s="60" t="n"/>
      <c r="BC153" s="60" t="n"/>
      <c r="BD153" s="60" t="n"/>
      <c r="BE153" s="60" t="n"/>
      <c r="BF153" s="60" t="n"/>
      <c r="BG153" s="60" t="n"/>
      <c r="BH153" s="60" t="n"/>
      <c r="BI153" s="60" t="n"/>
      <c r="BJ153" s="60" t="n"/>
      <c r="BK153" s="60" t="n"/>
      <c r="BL153" s="60" t="n"/>
      <c r="BM153" s="60" t="n"/>
      <c r="BN153" s="60" t="n"/>
      <c r="BO153" s="60" t="n"/>
      <c r="BP153" s="60" t="n"/>
      <c r="BQ153" s="60" t="n"/>
      <c r="BR153" s="60" t="n"/>
      <c r="BS153" s="60" t="n"/>
      <c r="BT153" s="60" t="n"/>
      <c r="BU153" s="60" t="n"/>
      <c r="BV153" s="60" t="n"/>
      <c r="BW153" s="60" t="n"/>
      <c r="BX153" s="60" t="n"/>
      <c r="BY153" s="60" t="n"/>
      <c r="BZ153" s="60" t="n"/>
      <c r="CA153" s="60" t="n"/>
      <c r="CB153" s="60" t="n"/>
      <c r="CC153" s="60" t="n"/>
      <c r="CD153" s="60" t="n"/>
      <c r="CE153" s="60" t="n"/>
      <c r="CF153" s="60" t="n"/>
      <c r="CG153" s="60" t="n"/>
      <c r="CH153" s="60" t="n"/>
      <c r="CI153" s="60" t="n"/>
      <c r="CJ153" s="60" t="n"/>
      <c r="CK153" s="60" t="n"/>
      <c r="CL153" s="60" t="n"/>
      <c r="CM153" s="60" t="n"/>
      <c r="CN153" s="60" t="n"/>
      <c r="CO153" s="60" t="n"/>
      <c r="CP153" s="60" t="n"/>
      <c r="CQ153" s="60" t="n"/>
      <c r="CR153" s="60" t="n"/>
      <c r="CS153" s="60" t="n"/>
      <c r="CT153" s="60" t="n"/>
      <c r="CU153" s="60" t="n"/>
      <c r="CV153" s="60" t="n"/>
      <c r="CW153" s="60" t="n"/>
      <c r="CX153" s="60" t="n"/>
      <c r="CY153" s="60" t="n"/>
      <c r="CZ153" s="60" t="n"/>
      <c r="DA153" s="60" t="n"/>
      <c r="DB153" s="60" t="n"/>
      <c r="DC153" s="60" t="n"/>
      <c r="DD153" s="60" t="n"/>
      <c r="DE153" s="60" t="n"/>
    </row>
    <row r="154">
      <c r="A154" s="60" t="inlineStr">
        <is>
          <t>Equipo terminado comprado</t>
        </is>
      </c>
      <c r="B154" s="60" t="inlineStr">
        <is>
          <t>Extintor base del stock: FL_SUS_CLASED_9l</t>
        </is>
      </c>
      <c r="C154" s="60" t="inlineStr">
        <is>
          <t>u</t>
        </is>
      </c>
      <c r="D154" s="60" t="inlineStr">
        <is>
          <t>No</t>
        </is>
      </c>
      <c r="E154" s="60" t="n"/>
      <c r="F154" s="60" t="n"/>
      <c r="G154" s="60" t="n"/>
      <c r="H154" s="60" t="n"/>
      <c r="I154" s="60" t="n"/>
      <c r="J154" s="60" t="n"/>
      <c r="K154" s="60" t="n"/>
      <c r="L154" s="60" t="n"/>
      <c r="M154" s="60" t="n"/>
      <c r="N154" s="60" t="n"/>
      <c r="O154" s="60" t="n"/>
      <c r="P154" s="60" t="n"/>
      <c r="Q154" s="60" t="n"/>
      <c r="R154" s="60" t="n"/>
      <c r="S154" s="60" t="n"/>
      <c r="T154" s="60" t="n"/>
      <c r="U154" s="60" t="n"/>
      <c r="V154" s="60" t="n"/>
      <c r="W154" s="60" t="n"/>
      <c r="X154" s="60" t="n"/>
      <c r="Y154" s="60" t="n"/>
      <c r="Z154" s="60" t="n"/>
      <c r="AA154" s="60" t="n"/>
      <c r="AB154" s="60" t="n"/>
      <c r="AC154" s="60" t="n"/>
      <c r="AD154" s="60" t="n"/>
      <c r="AE154" s="60" t="n"/>
      <c r="AF154" s="60" t="n"/>
      <c r="AG154" s="60" t="n"/>
      <c r="AH154" s="60" t="n"/>
      <c r="AI154" s="60" t="n"/>
      <c r="AJ154" s="60" t="n"/>
      <c r="AK154" s="60" t="n"/>
      <c r="AL154" s="60" t="n"/>
      <c r="AM154" s="60" t="n"/>
      <c r="AN154" s="60" t="n"/>
      <c r="AO154" s="60" t="n"/>
      <c r="AP154" s="60" t="n"/>
      <c r="AQ154" s="60" t="n"/>
      <c r="AR154" s="60" t="n">
        <v>1</v>
      </c>
      <c r="AS154" s="60" t="n"/>
      <c r="AT154" s="60" t="n"/>
      <c r="AU154" s="60" t="n"/>
      <c r="AV154" s="60" t="n"/>
      <c r="AW154" s="60" t="n"/>
      <c r="AX154" s="60" t="n"/>
      <c r="AY154" s="60" t="n"/>
      <c r="AZ154" s="60" t="n"/>
      <c r="BA154" s="60" t="n"/>
      <c r="BB154" s="60" t="n"/>
      <c r="BC154" s="60" t="n"/>
      <c r="BD154" s="60" t="n"/>
      <c r="BE154" s="60" t="n"/>
      <c r="BF154" s="60" t="n"/>
      <c r="BG154" s="60" t="n"/>
      <c r="BH154" s="60" t="n"/>
      <c r="BI154" s="60" t="n"/>
      <c r="BJ154" s="60" t="n"/>
      <c r="BK154" s="60" t="n"/>
      <c r="BL154" s="60" t="n"/>
      <c r="BM154" s="60" t="n"/>
      <c r="BN154" s="60" t="n"/>
      <c r="BO154" s="60" t="n"/>
      <c r="BP154" s="60" t="n"/>
      <c r="BQ154" s="60" t="n"/>
      <c r="BR154" s="60" t="n"/>
      <c r="BS154" s="60" t="n"/>
      <c r="BT154" s="60" t="n"/>
      <c r="BU154" s="60" t="n"/>
      <c r="BV154" s="60" t="n"/>
      <c r="BW154" s="60" t="n"/>
      <c r="BX154" s="60" t="n"/>
      <c r="BY154" s="60" t="n"/>
      <c r="BZ154" s="60" t="n"/>
      <c r="CA154" s="60" t="n"/>
      <c r="CB154" s="60" t="n"/>
      <c r="CC154" s="60" t="n"/>
      <c r="CD154" s="60" t="n"/>
      <c r="CE154" s="60" t="n"/>
      <c r="CF154" s="60" t="n"/>
      <c r="CG154" s="60" t="n"/>
      <c r="CH154" s="60" t="n"/>
      <c r="CI154" s="60" t="n"/>
      <c r="CJ154" s="60" t="n"/>
      <c r="CK154" s="60" t="n"/>
      <c r="CL154" s="60" t="n"/>
      <c r="CM154" s="60" t="n"/>
      <c r="CN154" s="60" t="n"/>
      <c r="CO154" s="60" t="n"/>
      <c r="CP154" s="60" t="n"/>
      <c r="CQ154" s="60" t="n"/>
      <c r="CR154" s="60" t="n"/>
      <c r="CS154" s="60" t="n"/>
      <c r="CT154" s="60" t="n"/>
      <c r="CU154" s="60" t="n"/>
      <c r="CV154" s="60" t="n"/>
      <c r="CW154" s="60" t="n"/>
      <c r="CX154" s="60" t="n"/>
      <c r="CY154" s="60" t="n"/>
      <c r="CZ154" s="60" t="n"/>
      <c r="DA154" s="60" t="n"/>
      <c r="DB154" s="60" t="n"/>
      <c r="DC154" s="60" t="n"/>
      <c r="DD154" s="60" t="n"/>
      <c r="DE154" s="60" t="n"/>
    </row>
    <row r="155">
      <c r="A155" s="60" t="inlineStr">
        <is>
          <t>Equipo terminado comprado</t>
        </is>
      </c>
      <c r="B155" s="60" t="inlineStr">
        <is>
          <t>Extintor base del stock: FL_SUS_CO2_2kg</t>
        </is>
      </c>
      <c r="C155" s="60" t="inlineStr">
        <is>
          <t>u</t>
        </is>
      </c>
      <c r="D155" s="60" t="inlineStr">
        <is>
          <t>No</t>
        </is>
      </c>
      <c r="E155" s="60" t="n"/>
      <c r="F155" s="60" t="n"/>
      <c r="G155" s="60" t="n"/>
      <c r="H155" s="60" t="n"/>
      <c r="I155" s="60" t="n"/>
      <c r="J155" s="60" t="n"/>
      <c r="K155" s="60" t="n"/>
      <c r="L155" s="60" t="n"/>
      <c r="M155" s="60" t="n"/>
      <c r="N155" s="60" t="n"/>
      <c r="O155" s="60" t="n"/>
      <c r="P155" s="60" t="n"/>
      <c r="Q155" s="60" t="n"/>
      <c r="R155" s="60" t="n"/>
      <c r="S155" s="60" t="n"/>
      <c r="T155" s="60" t="n"/>
      <c r="U155" s="60" t="n"/>
      <c r="V155" s="60" t="n"/>
      <c r="W155" s="60" t="n"/>
      <c r="X155" s="60" t="n"/>
      <c r="Y155" s="60" t="n"/>
      <c r="Z155" s="60" t="n"/>
      <c r="AA155" s="60" t="n"/>
      <c r="AB155" s="60" t="n"/>
      <c r="AC155" s="60" t="n"/>
      <c r="AD155" s="60" t="n"/>
      <c r="AE155" s="60" t="n"/>
      <c r="AF155" s="60" t="n"/>
      <c r="AG155" s="60" t="n"/>
      <c r="AH155" s="60" t="n"/>
      <c r="AI155" s="60" t="n"/>
      <c r="AJ155" s="60" t="n"/>
      <c r="AK155" s="60" t="n"/>
      <c r="AL155" s="60" t="n"/>
      <c r="AM155" s="60" t="n"/>
      <c r="AN155" s="60" t="n"/>
      <c r="AO155" s="60" t="n">
        <v>1</v>
      </c>
      <c r="AP155" s="60" t="n"/>
      <c r="AQ155" s="60" t="n"/>
      <c r="AR155" s="60" t="n"/>
      <c r="AS155" s="60" t="n"/>
      <c r="AT155" s="60" t="n"/>
      <c r="AU155" s="60" t="n"/>
      <c r="AV155" s="60" t="n"/>
      <c r="AW155" s="60" t="n"/>
      <c r="AX155" s="60" t="n"/>
      <c r="AY155" s="60" t="n"/>
      <c r="AZ155" s="60" t="n"/>
      <c r="BA155" s="60" t="n"/>
      <c r="BB155" s="60" t="n"/>
      <c r="BC155" s="60" t="n"/>
      <c r="BD155" s="60" t="n"/>
      <c r="BE155" s="60" t="n"/>
      <c r="BF155" s="60" t="n"/>
      <c r="BG155" s="60" t="n"/>
      <c r="BH155" s="60" t="n"/>
      <c r="BI155" s="60" t="n"/>
      <c r="BJ155" s="60" t="n"/>
      <c r="BK155" s="60" t="n"/>
      <c r="BL155" s="60" t="n"/>
      <c r="BM155" s="60" t="n"/>
      <c r="BN155" s="60" t="n"/>
      <c r="BO155" s="60" t="n"/>
      <c r="BP155" s="60" t="n"/>
      <c r="BQ155" s="60" t="n"/>
      <c r="BR155" s="60" t="n"/>
      <c r="BS155" s="60" t="n"/>
      <c r="BT155" s="60" t="n"/>
      <c r="BU155" s="60" t="n"/>
      <c r="BV155" s="60" t="n"/>
      <c r="BW155" s="60" t="n"/>
      <c r="BX155" s="60" t="n"/>
      <c r="BY155" s="60" t="n"/>
      <c r="BZ155" s="60" t="n"/>
      <c r="CA155" s="60" t="n"/>
      <c r="CB155" s="60" t="n"/>
      <c r="CC155" s="60" t="n"/>
      <c r="CD155" s="60" t="n"/>
      <c r="CE155" s="60" t="n"/>
      <c r="CF155" s="60" t="n"/>
      <c r="CG155" s="60" t="n"/>
      <c r="CH155" s="60" t="n"/>
      <c r="CI155" s="60" t="n"/>
      <c r="CJ155" s="60" t="n"/>
      <c r="CK155" s="60" t="n"/>
      <c r="CL155" s="60" t="n"/>
      <c r="CM155" s="60" t="n"/>
      <c r="CN155" s="60" t="n"/>
      <c r="CO155" s="60" t="n"/>
      <c r="CP155" s="60" t="n"/>
      <c r="CQ155" s="60" t="n"/>
      <c r="CR155" s="60" t="n"/>
      <c r="CS155" s="60" t="n"/>
      <c r="CT155" s="60" t="n"/>
      <c r="CU155" s="60" t="n"/>
      <c r="CV155" s="60" t="n"/>
      <c r="CW155" s="60" t="n"/>
      <c r="CX155" s="60" t="n"/>
      <c r="CY155" s="60" t="n"/>
      <c r="CZ155" s="60" t="n"/>
      <c r="DA155" s="60" t="n"/>
      <c r="DB155" s="60" t="n"/>
      <c r="DC155" s="60" t="n"/>
      <c r="DD155" s="60" t="n"/>
      <c r="DE155" s="60" t="n"/>
    </row>
    <row r="156">
      <c r="A156" s="60" t="inlineStr">
        <is>
          <t>Equipo terminado comprado</t>
        </is>
      </c>
      <c r="B156" s="60" t="inlineStr">
        <is>
          <t>Extintor base del stock: FL_SUS_CO2_5kg</t>
        </is>
      </c>
      <c r="C156" s="60" t="inlineStr">
        <is>
          <t>u</t>
        </is>
      </c>
      <c r="D156" s="60" t="inlineStr">
        <is>
          <t>No</t>
        </is>
      </c>
      <c r="E156" s="60" t="n"/>
      <c r="F156" s="60" t="n"/>
      <c r="G156" s="60" t="n"/>
      <c r="H156" s="60" t="n"/>
      <c r="I156" s="60" t="n"/>
      <c r="J156" s="60" t="n"/>
      <c r="K156" s="60" t="n"/>
      <c r="L156" s="60" t="n"/>
      <c r="M156" s="60" t="n"/>
      <c r="N156" s="60" t="n"/>
      <c r="O156" s="60" t="n"/>
      <c r="P156" s="60" t="n"/>
      <c r="Q156" s="60" t="n"/>
      <c r="R156" s="60" t="n"/>
      <c r="S156" s="60" t="n"/>
      <c r="T156" s="60" t="n"/>
      <c r="U156" s="60" t="n"/>
      <c r="V156" s="60" t="n"/>
      <c r="W156" s="60" t="n"/>
      <c r="X156" s="60" t="n"/>
      <c r="Y156" s="60" t="n"/>
      <c r="Z156" s="60" t="n"/>
      <c r="AA156" s="60" t="n"/>
      <c r="AB156" s="60" t="n"/>
      <c r="AC156" s="60" t="n"/>
      <c r="AD156" s="60" t="n"/>
      <c r="AE156" s="60" t="n"/>
      <c r="AF156" s="60" t="n"/>
      <c r="AG156" s="60" t="n"/>
      <c r="AH156" s="60" t="n"/>
      <c r="AI156" s="60" t="n"/>
      <c r="AJ156" s="60" t="n"/>
      <c r="AK156" s="60" t="n"/>
      <c r="AL156" s="60" t="n"/>
      <c r="AM156" s="60" t="n"/>
      <c r="AN156" s="60" t="n"/>
      <c r="AO156" s="60" t="n"/>
      <c r="AP156" s="60" t="n">
        <v>1</v>
      </c>
      <c r="AQ156" s="60" t="n"/>
      <c r="AR156" s="60" t="n"/>
      <c r="AS156" s="60" t="n"/>
      <c r="AT156" s="60" t="n"/>
      <c r="AU156" s="60" t="n"/>
      <c r="AV156" s="60" t="n"/>
      <c r="AW156" s="60" t="n"/>
      <c r="AX156" s="60" t="n"/>
      <c r="AY156" s="60" t="n"/>
      <c r="AZ156" s="60" t="n"/>
      <c r="BA156" s="60" t="n"/>
      <c r="BB156" s="60" t="n"/>
      <c r="BC156" s="60" t="n"/>
      <c r="BD156" s="60" t="n"/>
      <c r="BE156" s="60" t="n"/>
      <c r="BF156" s="60" t="n"/>
      <c r="BG156" s="60" t="n"/>
      <c r="BH156" s="60" t="n"/>
      <c r="BI156" s="60" t="n"/>
      <c r="BJ156" s="60" t="n"/>
      <c r="BK156" s="60" t="n"/>
      <c r="BL156" s="60" t="n"/>
      <c r="BM156" s="60" t="n"/>
      <c r="BN156" s="60" t="n"/>
      <c r="BO156" s="60" t="n"/>
      <c r="BP156" s="60" t="n"/>
      <c r="BQ156" s="60" t="n"/>
      <c r="BR156" s="60" t="n"/>
      <c r="BS156" s="60" t="n"/>
      <c r="BT156" s="60" t="n"/>
      <c r="BU156" s="60" t="n"/>
      <c r="BV156" s="60" t="n"/>
      <c r="BW156" s="60" t="n"/>
      <c r="BX156" s="60" t="n"/>
      <c r="BY156" s="60" t="n"/>
      <c r="BZ156" s="60" t="n"/>
      <c r="CA156" s="60" t="n"/>
      <c r="CB156" s="60" t="n"/>
      <c r="CC156" s="60" t="n"/>
      <c r="CD156" s="60" t="n"/>
      <c r="CE156" s="60" t="n"/>
      <c r="CF156" s="60" t="n"/>
      <c r="CG156" s="60" t="n"/>
      <c r="CH156" s="60" t="n"/>
      <c r="CI156" s="60" t="n"/>
      <c r="CJ156" s="60" t="n"/>
      <c r="CK156" s="60" t="n"/>
      <c r="CL156" s="60" t="n"/>
      <c r="CM156" s="60" t="n"/>
      <c r="CN156" s="60" t="n"/>
      <c r="CO156" s="60" t="n"/>
      <c r="CP156" s="60" t="n"/>
      <c r="CQ156" s="60" t="n"/>
      <c r="CR156" s="60" t="n"/>
      <c r="CS156" s="60" t="n"/>
      <c r="CT156" s="60" t="n"/>
      <c r="CU156" s="60" t="n"/>
      <c r="CV156" s="60" t="n"/>
      <c r="CW156" s="60" t="n"/>
      <c r="CX156" s="60" t="n"/>
      <c r="CY156" s="60" t="n"/>
      <c r="CZ156" s="60" t="n"/>
      <c r="DA156" s="60" t="n"/>
      <c r="DB156" s="60" t="n"/>
      <c r="DC156" s="60" t="n"/>
      <c r="DD156" s="60" t="n"/>
      <c r="DE156" s="60" t="n"/>
    </row>
    <row r="157">
      <c r="A157" s="60" t="inlineStr">
        <is>
          <t>Equipo terminado comprado</t>
        </is>
      </c>
      <c r="B157" s="60" t="inlineStr">
        <is>
          <t>Extintor base del stock: FL_SUS_HCFC-HFC_5kg</t>
        </is>
      </c>
      <c r="C157" s="60" t="inlineStr">
        <is>
          <t>u</t>
        </is>
      </c>
      <c r="D157" s="60" t="inlineStr">
        <is>
          <t>No</t>
        </is>
      </c>
      <c r="E157" s="60" t="n"/>
      <c r="F157" s="60" t="n"/>
      <c r="G157" s="60" t="n"/>
      <c r="H157" s="60" t="n"/>
      <c r="I157" s="60" t="n"/>
      <c r="J157" s="60" t="n"/>
      <c r="K157" s="60" t="n"/>
      <c r="L157" s="60" t="n"/>
      <c r="M157" s="60" t="n"/>
      <c r="N157" s="60" t="n"/>
      <c r="O157" s="60" t="n"/>
      <c r="P157" s="60" t="n"/>
      <c r="Q157" s="60" t="n"/>
      <c r="R157" s="60" t="n"/>
      <c r="S157" s="60" t="n"/>
      <c r="T157" s="60" t="n"/>
      <c r="U157" s="60" t="n"/>
      <c r="V157" s="60" t="n"/>
      <c r="W157" s="60" t="n"/>
      <c r="X157" s="60" t="n"/>
      <c r="Y157" s="60" t="n"/>
      <c r="Z157" s="60" t="n"/>
      <c r="AA157" s="60" t="n"/>
      <c r="AB157" s="60" t="n"/>
      <c r="AC157" s="60" t="n"/>
      <c r="AD157" s="60" t="n"/>
      <c r="AE157" s="60" t="n"/>
      <c r="AF157" s="60" t="n"/>
      <c r="AG157" s="60" t="n"/>
      <c r="AH157" s="60" t="n"/>
      <c r="AI157" s="60" t="n"/>
      <c r="AJ157" s="60" t="n"/>
      <c r="AK157" s="60" t="n"/>
      <c r="AL157" s="60" t="n"/>
      <c r="AM157" s="60" t="n"/>
      <c r="AN157" s="60" t="n"/>
      <c r="AO157" s="60" t="n"/>
      <c r="AP157" s="60" t="n"/>
      <c r="AQ157" s="60" t="n">
        <v>1</v>
      </c>
      <c r="AR157" s="60" t="n"/>
      <c r="AS157" s="60" t="n"/>
      <c r="AT157" s="60" t="n"/>
      <c r="AU157" s="60" t="n"/>
      <c r="AV157" s="60" t="n"/>
      <c r="AW157" s="60" t="n"/>
      <c r="AX157" s="60" t="n"/>
      <c r="AY157" s="60" t="n"/>
      <c r="AZ157" s="60" t="n"/>
      <c r="BA157" s="60" t="n"/>
      <c r="BB157" s="60" t="n"/>
      <c r="BC157" s="60" t="n"/>
      <c r="BD157" s="60" t="n"/>
      <c r="BE157" s="60" t="n"/>
      <c r="BF157" s="60" t="n"/>
      <c r="BG157" s="60" t="n"/>
      <c r="BH157" s="60" t="n"/>
      <c r="BI157" s="60" t="n"/>
      <c r="BJ157" s="60" t="n"/>
      <c r="BK157" s="60" t="n"/>
      <c r="BL157" s="60" t="n"/>
      <c r="BM157" s="60" t="n"/>
      <c r="BN157" s="60" t="n"/>
      <c r="BO157" s="60" t="n"/>
      <c r="BP157" s="60" t="n"/>
      <c r="BQ157" s="60" t="n"/>
      <c r="BR157" s="60" t="n"/>
      <c r="BS157" s="60" t="n"/>
      <c r="BT157" s="60" t="n"/>
      <c r="BU157" s="60" t="n"/>
      <c r="BV157" s="60" t="n"/>
      <c r="BW157" s="60" t="n"/>
      <c r="BX157" s="60" t="n"/>
      <c r="BY157" s="60" t="n"/>
      <c r="BZ157" s="60" t="n"/>
      <c r="CA157" s="60" t="n"/>
      <c r="CB157" s="60" t="n"/>
      <c r="CC157" s="60" t="n"/>
      <c r="CD157" s="60" t="n"/>
      <c r="CE157" s="60" t="n"/>
      <c r="CF157" s="60" t="n"/>
      <c r="CG157" s="60" t="n"/>
      <c r="CH157" s="60" t="n"/>
      <c r="CI157" s="60" t="n"/>
      <c r="CJ157" s="60" t="n"/>
      <c r="CK157" s="60" t="n"/>
      <c r="CL157" s="60" t="n"/>
      <c r="CM157" s="60" t="n"/>
      <c r="CN157" s="60" t="n"/>
      <c r="CO157" s="60" t="n"/>
      <c r="CP157" s="60" t="n"/>
      <c r="CQ157" s="60" t="n"/>
      <c r="CR157" s="60" t="n"/>
      <c r="CS157" s="60" t="n"/>
      <c r="CT157" s="60" t="n"/>
      <c r="CU157" s="60" t="n"/>
      <c r="CV157" s="60" t="n"/>
      <c r="CW157" s="60" t="n"/>
      <c r="CX157" s="60" t="n"/>
      <c r="CY157" s="60" t="n"/>
      <c r="CZ157" s="60" t="n"/>
      <c r="DA157" s="60" t="n"/>
      <c r="DB157" s="60" t="n"/>
      <c r="DC157" s="60" t="n"/>
      <c r="DD157" s="60" t="n"/>
      <c r="DE157" s="60" t="n"/>
    </row>
    <row r="158">
      <c r="A158" s="60" t="inlineStr">
        <is>
          <t>Equipo terminado comprado</t>
        </is>
      </c>
      <c r="B158" s="60" t="inlineStr">
        <is>
          <t>Extintor base del stock: FL_SUS_SALESK_6l</t>
        </is>
      </c>
      <c r="C158" s="60" t="inlineStr">
        <is>
          <t>u</t>
        </is>
      </c>
      <c r="D158" s="60" t="inlineStr">
        <is>
          <t>No</t>
        </is>
      </c>
      <c r="E158" s="60" t="n"/>
      <c r="F158" s="60" t="n"/>
      <c r="G158" s="60" t="n"/>
      <c r="H158" s="60" t="n"/>
      <c r="I158" s="60" t="n"/>
      <c r="J158" s="60" t="n"/>
      <c r="K158" s="60" t="n"/>
      <c r="L158" s="60" t="n"/>
      <c r="M158" s="60" t="n"/>
      <c r="N158" s="60" t="n"/>
      <c r="O158" s="60" t="n"/>
      <c r="P158" s="60" t="n"/>
      <c r="Q158" s="60" t="n"/>
      <c r="R158" s="60" t="n"/>
      <c r="S158" s="60" t="n"/>
      <c r="T158" s="60" t="n"/>
      <c r="U158" s="60" t="n"/>
      <c r="V158" s="60" t="n"/>
      <c r="W158" s="60" t="n"/>
      <c r="X158" s="60" t="n"/>
      <c r="Y158" s="60" t="n"/>
      <c r="Z158" s="60" t="n"/>
      <c r="AA158" s="60" t="n"/>
      <c r="AB158" s="60" t="n"/>
      <c r="AC158" s="60" t="n"/>
      <c r="AD158" s="60" t="n"/>
      <c r="AE158" s="60" t="n"/>
      <c r="AF158" s="60" t="n"/>
      <c r="AG158" s="60" t="n"/>
      <c r="AH158" s="60" t="n"/>
      <c r="AI158" s="60" t="n"/>
      <c r="AJ158" s="60" t="n"/>
      <c r="AK158" s="60" t="n"/>
      <c r="AL158" s="60" t="n"/>
      <c r="AM158" s="60" t="n"/>
      <c r="AN158" s="60" t="n">
        <v>1</v>
      </c>
      <c r="AO158" s="60" t="n"/>
      <c r="AP158" s="60" t="n"/>
      <c r="AQ158" s="60" t="n"/>
      <c r="AR158" s="60" t="n"/>
      <c r="AS158" s="60" t="n"/>
      <c r="AT158" s="60" t="n"/>
      <c r="AU158" s="60" t="n"/>
      <c r="AV158" s="60" t="n"/>
      <c r="AW158" s="60" t="n"/>
      <c r="AX158" s="60" t="n"/>
      <c r="AY158" s="60" t="n"/>
      <c r="AZ158" s="60" t="n"/>
      <c r="BA158" s="60" t="n"/>
      <c r="BB158" s="60" t="n"/>
      <c r="BC158" s="60" t="n"/>
      <c r="BD158" s="60" t="n"/>
      <c r="BE158" s="60" t="n"/>
      <c r="BF158" s="60" t="n"/>
      <c r="BG158" s="60" t="n"/>
      <c r="BH158" s="60" t="n"/>
      <c r="BI158" s="60" t="n"/>
      <c r="BJ158" s="60" t="n"/>
      <c r="BK158" s="60" t="n"/>
      <c r="BL158" s="60" t="n"/>
      <c r="BM158" s="60" t="n"/>
      <c r="BN158" s="60" t="n"/>
      <c r="BO158" s="60" t="n"/>
      <c r="BP158" s="60" t="n"/>
      <c r="BQ158" s="60" t="n"/>
      <c r="BR158" s="60" t="n"/>
      <c r="BS158" s="60" t="n"/>
      <c r="BT158" s="60" t="n"/>
      <c r="BU158" s="60" t="n"/>
      <c r="BV158" s="60" t="n"/>
      <c r="BW158" s="60" t="n"/>
      <c r="BX158" s="60" t="n"/>
      <c r="BY158" s="60" t="n"/>
      <c r="BZ158" s="60" t="n"/>
      <c r="CA158" s="60" t="n"/>
      <c r="CB158" s="60" t="n"/>
      <c r="CC158" s="60" t="n"/>
      <c r="CD158" s="60" t="n"/>
      <c r="CE158" s="60" t="n"/>
      <c r="CF158" s="60" t="n"/>
      <c r="CG158" s="60" t="n"/>
      <c r="CH158" s="60" t="n"/>
      <c r="CI158" s="60" t="n"/>
      <c r="CJ158" s="60" t="n"/>
      <c r="CK158" s="60" t="n"/>
      <c r="CL158" s="60" t="n"/>
      <c r="CM158" s="60" t="n"/>
      <c r="CN158" s="60" t="n"/>
      <c r="CO158" s="60" t="n"/>
      <c r="CP158" s="60" t="n"/>
      <c r="CQ158" s="60" t="n"/>
      <c r="CR158" s="60" t="n"/>
      <c r="CS158" s="60" t="n"/>
      <c r="CT158" s="60" t="n"/>
      <c r="CU158" s="60" t="n"/>
      <c r="CV158" s="60" t="n"/>
      <c r="CW158" s="60" t="n"/>
      <c r="CX158" s="60" t="n"/>
      <c r="CY158" s="60" t="n"/>
      <c r="CZ158" s="60" t="n"/>
      <c r="DA158" s="60" t="n"/>
      <c r="DB158" s="60" t="n"/>
      <c r="DC158" s="60" t="n"/>
      <c r="DD158" s="60" t="n"/>
      <c r="DE158" s="60" t="n"/>
    </row>
    <row r="159">
      <c r="A159" t="inlineStr">
        <is>
          <t>Recarga y mantenimiento</t>
        </is>
      </c>
      <c r="B159" t="inlineStr">
        <is>
          <t>Acetato de potasio - DEMSA Kitchen (IRAM 3697)</t>
        </is>
      </c>
      <c r="C159" t="inlineStr">
        <is>
          <t>L</t>
        </is>
      </c>
      <c r="D159" t="inlineStr">
        <is>
          <t>Sí</t>
        </is>
      </c>
      <c r="E159" t="inlineStr">
        <is>
          <t>Polvex S.R.L. / Sancibrao</t>
        </is>
      </c>
      <c r="F159" t="inlineStr">
        <is>
          <t>Recarga</t>
        </is>
      </c>
      <c r="BZ159" t="n">
        <v>6</v>
      </c>
      <c r="CA159" t="n">
        <v>6</v>
      </c>
    </row>
    <row r="160">
      <c r="A160" t="inlineStr">
        <is>
          <t>Recarga y mantenimiento</t>
        </is>
      </c>
      <c r="B160" t="inlineStr">
        <is>
          <t>Agua + espumígeno AFFF 3 % (DEMSA 203 MN, IRAM 3515)</t>
        </is>
      </c>
      <c r="C160" t="inlineStr">
        <is>
          <t>L</t>
        </is>
      </c>
      <c r="D160" t="inlineStr">
        <is>
          <t>Sí</t>
        </is>
      </c>
      <c r="E160" t="inlineStr">
        <is>
          <t>DEM S.A. (DEMSA)</t>
        </is>
      </c>
      <c r="F160" t="inlineStr">
        <is>
          <t>Recarga</t>
        </is>
      </c>
      <c r="BP160" t="n">
        <v>10</v>
      </c>
      <c r="BQ160" t="n">
        <v>10</v>
      </c>
      <c r="BS160" t="n">
        <v>50</v>
      </c>
      <c r="BT160" t="n">
        <v>50</v>
      </c>
    </row>
    <row r="161">
      <c r="A161" t="inlineStr">
        <is>
          <t>Recarga y mantenimiento</t>
        </is>
      </c>
      <c r="B161" t="inlineStr">
        <is>
          <t>Disco de seguridad</t>
        </is>
      </c>
      <c r="C161" t="inlineStr">
        <is>
          <t>u</t>
        </is>
      </c>
      <c r="D161" t="inlineStr">
        <is>
          <t>Sí</t>
        </is>
      </c>
      <c r="E161" t="inlineStr">
        <is>
          <t>Polvex S.R.L. / Sancibrao</t>
        </is>
      </c>
      <c r="F161" t="inlineStr">
        <is>
          <t>Recarga</t>
        </is>
      </c>
      <c r="CD161" t="n">
        <v>1</v>
      </c>
      <c r="CG161" t="n">
        <v>1</v>
      </c>
    </row>
    <row r="162">
      <c r="A162" t="inlineStr">
        <is>
          <t>Recarga y mantenimiento</t>
        </is>
      </c>
      <c r="B162" t="inlineStr">
        <is>
          <t>Dióxido de carbono (IRAM 41170)</t>
        </is>
      </c>
      <c r="C162" t="inlineStr">
        <is>
          <t>kg</t>
        </is>
      </c>
      <c r="D162" t="inlineStr">
        <is>
          <t>Sí</t>
        </is>
      </c>
      <c r="E162" t="inlineStr">
        <is>
          <t>Air Liquide Argentina - sucursal Piñeyro</t>
        </is>
      </c>
      <c r="F162" t="inlineStr">
        <is>
          <t>Recarga</t>
        </is>
      </c>
      <c r="CC162" t="n">
        <v>2</v>
      </c>
      <c r="CF162" t="n">
        <v>5</v>
      </c>
    </row>
    <row r="163">
      <c r="A163" t="inlineStr">
        <is>
          <t>Recarga y mantenimiento</t>
        </is>
      </c>
      <c r="B163" t="inlineStr">
        <is>
          <t>Etiqueta de servicio del recargador (extintor n°, serie, próxima recarga y PH)</t>
        </is>
      </c>
      <c r="C163" t="inlineStr">
        <is>
          <t>u</t>
        </is>
      </c>
      <c r="D163" t="inlineStr">
        <is>
          <t>Sí</t>
        </is>
      </c>
      <c r="E163" t="inlineStr">
        <is>
          <t>Astuprint</t>
        </is>
      </c>
      <c r="F163" t="inlineStr">
        <is>
          <t>Recarga</t>
        </is>
      </c>
      <c r="AW163" t="n">
        <v>1</v>
      </c>
      <c r="AX163" t="n">
        <v>1</v>
      </c>
      <c r="AY163" t="n">
        <v>1</v>
      </c>
      <c r="BA163" t="n">
        <v>1</v>
      </c>
      <c r="BB163" t="n">
        <v>1</v>
      </c>
      <c r="BC163" t="n">
        <v>1</v>
      </c>
      <c r="BE163" t="n">
        <v>1</v>
      </c>
      <c r="BF163" t="n">
        <v>1</v>
      </c>
      <c r="BG163" t="n">
        <v>1</v>
      </c>
      <c r="BI163" t="n">
        <v>1</v>
      </c>
      <c r="BJ163" t="n">
        <v>1</v>
      </c>
      <c r="BK163" t="n">
        <v>1</v>
      </c>
      <c r="BM163" t="n">
        <v>1</v>
      </c>
      <c r="BN163" t="n">
        <v>1</v>
      </c>
      <c r="BP163" t="n">
        <v>1</v>
      </c>
      <c r="BQ163" t="n">
        <v>1</v>
      </c>
      <c r="BS163" t="n">
        <v>1</v>
      </c>
      <c r="BT163" t="n">
        <v>1</v>
      </c>
      <c r="BV163" t="n">
        <v>1</v>
      </c>
      <c r="BW163" t="n">
        <v>1</v>
      </c>
      <c r="BX163" t="n">
        <v>1</v>
      </c>
      <c r="BZ163" t="n">
        <v>1</v>
      </c>
      <c r="CA163" t="n">
        <v>1</v>
      </c>
      <c r="CC163" t="n">
        <v>1</v>
      </c>
      <c r="CD163" t="n">
        <v>1</v>
      </c>
      <c r="CF163" t="n">
        <v>1</v>
      </c>
      <c r="CG163" t="n">
        <v>1</v>
      </c>
      <c r="CI163" t="n">
        <v>1</v>
      </c>
      <c r="CJ163" t="n">
        <v>1</v>
      </c>
      <c r="CL163" t="n">
        <v>1</v>
      </c>
      <c r="CM163" t="n">
        <v>1</v>
      </c>
      <c r="CN163" t="n">
        <v>1</v>
      </c>
      <c r="CP163" t="n">
        <v>1</v>
      </c>
      <c r="CQ163" t="n">
        <v>1</v>
      </c>
      <c r="CR163" t="n">
        <v>1</v>
      </c>
      <c r="CT163" t="n">
        <v>1</v>
      </c>
      <c r="CU163" t="n">
        <v>1</v>
      </c>
      <c r="CV163" t="n">
        <v>1</v>
      </c>
      <c r="CX163" t="n">
        <v>1</v>
      </c>
      <c r="CY163" t="n">
        <v>1</v>
      </c>
      <c r="CZ163" t="n">
        <v>1</v>
      </c>
      <c r="DB163" t="n">
        <v>1</v>
      </c>
      <c r="DC163" t="n">
        <v>1</v>
      </c>
      <c r="DD163" t="n">
        <v>1</v>
      </c>
    </row>
    <row r="164">
      <c r="A164" t="inlineStr">
        <is>
          <t>Recarga y mantenimiento</t>
        </is>
      </c>
      <c r="B164" t="inlineStr">
        <is>
          <t>Gas impulsor Argón</t>
        </is>
      </c>
      <c r="C164" t="inlineStr">
        <is>
          <t>kg</t>
        </is>
      </c>
      <c r="D164" t="inlineStr">
        <is>
          <t>Sí</t>
        </is>
      </c>
      <c r="E164" t="inlineStr">
        <is>
          <t>Air Liquide Argentina - sucursal Piñeyro</t>
        </is>
      </c>
      <c r="F164" t="inlineStr">
        <is>
          <t>Recarga</t>
        </is>
      </c>
      <c r="CI164" t="n">
        <v>0.0388</v>
      </c>
      <c r="CJ164" t="n">
        <v>0.0388</v>
      </c>
    </row>
    <row r="165">
      <c r="A165" t="inlineStr">
        <is>
          <t>Recarga y mantenimiento</t>
        </is>
      </c>
      <c r="B165" t="inlineStr">
        <is>
          <t>Gas impulsor N₂</t>
        </is>
      </c>
      <c r="C165" t="inlineStr">
        <is>
          <t>kg</t>
        </is>
      </c>
      <c r="D165" t="inlineStr">
        <is>
          <t>Sí</t>
        </is>
      </c>
      <c r="E165" t="inlineStr">
        <is>
          <t>Air Liquide Argentina - sucursal Piñeyro</t>
        </is>
      </c>
      <c r="F165" t="inlineStr">
        <is>
          <t>Recarga</t>
        </is>
      </c>
      <c r="AW165" t="n">
        <v>0.0047</v>
      </c>
      <c r="AX165" t="n">
        <v>0.0047</v>
      </c>
      <c r="AY165" t="n">
        <v>0.0047</v>
      </c>
      <c r="BA165" t="n">
        <v>0.0212</v>
      </c>
      <c r="BB165" t="n">
        <v>0.0212</v>
      </c>
      <c r="BC165" t="n">
        <v>0.0212</v>
      </c>
      <c r="BE165" t="n">
        <v>0.0251</v>
      </c>
      <c r="BF165" t="n">
        <v>0.0251</v>
      </c>
      <c r="BG165" t="n">
        <v>0.0251</v>
      </c>
      <c r="BI165" t="n">
        <v>0.0588</v>
      </c>
      <c r="BJ165" t="n">
        <v>0.0588</v>
      </c>
      <c r="BK165" t="n">
        <v>0.0588</v>
      </c>
      <c r="BV165" t="n">
        <v>0.0077</v>
      </c>
      <c r="BW165" t="n">
        <v>0.0077</v>
      </c>
      <c r="BX165" t="n">
        <v>0.0077</v>
      </c>
      <c r="BZ165" t="n">
        <v>0.0306</v>
      </c>
      <c r="CA165" t="n">
        <v>0.0306</v>
      </c>
      <c r="CL165" t="n">
        <v>0.0604</v>
      </c>
      <c r="CM165" t="n">
        <v>0.0604</v>
      </c>
      <c r="CN165" t="n">
        <v>0.0604</v>
      </c>
      <c r="CP165" t="n">
        <v>0.2013</v>
      </c>
      <c r="CQ165" t="n">
        <v>0.2013</v>
      </c>
      <c r="CR165" t="n">
        <v>0.2013</v>
      </c>
      <c r="CT165" t="n">
        <v>0.2819</v>
      </c>
      <c r="CU165" t="n">
        <v>0.2819</v>
      </c>
      <c r="CV165" t="n">
        <v>0.2819</v>
      </c>
      <c r="CX165" t="n">
        <v>0.3856</v>
      </c>
      <c r="CY165" t="n">
        <v>0.3856</v>
      </c>
      <c r="CZ165" t="n">
        <v>0.3856</v>
      </c>
      <c r="DB165" t="n">
        <v>0.5534</v>
      </c>
      <c r="DC165" t="n">
        <v>0.5534</v>
      </c>
      <c r="DD165" t="n">
        <v>0.5534</v>
      </c>
    </row>
    <row r="166">
      <c r="A166" t="inlineStr">
        <is>
          <t>Recarga y mantenimiento</t>
        </is>
      </c>
      <c r="B166" t="inlineStr">
        <is>
          <t>HCFC 123 / HFC 236fa (agente limpio)</t>
        </is>
      </c>
      <c r="C166" t="inlineStr">
        <is>
          <t>kg</t>
        </is>
      </c>
      <c r="D166" t="inlineStr">
        <is>
          <t>Sí</t>
        </is>
      </c>
      <c r="E166" t="inlineStr">
        <is>
          <t>-</t>
        </is>
      </c>
      <c r="F166" t="inlineStr">
        <is>
          <t>Recarga</t>
        </is>
      </c>
      <c r="CI166" t="n">
        <v>5</v>
      </c>
    </row>
    <row r="167">
      <c r="A167" s="58" t="inlineStr">
        <is>
          <t>Recarga y mantenimiento</t>
        </is>
      </c>
      <c r="B167" s="58" t="inlineStr">
        <is>
          <t>HCFC 123 / HFC 236fa (agente limpio) de reposición de pérdidas</t>
        </is>
      </c>
      <c r="C167" s="58" t="inlineStr">
        <is>
          <t>kg</t>
        </is>
      </c>
      <c r="D167" s="58" t="inlineStr">
        <is>
          <t>Sí</t>
        </is>
      </c>
      <c r="E167" s="58" t="inlineStr">
        <is>
          <t>-</t>
        </is>
      </c>
      <c r="F167" s="58" t="inlineStr">
        <is>
          <t>Recarga</t>
        </is>
      </c>
      <c r="CJ167" t="n">
        <v>0.1</v>
      </c>
    </row>
    <row r="168">
      <c r="A168" s="58" t="inlineStr">
        <is>
          <t>Recarga y mantenimiento</t>
        </is>
      </c>
      <c r="B168" s="58" t="inlineStr">
        <is>
          <t>Junta tórica de asiento del cuello</t>
        </is>
      </c>
      <c r="C168" s="58" t="inlineStr">
        <is>
          <t>u</t>
        </is>
      </c>
      <c r="D168" s="58" t="inlineStr">
        <is>
          <t>Sí</t>
        </is>
      </c>
      <c r="E168" s="58" t="inlineStr">
        <is>
          <t>Argensold</t>
        </is>
      </c>
      <c r="F168" s="58" t="inlineStr">
        <is>
          <t>Recarga</t>
        </is>
      </c>
      <c r="AW168" t="n">
        <v>1</v>
      </c>
      <c r="AX168" t="n">
        <v>1</v>
      </c>
      <c r="AY168" t="n">
        <v>1</v>
      </c>
      <c r="BA168" t="n">
        <v>1</v>
      </c>
      <c r="BB168" t="n">
        <v>1</v>
      </c>
      <c r="BC168" t="n">
        <v>1</v>
      </c>
      <c r="BE168" t="n">
        <v>1</v>
      </c>
      <c r="BF168" t="n">
        <v>1</v>
      </c>
      <c r="BG168" t="n">
        <v>1</v>
      </c>
      <c r="BI168" t="n">
        <v>1</v>
      </c>
      <c r="BJ168" t="n">
        <v>1</v>
      </c>
      <c r="BK168" t="n">
        <v>1</v>
      </c>
      <c r="BM168" t="n">
        <v>1</v>
      </c>
      <c r="BN168" t="n">
        <v>1</v>
      </c>
      <c r="BP168" t="n">
        <v>1</v>
      </c>
      <c r="BQ168" t="n">
        <v>1</v>
      </c>
      <c r="BS168" t="n">
        <v>1</v>
      </c>
      <c r="BT168" t="n">
        <v>1</v>
      </c>
      <c r="BV168" t="n">
        <v>1</v>
      </c>
      <c r="BW168" t="n">
        <v>1</v>
      </c>
      <c r="BX168" t="n">
        <v>1</v>
      </c>
      <c r="BZ168" t="n">
        <v>1</v>
      </c>
      <c r="CA168" t="n">
        <v>1</v>
      </c>
      <c r="CC168" t="n">
        <v>1</v>
      </c>
      <c r="CD168" t="n">
        <v>1</v>
      </c>
      <c r="CF168" t="n">
        <v>1</v>
      </c>
      <c r="CG168" t="n">
        <v>1</v>
      </c>
      <c r="CI168" t="n">
        <v>1</v>
      </c>
      <c r="CJ168" t="n">
        <v>1</v>
      </c>
      <c r="CL168" t="n">
        <v>1</v>
      </c>
      <c r="CM168" t="n">
        <v>1</v>
      </c>
      <c r="CN168" t="n">
        <v>1</v>
      </c>
      <c r="CP168" t="n">
        <v>1</v>
      </c>
      <c r="CQ168" t="n">
        <v>1</v>
      </c>
      <c r="CR168" t="n">
        <v>1</v>
      </c>
      <c r="CT168" t="n">
        <v>1</v>
      </c>
      <c r="CU168" t="n">
        <v>1</v>
      </c>
      <c r="CV168" t="n">
        <v>1</v>
      </c>
      <c r="CX168" t="n">
        <v>1</v>
      </c>
      <c r="CY168" t="n">
        <v>1</v>
      </c>
      <c r="CZ168" t="n">
        <v>1</v>
      </c>
      <c r="DB168" t="n">
        <v>1</v>
      </c>
      <c r="DC168" t="n">
        <v>1</v>
      </c>
      <c r="DD168" t="n">
        <v>1</v>
      </c>
    </row>
    <row r="169">
      <c r="A169" t="inlineStr">
        <is>
          <t>Recarga y mantenimiento</t>
        </is>
      </c>
      <c r="B169" t="inlineStr">
        <is>
          <t>Marbete (anillo, color del año)</t>
        </is>
      </c>
      <c r="C169" t="inlineStr">
        <is>
          <t>u</t>
        </is>
      </c>
      <c r="D169" t="inlineStr">
        <is>
          <t>Sí</t>
        </is>
      </c>
      <c r="E169" t="inlineStr">
        <is>
          <t>Astuprint</t>
        </is>
      </c>
      <c r="F169" t="inlineStr">
        <is>
          <t>Recarga</t>
        </is>
      </c>
      <c r="AW169" t="n">
        <v>1</v>
      </c>
      <c r="AX169" t="n">
        <v>1</v>
      </c>
      <c r="AY169" t="n">
        <v>1</v>
      </c>
      <c r="BA169" t="n">
        <v>1</v>
      </c>
      <c r="BB169" t="n">
        <v>1</v>
      </c>
      <c r="BC169" t="n">
        <v>1</v>
      </c>
      <c r="BE169" t="n">
        <v>1</v>
      </c>
      <c r="BF169" t="n">
        <v>1</v>
      </c>
      <c r="BG169" t="n">
        <v>1</v>
      </c>
      <c r="BI169" t="n">
        <v>1</v>
      </c>
      <c r="BJ169" t="n">
        <v>1</v>
      </c>
      <c r="BK169" t="n">
        <v>1</v>
      </c>
      <c r="BM169" t="n">
        <v>1</v>
      </c>
      <c r="BN169" t="n">
        <v>1</v>
      </c>
      <c r="BP169" t="n">
        <v>1</v>
      </c>
      <c r="BQ169" t="n">
        <v>1</v>
      </c>
      <c r="BS169" t="n">
        <v>1</v>
      </c>
      <c r="BT169" t="n">
        <v>1</v>
      </c>
      <c r="BV169" t="n">
        <v>1</v>
      </c>
      <c r="BW169" t="n">
        <v>1</v>
      </c>
      <c r="BX169" t="n">
        <v>1</v>
      </c>
      <c r="BZ169" t="n">
        <v>1</v>
      </c>
      <c r="CA169" t="n">
        <v>1</v>
      </c>
      <c r="CC169" t="n">
        <v>1</v>
      </c>
      <c r="CD169" t="n">
        <v>1</v>
      </c>
      <c r="CF169" t="n">
        <v>1</v>
      </c>
      <c r="CG169" t="n">
        <v>1</v>
      </c>
      <c r="CI169" t="n">
        <v>1</v>
      </c>
      <c r="CJ169" t="n">
        <v>1</v>
      </c>
      <c r="CL169" t="n">
        <v>1</v>
      </c>
      <c r="CM169" t="n">
        <v>1</v>
      </c>
      <c r="CN169" t="n">
        <v>1</v>
      </c>
      <c r="CP169" t="n">
        <v>1</v>
      </c>
      <c r="CQ169" t="n">
        <v>1</v>
      </c>
      <c r="CR169" t="n">
        <v>1</v>
      </c>
      <c r="CT169" t="n">
        <v>1</v>
      </c>
      <c r="CU169" t="n">
        <v>1</v>
      </c>
      <c r="CV169" t="n">
        <v>1</v>
      </c>
      <c r="CX169" t="n">
        <v>1</v>
      </c>
      <c r="CY169" t="n">
        <v>1</v>
      </c>
      <c r="CZ169" t="n">
        <v>1</v>
      </c>
      <c r="DB169" t="n">
        <v>1</v>
      </c>
      <c r="DC169" t="n">
        <v>1</v>
      </c>
      <c r="DD169" t="n">
        <v>1</v>
      </c>
    </row>
    <row r="170">
      <c r="A170" t="inlineStr">
        <is>
          <t>Recarga y mantenimiento</t>
        </is>
      </c>
      <c r="B170" t="inlineStr">
        <is>
          <t>Oblea PBA de recarga Ø46 + estampilla precinto 1" × 200 mm válvula-cuerpo</t>
        </is>
      </c>
      <c r="C170" t="inlineStr">
        <is>
          <t>u</t>
        </is>
      </c>
      <c r="D170" t="inlineStr">
        <is>
          <t>Sí</t>
        </is>
      </c>
      <c r="E170" t="inlineStr">
        <is>
          <t>Ministerio de Ambiente PBA (ex OPDS)</t>
        </is>
      </c>
      <c r="F170" t="inlineStr">
        <is>
          <t>Recarga</t>
        </is>
      </c>
      <c r="AW170" t="n">
        <v>1</v>
      </c>
      <c r="AX170" t="n">
        <v>1</v>
      </c>
      <c r="AY170" t="n">
        <v>1</v>
      </c>
      <c r="BA170" t="n">
        <v>1</v>
      </c>
      <c r="BB170" t="n">
        <v>1</v>
      </c>
      <c r="BC170" t="n">
        <v>1</v>
      </c>
      <c r="BE170" t="n">
        <v>1</v>
      </c>
      <c r="BF170" t="n">
        <v>1</v>
      </c>
      <c r="BG170" t="n">
        <v>1</v>
      </c>
      <c r="BI170" t="n">
        <v>1</v>
      </c>
      <c r="BJ170" t="n">
        <v>1</v>
      </c>
      <c r="BK170" t="n">
        <v>1</v>
      </c>
      <c r="BM170" t="n">
        <v>1</v>
      </c>
      <c r="BN170" t="n">
        <v>1</v>
      </c>
      <c r="BP170" t="n">
        <v>1</v>
      </c>
      <c r="BQ170" t="n">
        <v>1</v>
      </c>
      <c r="BS170" t="n">
        <v>1</v>
      </c>
      <c r="BT170" t="n">
        <v>1</v>
      </c>
      <c r="BV170" t="n">
        <v>1</v>
      </c>
      <c r="BW170" t="n">
        <v>1</v>
      </c>
      <c r="BX170" t="n">
        <v>1</v>
      </c>
      <c r="BZ170" t="n">
        <v>1</v>
      </c>
      <c r="CA170" t="n">
        <v>1</v>
      </c>
      <c r="CC170" t="n">
        <v>1</v>
      </c>
      <c r="CD170" t="n">
        <v>1</v>
      </c>
      <c r="CF170" t="n">
        <v>1</v>
      </c>
      <c r="CG170" t="n">
        <v>1</v>
      </c>
      <c r="CI170" t="n">
        <v>1</v>
      </c>
      <c r="CJ170" t="n">
        <v>1</v>
      </c>
      <c r="CL170" t="n">
        <v>1</v>
      </c>
      <c r="CM170" t="n">
        <v>1</v>
      </c>
      <c r="CN170" t="n">
        <v>1</v>
      </c>
      <c r="CP170" t="n">
        <v>1</v>
      </c>
      <c r="CQ170" t="n">
        <v>1</v>
      </c>
      <c r="CR170" t="n">
        <v>1</v>
      </c>
      <c r="CT170" t="n">
        <v>1</v>
      </c>
      <c r="CU170" t="n">
        <v>1</v>
      </c>
      <c r="CV170" t="n">
        <v>1</v>
      </c>
      <c r="CX170" t="n">
        <v>1</v>
      </c>
      <c r="CY170" t="n">
        <v>1</v>
      </c>
      <c r="CZ170" t="n">
        <v>1</v>
      </c>
      <c r="DB170" t="n">
        <v>1</v>
      </c>
      <c r="DC170" t="n">
        <v>1</v>
      </c>
      <c r="DD170" t="n">
        <v>1</v>
      </c>
    </row>
    <row r="171">
      <c r="A171" t="inlineStr">
        <is>
          <t>Recarga y mantenimiento</t>
        </is>
      </c>
      <c r="B171" t="inlineStr">
        <is>
          <t>Polvo para metales combustibles clase D</t>
        </is>
      </c>
      <c r="C171" t="inlineStr">
        <is>
          <t>kg</t>
        </is>
      </c>
      <c r="D171" t="inlineStr">
        <is>
          <t>Sí</t>
        </is>
      </c>
      <c r="E171" t="inlineStr">
        <is>
          <t>DEM S.A. (DEMSA)</t>
        </is>
      </c>
      <c r="F171" t="inlineStr">
        <is>
          <t>Recarga</t>
        </is>
      </c>
      <c r="CL171" t="n">
        <v>9</v>
      </c>
      <c r="CN171" t="n">
        <v>9</v>
      </c>
    </row>
    <row r="172">
      <c r="A172" s="58" t="inlineStr">
        <is>
          <t>Recarga y mantenimiento</t>
        </is>
      </c>
      <c r="B172" s="58" t="inlineStr">
        <is>
          <t>Polvo para metales combustibles clase D de reposición de mermas</t>
        </is>
      </c>
      <c r="C172" s="58" t="inlineStr">
        <is>
          <t>kg</t>
        </is>
      </c>
      <c r="D172" s="58" t="inlineStr">
        <is>
          <t>Sí</t>
        </is>
      </c>
      <c r="E172" s="58" t="inlineStr">
        <is>
          <t>DEM S.A. (DEMSA)</t>
        </is>
      </c>
      <c r="F172" s="58" t="inlineStr">
        <is>
          <t>Recarga</t>
        </is>
      </c>
      <c r="CM172" t="n">
        <v>0.27</v>
      </c>
    </row>
    <row r="173">
      <c r="A173" t="inlineStr">
        <is>
          <t>Recarga y mantenimiento</t>
        </is>
      </c>
      <c r="B173" t="inlineStr">
        <is>
          <t>Polvo químico seco ABC (fosfato monoamónico)</t>
        </is>
      </c>
      <c r="C173" t="inlineStr">
        <is>
          <t>kg</t>
        </is>
      </c>
      <c r="D173" t="inlineStr">
        <is>
          <t>Sí</t>
        </is>
      </c>
      <c r="E173" t="inlineStr">
        <is>
          <t>DEM S.A. (DEMSA)</t>
        </is>
      </c>
      <c r="F173" t="inlineStr">
        <is>
          <t>Recarga</t>
        </is>
      </c>
      <c r="AW173" t="n">
        <v>1</v>
      </c>
      <c r="AY173" t="n">
        <v>1</v>
      </c>
      <c r="BA173" t="n">
        <v>2.5</v>
      </c>
      <c r="BC173" t="n">
        <v>2.5</v>
      </c>
      <c r="BE173" t="n">
        <v>5</v>
      </c>
      <c r="BG173" t="n">
        <v>5</v>
      </c>
      <c r="BI173" t="n">
        <v>10</v>
      </c>
      <c r="BK173" t="n">
        <v>10</v>
      </c>
      <c r="CP173" t="n">
        <v>25</v>
      </c>
      <c r="CR173" t="n">
        <v>25</v>
      </c>
      <c r="CT173" t="n">
        <v>50</v>
      </c>
      <c r="CV173" t="n">
        <v>50</v>
      </c>
      <c r="CX173" t="n">
        <v>70</v>
      </c>
      <c r="CZ173" t="n">
        <v>70</v>
      </c>
      <c r="DB173" t="n">
        <v>100</v>
      </c>
      <c r="DD173" t="n">
        <v>100</v>
      </c>
    </row>
    <row r="174">
      <c r="A174" s="58" t="inlineStr">
        <is>
          <t>Recarga y mantenimiento</t>
        </is>
      </c>
      <c r="B174" s="58" t="inlineStr">
        <is>
          <t>Polvo químico seco ABC (fosfato monoamónico) de reposición de mermas</t>
        </is>
      </c>
      <c r="C174" s="58" t="inlineStr">
        <is>
          <t>kg</t>
        </is>
      </c>
      <c r="D174" s="58" t="inlineStr">
        <is>
          <t>Sí</t>
        </is>
      </c>
      <c r="E174" s="58" t="inlineStr">
        <is>
          <t>DEM S.A. (DEMSA)</t>
        </is>
      </c>
      <c r="F174" s="58" t="inlineStr">
        <is>
          <t>Recarga</t>
        </is>
      </c>
      <c r="AX174" t="n">
        <v>0.03</v>
      </c>
      <c r="BB174" t="n">
        <v>0.075</v>
      </c>
      <c r="BF174" t="n">
        <v>0.15</v>
      </c>
      <c r="BJ174" t="n">
        <v>0.3</v>
      </c>
      <c r="CQ174" t="n">
        <v>0.75</v>
      </c>
      <c r="CU174" t="n">
        <v>1.5</v>
      </c>
      <c r="CY174" t="n">
        <v>2.1</v>
      </c>
      <c r="DC174" t="n">
        <v>3</v>
      </c>
    </row>
    <row r="175">
      <c r="A175" t="inlineStr">
        <is>
          <t>Recarga y mantenimiento</t>
        </is>
      </c>
      <c r="B175" t="inlineStr">
        <is>
          <t>Polvo químico seco BC (bicarbonato)</t>
        </is>
      </c>
      <c r="C175" t="inlineStr">
        <is>
          <t>kg</t>
        </is>
      </c>
      <c r="D175" t="inlineStr">
        <is>
          <t>Sí</t>
        </is>
      </c>
      <c r="E175" t="inlineStr">
        <is>
          <t>Polvex S.R.L. / Sancibrao</t>
        </is>
      </c>
      <c r="F175" t="inlineStr">
        <is>
          <t>Recarga</t>
        </is>
      </c>
      <c r="BV175" t="n">
        <v>5</v>
      </c>
      <c r="BX175" t="n">
        <v>5</v>
      </c>
    </row>
    <row r="176">
      <c r="A176" s="58" t="inlineStr">
        <is>
          <t>Recarga y mantenimiento</t>
        </is>
      </c>
      <c r="B176" s="58" t="inlineStr">
        <is>
          <t>Polvo químico seco BC (bicarbonato) de reposición de mermas</t>
        </is>
      </c>
      <c r="C176" s="58" t="inlineStr">
        <is>
          <t>kg</t>
        </is>
      </c>
      <c r="D176" s="58" t="inlineStr">
        <is>
          <t>Sí</t>
        </is>
      </c>
      <c r="E176" s="58" t="inlineStr">
        <is>
          <t>Polvex S.R.L. / Sancibrao</t>
        </is>
      </c>
      <c r="F176" s="58" t="inlineStr">
        <is>
          <t>Recarga</t>
        </is>
      </c>
      <c r="BW176" t="n">
        <v>0.15</v>
      </c>
    </row>
    <row r="177">
      <c r="A177" t="inlineStr">
        <is>
          <t>Recarga y mantenimiento</t>
        </is>
      </c>
      <c r="B177" t="inlineStr">
        <is>
          <t>Precinto plástico numerado, color, con nombre del recargador</t>
        </is>
      </c>
      <c r="C177" t="inlineStr">
        <is>
          <t>u</t>
        </is>
      </c>
      <c r="D177" t="inlineStr">
        <is>
          <t>Sí</t>
        </is>
      </c>
      <c r="E177" t="inlineStr">
        <is>
          <t>SonFuertes (vía Papelera Damián)</t>
        </is>
      </c>
      <c r="F177" t="inlineStr">
        <is>
          <t>Recarga</t>
        </is>
      </c>
      <c r="AW177" t="n">
        <v>1</v>
      </c>
      <c r="AX177" t="n">
        <v>1</v>
      </c>
      <c r="AY177" t="n">
        <v>1</v>
      </c>
      <c r="BA177" t="n">
        <v>1</v>
      </c>
      <c r="BB177" t="n">
        <v>1</v>
      </c>
      <c r="BC177" t="n">
        <v>1</v>
      </c>
      <c r="BE177" t="n">
        <v>1</v>
      </c>
      <c r="BF177" t="n">
        <v>1</v>
      </c>
      <c r="BG177" t="n">
        <v>1</v>
      </c>
      <c r="BI177" t="n">
        <v>1</v>
      </c>
      <c r="BJ177" t="n">
        <v>1</v>
      </c>
      <c r="BK177" t="n">
        <v>1</v>
      </c>
      <c r="BM177" t="n">
        <v>1</v>
      </c>
      <c r="BN177" t="n">
        <v>1</v>
      </c>
      <c r="BP177" t="n">
        <v>1</v>
      </c>
      <c r="BQ177" t="n">
        <v>1</v>
      </c>
      <c r="BS177" t="n">
        <v>1</v>
      </c>
      <c r="BT177" t="n">
        <v>1</v>
      </c>
      <c r="BV177" t="n">
        <v>1</v>
      </c>
      <c r="BW177" t="n">
        <v>1</v>
      </c>
      <c r="BX177" t="n">
        <v>1</v>
      </c>
      <c r="BZ177" t="n">
        <v>1</v>
      </c>
      <c r="CA177" t="n">
        <v>1</v>
      </c>
      <c r="CC177" t="n">
        <v>1</v>
      </c>
      <c r="CD177" t="n">
        <v>1</v>
      </c>
      <c r="CF177" t="n">
        <v>1</v>
      </c>
      <c r="CG177" t="n">
        <v>1</v>
      </c>
      <c r="CI177" t="n">
        <v>1</v>
      </c>
      <c r="CJ177" t="n">
        <v>1</v>
      </c>
      <c r="CL177" t="n">
        <v>1</v>
      </c>
      <c r="CM177" t="n">
        <v>1</v>
      </c>
      <c r="CN177" t="n">
        <v>1</v>
      </c>
      <c r="CP177" t="n">
        <v>1</v>
      </c>
      <c r="CQ177" t="n">
        <v>1</v>
      </c>
      <c r="CR177" t="n">
        <v>1</v>
      </c>
      <c r="CT177" t="n">
        <v>1</v>
      </c>
      <c r="CU177" t="n">
        <v>1</v>
      </c>
      <c r="CV177" t="n">
        <v>1</v>
      </c>
      <c r="CX177" t="n">
        <v>1</v>
      </c>
      <c r="CY177" t="n">
        <v>1</v>
      </c>
      <c r="CZ177" t="n">
        <v>1</v>
      </c>
      <c r="DB177" t="n">
        <v>1</v>
      </c>
      <c r="DC177" t="n">
        <v>1</v>
      </c>
      <c r="DD177" t="n">
        <v>1</v>
      </c>
    </row>
    <row r="178">
      <c r="A178" t="inlineStr">
        <is>
          <t>Recarga y mantenimiento</t>
        </is>
      </c>
      <c r="B178" t="inlineStr">
        <is>
          <t>Tarjeta de identificación AGC (módulo papel con QR + etiqueta AGC)</t>
        </is>
      </c>
      <c r="C178" t="inlineStr">
        <is>
          <t>u</t>
        </is>
      </c>
      <c r="D178" t="inlineStr">
        <is>
          <t>Sí</t>
        </is>
      </c>
      <c r="E178" t="inlineStr">
        <is>
          <t>Agencia Gubernamental de Control (CABA)</t>
        </is>
      </c>
      <c r="F178" t="inlineStr">
        <is>
          <t>Recarga</t>
        </is>
      </c>
      <c r="AW178" t="n">
        <v>1</v>
      </c>
      <c r="AX178" t="n">
        <v>1</v>
      </c>
      <c r="AY178" t="n">
        <v>1</v>
      </c>
      <c r="BA178" t="n">
        <v>1</v>
      </c>
      <c r="BB178" t="n">
        <v>1</v>
      </c>
      <c r="BC178" t="n">
        <v>1</v>
      </c>
      <c r="BE178" t="n">
        <v>1</v>
      </c>
      <c r="BF178" t="n">
        <v>1</v>
      </c>
      <c r="BG178" t="n">
        <v>1</v>
      </c>
      <c r="BI178" t="n">
        <v>1</v>
      </c>
      <c r="BJ178" t="n">
        <v>1</v>
      </c>
      <c r="BK178" t="n">
        <v>1</v>
      </c>
      <c r="BM178" t="n">
        <v>1</v>
      </c>
      <c r="BN178" t="n">
        <v>1</v>
      </c>
      <c r="BP178" t="n">
        <v>1</v>
      </c>
      <c r="BQ178" t="n">
        <v>1</v>
      </c>
      <c r="BS178" t="n">
        <v>1</v>
      </c>
      <c r="BT178" t="n">
        <v>1</v>
      </c>
      <c r="BV178" t="n">
        <v>1</v>
      </c>
      <c r="BW178" t="n">
        <v>1</v>
      </c>
      <c r="BX178" t="n">
        <v>1</v>
      </c>
      <c r="BZ178" t="n">
        <v>1</v>
      </c>
      <c r="CA178" t="n">
        <v>1</v>
      </c>
      <c r="CC178" t="n">
        <v>1</v>
      </c>
      <c r="CD178" t="n">
        <v>1</v>
      </c>
      <c r="CF178" t="n">
        <v>1</v>
      </c>
      <c r="CG178" t="n">
        <v>1</v>
      </c>
      <c r="CI178" t="n">
        <v>1</v>
      </c>
      <c r="CJ178" t="n">
        <v>1</v>
      </c>
      <c r="CL178" t="n">
        <v>1</v>
      </c>
      <c r="CM178" t="n">
        <v>1</v>
      </c>
      <c r="CN178" t="n">
        <v>1</v>
      </c>
      <c r="CP178" t="n">
        <v>1</v>
      </c>
      <c r="CQ178" t="n">
        <v>1</v>
      </c>
      <c r="CR178" t="n">
        <v>1</v>
      </c>
      <c r="CT178" t="n">
        <v>1</v>
      </c>
      <c r="CU178" t="n">
        <v>1</v>
      </c>
      <c r="CV178" t="n">
        <v>1</v>
      </c>
      <c r="CX178" t="n">
        <v>1</v>
      </c>
      <c r="CY178" t="n">
        <v>1</v>
      </c>
      <c r="CZ178" t="n">
        <v>1</v>
      </c>
      <c r="DB178" t="n">
        <v>1</v>
      </c>
      <c r="DC178" t="n">
        <v>1</v>
      </c>
      <c r="DD178" t="n">
        <v>1</v>
      </c>
    </row>
    <row r="179">
      <c r="A179" t="inlineStr">
        <is>
          <t>Recarga y mantenimiento</t>
        </is>
      </c>
      <c r="B179" t="inlineStr">
        <is>
          <t>Tarjeta de identificación DPS de revisión / recarga</t>
        </is>
      </c>
      <c r="C179" t="inlineStr">
        <is>
          <t>u</t>
        </is>
      </c>
      <c r="D179" t="inlineStr">
        <is>
          <t>Sí</t>
        </is>
      </c>
      <c r="E179" t="inlineStr">
        <is>
          <t>Ministerio de Ambiente PBA (ex OPDS)</t>
        </is>
      </c>
      <c r="F179" t="inlineStr">
        <is>
          <t>Recarga</t>
        </is>
      </c>
      <c r="AW179" t="n">
        <v>1</v>
      </c>
      <c r="AX179" t="n">
        <v>1</v>
      </c>
      <c r="AY179" t="n">
        <v>1</v>
      </c>
      <c r="BA179" t="n">
        <v>1</v>
      </c>
      <c r="BB179" t="n">
        <v>1</v>
      </c>
      <c r="BC179" t="n">
        <v>1</v>
      </c>
      <c r="BE179" t="n">
        <v>1</v>
      </c>
      <c r="BF179" t="n">
        <v>1</v>
      </c>
      <c r="BG179" t="n">
        <v>1</v>
      </c>
      <c r="BI179" t="n">
        <v>1</v>
      </c>
      <c r="BJ179" t="n">
        <v>1</v>
      </c>
      <c r="BK179" t="n">
        <v>1</v>
      </c>
      <c r="BM179" t="n">
        <v>1</v>
      </c>
      <c r="BN179" t="n">
        <v>1</v>
      </c>
      <c r="BP179" t="n">
        <v>1</v>
      </c>
      <c r="BQ179" t="n">
        <v>1</v>
      </c>
      <c r="BS179" t="n">
        <v>1</v>
      </c>
      <c r="BT179" t="n">
        <v>1</v>
      </c>
      <c r="BV179" t="n">
        <v>1</v>
      </c>
      <c r="BW179" t="n">
        <v>1</v>
      </c>
      <c r="BX179" t="n">
        <v>1</v>
      </c>
      <c r="BZ179" t="n">
        <v>1</v>
      </c>
      <c r="CA179" t="n">
        <v>1</v>
      </c>
      <c r="CC179" t="n">
        <v>1</v>
      </c>
      <c r="CD179" t="n">
        <v>1</v>
      </c>
      <c r="CF179" t="n">
        <v>1</v>
      </c>
      <c r="CG179" t="n">
        <v>1</v>
      </c>
      <c r="CI179" t="n">
        <v>1</v>
      </c>
      <c r="CJ179" t="n">
        <v>1</v>
      </c>
      <c r="CL179" t="n">
        <v>1</v>
      </c>
      <c r="CM179" t="n">
        <v>1</v>
      </c>
      <c r="CN179" t="n">
        <v>1</v>
      </c>
      <c r="CP179" t="n">
        <v>1</v>
      </c>
      <c r="CQ179" t="n">
        <v>1</v>
      </c>
      <c r="CR179" t="n">
        <v>1</v>
      </c>
      <c r="CT179" t="n">
        <v>1</v>
      </c>
      <c r="CU179" t="n">
        <v>1</v>
      </c>
      <c r="CV179" t="n">
        <v>1</v>
      </c>
      <c r="CX179" t="n">
        <v>1</v>
      </c>
      <c r="CY179" t="n">
        <v>1</v>
      </c>
      <c r="CZ179" t="n">
        <v>1</v>
      </c>
      <c r="DB179" t="n">
        <v>1</v>
      </c>
      <c r="DC179" t="n">
        <v>1</v>
      </c>
      <c r="DD179" t="n">
        <v>1</v>
      </c>
    </row>
    <row r="180">
      <c r="A180" s="60" t="inlineStr">
        <is>
          <t>Pieza fabricada (se explota en su MP)</t>
        </is>
      </c>
      <c r="B180" s="60" t="inlineStr">
        <is>
          <t>Bastidor — caño Ø25,4 × 1,6 × 2.069 de largo desarrollado</t>
        </is>
      </c>
      <c r="C180" s="60" t="inlineStr">
        <is>
          <t>u</t>
        </is>
      </c>
      <c r="D180" s="60" t="inlineStr">
        <is>
          <t>No</t>
        </is>
      </c>
      <c r="E180" s="60" t="n"/>
      <c r="F180" s="60" t="inlineStr">
        <is>
          <t>Corte en sierra -&gt; curvado / plegado -&gt; soldadura MAG del carro -&gt; C9 armado (S-TC); puesto de soldadura de carros a incorporar al layout</t>
        </is>
      </c>
      <c r="G180" s="60" t="n"/>
      <c r="H180" s="60" t="n"/>
      <c r="I180" s="60" t="n"/>
      <c r="J180" s="60" t="n"/>
      <c r="K180" s="60" t="n"/>
      <c r="L180" s="60" t="n"/>
      <c r="M180" s="60" t="n"/>
      <c r="N180" s="60" t="n"/>
      <c r="O180" s="60" t="n"/>
      <c r="P180" s="60" t="n"/>
      <c r="Q180" s="60" t="n"/>
      <c r="R180" s="60" t="n"/>
      <c r="S180" s="60" t="n"/>
      <c r="T180" s="60" t="n">
        <v>1</v>
      </c>
      <c r="U180" s="60" t="n"/>
      <c r="V180" s="60" t="n"/>
      <c r="W180" s="60" t="n"/>
      <c r="X180" s="60" t="n"/>
      <c r="Y180" s="60" t="n"/>
      <c r="Z180" s="60" t="n"/>
      <c r="AA180" s="60" t="n"/>
      <c r="AB180" s="60" t="n"/>
      <c r="AC180" s="60" t="n"/>
      <c r="AD180" s="60" t="n"/>
      <c r="AE180" s="60" t="n"/>
      <c r="AF180" s="60" t="n"/>
      <c r="AG180" s="60" t="n"/>
      <c r="AH180" s="60" t="n"/>
      <c r="AI180" s="60" t="n"/>
      <c r="AJ180" s="60" t="n"/>
      <c r="AK180" s="60" t="n"/>
      <c r="AL180" s="60" t="n"/>
      <c r="AM180" s="60" t="n"/>
      <c r="AN180" s="60" t="n"/>
      <c r="AO180" s="60" t="n"/>
      <c r="AP180" s="60" t="n"/>
      <c r="AQ180" s="60" t="n"/>
      <c r="AR180" s="60" t="n"/>
      <c r="AS180" s="60" t="n"/>
      <c r="AT180" s="60" t="n"/>
      <c r="AU180" s="60" t="n"/>
      <c r="AV180" s="60" t="n"/>
      <c r="AW180" s="60" t="n"/>
      <c r="AX180" s="60" t="n"/>
      <c r="AY180" s="60" t="n"/>
      <c r="AZ180" s="60" t="n"/>
      <c r="BA180" s="60" t="n"/>
      <c r="BB180" s="60" t="n"/>
      <c r="BC180" s="60" t="n"/>
      <c r="BD180" s="60" t="n"/>
      <c r="BE180" s="60" t="n"/>
      <c r="BF180" s="60" t="n"/>
      <c r="BG180" s="60" t="n"/>
      <c r="BH180" s="60" t="n"/>
      <c r="BI180" s="60" t="n"/>
      <c r="BJ180" s="60" t="n"/>
      <c r="BK180" s="60" t="n"/>
      <c r="BL180" s="60" t="n"/>
      <c r="BM180" s="60" t="n"/>
      <c r="BN180" s="60" t="n"/>
      <c r="BO180" s="60" t="n"/>
      <c r="BP180" s="60" t="n"/>
      <c r="BQ180" s="60" t="n"/>
      <c r="BR180" s="60" t="n"/>
      <c r="BS180" s="60" t="n"/>
      <c r="BT180" s="60" t="n"/>
      <c r="BU180" s="60" t="n"/>
      <c r="BV180" s="60" t="n"/>
      <c r="BW180" s="60" t="n"/>
      <c r="BX180" s="60" t="n"/>
      <c r="BY180" s="60" t="n"/>
      <c r="BZ180" s="60" t="n"/>
      <c r="CA180" s="60" t="n"/>
      <c r="CB180" s="60" t="n"/>
      <c r="CC180" s="60" t="n"/>
      <c r="CD180" s="60" t="n"/>
      <c r="CE180" s="60" t="n"/>
      <c r="CF180" s="60" t="n"/>
      <c r="CG180" s="60" t="n"/>
      <c r="CH180" s="60" t="n"/>
      <c r="CI180" s="60" t="n"/>
      <c r="CJ180" s="60" t="n"/>
      <c r="CK180" s="60" t="n"/>
      <c r="CL180" s="60" t="n"/>
      <c r="CM180" s="60" t="n"/>
      <c r="CN180" s="60" t="n"/>
      <c r="CO180" s="60" t="n"/>
      <c r="CP180" s="60" t="n"/>
      <c r="CQ180" s="60" t="n"/>
      <c r="CR180" s="60" t="n"/>
      <c r="CS180" s="60" t="n"/>
      <c r="CT180" s="60" t="n"/>
      <c r="CU180" s="60" t="n"/>
      <c r="CV180" s="60" t="n"/>
      <c r="CW180" s="60" t="n"/>
      <c r="CX180" s="60" t="n"/>
      <c r="CY180" s="60" t="n"/>
      <c r="CZ180" s="60" t="n"/>
      <c r="DA180" s="60" t="n"/>
      <c r="DB180" s="60" t="n"/>
      <c r="DC180" s="60" t="n"/>
      <c r="DD180" s="60" t="n"/>
      <c r="DE180" s="60" t="n"/>
    </row>
    <row r="181">
      <c r="A181" s="60" t="inlineStr">
        <is>
          <t>Pieza fabricada (se explota en su MP)</t>
        </is>
      </c>
      <c r="B181" s="60" t="inlineStr">
        <is>
          <t>Bastidor — caño Ø25,4 × 1,6 × 2.490 de largo desarrollado</t>
        </is>
      </c>
      <c r="C181" s="60" t="inlineStr">
        <is>
          <t>u</t>
        </is>
      </c>
      <c r="D181" s="60" t="inlineStr">
        <is>
          <t>No</t>
        </is>
      </c>
      <c r="E181" s="60" t="n"/>
      <c r="F181" s="60" t="inlineStr">
        <is>
          <t>Corte en sierra -&gt; curvado / plegado -&gt; soldadura MAG del carro -&gt; C9 armado (S-TC); puesto de soldadura de carros a incorporar al layout</t>
        </is>
      </c>
      <c r="G181" s="60" t="n"/>
      <c r="H181" s="60" t="n"/>
      <c r="I181" s="60" t="n"/>
      <c r="J181" s="60" t="n"/>
      <c r="K181" s="60" t="n"/>
      <c r="L181" s="60" t="n"/>
      <c r="M181" s="60" t="n"/>
      <c r="N181" s="60" t="n"/>
      <c r="O181" s="60" t="n"/>
      <c r="P181" s="60" t="n"/>
      <c r="Q181" s="60" t="n"/>
      <c r="R181" s="60" t="n"/>
      <c r="S181" s="60" t="n"/>
      <c r="T181" s="60" t="n"/>
      <c r="U181" s="60" t="n"/>
      <c r="V181" s="60" t="n">
        <v>1</v>
      </c>
      <c r="W181" s="60" t="n"/>
      <c r="X181" s="60" t="n"/>
      <c r="Y181" s="60" t="n"/>
      <c r="Z181" s="60" t="n"/>
      <c r="AA181" s="60" t="n"/>
      <c r="AB181" s="60" t="n"/>
      <c r="AC181" s="60" t="n"/>
      <c r="AD181" s="60" t="n"/>
      <c r="AE181" s="60" t="n"/>
      <c r="AF181" s="60" t="n"/>
      <c r="AG181" s="60" t="n"/>
      <c r="AH181" s="60" t="n"/>
      <c r="AI181" s="60" t="n"/>
      <c r="AJ181" s="60" t="n"/>
      <c r="AK181" s="60" t="n"/>
      <c r="AL181" s="60" t="n"/>
      <c r="AM181" s="60" t="n"/>
      <c r="AN181" s="60" t="n"/>
      <c r="AO181" s="60" t="n"/>
      <c r="AP181" s="60" t="n"/>
      <c r="AQ181" s="60" t="n"/>
      <c r="AR181" s="60" t="n"/>
      <c r="AS181" s="60" t="n"/>
      <c r="AT181" s="60" t="n"/>
      <c r="AU181" s="60" t="n"/>
      <c r="AV181" s="60" t="n"/>
      <c r="AW181" s="60" t="n"/>
      <c r="AX181" s="60" t="n"/>
      <c r="AY181" s="60" t="n"/>
      <c r="AZ181" s="60" t="n"/>
      <c r="BA181" s="60" t="n"/>
      <c r="BB181" s="60" t="n"/>
      <c r="BC181" s="60" t="n"/>
      <c r="BD181" s="60" t="n"/>
      <c r="BE181" s="60" t="n"/>
      <c r="BF181" s="60" t="n"/>
      <c r="BG181" s="60" t="n"/>
      <c r="BH181" s="60" t="n"/>
      <c r="BI181" s="60" t="n"/>
      <c r="BJ181" s="60" t="n"/>
      <c r="BK181" s="60" t="n"/>
      <c r="BL181" s="60" t="n"/>
      <c r="BM181" s="60" t="n"/>
      <c r="BN181" s="60" t="n"/>
      <c r="BO181" s="60" t="n"/>
      <c r="BP181" s="60" t="n"/>
      <c r="BQ181" s="60" t="n"/>
      <c r="BR181" s="60" t="n"/>
      <c r="BS181" s="60" t="n"/>
      <c r="BT181" s="60" t="n"/>
      <c r="BU181" s="60" t="n"/>
      <c r="BV181" s="60" t="n"/>
      <c r="BW181" s="60" t="n"/>
      <c r="BX181" s="60" t="n"/>
      <c r="BY181" s="60" t="n"/>
      <c r="BZ181" s="60" t="n"/>
      <c r="CA181" s="60" t="n"/>
      <c r="CB181" s="60" t="n"/>
      <c r="CC181" s="60" t="n"/>
      <c r="CD181" s="60" t="n"/>
      <c r="CE181" s="60" t="n"/>
      <c r="CF181" s="60" t="n"/>
      <c r="CG181" s="60" t="n"/>
      <c r="CH181" s="60" t="n"/>
      <c r="CI181" s="60" t="n"/>
      <c r="CJ181" s="60" t="n"/>
      <c r="CK181" s="60" t="n"/>
      <c r="CL181" s="60" t="n"/>
      <c r="CM181" s="60" t="n"/>
      <c r="CN181" s="60" t="n"/>
      <c r="CO181" s="60" t="n"/>
      <c r="CP181" s="60" t="n"/>
      <c r="CQ181" s="60" t="n"/>
      <c r="CR181" s="60" t="n"/>
      <c r="CS181" s="60" t="n"/>
      <c r="CT181" s="60" t="n"/>
      <c r="CU181" s="60" t="n"/>
      <c r="CV181" s="60" t="n"/>
      <c r="CW181" s="60" t="n"/>
      <c r="CX181" s="60" t="n"/>
      <c r="CY181" s="60" t="n"/>
      <c r="CZ181" s="60" t="n"/>
      <c r="DA181" s="60" t="n"/>
      <c r="DB181" s="60" t="n"/>
      <c r="DC181" s="60" t="n"/>
      <c r="DD181" s="60" t="n"/>
      <c r="DE181" s="60" t="n"/>
    </row>
    <row r="182">
      <c r="A182" s="60" t="inlineStr">
        <is>
          <t>Pieza fabricada (se explota en su MP)</t>
        </is>
      </c>
      <c r="B182" s="60" t="inlineStr">
        <is>
          <t>Bastidor — caño Ø25,4 × 1,6 × 2.560 de largo desarrollado</t>
        </is>
      </c>
      <c r="C182" s="60" t="inlineStr">
        <is>
          <t>u</t>
        </is>
      </c>
      <c r="D182" s="60" t="inlineStr">
        <is>
          <t>No</t>
        </is>
      </c>
      <c r="E182" s="60" t="n"/>
      <c r="F182" s="60" t="inlineStr">
        <is>
          <t>Corte en sierra -&gt; curvado / plegado -&gt; soldadura MAG del carro -&gt; C9 armado (S-TC); puesto de soldadura de carros a incorporar al layout</t>
        </is>
      </c>
      <c r="G182" s="60" t="n"/>
      <c r="H182" s="60" t="n"/>
      <c r="I182" s="60" t="n"/>
      <c r="J182" s="60" t="n"/>
      <c r="K182" s="60" t="n"/>
      <c r="L182" s="60" t="n"/>
      <c r="M182" s="60" t="n"/>
      <c r="N182" s="60" t="n"/>
      <c r="O182" s="60" t="n"/>
      <c r="P182" s="60" t="n"/>
      <c r="Q182" s="60" t="n"/>
      <c r="R182" s="60" t="n"/>
      <c r="S182" s="60" t="n"/>
      <c r="T182" s="60" t="n"/>
      <c r="U182" s="60" t="n"/>
      <c r="V182" s="60" t="n"/>
      <c r="W182" s="60" t="n">
        <v>1</v>
      </c>
      <c r="X182" s="60" t="n"/>
      <c r="Y182" s="60" t="n"/>
      <c r="Z182" s="60" t="n"/>
      <c r="AA182" s="60" t="n"/>
      <c r="AB182" s="60" t="n"/>
      <c r="AC182" s="60" t="n"/>
      <c r="AD182" s="60" t="n"/>
      <c r="AE182" s="60" t="n"/>
      <c r="AF182" s="60" t="n"/>
      <c r="AG182" s="60" t="n"/>
      <c r="AH182" s="60" t="n"/>
      <c r="AI182" s="60" t="n"/>
      <c r="AJ182" s="60" t="n"/>
      <c r="AK182" s="60" t="n"/>
      <c r="AL182" s="60" t="n"/>
      <c r="AM182" s="60" t="n"/>
      <c r="AN182" s="60" t="n"/>
      <c r="AO182" s="60" t="n"/>
      <c r="AP182" s="60" t="n"/>
      <c r="AQ182" s="60" t="n"/>
      <c r="AR182" s="60" t="n"/>
      <c r="AS182" s="60" t="n"/>
      <c r="AT182" s="60" t="n"/>
      <c r="AU182" s="60" t="n"/>
      <c r="AV182" s="60" t="n"/>
      <c r="AW182" s="60" t="n"/>
      <c r="AX182" s="60" t="n"/>
      <c r="AY182" s="60" t="n"/>
      <c r="AZ182" s="60" t="n"/>
      <c r="BA182" s="60" t="n"/>
      <c r="BB182" s="60" t="n"/>
      <c r="BC182" s="60" t="n"/>
      <c r="BD182" s="60" t="n"/>
      <c r="BE182" s="60" t="n"/>
      <c r="BF182" s="60" t="n"/>
      <c r="BG182" s="60" t="n"/>
      <c r="BH182" s="60" t="n"/>
      <c r="BI182" s="60" t="n"/>
      <c r="BJ182" s="60" t="n"/>
      <c r="BK182" s="60" t="n"/>
      <c r="BL182" s="60" t="n"/>
      <c r="BM182" s="60" t="n"/>
      <c r="BN182" s="60" t="n"/>
      <c r="BO182" s="60" t="n"/>
      <c r="BP182" s="60" t="n"/>
      <c r="BQ182" s="60" t="n"/>
      <c r="BR182" s="60" t="n"/>
      <c r="BS182" s="60" t="n"/>
      <c r="BT182" s="60" t="n"/>
      <c r="BU182" s="60" t="n"/>
      <c r="BV182" s="60" t="n"/>
      <c r="BW182" s="60" t="n"/>
      <c r="BX182" s="60" t="n"/>
      <c r="BY182" s="60" t="n"/>
      <c r="BZ182" s="60" t="n"/>
      <c r="CA182" s="60" t="n"/>
      <c r="CB182" s="60" t="n"/>
      <c r="CC182" s="60" t="n"/>
      <c r="CD182" s="60" t="n"/>
      <c r="CE182" s="60" t="n"/>
      <c r="CF182" s="60" t="n"/>
      <c r="CG182" s="60" t="n"/>
      <c r="CH182" s="60" t="n"/>
      <c r="CI182" s="60" t="n"/>
      <c r="CJ182" s="60" t="n"/>
      <c r="CK182" s="60" t="n"/>
      <c r="CL182" s="60" t="n"/>
      <c r="CM182" s="60" t="n"/>
      <c r="CN182" s="60" t="n"/>
      <c r="CO182" s="60" t="n"/>
      <c r="CP182" s="60" t="n"/>
      <c r="CQ182" s="60" t="n"/>
      <c r="CR182" s="60" t="n"/>
      <c r="CS182" s="60" t="n"/>
      <c r="CT182" s="60" t="n"/>
      <c r="CU182" s="60" t="n"/>
      <c r="CV182" s="60" t="n"/>
      <c r="CW182" s="60" t="n"/>
      <c r="CX182" s="60" t="n"/>
      <c r="CY182" s="60" t="n"/>
      <c r="CZ182" s="60" t="n"/>
      <c r="DA182" s="60" t="n"/>
      <c r="DB182" s="60" t="n"/>
      <c r="DC182" s="60" t="n"/>
      <c r="DD182" s="60" t="n"/>
      <c r="DE182" s="60" t="n"/>
    </row>
    <row r="183">
      <c r="A183" s="60" t="inlineStr">
        <is>
          <t>Pieza fabricada (se explota en su MP)</t>
        </is>
      </c>
      <c r="B183" s="60" t="inlineStr">
        <is>
          <t>Cuerpo (virola) — Ø124 × e1,25 × 261,6 de alto; desarrollo 385,6 × 261,6</t>
        </is>
      </c>
      <c r="C183" s="60" t="inlineStr">
        <is>
          <t>u</t>
        </is>
      </c>
      <c r="D183" s="60" t="inlineStr">
        <is>
          <t>No</t>
        </is>
      </c>
      <c r="E183" s="60" t="n"/>
      <c r="F183" s="60" t="inlineStr">
        <is>
          <t>1 Guillotina -&gt; 2 numerado -&gt; 3 cilindrado -&gt; 4 soldadura longitudinal</t>
        </is>
      </c>
      <c r="G183" s="60" t="n"/>
      <c r="H183" s="60" t="n">
        <v>1</v>
      </c>
      <c r="I183" s="60" t="n"/>
      <c r="J183" s="60" t="n"/>
      <c r="K183" s="60" t="n"/>
      <c r="L183" s="60" t="n"/>
      <c r="M183" s="60" t="n"/>
      <c r="N183" s="60" t="n"/>
      <c r="O183" s="60" t="n"/>
      <c r="P183" s="60" t="n"/>
      <c r="Q183" s="60" t="n"/>
      <c r="R183" s="60" t="n"/>
      <c r="S183" s="60" t="n"/>
      <c r="T183" s="60" t="n"/>
      <c r="U183" s="60" t="n"/>
      <c r="V183" s="60" t="n"/>
      <c r="W183" s="60" t="n"/>
      <c r="X183" s="60" t="n"/>
      <c r="Y183" s="60" t="n">
        <v>1</v>
      </c>
      <c r="Z183" s="60" t="n"/>
      <c r="AA183" s="60" t="n"/>
      <c r="AB183" s="60" t="n"/>
      <c r="AC183" s="60" t="n"/>
      <c r="AD183" s="60" t="n"/>
      <c r="AE183" s="60" t="n"/>
      <c r="AF183" s="60" t="n"/>
      <c r="AG183" s="60" t="n"/>
      <c r="AH183" s="60" t="n"/>
      <c r="AI183" s="60" t="n"/>
      <c r="AJ183" s="60" t="n"/>
      <c r="AK183" s="60" t="n"/>
      <c r="AL183" s="60" t="n"/>
      <c r="AM183" s="60" t="n"/>
      <c r="AN183" s="60" t="n"/>
      <c r="AO183" s="60" t="n"/>
      <c r="AP183" s="60" t="n"/>
      <c r="AQ183" s="60" t="n"/>
      <c r="AR183" s="60" t="n"/>
      <c r="AS183" s="60" t="n"/>
      <c r="AT183" s="60" t="n"/>
      <c r="AU183" s="60" t="n"/>
      <c r="AV183" s="60" t="n"/>
      <c r="AW183" s="60" t="n"/>
      <c r="AX183" s="60" t="n"/>
      <c r="AY183" s="60" t="n"/>
      <c r="AZ183" s="60" t="n"/>
      <c r="BA183" s="60" t="n"/>
      <c r="BB183" s="60" t="n"/>
      <c r="BC183" s="60" t="n"/>
      <c r="BD183" s="60" t="n"/>
      <c r="BE183" s="60" t="n"/>
      <c r="BF183" s="60" t="n"/>
      <c r="BG183" s="60" t="n"/>
      <c r="BH183" s="60" t="n"/>
      <c r="BI183" s="60" t="n"/>
      <c r="BJ183" s="60" t="n"/>
      <c r="BK183" s="60" t="n"/>
      <c r="BL183" s="60" t="n"/>
      <c r="BM183" s="60" t="n"/>
      <c r="BN183" s="60" t="n"/>
      <c r="BO183" s="60" t="n"/>
      <c r="BP183" s="60" t="n"/>
      <c r="BQ183" s="60" t="n"/>
      <c r="BR183" s="60" t="n"/>
      <c r="BS183" s="60" t="n"/>
      <c r="BT183" s="60" t="n"/>
      <c r="BU183" s="60" t="n"/>
      <c r="BV183" s="60" t="n"/>
      <c r="BW183" s="60" t="n"/>
      <c r="BX183" s="60" t="n"/>
      <c r="BY183" s="60" t="n"/>
      <c r="BZ183" s="60" t="n"/>
      <c r="CA183" s="60" t="n"/>
      <c r="CB183" s="60" t="n"/>
      <c r="CC183" s="60" t="n"/>
      <c r="CD183" s="60" t="n"/>
      <c r="CE183" s="60" t="n"/>
      <c r="CF183" s="60" t="n"/>
      <c r="CG183" s="60" t="n"/>
      <c r="CH183" s="60" t="n"/>
      <c r="CI183" s="60" t="n"/>
      <c r="CJ183" s="60" t="n"/>
      <c r="CK183" s="60" t="n"/>
      <c r="CL183" s="60" t="n"/>
      <c r="CM183" s="60" t="n"/>
      <c r="CN183" s="60" t="n"/>
      <c r="CO183" s="60" t="n"/>
      <c r="CP183" s="60" t="n"/>
      <c r="CQ183" s="60" t="n"/>
      <c r="CR183" s="60" t="n"/>
      <c r="CS183" s="60" t="n"/>
      <c r="CT183" s="60" t="n"/>
      <c r="CU183" s="60" t="n"/>
      <c r="CV183" s="60" t="n"/>
      <c r="CW183" s="60" t="n"/>
      <c r="CX183" s="60" t="n"/>
      <c r="CY183" s="60" t="n"/>
      <c r="CZ183" s="60" t="n"/>
      <c r="DA183" s="60" t="n"/>
      <c r="DB183" s="60" t="n"/>
      <c r="DC183" s="60" t="n"/>
      <c r="DD183" s="60" t="n"/>
      <c r="DE183" s="60" t="n"/>
    </row>
    <row r="184">
      <c r="A184" s="60" t="inlineStr">
        <is>
          <t>Pieza fabricada (se explota en su MP)</t>
        </is>
      </c>
      <c r="B184" s="60" t="inlineStr">
        <is>
          <t>Cuerpo (virola) — Ø153 × e1,6 × 321,4 de alto; desarrollo 475,6 × 321,4</t>
        </is>
      </c>
      <c r="C184" s="60" t="inlineStr">
        <is>
          <t>u</t>
        </is>
      </c>
      <c r="D184" s="60" t="inlineStr">
        <is>
          <t>No</t>
        </is>
      </c>
      <c r="E184" s="60" t="n"/>
      <c r="F184" s="60" t="inlineStr">
        <is>
          <t>1 Guillotina -&gt; 2 numerado -&gt; 3 cilindrado -&gt; 4 soldadura longitudinal</t>
        </is>
      </c>
      <c r="G184" s="60" t="n"/>
      <c r="H184" s="60" t="n"/>
      <c r="I184" s="60" t="n">
        <v>1</v>
      </c>
      <c r="J184" s="60" t="n"/>
      <c r="K184" s="60" t="n"/>
      <c r="L184" s="60" t="n"/>
      <c r="M184" s="60" t="n"/>
      <c r="N184" s="60" t="n">
        <v>1</v>
      </c>
      <c r="O184" s="60" t="n"/>
      <c r="P184" s="60" t="n"/>
      <c r="Q184" s="60" t="n"/>
      <c r="R184" s="60" t="n">
        <v>1</v>
      </c>
      <c r="S184" s="60" t="n"/>
      <c r="T184" s="60" t="n"/>
      <c r="U184" s="60" t="n"/>
      <c r="V184" s="60" t="n"/>
      <c r="W184" s="60" t="n"/>
      <c r="X184" s="60" t="n"/>
      <c r="Y184" s="60" t="n"/>
      <c r="Z184" s="60" t="n">
        <v>1</v>
      </c>
      <c r="AA184" s="60" t="n"/>
      <c r="AB184" s="60" t="n"/>
      <c r="AC184" s="60" t="n"/>
      <c r="AD184" s="60" t="n"/>
      <c r="AE184" s="60" t="n"/>
      <c r="AF184" s="60" t="n"/>
      <c r="AG184" s="60" t="n"/>
      <c r="AH184" s="60" t="n"/>
      <c r="AI184" s="60" t="n"/>
      <c r="AJ184" s="60" t="n"/>
      <c r="AK184" s="60" t="n"/>
      <c r="AL184" s="60" t="n"/>
      <c r="AM184" s="60" t="n"/>
      <c r="AN184" s="60" t="n"/>
      <c r="AO184" s="60" t="n"/>
      <c r="AP184" s="60" t="n"/>
      <c r="AQ184" s="60" t="n"/>
      <c r="AR184" s="60" t="n"/>
      <c r="AS184" s="60" t="n"/>
      <c r="AT184" s="60" t="n"/>
      <c r="AU184" s="60" t="n"/>
      <c r="AV184" s="60" t="n"/>
      <c r="AW184" s="60" t="n"/>
      <c r="AX184" s="60" t="n"/>
      <c r="AY184" s="60" t="n"/>
      <c r="AZ184" s="60" t="n"/>
      <c r="BA184" s="60" t="n"/>
      <c r="BB184" s="60" t="n"/>
      <c r="BC184" s="60" t="n"/>
      <c r="BD184" s="60" t="n"/>
      <c r="BE184" s="60" t="n"/>
      <c r="BF184" s="60" t="n"/>
      <c r="BG184" s="60" t="n"/>
      <c r="BH184" s="60" t="n"/>
      <c r="BI184" s="60" t="n"/>
      <c r="BJ184" s="60" t="n"/>
      <c r="BK184" s="60" t="n"/>
      <c r="BL184" s="60" t="n"/>
      <c r="BM184" s="60" t="n"/>
      <c r="BN184" s="60" t="n"/>
      <c r="BO184" s="60" t="n"/>
      <c r="BP184" s="60" t="n"/>
      <c r="BQ184" s="60" t="n"/>
      <c r="BR184" s="60" t="n"/>
      <c r="BS184" s="60" t="n"/>
      <c r="BT184" s="60" t="n"/>
      <c r="BU184" s="60" t="n"/>
      <c r="BV184" s="60" t="n"/>
      <c r="BW184" s="60" t="n"/>
      <c r="BX184" s="60" t="n"/>
      <c r="BY184" s="60" t="n"/>
      <c r="BZ184" s="60" t="n"/>
      <c r="CA184" s="60" t="n"/>
      <c r="CB184" s="60" t="n"/>
      <c r="CC184" s="60" t="n"/>
      <c r="CD184" s="60" t="n"/>
      <c r="CE184" s="60" t="n"/>
      <c r="CF184" s="60" t="n"/>
      <c r="CG184" s="60" t="n"/>
      <c r="CH184" s="60" t="n"/>
      <c r="CI184" s="60" t="n"/>
      <c r="CJ184" s="60" t="n"/>
      <c r="CK184" s="60" t="n"/>
      <c r="CL184" s="60" t="n"/>
      <c r="CM184" s="60" t="n"/>
      <c r="CN184" s="60" t="n"/>
      <c r="CO184" s="60" t="n"/>
      <c r="CP184" s="60" t="n"/>
      <c r="CQ184" s="60" t="n"/>
      <c r="CR184" s="60" t="n"/>
      <c r="CS184" s="60" t="n"/>
      <c r="CT184" s="60" t="n"/>
      <c r="CU184" s="60" t="n"/>
      <c r="CV184" s="60" t="n"/>
      <c r="CW184" s="60" t="n"/>
      <c r="CX184" s="60" t="n"/>
      <c r="CY184" s="60" t="n"/>
      <c r="CZ184" s="60" t="n"/>
      <c r="DA184" s="60" t="n"/>
      <c r="DB184" s="60" t="n"/>
      <c r="DC184" s="60" t="n"/>
      <c r="DD184" s="60" t="n"/>
      <c r="DE184" s="60" t="n"/>
    </row>
    <row r="185">
      <c r="A185" s="60" t="inlineStr">
        <is>
          <t>Pieza fabricada (se explota en su MP)</t>
        </is>
      </c>
      <c r="B185" s="60" t="inlineStr">
        <is>
          <t>Cuerpo (virola) — Ø181,5 × e2 × 487,2 de alto; desarrollo 563,9 × 487,2</t>
        </is>
      </c>
      <c r="C185" s="60" t="inlineStr">
        <is>
          <t>u</t>
        </is>
      </c>
      <c r="D185" s="60" t="inlineStr">
        <is>
          <t>No</t>
        </is>
      </c>
      <c r="E185" s="60" t="n"/>
      <c r="F185" s="60" t="inlineStr">
        <is>
          <t>1 Guillotina -&gt; 2 numerado -&gt; 3 cilindrado -&gt; 4 soldadura longitudinal</t>
        </is>
      </c>
      <c r="G185" s="60" t="n"/>
      <c r="H185" s="60" t="n"/>
      <c r="I185" s="60" t="n"/>
      <c r="J185" s="60" t="n">
        <v>1</v>
      </c>
      <c r="K185" s="60" t="n"/>
      <c r="L185" s="60" t="n"/>
      <c r="M185" s="60" t="n"/>
      <c r="N185" s="60" t="n"/>
      <c r="O185" s="60" t="n"/>
      <c r="P185" s="60" t="n"/>
      <c r="Q185" s="60" t="n"/>
      <c r="R185" s="60" t="n"/>
      <c r="S185" s="60" t="n">
        <v>1</v>
      </c>
      <c r="T185" s="60" t="n"/>
      <c r="U185" s="60" t="n"/>
      <c r="V185" s="60" t="n"/>
      <c r="W185" s="60" t="n"/>
      <c r="X185" s="60" t="n"/>
      <c r="Y185" s="60" t="n"/>
      <c r="Z185" s="60" t="n"/>
      <c r="AA185" s="60" t="n">
        <v>1</v>
      </c>
      <c r="AB185" s="60" t="n"/>
      <c r="AC185" s="60" t="n"/>
      <c r="AD185" s="60" t="n"/>
      <c r="AE185" s="60" t="n"/>
      <c r="AF185" s="60" t="n"/>
      <c r="AG185" s="60" t="n"/>
      <c r="AH185" s="60" t="n"/>
      <c r="AI185" s="60" t="n"/>
      <c r="AJ185" s="60" t="n"/>
      <c r="AK185" s="60" t="n"/>
      <c r="AL185" s="60" t="n"/>
      <c r="AM185" s="60" t="n"/>
      <c r="AN185" s="60" t="n"/>
      <c r="AO185" s="60" t="n"/>
      <c r="AP185" s="60" t="n"/>
      <c r="AQ185" s="60" t="n"/>
      <c r="AR185" s="60" t="n"/>
      <c r="AS185" s="60" t="n"/>
      <c r="AT185" s="60" t="n"/>
      <c r="AU185" s="60" t="n"/>
      <c r="AV185" s="60" t="n"/>
      <c r="AW185" s="60" t="n"/>
      <c r="AX185" s="60" t="n"/>
      <c r="AY185" s="60" t="n"/>
      <c r="AZ185" s="60" t="n"/>
      <c r="BA185" s="60" t="n"/>
      <c r="BB185" s="60" t="n"/>
      <c r="BC185" s="60" t="n"/>
      <c r="BD185" s="60" t="n"/>
      <c r="BE185" s="60" t="n"/>
      <c r="BF185" s="60" t="n"/>
      <c r="BG185" s="60" t="n"/>
      <c r="BH185" s="60" t="n"/>
      <c r="BI185" s="60" t="n"/>
      <c r="BJ185" s="60" t="n"/>
      <c r="BK185" s="60" t="n"/>
      <c r="BL185" s="60" t="n"/>
      <c r="BM185" s="60" t="n"/>
      <c r="BN185" s="60" t="n"/>
      <c r="BO185" s="60" t="n"/>
      <c r="BP185" s="60" t="n"/>
      <c r="BQ185" s="60" t="n"/>
      <c r="BR185" s="60" t="n"/>
      <c r="BS185" s="60" t="n"/>
      <c r="BT185" s="60" t="n"/>
      <c r="BU185" s="60" t="n"/>
      <c r="BV185" s="60" t="n"/>
      <c r="BW185" s="60" t="n"/>
      <c r="BX185" s="60" t="n"/>
      <c r="BY185" s="60" t="n"/>
      <c r="BZ185" s="60" t="n"/>
      <c r="CA185" s="60" t="n"/>
      <c r="CB185" s="60" t="n"/>
      <c r="CC185" s="60" t="n"/>
      <c r="CD185" s="60" t="n"/>
      <c r="CE185" s="60" t="n"/>
      <c r="CF185" s="60" t="n"/>
      <c r="CG185" s="60" t="n"/>
      <c r="CH185" s="60" t="n"/>
      <c r="CI185" s="60" t="n"/>
      <c r="CJ185" s="60" t="n"/>
      <c r="CK185" s="60" t="n"/>
      <c r="CL185" s="60" t="n"/>
      <c r="CM185" s="60" t="n"/>
      <c r="CN185" s="60" t="n"/>
      <c r="CO185" s="60" t="n"/>
      <c r="CP185" s="60" t="n"/>
      <c r="CQ185" s="60" t="n"/>
      <c r="CR185" s="60" t="n"/>
      <c r="CS185" s="60" t="n"/>
      <c r="CT185" s="60" t="n"/>
      <c r="CU185" s="60" t="n"/>
      <c r="CV185" s="60" t="n"/>
      <c r="CW185" s="60" t="n"/>
      <c r="CX185" s="60" t="n"/>
      <c r="CY185" s="60" t="n"/>
      <c r="CZ185" s="60" t="n"/>
      <c r="DA185" s="60" t="n"/>
      <c r="DB185" s="60" t="n"/>
      <c r="DC185" s="60" t="n"/>
      <c r="DD185" s="60" t="n"/>
      <c r="DE185" s="60" t="n"/>
    </row>
    <row r="186">
      <c r="A186" s="60" t="inlineStr">
        <is>
          <t>Pieza fabricada (se explota en su MP)</t>
        </is>
      </c>
      <c r="B186" s="60" t="inlineStr">
        <is>
          <t>Cuerpo (virola) — Ø276,5 × e3,2 × 406 de alto; desarrollo 858,6 × 406</t>
        </is>
      </c>
      <c r="C186" s="60" t="inlineStr">
        <is>
          <t>u</t>
        </is>
      </c>
      <c r="D186" s="60" t="inlineStr">
        <is>
          <t>No</t>
        </is>
      </c>
      <c r="E186" s="60" t="n"/>
      <c r="F186" s="60" t="inlineStr">
        <is>
          <t>1 Guillotina -&gt; C1 cilindrado -&gt; C2 punteo -&gt; C3 sold. long.</t>
        </is>
      </c>
      <c r="G186" s="60" t="n"/>
      <c r="H186" s="60" t="n"/>
      <c r="I186" s="60" t="n"/>
      <c r="J186" s="60" t="n"/>
      <c r="K186" s="60" t="n"/>
      <c r="L186" s="60" t="n"/>
      <c r="M186" s="60" t="n"/>
      <c r="N186" s="60" t="n"/>
      <c r="O186" s="60" t="n"/>
      <c r="P186" s="60" t="n"/>
      <c r="Q186" s="60" t="n"/>
      <c r="R186" s="60" t="n"/>
      <c r="S186" s="60" t="n"/>
      <c r="T186" s="60" t="n">
        <v>1</v>
      </c>
      <c r="U186" s="60" t="n"/>
      <c r="V186" s="60" t="n"/>
      <c r="W186" s="60" t="n"/>
      <c r="X186" s="60" t="n"/>
      <c r="Y186" s="60" t="n"/>
      <c r="Z186" s="60" t="n"/>
      <c r="AA186" s="60" t="n"/>
      <c r="AB186" s="60" t="n">
        <v>1</v>
      </c>
      <c r="AC186" s="60" t="n"/>
      <c r="AD186" s="60" t="n"/>
      <c r="AE186" s="60" t="n"/>
      <c r="AF186" s="60" t="n"/>
      <c r="AG186" s="60" t="n"/>
      <c r="AH186" s="60" t="n"/>
      <c r="AI186" s="60" t="n"/>
      <c r="AJ186" s="60" t="n"/>
      <c r="AK186" s="60" t="n"/>
      <c r="AL186" s="60" t="n"/>
      <c r="AM186" s="60" t="n"/>
      <c r="AN186" s="60" t="n"/>
      <c r="AO186" s="60" t="n"/>
      <c r="AP186" s="60" t="n"/>
      <c r="AQ186" s="60" t="n"/>
      <c r="AR186" s="60" t="n"/>
      <c r="AS186" s="60" t="n"/>
      <c r="AT186" s="60" t="n"/>
      <c r="AU186" s="60" t="n"/>
      <c r="AV186" s="60" t="n"/>
      <c r="AW186" s="60" t="n"/>
      <c r="AX186" s="60" t="n"/>
      <c r="AY186" s="60" t="n"/>
      <c r="AZ186" s="60" t="n"/>
      <c r="BA186" s="60" t="n"/>
      <c r="BB186" s="60" t="n"/>
      <c r="BC186" s="60" t="n"/>
      <c r="BD186" s="60" t="n"/>
      <c r="BE186" s="60" t="n"/>
      <c r="BF186" s="60" t="n"/>
      <c r="BG186" s="60" t="n"/>
      <c r="BH186" s="60" t="n"/>
      <c r="BI186" s="60" t="n"/>
      <c r="BJ186" s="60" t="n"/>
      <c r="BK186" s="60" t="n"/>
      <c r="BL186" s="60" t="n"/>
      <c r="BM186" s="60" t="n"/>
      <c r="BN186" s="60" t="n"/>
      <c r="BO186" s="60" t="n"/>
      <c r="BP186" s="60" t="n"/>
      <c r="BQ186" s="60" t="n"/>
      <c r="BR186" s="60" t="n"/>
      <c r="BS186" s="60" t="n"/>
      <c r="BT186" s="60" t="n"/>
      <c r="BU186" s="60" t="n"/>
      <c r="BV186" s="60" t="n"/>
      <c r="BW186" s="60" t="n"/>
      <c r="BX186" s="60" t="n"/>
      <c r="BY186" s="60" t="n"/>
      <c r="BZ186" s="60" t="n"/>
      <c r="CA186" s="60" t="n"/>
      <c r="CB186" s="60" t="n"/>
      <c r="CC186" s="60" t="n"/>
      <c r="CD186" s="60" t="n"/>
      <c r="CE186" s="60" t="n"/>
      <c r="CF186" s="60" t="n"/>
      <c r="CG186" s="60" t="n"/>
      <c r="CH186" s="60" t="n"/>
      <c r="CI186" s="60" t="n"/>
      <c r="CJ186" s="60" t="n"/>
      <c r="CK186" s="60" t="n"/>
      <c r="CL186" s="60" t="n"/>
      <c r="CM186" s="60" t="n"/>
      <c r="CN186" s="60" t="n"/>
      <c r="CO186" s="60" t="n"/>
      <c r="CP186" s="60" t="n"/>
      <c r="CQ186" s="60" t="n"/>
      <c r="CR186" s="60" t="n"/>
      <c r="CS186" s="60" t="n"/>
      <c r="CT186" s="60" t="n"/>
      <c r="CU186" s="60" t="n"/>
      <c r="CV186" s="60" t="n"/>
      <c r="CW186" s="60" t="n"/>
      <c r="CX186" s="60" t="n"/>
      <c r="CY186" s="60" t="n"/>
      <c r="CZ186" s="60" t="n"/>
      <c r="DA186" s="60" t="n"/>
      <c r="DB186" s="60" t="n"/>
      <c r="DC186" s="60" t="n"/>
      <c r="DD186" s="60" t="n"/>
      <c r="DE186" s="60" t="n"/>
    </row>
    <row r="187">
      <c r="A187" s="60" t="inlineStr">
        <is>
          <t>Pieza fabricada (se explota en su MP)</t>
        </is>
      </c>
      <c r="B187" s="60" t="inlineStr">
        <is>
          <t>Cuerpo (virola) — Ø350 × e4,75 × 683,2 de alto; desarrollo 1.084,6 × 683,2</t>
        </is>
      </c>
      <c r="C187" s="60" t="inlineStr">
        <is>
          <t>u</t>
        </is>
      </c>
      <c r="D187" s="60" t="inlineStr">
        <is>
          <t>No</t>
        </is>
      </c>
      <c r="E187" s="60" t="n"/>
      <c r="F187" s="60" t="inlineStr">
        <is>
          <t>1 Guillotina -&gt; C1 cilindrado -&gt; C2 punteo -&gt; C3 sold. long.</t>
        </is>
      </c>
      <c r="G187" s="60" t="n"/>
      <c r="H187" s="60" t="n"/>
      <c r="I187" s="60" t="n"/>
      <c r="J187" s="60" t="n"/>
      <c r="K187" s="60" t="n"/>
      <c r="L187" s="60" t="n"/>
      <c r="M187" s="60" t="n"/>
      <c r="N187" s="60" t="n"/>
      <c r="O187" s="60" t="n"/>
      <c r="P187" s="60" t="n"/>
      <c r="Q187" s="60" t="n"/>
      <c r="R187" s="60" t="n"/>
      <c r="S187" s="60" t="n"/>
      <c r="T187" s="60" t="n"/>
      <c r="U187" s="60" t="n"/>
      <c r="V187" s="60" t="n">
        <v>1</v>
      </c>
      <c r="W187" s="60" t="n"/>
      <c r="X187" s="60" t="n"/>
      <c r="Y187" s="60" t="n"/>
      <c r="Z187" s="60" t="n"/>
      <c r="AA187" s="60" t="n"/>
      <c r="AB187" s="60" t="n"/>
      <c r="AC187" s="60" t="n"/>
      <c r="AD187" s="60" t="n">
        <v>1</v>
      </c>
      <c r="AE187" s="60" t="n"/>
      <c r="AF187" s="60" t="n"/>
      <c r="AG187" s="60" t="n"/>
      <c r="AH187" s="60" t="n"/>
      <c r="AI187" s="60" t="n"/>
      <c r="AJ187" s="60" t="n"/>
      <c r="AK187" s="60" t="n"/>
      <c r="AL187" s="60" t="n"/>
      <c r="AM187" s="60" t="n"/>
      <c r="AN187" s="60" t="n"/>
      <c r="AO187" s="60" t="n"/>
      <c r="AP187" s="60" t="n"/>
      <c r="AQ187" s="60" t="n"/>
      <c r="AR187" s="60" t="n"/>
      <c r="AS187" s="60" t="n"/>
      <c r="AT187" s="60" t="n"/>
      <c r="AU187" s="60" t="n"/>
      <c r="AV187" s="60" t="n"/>
      <c r="AW187" s="60" t="n"/>
      <c r="AX187" s="60" t="n"/>
      <c r="AY187" s="60" t="n"/>
      <c r="AZ187" s="60" t="n"/>
      <c r="BA187" s="60" t="n"/>
      <c r="BB187" s="60" t="n"/>
      <c r="BC187" s="60" t="n"/>
      <c r="BD187" s="60" t="n"/>
      <c r="BE187" s="60" t="n"/>
      <c r="BF187" s="60" t="n"/>
      <c r="BG187" s="60" t="n"/>
      <c r="BH187" s="60" t="n"/>
      <c r="BI187" s="60" t="n"/>
      <c r="BJ187" s="60" t="n"/>
      <c r="BK187" s="60" t="n"/>
      <c r="BL187" s="60" t="n"/>
      <c r="BM187" s="60" t="n"/>
      <c r="BN187" s="60" t="n"/>
      <c r="BO187" s="60" t="n"/>
      <c r="BP187" s="60" t="n"/>
      <c r="BQ187" s="60" t="n"/>
      <c r="BR187" s="60" t="n"/>
      <c r="BS187" s="60" t="n"/>
      <c r="BT187" s="60" t="n"/>
      <c r="BU187" s="60" t="n"/>
      <c r="BV187" s="60" t="n"/>
      <c r="BW187" s="60" t="n"/>
      <c r="BX187" s="60" t="n"/>
      <c r="BY187" s="60" t="n"/>
      <c r="BZ187" s="60" t="n"/>
      <c r="CA187" s="60" t="n"/>
      <c r="CB187" s="60" t="n"/>
      <c r="CC187" s="60" t="n"/>
      <c r="CD187" s="60" t="n"/>
      <c r="CE187" s="60" t="n"/>
      <c r="CF187" s="60" t="n"/>
      <c r="CG187" s="60" t="n"/>
      <c r="CH187" s="60" t="n"/>
      <c r="CI187" s="60" t="n"/>
      <c r="CJ187" s="60" t="n"/>
      <c r="CK187" s="60" t="n"/>
      <c r="CL187" s="60" t="n"/>
      <c r="CM187" s="60" t="n"/>
      <c r="CN187" s="60" t="n"/>
      <c r="CO187" s="60" t="n"/>
      <c r="CP187" s="60" t="n"/>
      <c r="CQ187" s="60" t="n"/>
      <c r="CR187" s="60" t="n"/>
      <c r="CS187" s="60" t="n"/>
      <c r="CT187" s="60" t="n"/>
      <c r="CU187" s="60" t="n"/>
      <c r="CV187" s="60" t="n"/>
      <c r="CW187" s="60" t="n"/>
      <c r="CX187" s="60" t="n"/>
      <c r="CY187" s="60" t="n"/>
      <c r="CZ187" s="60" t="n"/>
      <c r="DA187" s="60" t="n"/>
      <c r="DB187" s="60" t="n"/>
      <c r="DC187" s="60" t="n"/>
      <c r="DD187" s="60" t="n"/>
      <c r="DE187" s="60" t="n"/>
    </row>
    <row r="188">
      <c r="A188" s="60" t="inlineStr">
        <is>
          <t>Pieza fabricada (se explota en su MP)</t>
        </is>
      </c>
      <c r="B188" s="60" t="inlineStr">
        <is>
          <t>Cuerpo (virola) — Ø390 × e4,75 × 789,1 de alto; desarrollo 1.210,3 × 789,1</t>
        </is>
      </c>
      <c r="C188" s="60" t="inlineStr">
        <is>
          <t>u</t>
        </is>
      </c>
      <c r="D188" s="60" t="inlineStr">
        <is>
          <t>No</t>
        </is>
      </c>
      <c r="E188" s="60" t="n"/>
      <c r="F188" s="60" t="inlineStr">
        <is>
          <t>1 Guillotina -&gt; C1 cilindrado -&gt; C2 punteo -&gt; C3 sold. long.</t>
        </is>
      </c>
      <c r="G188" s="60" t="n"/>
      <c r="H188" s="60" t="n"/>
      <c r="I188" s="60" t="n"/>
      <c r="J188" s="60" t="n"/>
      <c r="K188" s="60" t="n"/>
      <c r="L188" s="60" t="n"/>
      <c r="M188" s="60" t="n"/>
      <c r="N188" s="60" t="n"/>
      <c r="O188" s="60" t="n"/>
      <c r="P188" s="60" t="n"/>
      <c r="Q188" s="60" t="n"/>
      <c r="R188" s="60" t="n"/>
      <c r="S188" s="60" t="n"/>
      <c r="T188" s="60" t="n"/>
      <c r="U188" s="60" t="n"/>
      <c r="V188" s="60" t="n"/>
      <c r="W188" s="60" t="n">
        <v>1</v>
      </c>
      <c r="X188" s="60" t="n"/>
      <c r="Y188" s="60" t="n"/>
      <c r="Z188" s="60" t="n"/>
      <c r="AA188" s="60" t="n"/>
      <c r="AB188" s="60" t="n"/>
      <c r="AC188" s="60" t="n"/>
      <c r="AD188" s="60" t="n"/>
      <c r="AE188" s="60" t="n">
        <v>1</v>
      </c>
      <c r="AF188" s="60" t="n"/>
      <c r="AG188" s="60" t="n"/>
      <c r="AH188" s="60" t="n"/>
      <c r="AI188" s="60" t="n"/>
      <c r="AJ188" s="60" t="n"/>
      <c r="AK188" s="60" t="n"/>
      <c r="AL188" s="60" t="n"/>
      <c r="AM188" s="60" t="n"/>
      <c r="AN188" s="60" t="n"/>
      <c r="AO188" s="60" t="n"/>
      <c r="AP188" s="60" t="n"/>
      <c r="AQ188" s="60" t="n"/>
      <c r="AR188" s="60" t="n"/>
      <c r="AS188" s="60" t="n"/>
      <c r="AT188" s="60" t="n"/>
      <c r="AU188" s="60" t="n"/>
      <c r="AV188" s="60" t="n"/>
      <c r="AW188" s="60" t="n"/>
      <c r="AX188" s="60" t="n"/>
      <c r="AY188" s="60" t="n"/>
      <c r="AZ188" s="60" t="n"/>
      <c r="BA188" s="60" t="n"/>
      <c r="BB188" s="60" t="n"/>
      <c r="BC188" s="60" t="n"/>
      <c r="BD188" s="60" t="n"/>
      <c r="BE188" s="60" t="n"/>
      <c r="BF188" s="60" t="n"/>
      <c r="BG188" s="60" t="n"/>
      <c r="BH188" s="60" t="n"/>
      <c r="BI188" s="60" t="n"/>
      <c r="BJ188" s="60" t="n"/>
      <c r="BK188" s="60" t="n"/>
      <c r="BL188" s="60" t="n"/>
      <c r="BM188" s="60" t="n"/>
      <c r="BN188" s="60" t="n"/>
      <c r="BO188" s="60" t="n"/>
      <c r="BP188" s="60" t="n"/>
      <c r="BQ188" s="60" t="n"/>
      <c r="BR188" s="60" t="n"/>
      <c r="BS188" s="60" t="n"/>
      <c r="BT188" s="60" t="n"/>
      <c r="BU188" s="60" t="n"/>
      <c r="BV188" s="60" t="n"/>
      <c r="BW188" s="60" t="n"/>
      <c r="BX188" s="60" t="n"/>
      <c r="BY188" s="60" t="n"/>
      <c r="BZ188" s="60" t="n"/>
      <c r="CA188" s="60" t="n"/>
      <c r="CB188" s="60" t="n"/>
      <c r="CC188" s="60" t="n"/>
      <c r="CD188" s="60" t="n"/>
      <c r="CE188" s="60" t="n"/>
      <c r="CF188" s="60" t="n"/>
      <c r="CG188" s="60" t="n"/>
      <c r="CH188" s="60" t="n"/>
      <c r="CI188" s="60" t="n"/>
      <c r="CJ188" s="60" t="n"/>
      <c r="CK188" s="60" t="n"/>
      <c r="CL188" s="60" t="n"/>
      <c r="CM188" s="60" t="n"/>
      <c r="CN188" s="60" t="n"/>
      <c r="CO188" s="60" t="n"/>
      <c r="CP188" s="60" t="n"/>
      <c r="CQ188" s="60" t="n"/>
      <c r="CR188" s="60" t="n"/>
      <c r="CS188" s="60" t="n"/>
      <c r="CT188" s="60" t="n"/>
      <c r="CU188" s="60" t="n"/>
      <c r="CV188" s="60" t="n"/>
      <c r="CW188" s="60" t="n"/>
      <c r="CX188" s="60" t="n"/>
      <c r="CY188" s="60" t="n"/>
      <c r="CZ188" s="60" t="n"/>
      <c r="DA188" s="60" t="n"/>
      <c r="DB188" s="60" t="n"/>
      <c r="DC188" s="60" t="n"/>
      <c r="DD188" s="60" t="n"/>
      <c r="DE188" s="60" t="n"/>
    </row>
    <row r="189">
      <c r="A189" s="60" t="inlineStr">
        <is>
          <t>Pieza fabricada (se explota en su MP)</t>
        </is>
      </c>
      <c r="B189" s="60" t="inlineStr">
        <is>
          <t>Cuerpo (virola) — Ø76,2 × e1,25 × 251,8 de alto; desarrollo 235,5 × 251,8</t>
        </is>
      </c>
      <c r="C189" s="60" t="inlineStr">
        <is>
          <t>u</t>
        </is>
      </c>
      <c r="D189" s="60" t="inlineStr">
        <is>
          <t>No</t>
        </is>
      </c>
      <c r="E189" s="60" t="n"/>
      <c r="F189" s="60" t="inlineStr">
        <is>
          <t>5 Corte láser de caño (M15/M16) -&gt; 9 encastre</t>
        </is>
      </c>
      <c r="G189" s="60" t="n">
        <v>1</v>
      </c>
      <c r="H189" s="60" t="n"/>
      <c r="I189" s="60" t="n"/>
      <c r="J189" s="60" t="n"/>
      <c r="K189" s="60" t="n"/>
      <c r="L189" s="60" t="n"/>
      <c r="M189" s="60" t="n"/>
      <c r="N189" s="60" t="n"/>
      <c r="O189" s="60" t="n"/>
      <c r="P189" s="60" t="n"/>
      <c r="Q189" s="60" t="n"/>
      <c r="R189" s="60" t="n"/>
      <c r="S189" s="60" t="n"/>
      <c r="T189" s="60" t="n"/>
      <c r="U189" s="60" t="n"/>
      <c r="V189" s="60" t="n"/>
      <c r="W189" s="60" t="n"/>
      <c r="X189" s="60" t="n">
        <v>1</v>
      </c>
      <c r="Y189" s="60" t="n"/>
      <c r="Z189" s="60" t="n"/>
      <c r="AA189" s="60" t="n"/>
      <c r="AB189" s="60" t="n"/>
      <c r="AC189" s="60" t="n"/>
      <c r="AD189" s="60" t="n"/>
      <c r="AE189" s="60" t="n"/>
      <c r="AF189" s="60" t="n"/>
      <c r="AG189" s="60" t="n"/>
      <c r="AH189" s="60" t="n"/>
      <c r="AI189" s="60" t="n"/>
      <c r="AJ189" s="60" t="n"/>
      <c r="AK189" s="60" t="n"/>
      <c r="AL189" s="60" t="n"/>
      <c r="AM189" s="60" t="n"/>
      <c r="AN189" s="60" t="n"/>
      <c r="AO189" s="60" t="n"/>
      <c r="AP189" s="60" t="n"/>
      <c r="AQ189" s="60" t="n"/>
      <c r="AR189" s="60" t="n"/>
      <c r="AS189" s="60" t="n"/>
      <c r="AT189" s="60" t="n"/>
      <c r="AU189" s="60" t="n"/>
      <c r="AV189" s="60" t="n"/>
      <c r="AW189" s="60" t="n"/>
      <c r="AX189" s="60" t="n"/>
      <c r="AY189" s="60" t="n"/>
      <c r="AZ189" s="60" t="n"/>
      <c r="BA189" s="60" t="n"/>
      <c r="BB189" s="60" t="n"/>
      <c r="BC189" s="60" t="n"/>
      <c r="BD189" s="60" t="n"/>
      <c r="BE189" s="60" t="n"/>
      <c r="BF189" s="60" t="n"/>
      <c r="BG189" s="60" t="n"/>
      <c r="BH189" s="60" t="n"/>
      <c r="BI189" s="60" t="n"/>
      <c r="BJ189" s="60" t="n"/>
      <c r="BK189" s="60" t="n"/>
      <c r="BL189" s="60" t="n"/>
      <c r="BM189" s="60" t="n"/>
      <c r="BN189" s="60" t="n"/>
      <c r="BO189" s="60" t="n"/>
      <c r="BP189" s="60" t="n"/>
      <c r="BQ189" s="60" t="n"/>
      <c r="BR189" s="60" t="n"/>
      <c r="BS189" s="60" t="n"/>
      <c r="BT189" s="60" t="n"/>
      <c r="BU189" s="60" t="n"/>
      <c r="BV189" s="60" t="n"/>
      <c r="BW189" s="60" t="n"/>
      <c r="BX189" s="60" t="n"/>
      <c r="BY189" s="60" t="n"/>
      <c r="BZ189" s="60" t="n"/>
      <c r="CA189" s="60" t="n"/>
      <c r="CB189" s="60" t="n"/>
      <c r="CC189" s="60" t="n"/>
      <c r="CD189" s="60" t="n"/>
      <c r="CE189" s="60" t="n"/>
      <c r="CF189" s="60" t="n"/>
      <c r="CG189" s="60" t="n"/>
      <c r="CH189" s="60" t="n"/>
      <c r="CI189" s="60" t="n"/>
      <c r="CJ189" s="60" t="n"/>
      <c r="CK189" s="60" t="n"/>
      <c r="CL189" s="60" t="n"/>
      <c r="CM189" s="60" t="n"/>
      <c r="CN189" s="60" t="n"/>
      <c r="CO189" s="60" t="n"/>
      <c r="CP189" s="60" t="n"/>
      <c r="CQ189" s="60" t="n"/>
      <c r="CR189" s="60" t="n"/>
      <c r="CS189" s="60" t="n"/>
      <c r="CT189" s="60" t="n"/>
      <c r="CU189" s="60" t="n"/>
      <c r="CV189" s="60" t="n"/>
      <c r="CW189" s="60" t="n"/>
      <c r="CX189" s="60" t="n"/>
      <c r="CY189" s="60" t="n"/>
      <c r="CZ189" s="60" t="n"/>
      <c r="DA189" s="60" t="n"/>
      <c r="DB189" s="60" t="n"/>
      <c r="DC189" s="60" t="n"/>
      <c r="DD189" s="60" t="n"/>
      <c r="DE189" s="60" t="n"/>
    </row>
    <row r="190">
      <c r="A190" s="60" t="inlineStr">
        <is>
          <t>Pieza fabricada (se explota en su MP)</t>
        </is>
      </c>
      <c r="B190" s="60" t="inlineStr">
        <is>
          <t>Cúpula — Ø124 × e1,25 × 37,9 de alto; disco Ø179</t>
        </is>
      </c>
      <c r="C190" s="60" t="inlineStr">
        <is>
          <t>u</t>
        </is>
      </c>
      <c r="D190" s="60" t="inlineStr">
        <is>
          <t>No</t>
        </is>
      </c>
      <c r="E190" s="60" t="n"/>
      <c r="F190" s="60" t="inlineStr">
        <is>
          <t>6 Desbobinado + embutido (M06-M08)</t>
        </is>
      </c>
      <c r="G190" s="60" t="n"/>
      <c r="H190" s="60" t="n">
        <v>1</v>
      </c>
      <c r="I190" s="60" t="n"/>
      <c r="J190" s="60" t="n"/>
      <c r="K190" s="60" t="n"/>
      <c r="L190" s="60" t="n"/>
      <c r="M190" s="60" t="n"/>
      <c r="N190" s="60" t="n"/>
      <c r="O190" s="60" t="n"/>
      <c r="P190" s="60" t="n"/>
      <c r="Q190" s="60" t="n"/>
      <c r="R190" s="60" t="n"/>
      <c r="S190" s="60" t="n"/>
      <c r="T190" s="60" t="n"/>
      <c r="U190" s="60" t="n"/>
      <c r="V190" s="60" t="n"/>
      <c r="W190" s="60" t="n"/>
      <c r="X190" s="60" t="n"/>
      <c r="Y190" s="60" t="n">
        <v>1</v>
      </c>
      <c r="Z190" s="60" t="n"/>
      <c r="AA190" s="60" t="n"/>
      <c r="AB190" s="60" t="n"/>
      <c r="AC190" s="60" t="n"/>
      <c r="AD190" s="60" t="n"/>
      <c r="AE190" s="60" t="n"/>
      <c r="AF190" s="60" t="n"/>
      <c r="AG190" s="60" t="n"/>
      <c r="AH190" s="60" t="n"/>
      <c r="AI190" s="60" t="n"/>
      <c r="AJ190" s="60" t="n"/>
      <c r="AK190" s="60" t="n"/>
      <c r="AL190" s="60" t="n"/>
      <c r="AM190" s="60" t="n"/>
      <c r="AN190" s="60" t="n"/>
      <c r="AO190" s="60" t="n"/>
      <c r="AP190" s="60" t="n"/>
      <c r="AQ190" s="60" t="n"/>
      <c r="AR190" s="60" t="n"/>
      <c r="AS190" s="60" t="n"/>
      <c r="AT190" s="60" t="n"/>
      <c r="AU190" s="60" t="n"/>
      <c r="AV190" s="60" t="n"/>
      <c r="AW190" s="60" t="n"/>
      <c r="AX190" s="60" t="n"/>
      <c r="AY190" s="60" t="n"/>
      <c r="AZ190" s="60" t="n"/>
      <c r="BA190" s="60" t="n"/>
      <c r="BB190" s="60" t="n"/>
      <c r="BC190" s="60" t="n"/>
      <c r="BD190" s="60" t="n"/>
      <c r="BE190" s="60" t="n"/>
      <c r="BF190" s="60" t="n"/>
      <c r="BG190" s="60" t="n"/>
      <c r="BH190" s="60" t="n"/>
      <c r="BI190" s="60" t="n"/>
      <c r="BJ190" s="60" t="n"/>
      <c r="BK190" s="60" t="n"/>
      <c r="BL190" s="60" t="n"/>
      <c r="BM190" s="60" t="n"/>
      <c r="BN190" s="60" t="n"/>
      <c r="BO190" s="60" t="n"/>
      <c r="BP190" s="60" t="n"/>
      <c r="BQ190" s="60" t="n"/>
      <c r="BR190" s="60" t="n"/>
      <c r="BS190" s="60" t="n"/>
      <c r="BT190" s="60" t="n"/>
      <c r="BU190" s="60" t="n"/>
      <c r="BV190" s="60" t="n"/>
      <c r="BW190" s="60" t="n"/>
      <c r="BX190" s="60" t="n"/>
      <c r="BY190" s="60" t="n"/>
      <c r="BZ190" s="60" t="n"/>
      <c r="CA190" s="60" t="n"/>
      <c r="CB190" s="60" t="n"/>
      <c r="CC190" s="60" t="n"/>
      <c r="CD190" s="60" t="n"/>
      <c r="CE190" s="60" t="n"/>
      <c r="CF190" s="60" t="n"/>
      <c r="CG190" s="60" t="n"/>
      <c r="CH190" s="60" t="n"/>
      <c r="CI190" s="60" t="n"/>
      <c r="CJ190" s="60" t="n"/>
      <c r="CK190" s="60" t="n"/>
      <c r="CL190" s="60" t="n"/>
      <c r="CM190" s="60" t="n"/>
      <c r="CN190" s="60" t="n"/>
      <c r="CO190" s="60" t="n"/>
      <c r="CP190" s="60" t="n"/>
      <c r="CQ190" s="60" t="n"/>
      <c r="CR190" s="60" t="n"/>
      <c r="CS190" s="60" t="n"/>
      <c r="CT190" s="60" t="n"/>
      <c r="CU190" s="60" t="n"/>
      <c r="CV190" s="60" t="n"/>
      <c r="CW190" s="60" t="n"/>
      <c r="CX190" s="60" t="n"/>
      <c r="CY190" s="60" t="n"/>
      <c r="CZ190" s="60" t="n"/>
      <c r="DA190" s="60" t="n"/>
      <c r="DB190" s="60" t="n"/>
      <c r="DC190" s="60" t="n"/>
      <c r="DD190" s="60" t="n"/>
      <c r="DE190" s="60" t="n"/>
    </row>
    <row r="191">
      <c r="A191" s="60" t="inlineStr">
        <is>
          <t>Pieza fabricada (se explota en su MP)</t>
        </is>
      </c>
      <c r="B191" s="60" t="inlineStr">
        <is>
          <t>Cúpula — Ø153 × e1,6 × 53,1 de alto; disco Ø221</t>
        </is>
      </c>
      <c r="C191" s="60" t="inlineStr">
        <is>
          <t>u</t>
        </is>
      </c>
      <c r="D191" s="60" t="inlineStr">
        <is>
          <t>No</t>
        </is>
      </c>
      <c r="E191" s="60" t="n"/>
      <c r="F191" s="60" t="inlineStr">
        <is>
          <t>6 Desbobinado + embutido (M06-M08)</t>
        </is>
      </c>
      <c r="G191" s="60" t="n"/>
      <c r="H191" s="60" t="n"/>
      <c r="I191" s="60" t="n">
        <v>1</v>
      </c>
      <c r="J191" s="60" t="n"/>
      <c r="K191" s="60" t="n"/>
      <c r="L191" s="60" t="n"/>
      <c r="M191" s="60" t="n"/>
      <c r="N191" s="60" t="n">
        <v>1</v>
      </c>
      <c r="O191" s="60" t="n"/>
      <c r="P191" s="60" t="n"/>
      <c r="Q191" s="60" t="n"/>
      <c r="R191" s="60" t="n">
        <v>1</v>
      </c>
      <c r="S191" s="60" t="n"/>
      <c r="T191" s="60" t="n"/>
      <c r="U191" s="60" t="n"/>
      <c r="V191" s="60" t="n"/>
      <c r="W191" s="60" t="n"/>
      <c r="X191" s="60" t="n"/>
      <c r="Y191" s="60" t="n"/>
      <c r="Z191" s="60" t="n">
        <v>1</v>
      </c>
      <c r="AA191" s="60" t="n"/>
      <c r="AB191" s="60" t="n"/>
      <c r="AC191" s="60" t="n"/>
      <c r="AD191" s="60" t="n"/>
      <c r="AE191" s="60" t="n"/>
      <c r="AF191" s="60" t="n"/>
      <c r="AG191" s="60" t="n"/>
      <c r="AH191" s="60" t="n"/>
      <c r="AI191" s="60" t="n"/>
      <c r="AJ191" s="60" t="n"/>
      <c r="AK191" s="60" t="n"/>
      <c r="AL191" s="60" t="n"/>
      <c r="AM191" s="60" t="n"/>
      <c r="AN191" s="60" t="n"/>
      <c r="AO191" s="60" t="n"/>
      <c r="AP191" s="60" t="n"/>
      <c r="AQ191" s="60" t="n"/>
      <c r="AR191" s="60" t="n"/>
      <c r="AS191" s="60" t="n"/>
      <c r="AT191" s="60" t="n"/>
      <c r="AU191" s="60" t="n"/>
      <c r="AV191" s="60" t="n"/>
      <c r="AW191" s="60" t="n"/>
      <c r="AX191" s="60" t="n"/>
      <c r="AY191" s="60" t="n"/>
      <c r="AZ191" s="60" t="n"/>
      <c r="BA191" s="60" t="n"/>
      <c r="BB191" s="60" t="n"/>
      <c r="BC191" s="60" t="n"/>
      <c r="BD191" s="60" t="n"/>
      <c r="BE191" s="60" t="n"/>
      <c r="BF191" s="60" t="n"/>
      <c r="BG191" s="60" t="n"/>
      <c r="BH191" s="60" t="n"/>
      <c r="BI191" s="60" t="n"/>
      <c r="BJ191" s="60" t="n"/>
      <c r="BK191" s="60" t="n"/>
      <c r="BL191" s="60" t="n"/>
      <c r="BM191" s="60" t="n"/>
      <c r="BN191" s="60" t="n"/>
      <c r="BO191" s="60" t="n"/>
      <c r="BP191" s="60" t="n"/>
      <c r="BQ191" s="60" t="n"/>
      <c r="BR191" s="60" t="n"/>
      <c r="BS191" s="60" t="n"/>
      <c r="BT191" s="60" t="n"/>
      <c r="BU191" s="60" t="n"/>
      <c r="BV191" s="60" t="n"/>
      <c r="BW191" s="60" t="n"/>
      <c r="BX191" s="60" t="n"/>
      <c r="BY191" s="60" t="n"/>
      <c r="BZ191" s="60" t="n"/>
      <c r="CA191" s="60" t="n"/>
      <c r="CB191" s="60" t="n"/>
      <c r="CC191" s="60" t="n"/>
      <c r="CD191" s="60" t="n"/>
      <c r="CE191" s="60" t="n"/>
      <c r="CF191" s="60" t="n"/>
      <c r="CG191" s="60" t="n"/>
      <c r="CH191" s="60" t="n"/>
      <c r="CI191" s="60" t="n"/>
      <c r="CJ191" s="60" t="n"/>
      <c r="CK191" s="60" t="n"/>
      <c r="CL191" s="60" t="n"/>
      <c r="CM191" s="60" t="n"/>
      <c r="CN191" s="60" t="n"/>
      <c r="CO191" s="60" t="n"/>
      <c r="CP191" s="60" t="n"/>
      <c r="CQ191" s="60" t="n"/>
      <c r="CR191" s="60" t="n"/>
      <c r="CS191" s="60" t="n"/>
      <c r="CT191" s="60" t="n"/>
      <c r="CU191" s="60" t="n"/>
      <c r="CV191" s="60" t="n"/>
      <c r="CW191" s="60" t="n"/>
      <c r="CX191" s="60" t="n"/>
      <c r="CY191" s="60" t="n"/>
      <c r="CZ191" s="60" t="n"/>
      <c r="DA191" s="60" t="n"/>
      <c r="DB191" s="60" t="n"/>
      <c r="DC191" s="60" t="n"/>
      <c r="DD191" s="60" t="n"/>
      <c r="DE191" s="60" t="n"/>
    </row>
    <row r="192">
      <c r="A192" s="60" t="inlineStr">
        <is>
          <t>Pieza fabricada (se explota en su MP)</t>
        </is>
      </c>
      <c r="B192" s="60" t="inlineStr">
        <is>
          <t>Cúpula — Ø181,5 × e1,6 × 61,3 de alto; disco Ø258</t>
        </is>
      </c>
      <c r="C192" s="60" t="inlineStr">
        <is>
          <t>u</t>
        </is>
      </c>
      <c r="D192" s="60" t="inlineStr">
        <is>
          <t>No</t>
        </is>
      </c>
      <c r="E192" s="60" t="n"/>
      <c r="F192" s="60" t="inlineStr">
        <is>
          <t>6 Desbobinado + embutido (M06-M08)</t>
        </is>
      </c>
      <c r="G192" s="60" t="n"/>
      <c r="H192" s="60" t="n"/>
      <c r="I192" s="60" t="n"/>
      <c r="J192" s="60" t="n">
        <v>1</v>
      </c>
      <c r="K192" s="60" t="n"/>
      <c r="L192" s="60" t="n"/>
      <c r="M192" s="60" t="n"/>
      <c r="N192" s="60" t="n"/>
      <c r="O192" s="60" t="n"/>
      <c r="P192" s="60" t="n"/>
      <c r="Q192" s="60" t="n"/>
      <c r="R192" s="60" t="n"/>
      <c r="S192" s="60" t="n"/>
      <c r="T192" s="60" t="n"/>
      <c r="U192" s="60" t="n"/>
      <c r="V192" s="60" t="n"/>
      <c r="W192" s="60" t="n"/>
      <c r="X192" s="60" t="n"/>
      <c r="Y192" s="60" t="n"/>
      <c r="Z192" s="60" t="n"/>
      <c r="AA192" s="60" t="n">
        <v>1</v>
      </c>
      <c r="AB192" s="60" t="n"/>
      <c r="AC192" s="60" t="n"/>
      <c r="AD192" s="60" t="n"/>
      <c r="AE192" s="60" t="n"/>
      <c r="AF192" s="60" t="n"/>
      <c r="AG192" s="60" t="n"/>
      <c r="AH192" s="60" t="n"/>
      <c r="AI192" s="60" t="n"/>
      <c r="AJ192" s="60" t="n"/>
      <c r="AK192" s="60" t="n"/>
      <c r="AL192" s="60" t="n"/>
      <c r="AM192" s="60" t="n"/>
      <c r="AN192" s="60" t="n"/>
      <c r="AO192" s="60" t="n"/>
      <c r="AP192" s="60" t="n"/>
      <c r="AQ192" s="60" t="n"/>
      <c r="AR192" s="60" t="n"/>
      <c r="AS192" s="60" t="n"/>
      <c r="AT192" s="60" t="n"/>
      <c r="AU192" s="60" t="n"/>
      <c r="AV192" s="60" t="n"/>
      <c r="AW192" s="60" t="n"/>
      <c r="AX192" s="60" t="n"/>
      <c r="AY192" s="60" t="n"/>
      <c r="AZ192" s="60" t="n"/>
      <c r="BA192" s="60" t="n"/>
      <c r="BB192" s="60" t="n"/>
      <c r="BC192" s="60" t="n"/>
      <c r="BD192" s="60" t="n"/>
      <c r="BE192" s="60" t="n"/>
      <c r="BF192" s="60" t="n"/>
      <c r="BG192" s="60" t="n"/>
      <c r="BH192" s="60" t="n"/>
      <c r="BI192" s="60" t="n"/>
      <c r="BJ192" s="60" t="n"/>
      <c r="BK192" s="60" t="n"/>
      <c r="BL192" s="60" t="n"/>
      <c r="BM192" s="60" t="n"/>
      <c r="BN192" s="60" t="n"/>
      <c r="BO192" s="60" t="n"/>
      <c r="BP192" s="60" t="n"/>
      <c r="BQ192" s="60" t="n"/>
      <c r="BR192" s="60" t="n"/>
      <c r="BS192" s="60" t="n"/>
      <c r="BT192" s="60" t="n"/>
      <c r="BU192" s="60" t="n"/>
      <c r="BV192" s="60" t="n"/>
      <c r="BW192" s="60" t="n"/>
      <c r="BX192" s="60" t="n"/>
      <c r="BY192" s="60" t="n"/>
      <c r="BZ192" s="60" t="n"/>
      <c r="CA192" s="60" t="n"/>
      <c r="CB192" s="60" t="n"/>
      <c r="CC192" s="60" t="n"/>
      <c r="CD192" s="60" t="n"/>
      <c r="CE192" s="60" t="n"/>
      <c r="CF192" s="60" t="n"/>
      <c r="CG192" s="60" t="n"/>
      <c r="CH192" s="60" t="n"/>
      <c r="CI192" s="60" t="n"/>
      <c r="CJ192" s="60" t="n"/>
      <c r="CK192" s="60" t="n"/>
      <c r="CL192" s="60" t="n"/>
      <c r="CM192" s="60" t="n"/>
      <c r="CN192" s="60" t="n"/>
      <c r="CO192" s="60" t="n"/>
      <c r="CP192" s="60" t="n"/>
      <c r="CQ192" s="60" t="n"/>
      <c r="CR192" s="60" t="n"/>
      <c r="CS192" s="60" t="n"/>
      <c r="CT192" s="60" t="n"/>
      <c r="CU192" s="60" t="n"/>
      <c r="CV192" s="60" t="n"/>
      <c r="CW192" s="60" t="n"/>
      <c r="CX192" s="60" t="n"/>
      <c r="CY192" s="60" t="n"/>
      <c r="CZ192" s="60" t="n"/>
      <c r="DA192" s="60" t="n"/>
      <c r="DB192" s="60" t="n"/>
      <c r="DC192" s="60" t="n"/>
      <c r="DD192" s="60" t="n"/>
      <c r="DE192" s="60" t="n"/>
    </row>
    <row r="193">
      <c r="A193" s="60" t="inlineStr">
        <is>
          <t>Pieza fabricada (se explota en su MP)</t>
        </is>
      </c>
      <c r="B193" s="60" t="inlineStr">
        <is>
          <t>Cúpula — Ø76,2 × e0,9 × 11,7 de alto; disco Ø108</t>
        </is>
      </c>
      <c r="C193" s="60" t="inlineStr">
        <is>
          <t>u</t>
        </is>
      </c>
      <c r="D193" s="60" t="inlineStr">
        <is>
          <t>No</t>
        </is>
      </c>
      <c r="E193" s="60" t="n"/>
      <c r="F193" s="60" t="inlineStr">
        <is>
          <t>6 Desbobinado + embutido (M06-M08)</t>
        </is>
      </c>
      <c r="G193" s="60" t="n">
        <v>1</v>
      </c>
      <c r="H193" s="60" t="n"/>
      <c r="I193" s="60" t="n"/>
      <c r="J193" s="60" t="n"/>
      <c r="K193" s="60" t="n"/>
      <c r="L193" s="60" t="n"/>
      <c r="M193" s="60" t="n"/>
      <c r="N193" s="60" t="n"/>
      <c r="O193" s="60" t="n"/>
      <c r="P193" s="60" t="n"/>
      <c r="Q193" s="60" t="n"/>
      <c r="R193" s="60" t="n"/>
      <c r="S193" s="60" t="n"/>
      <c r="T193" s="60" t="n"/>
      <c r="U193" s="60" t="n"/>
      <c r="V193" s="60" t="n"/>
      <c r="W193" s="60" t="n"/>
      <c r="X193" s="60" t="n">
        <v>1</v>
      </c>
      <c r="Y193" s="60" t="n"/>
      <c r="Z193" s="60" t="n"/>
      <c r="AA193" s="60" t="n"/>
      <c r="AB193" s="60" t="n"/>
      <c r="AC193" s="60" t="n"/>
      <c r="AD193" s="60" t="n"/>
      <c r="AE193" s="60" t="n"/>
      <c r="AF193" s="60" t="n"/>
      <c r="AG193" s="60" t="n"/>
      <c r="AH193" s="60" t="n"/>
      <c r="AI193" s="60" t="n"/>
      <c r="AJ193" s="60" t="n"/>
      <c r="AK193" s="60" t="n"/>
      <c r="AL193" s="60" t="n"/>
      <c r="AM193" s="60" t="n"/>
      <c r="AN193" s="60" t="n"/>
      <c r="AO193" s="60" t="n"/>
      <c r="AP193" s="60" t="n"/>
      <c r="AQ193" s="60" t="n"/>
      <c r="AR193" s="60" t="n"/>
      <c r="AS193" s="60" t="n"/>
      <c r="AT193" s="60" t="n"/>
      <c r="AU193" s="60" t="n"/>
      <c r="AV193" s="60" t="n"/>
      <c r="AW193" s="60" t="n"/>
      <c r="AX193" s="60" t="n"/>
      <c r="AY193" s="60" t="n"/>
      <c r="AZ193" s="60" t="n"/>
      <c r="BA193" s="60" t="n"/>
      <c r="BB193" s="60" t="n"/>
      <c r="BC193" s="60" t="n"/>
      <c r="BD193" s="60" t="n"/>
      <c r="BE193" s="60" t="n"/>
      <c r="BF193" s="60" t="n"/>
      <c r="BG193" s="60" t="n"/>
      <c r="BH193" s="60" t="n"/>
      <c r="BI193" s="60" t="n"/>
      <c r="BJ193" s="60" t="n"/>
      <c r="BK193" s="60" t="n"/>
      <c r="BL193" s="60" t="n"/>
      <c r="BM193" s="60" t="n"/>
      <c r="BN193" s="60" t="n"/>
      <c r="BO193" s="60" t="n"/>
      <c r="BP193" s="60" t="n"/>
      <c r="BQ193" s="60" t="n"/>
      <c r="BR193" s="60" t="n"/>
      <c r="BS193" s="60" t="n"/>
      <c r="BT193" s="60" t="n"/>
      <c r="BU193" s="60" t="n"/>
      <c r="BV193" s="60" t="n"/>
      <c r="BW193" s="60" t="n"/>
      <c r="BX193" s="60" t="n"/>
      <c r="BY193" s="60" t="n"/>
      <c r="BZ193" s="60" t="n"/>
      <c r="CA193" s="60" t="n"/>
      <c r="CB193" s="60" t="n"/>
      <c r="CC193" s="60" t="n"/>
      <c r="CD193" s="60" t="n"/>
      <c r="CE193" s="60" t="n"/>
      <c r="CF193" s="60" t="n"/>
      <c r="CG193" s="60" t="n"/>
      <c r="CH193" s="60" t="n"/>
      <c r="CI193" s="60" t="n"/>
      <c r="CJ193" s="60" t="n"/>
      <c r="CK193" s="60" t="n"/>
      <c r="CL193" s="60" t="n"/>
      <c r="CM193" s="60" t="n"/>
      <c r="CN193" s="60" t="n"/>
      <c r="CO193" s="60" t="n"/>
      <c r="CP193" s="60" t="n"/>
      <c r="CQ193" s="60" t="n"/>
      <c r="CR193" s="60" t="n"/>
      <c r="CS193" s="60" t="n"/>
      <c r="CT193" s="60" t="n"/>
      <c r="CU193" s="60" t="n"/>
      <c r="CV193" s="60" t="n"/>
      <c r="CW193" s="60" t="n"/>
      <c r="CX193" s="60" t="n"/>
      <c r="CY193" s="60" t="n"/>
      <c r="CZ193" s="60" t="n"/>
      <c r="DA193" s="60" t="n"/>
      <c r="DB193" s="60" t="n"/>
      <c r="DC193" s="60" t="n"/>
      <c r="DD193" s="60" t="n"/>
      <c r="DE193" s="60" t="n"/>
    </row>
    <row r="194">
      <c r="A194" s="60" t="inlineStr">
        <is>
          <t>Pieza fabricada (se explota en su MP)</t>
        </is>
      </c>
      <c r="B194" s="60" t="inlineStr">
        <is>
          <t>Eje de ruedas — Ø25 × 365 de largo</t>
        </is>
      </c>
      <c r="C194" s="60" t="inlineStr">
        <is>
          <t>u</t>
        </is>
      </c>
      <c r="D194" s="60" t="inlineStr">
        <is>
          <t>No</t>
        </is>
      </c>
      <c r="E194" s="60" t="n"/>
      <c r="F194" s="60" t="inlineStr">
        <is>
          <t>Corte en sierra -&gt; curvado / plegado -&gt; soldadura MAG del carro -&gt; C9 armado (S-TC); puesto de soldadura de carros a incorporar al layout</t>
        </is>
      </c>
      <c r="G194" s="60" t="n"/>
      <c r="H194" s="60" t="n"/>
      <c r="I194" s="60" t="n"/>
      <c r="J194" s="60" t="n"/>
      <c r="K194" s="60" t="n"/>
      <c r="L194" s="60" t="n"/>
      <c r="M194" s="60" t="n"/>
      <c r="N194" s="60" t="n"/>
      <c r="O194" s="60" t="n"/>
      <c r="P194" s="60" t="n"/>
      <c r="Q194" s="60" t="n"/>
      <c r="R194" s="60" t="n"/>
      <c r="S194" s="60" t="n"/>
      <c r="T194" s="60" t="n">
        <v>1</v>
      </c>
      <c r="U194" s="60" t="n"/>
      <c r="V194" s="60" t="n"/>
      <c r="W194" s="60" t="n"/>
      <c r="X194" s="60" t="n"/>
      <c r="Y194" s="60" t="n"/>
      <c r="Z194" s="60" t="n"/>
      <c r="AA194" s="60" t="n"/>
      <c r="AB194" s="60" t="n"/>
      <c r="AC194" s="60" t="n"/>
      <c r="AD194" s="60" t="n"/>
      <c r="AE194" s="60" t="n"/>
      <c r="AF194" s="60" t="n"/>
      <c r="AG194" s="60" t="n"/>
      <c r="AH194" s="60" t="n"/>
      <c r="AI194" s="60" t="n"/>
      <c r="AJ194" s="60" t="n"/>
      <c r="AK194" s="60" t="n"/>
      <c r="AL194" s="60" t="n"/>
      <c r="AM194" s="60" t="n"/>
      <c r="AN194" s="60" t="n"/>
      <c r="AO194" s="60" t="n"/>
      <c r="AP194" s="60" t="n"/>
      <c r="AQ194" s="60" t="n"/>
      <c r="AR194" s="60" t="n"/>
      <c r="AS194" s="60" t="n"/>
      <c r="AT194" s="60" t="n"/>
      <c r="AU194" s="60" t="n"/>
      <c r="AV194" s="60" t="n"/>
      <c r="AW194" s="60" t="n"/>
      <c r="AX194" s="60" t="n"/>
      <c r="AY194" s="60" t="n"/>
      <c r="AZ194" s="60" t="n"/>
      <c r="BA194" s="60" t="n"/>
      <c r="BB194" s="60" t="n"/>
      <c r="BC194" s="60" t="n"/>
      <c r="BD194" s="60" t="n"/>
      <c r="BE194" s="60" t="n"/>
      <c r="BF194" s="60" t="n"/>
      <c r="BG194" s="60" t="n"/>
      <c r="BH194" s="60" t="n"/>
      <c r="BI194" s="60" t="n"/>
      <c r="BJ194" s="60" t="n"/>
      <c r="BK194" s="60" t="n"/>
      <c r="BL194" s="60" t="n"/>
      <c r="BM194" s="60" t="n"/>
      <c r="BN194" s="60" t="n"/>
      <c r="BO194" s="60" t="n"/>
      <c r="BP194" s="60" t="n"/>
      <c r="BQ194" s="60" t="n"/>
      <c r="BR194" s="60" t="n"/>
      <c r="BS194" s="60" t="n"/>
      <c r="BT194" s="60" t="n"/>
      <c r="BU194" s="60" t="n"/>
      <c r="BV194" s="60" t="n"/>
      <c r="BW194" s="60" t="n"/>
      <c r="BX194" s="60" t="n"/>
      <c r="BY194" s="60" t="n"/>
      <c r="BZ194" s="60" t="n"/>
      <c r="CA194" s="60" t="n"/>
      <c r="CB194" s="60" t="n"/>
      <c r="CC194" s="60" t="n"/>
      <c r="CD194" s="60" t="n"/>
      <c r="CE194" s="60" t="n"/>
      <c r="CF194" s="60" t="n"/>
      <c r="CG194" s="60" t="n"/>
      <c r="CH194" s="60" t="n"/>
      <c r="CI194" s="60" t="n"/>
      <c r="CJ194" s="60" t="n"/>
      <c r="CK194" s="60" t="n"/>
      <c r="CL194" s="60" t="n"/>
      <c r="CM194" s="60" t="n"/>
      <c r="CN194" s="60" t="n"/>
      <c r="CO194" s="60" t="n"/>
      <c r="CP194" s="60" t="n"/>
      <c r="CQ194" s="60" t="n"/>
      <c r="CR194" s="60" t="n"/>
      <c r="CS194" s="60" t="n"/>
      <c r="CT194" s="60" t="n"/>
      <c r="CU194" s="60" t="n"/>
      <c r="CV194" s="60" t="n"/>
      <c r="CW194" s="60" t="n"/>
      <c r="CX194" s="60" t="n"/>
      <c r="CY194" s="60" t="n"/>
      <c r="CZ194" s="60" t="n"/>
      <c r="DA194" s="60" t="n"/>
      <c r="DB194" s="60" t="n"/>
      <c r="DC194" s="60" t="n"/>
      <c r="DD194" s="60" t="n"/>
      <c r="DE194" s="60" t="n"/>
    </row>
    <row r="195">
      <c r="A195" s="60" t="inlineStr">
        <is>
          <t>Pieza fabricada (se explota en su MP)</t>
        </is>
      </c>
      <c r="B195" s="60" t="inlineStr">
        <is>
          <t>Eje de ruedas — Ø25 × 455 de largo</t>
        </is>
      </c>
      <c r="C195" s="60" t="inlineStr">
        <is>
          <t>u</t>
        </is>
      </c>
      <c r="D195" s="60" t="inlineStr">
        <is>
          <t>No</t>
        </is>
      </c>
      <c r="E195" s="60" t="n"/>
      <c r="F195" s="60" t="inlineStr">
        <is>
          <t>Corte en sierra -&gt; curvado / plegado -&gt; soldadura MAG del carro -&gt; C9 armado (S-TC); puesto de soldadura de carros a incorporar al layout</t>
        </is>
      </c>
      <c r="G195" s="60" t="n"/>
      <c r="H195" s="60" t="n"/>
      <c r="I195" s="60" t="n"/>
      <c r="J195" s="60" t="n"/>
      <c r="K195" s="60" t="n"/>
      <c r="L195" s="60" t="n"/>
      <c r="M195" s="60" t="n"/>
      <c r="N195" s="60" t="n"/>
      <c r="O195" s="60" t="n"/>
      <c r="P195" s="60" t="n"/>
      <c r="Q195" s="60" t="n"/>
      <c r="R195" s="60" t="n"/>
      <c r="S195" s="60" t="n"/>
      <c r="T195" s="60" t="n"/>
      <c r="U195" s="60" t="n"/>
      <c r="V195" s="60" t="n">
        <v>1</v>
      </c>
      <c r="W195" s="60" t="n"/>
      <c r="X195" s="60" t="n"/>
      <c r="Y195" s="60" t="n"/>
      <c r="Z195" s="60" t="n"/>
      <c r="AA195" s="60" t="n"/>
      <c r="AB195" s="60" t="n"/>
      <c r="AC195" s="60" t="n"/>
      <c r="AD195" s="60" t="n"/>
      <c r="AE195" s="60" t="n"/>
      <c r="AF195" s="60" t="n"/>
      <c r="AG195" s="60" t="n"/>
      <c r="AH195" s="60" t="n"/>
      <c r="AI195" s="60" t="n"/>
      <c r="AJ195" s="60" t="n"/>
      <c r="AK195" s="60" t="n"/>
      <c r="AL195" s="60" t="n"/>
      <c r="AM195" s="60" t="n"/>
      <c r="AN195" s="60" t="n"/>
      <c r="AO195" s="60" t="n"/>
      <c r="AP195" s="60" t="n"/>
      <c r="AQ195" s="60" t="n"/>
      <c r="AR195" s="60" t="n"/>
      <c r="AS195" s="60" t="n"/>
      <c r="AT195" s="60" t="n"/>
      <c r="AU195" s="60" t="n"/>
      <c r="AV195" s="60" t="n"/>
      <c r="AW195" s="60" t="n"/>
      <c r="AX195" s="60" t="n"/>
      <c r="AY195" s="60" t="n"/>
      <c r="AZ195" s="60" t="n"/>
      <c r="BA195" s="60" t="n"/>
      <c r="BB195" s="60" t="n"/>
      <c r="BC195" s="60" t="n"/>
      <c r="BD195" s="60" t="n"/>
      <c r="BE195" s="60" t="n"/>
      <c r="BF195" s="60" t="n"/>
      <c r="BG195" s="60" t="n"/>
      <c r="BH195" s="60" t="n"/>
      <c r="BI195" s="60" t="n"/>
      <c r="BJ195" s="60" t="n"/>
      <c r="BK195" s="60" t="n"/>
      <c r="BL195" s="60" t="n"/>
      <c r="BM195" s="60" t="n"/>
      <c r="BN195" s="60" t="n"/>
      <c r="BO195" s="60" t="n"/>
      <c r="BP195" s="60" t="n"/>
      <c r="BQ195" s="60" t="n"/>
      <c r="BR195" s="60" t="n"/>
      <c r="BS195" s="60" t="n"/>
      <c r="BT195" s="60" t="n"/>
      <c r="BU195" s="60" t="n"/>
      <c r="BV195" s="60" t="n"/>
      <c r="BW195" s="60" t="n"/>
      <c r="BX195" s="60" t="n"/>
      <c r="BY195" s="60" t="n"/>
      <c r="BZ195" s="60" t="n"/>
      <c r="CA195" s="60" t="n"/>
      <c r="CB195" s="60" t="n"/>
      <c r="CC195" s="60" t="n"/>
      <c r="CD195" s="60" t="n"/>
      <c r="CE195" s="60" t="n"/>
      <c r="CF195" s="60" t="n"/>
      <c r="CG195" s="60" t="n"/>
      <c r="CH195" s="60" t="n"/>
      <c r="CI195" s="60" t="n"/>
      <c r="CJ195" s="60" t="n"/>
      <c r="CK195" s="60" t="n"/>
      <c r="CL195" s="60" t="n"/>
      <c r="CM195" s="60" t="n"/>
      <c r="CN195" s="60" t="n"/>
      <c r="CO195" s="60" t="n"/>
      <c r="CP195" s="60" t="n"/>
      <c r="CQ195" s="60" t="n"/>
      <c r="CR195" s="60" t="n"/>
      <c r="CS195" s="60" t="n"/>
      <c r="CT195" s="60" t="n"/>
      <c r="CU195" s="60" t="n"/>
      <c r="CV195" s="60" t="n"/>
      <c r="CW195" s="60" t="n"/>
      <c r="CX195" s="60" t="n"/>
      <c r="CY195" s="60" t="n"/>
      <c r="CZ195" s="60" t="n"/>
      <c r="DA195" s="60" t="n"/>
      <c r="DB195" s="60" t="n"/>
      <c r="DC195" s="60" t="n"/>
      <c r="DD195" s="60" t="n"/>
      <c r="DE195" s="60" t="n"/>
    </row>
    <row r="196">
      <c r="A196" s="60" t="inlineStr">
        <is>
          <t>Pieza fabricada (se explota en su MP)</t>
        </is>
      </c>
      <c r="B196" s="60" t="inlineStr">
        <is>
          <t>Eje de ruedas — Ø25 × 490 de largo</t>
        </is>
      </c>
      <c r="C196" s="60" t="inlineStr">
        <is>
          <t>u</t>
        </is>
      </c>
      <c r="D196" s="60" t="inlineStr">
        <is>
          <t>No</t>
        </is>
      </c>
      <c r="E196" s="60" t="n"/>
      <c r="F196" s="60" t="inlineStr">
        <is>
          <t>Corte en sierra -&gt; curvado / plegado -&gt; soldadura MAG del carro -&gt; C9 armado (S-TC); puesto de soldadura de carros a incorporar al layout</t>
        </is>
      </c>
      <c r="G196" s="60" t="n"/>
      <c r="H196" s="60" t="n"/>
      <c r="I196" s="60" t="n"/>
      <c r="J196" s="60" t="n"/>
      <c r="K196" s="60" t="n"/>
      <c r="L196" s="60" t="n"/>
      <c r="M196" s="60" t="n"/>
      <c r="N196" s="60" t="n"/>
      <c r="O196" s="60" t="n"/>
      <c r="P196" s="60" t="n"/>
      <c r="Q196" s="60" t="n"/>
      <c r="R196" s="60" t="n"/>
      <c r="S196" s="60" t="n"/>
      <c r="T196" s="60" t="n"/>
      <c r="U196" s="60" t="n"/>
      <c r="V196" s="60" t="n"/>
      <c r="W196" s="60" t="n">
        <v>1</v>
      </c>
      <c r="X196" s="60" t="n"/>
      <c r="Y196" s="60" t="n"/>
      <c r="Z196" s="60" t="n"/>
      <c r="AA196" s="60" t="n"/>
      <c r="AB196" s="60" t="n"/>
      <c r="AC196" s="60" t="n"/>
      <c r="AD196" s="60" t="n"/>
      <c r="AE196" s="60" t="n"/>
      <c r="AF196" s="60" t="n"/>
      <c r="AG196" s="60" t="n"/>
      <c r="AH196" s="60" t="n"/>
      <c r="AI196" s="60" t="n"/>
      <c r="AJ196" s="60" t="n"/>
      <c r="AK196" s="60" t="n"/>
      <c r="AL196" s="60" t="n"/>
      <c r="AM196" s="60" t="n"/>
      <c r="AN196" s="60" t="n"/>
      <c r="AO196" s="60" t="n"/>
      <c r="AP196" s="60" t="n"/>
      <c r="AQ196" s="60" t="n"/>
      <c r="AR196" s="60" t="n"/>
      <c r="AS196" s="60" t="n"/>
      <c r="AT196" s="60" t="n"/>
      <c r="AU196" s="60" t="n"/>
      <c r="AV196" s="60" t="n"/>
      <c r="AW196" s="60" t="n"/>
      <c r="AX196" s="60" t="n"/>
      <c r="AY196" s="60" t="n"/>
      <c r="AZ196" s="60" t="n"/>
      <c r="BA196" s="60" t="n"/>
      <c r="BB196" s="60" t="n"/>
      <c r="BC196" s="60" t="n"/>
      <c r="BD196" s="60" t="n"/>
      <c r="BE196" s="60" t="n"/>
      <c r="BF196" s="60" t="n"/>
      <c r="BG196" s="60" t="n"/>
      <c r="BH196" s="60" t="n"/>
      <c r="BI196" s="60" t="n"/>
      <c r="BJ196" s="60" t="n"/>
      <c r="BK196" s="60" t="n"/>
      <c r="BL196" s="60" t="n"/>
      <c r="BM196" s="60" t="n"/>
      <c r="BN196" s="60" t="n"/>
      <c r="BO196" s="60" t="n"/>
      <c r="BP196" s="60" t="n"/>
      <c r="BQ196" s="60" t="n"/>
      <c r="BR196" s="60" t="n"/>
      <c r="BS196" s="60" t="n"/>
      <c r="BT196" s="60" t="n"/>
      <c r="BU196" s="60" t="n"/>
      <c r="BV196" s="60" t="n"/>
      <c r="BW196" s="60" t="n"/>
      <c r="BX196" s="60" t="n"/>
      <c r="BY196" s="60" t="n"/>
      <c r="BZ196" s="60" t="n"/>
      <c r="CA196" s="60" t="n"/>
      <c r="CB196" s="60" t="n"/>
      <c r="CC196" s="60" t="n"/>
      <c r="CD196" s="60" t="n"/>
      <c r="CE196" s="60" t="n"/>
      <c r="CF196" s="60" t="n"/>
      <c r="CG196" s="60" t="n"/>
      <c r="CH196" s="60" t="n"/>
      <c r="CI196" s="60" t="n"/>
      <c r="CJ196" s="60" t="n"/>
      <c r="CK196" s="60" t="n"/>
      <c r="CL196" s="60" t="n"/>
      <c r="CM196" s="60" t="n"/>
      <c r="CN196" s="60" t="n"/>
      <c r="CO196" s="60" t="n"/>
      <c r="CP196" s="60" t="n"/>
      <c r="CQ196" s="60" t="n"/>
      <c r="CR196" s="60" t="n"/>
      <c r="CS196" s="60" t="n"/>
      <c r="CT196" s="60" t="n"/>
      <c r="CU196" s="60" t="n"/>
      <c r="CV196" s="60" t="n"/>
      <c r="CW196" s="60" t="n"/>
      <c r="CX196" s="60" t="n"/>
      <c r="CY196" s="60" t="n"/>
      <c r="CZ196" s="60" t="n"/>
      <c r="DA196" s="60" t="n"/>
      <c r="DB196" s="60" t="n"/>
      <c r="DC196" s="60" t="n"/>
      <c r="DD196" s="60" t="n"/>
      <c r="DE196" s="60" t="n"/>
    </row>
    <row r="197">
      <c r="A197" s="60" t="inlineStr">
        <is>
          <t>Pieza fabricada (se explota en su MP)</t>
        </is>
      </c>
      <c r="B197" s="60" t="inlineStr">
        <is>
          <t>Fondo — Ø124 × e1,25 × 11,8 de alto; disco Ø148</t>
        </is>
      </c>
      <c r="C197" s="60" t="inlineStr">
        <is>
          <t>u</t>
        </is>
      </c>
      <c r="D197" s="60" t="inlineStr">
        <is>
          <t>No</t>
        </is>
      </c>
      <c r="E197" s="60" t="n"/>
      <c r="F197" s="60" t="inlineStr">
        <is>
          <t>6 Desbobinado + embutido (M06-M08)</t>
        </is>
      </c>
      <c r="G197" s="60" t="n"/>
      <c r="H197" s="60" t="n">
        <v>1</v>
      </c>
      <c r="I197" s="60" t="n"/>
      <c r="J197" s="60" t="n"/>
      <c r="K197" s="60" t="n"/>
      <c r="L197" s="60" t="n"/>
      <c r="M197" s="60" t="n"/>
      <c r="N197" s="60" t="n"/>
      <c r="O197" s="60" t="n"/>
      <c r="P197" s="60" t="n"/>
      <c r="Q197" s="60" t="n"/>
      <c r="R197" s="60" t="n"/>
      <c r="S197" s="60" t="n"/>
      <c r="T197" s="60" t="n"/>
      <c r="U197" s="60" t="n"/>
      <c r="V197" s="60" t="n"/>
      <c r="W197" s="60" t="n"/>
      <c r="X197" s="60" t="n"/>
      <c r="Y197" s="60" t="n">
        <v>1</v>
      </c>
      <c r="Z197" s="60" t="n"/>
      <c r="AA197" s="60" t="n"/>
      <c r="AB197" s="60" t="n"/>
      <c r="AC197" s="60" t="n"/>
      <c r="AD197" s="60" t="n"/>
      <c r="AE197" s="60" t="n"/>
      <c r="AF197" s="60" t="n"/>
      <c r="AG197" s="60" t="n"/>
      <c r="AH197" s="60" t="n"/>
      <c r="AI197" s="60" t="n"/>
      <c r="AJ197" s="60" t="n"/>
      <c r="AK197" s="60" t="n"/>
      <c r="AL197" s="60" t="n"/>
      <c r="AM197" s="60" t="n"/>
      <c r="AN197" s="60" t="n"/>
      <c r="AO197" s="60" t="n"/>
      <c r="AP197" s="60" t="n"/>
      <c r="AQ197" s="60" t="n"/>
      <c r="AR197" s="60" t="n"/>
      <c r="AS197" s="60" t="n"/>
      <c r="AT197" s="60" t="n"/>
      <c r="AU197" s="60" t="n"/>
      <c r="AV197" s="60" t="n"/>
      <c r="AW197" s="60" t="n"/>
      <c r="AX197" s="60" t="n"/>
      <c r="AY197" s="60" t="n"/>
      <c r="AZ197" s="60" t="n"/>
      <c r="BA197" s="60" t="n"/>
      <c r="BB197" s="60" t="n"/>
      <c r="BC197" s="60" t="n"/>
      <c r="BD197" s="60" t="n"/>
      <c r="BE197" s="60" t="n"/>
      <c r="BF197" s="60" t="n"/>
      <c r="BG197" s="60" t="n"/>
      <c r="BH197" s="60" t="n"/>
      <c r="BI197" s="60" t="n"/>
      <c r="BJ197" s="60" t="n"/>
      <c r="BK197" s="60" t="n"/>
      <c r="BL197" s="60" t="n"/>
      <c r="BM197" s="60" t="n"/>
      <c r="BN197" s="60" t="n"/>
      <c r="BO197" s="60" t="n"/>
      <c r="BP197" s="60" t="n"/>
      <c r="BQ197" s="60" t="n"/>
      <c r="BR197" s="60" t="n"/>
      <c r="BS197" s="60" t="n"/>
      <c r="BT197" s="60" t="n"/>
      <c r="BU197" s="60" t="n"/>
      <c r="BV197" s="60" t="n"/>
      <c r="BW197" s="60" t="n"/>
      <c r="BX197" s="60" t="n"/>
      <c r="BY197" s="60" t="n"/>
      <c r="BZ197" s="60" t="n"/>
      <c r="CA197" s="60" t="n"/>
      <c r="CB197" s="60" t="n"/>
      <c r="CC197" s="60" t="n"/>
      <c r="CD197" s="60" t="n"/>
      <c r="CE197" s="60" t="n"/>
      <c r="CF197" s="60" t="n"/>
      <c r="CG197" s="60" t="n"/>
      <c r="CH197" s="60" t="n"/>
      <c r="CI197" s="60" t="n"/>
      <c r="CJ197" s="60" t="n"/>
      <c r="CK197" s="60" t="n"/>
      <c r="CL197" s="60" t="n"/>
      <c r="CM197" s="60" t="n"/>
      <c r="CN197" s="60" t="n"/>
      <c r="CO197" s="60" t="n"/>
      <c r="CP197" s="60" t="n"/>
      <c r="CQ197" s="60" t="n"/>
      <c r="CR197" s="60" t="n"/>
      <c r="CS197" s="60" t="n"/>
      <c r="CT197" s="60" t="n"/>
      <c r="CU197" s="60" t="n"/>
      <c r="CV197" s="60" t="n"/>
      <c r="CW197" s="60" t="n"/>
      <c r="CX197" s="60" t="n"/>
      <c r="CY197" s="60" t="n"/>
      <c r="CZ197" s="60" t="n"/>
      <c r="DA197" s="60" t="n"/>
      <c r="DB197" s="60" t="n"/>
      <c r="DC197" s="60" t="n"/>
      <c r="DD197" s="60" t="n"/>
      <c r="DE197" s="60" t="n"/>
    </row>
    <row r="198">
      <c r="A198" s="60" t="inlineStr">
        <is>
          <t>Pieza fabricada (se explota en su MP)</t>
        </is>
      </c>
      <c r="B198" s="60" t="inlineStr">
        <is>
          <t>Fondo — Ø153 × e1,6 × 17,6 de alto; disco Ø177</t>
        </is>
      </c>
      <c r="C198" s="60" t="inlineStr">
        <is>
          <t>u</t>
        </is>
      </c>
      <c r="D198" s="60" t="inlineStr">
        <is>
          <t>No</t>
        </is>
      </c>
      <c r="E198" s="60" t="n"/>
      <c r="F198" s="60" t="inlineStr">
        <is>
          <t>6 Desbobinado + embutido (M06-M08)</t>
        </is>
      </c>
      <c r="G198" s="60" t="n"/>
      <c r="H198" s="60" t="n"/>
      <c r="I198" s="60" t="n">
        <v>1</v>
      </c>
      <c r="J198" s="60" t="n"/>
      <c r="K198" s="60" t="n"/>
      <c r="L198" s="60" t="n"/>
      <c r="M198" s="60" t="n"/>
      <c r="N198" s="60" t="n">
        <v>1</v>
      </c>
      <c r="O198" s="60" t="n"/>
      <c r="P198" s="60" t="n"/>
      <c r="Q198" s="60" t="n"/>
      <c r="R198" s="60" t="n">
        <v>1</v>
      </c>
      <c r="S198" s="60" t="n"/>
      <c r="T198" s="60" t="n"/>
      <c r="U198" s="60" t="n"/>
      <c r="V198" s="60" t="n"/>
      <c r="W198" s="60" t="n"/>
      <c r="X198" s="60" t="n"/>
      <c r="Y198" s="60" t="n"/>
      <c r="Z198" s="60" t="n">
        <v>1</v>
      </c>
      <c r="AA198" s="60" t="n"/>
      <c r="AB198" s="60" t="n"/>
      <c r="AC198" s="60" t="n"/>
      <c r="AD198" s="60" t="n"/>
      <c r="AE198" s="60" t="n"/>
      <c r="AF198" s="60" t="n"/>
      <c r="AG198" s="60" t="n"/>
      <c r="AH198" s="60" t="n"/>
      <c r="AI198" s="60" t="n"/>
      <c r="AJ198" s="60" t="n"/>
      <c r="AK198" s="60" t="n"/>
      <c r="AL198" s="60" t="n"/>
      <c r="AM198" s="60" t="n"/>
      <c r="AN198" s="60" t="n"/>
      <c r="AO198" s="60" t="n"/>
      <c r="AP198" s="60" t="n"/>
      <c r="AQ198" s="60" t="n"/>
      <c r="AR198" s="60" t="n"/>
      <c r="AS198" s="60" t="n"/>
      <c r="AT198" s="60" t="n"/>
      <c r="AU198" s="60" t="n"/>
      <c r="AV198" s="60" t="n"/>
      <c r="AW198" s="60" t="n"/>
      <c r="AX198" s="60" t="n"/>
      <c r="AY198" s="60" t="n"/>
      <c r="AZ198" s="60" t="n"/>
      <c r="BA198" s="60" t="n"/>
      <c r="BB198" s="60" t="n"/>
      <c r="BC198" s="60" t="n"/>
      <c r="BD198" s="60" t="n"/>
      <c r="BE198" s="60" t="n"/>
      <c r="BF198" s="60" t="n"/>
      <c r="BG198" s="60" t="n"/>
      <c r="BH198" s="60" t="n"/>
      <c r="BI198" s="60" t="n"/>
      <c r="BJ198" s="60" t="n"/>
      <c r="BK198" s="60" t="n"/>
      <c r="BL198" s="60" t="n"/>
      <c r="BM198" s="60" t="n"/>
      <c r="BN198" s="60" t="n"/>
      <c r="BO198" s="60" t="n"/>
      <c r="BP198" s="60" t="n"/>
      <c r="BQ198" s="60" t="n"/>
      <c r="BR198" s="60" t="n"/>
      <c r="BS198" s="60" t="n"/>
      <c r="BT198" s="60" t="n"/>
      <c r="BU198" s="60" t="n"/>
      <c r="BV198" s="60" t="n"/>
      <c r="BW198" s="60" t="n"/>
      <c r="BX198" s="60" t="n"/>
      <c r="BY198" s="60" t="n"/>
      <c r="BZ198" s="60" t="n"/>
      <c r="CA198" s="60" t="n"/>
      <c r="CB198" s="60" t="n"/>
      <c r="CC198" s="60" t="n"/>
      <c r="CD198" s="60" t="n"/>
      <c r="CE198" s="60" t="n"/>
      <c r="CF198" s="60" t="n"/>
      <c r="CG198" s="60" t="n"/>
      <c r="CH198" s="60" t="n"/>
      <c r="CI198" s="60" t="n"/>
      <c r="CJ198" s="60" t="n"/>
      <c r="CK198" s="60" t="n"/>
      <c r="CL198" s="60" t="n"/>
      <c r="CM198" s="60" t="n"/>
      <c r="CN198" s="60" t="n"/>
      <c r="CO198" s="60" t="n"/>
      <c r="CP198" s="60" t="n"/>
      <c r="CQ198" s="60" t="n"/>
      <c r="CR198" s="60" t="n"/>
      <c r="CS198" s="60" t="n"/>
      <c r="CT198" s="60" t="n"/>
      <c r="CU198" s="60" t="n"/>
      <c r="CV198" s="60" t="n"/>
      <c r="CW198" s="60" t="n"/>
      <c r="CX198" s="60" t="n"/>
      <c r="CY198" s="60" t="n"/>
      <c r="CZ198" s="60" t="n"/>
      <c r="DA198" s="60" t="n"/>
      <c r="DB198" s="60" t="n"/>
      <c r="DC198" s="60" t="n"/>
      <c r="DD198" s="60" t="n"/>
      <c r="DE198" s="60" t="n"/>
    </row>
    <row r="199">
      <c r="A199" s="60" t="inlineStr">
        <is>
          <t>Pieza fabricada (se explota en su MP)</t>
        </is>
      </c>
      <c r="B199" s="60" t="inlineStr">
        <is>
          <t>Fondo — Ø181,5 × e2 × 13,7 de alto; disco Ø205</t>
        </is>
      </c>
      <c r="C199" s="60" t="inlineStr">
        <is>
          <t>u</t>
        </is>
      </c>
      <c r="D199" s="60" t="inlineStr">
        <is>
          <t>No</t>
        </is>
      </c>
      <c r="E199" s="60" t="n"/>
      <c r="F199" s="60" t="inlineStr">
        <is>
          <t>6 Desbobinado + embutido (M06-M08)</t>
        </is>
      </c>
      <c r="G199" s="60" t="n"/>
      <c r="H199" s="60" t="n"/>
      <c r="I199" s="60" t="n"/>
      <c r="J199" s="60" t="n">
        <v>1</v>
      </c>
      <c r="K199" s="60" t="n"/>
      <c r="L199" s="60" t="n"/>
      <c r="M199" s="60" t="n"/>
      <c r="N199" s="60" t="n"/>
      <c r="O199" s="60" t="n"/>
      <c r="P199" s="60" t="n"/>
      <c r="Q199" s="60" t="n"/>
      <c r="R199" s="60" t="n"/>
      <c r="S199" s="60" t="n"/>
      <c r="T199" s="60" t="n"/>
      <c r="U199" s="60" t="n"/>
      <c r="V199" s="60" t="n"/>
      <c r="W199" s="60" t="n"/>
      <c r="X199" s="60" t="n"/>
      <c r="Y199" s="60" t="n"/>
      <c r="Z199" s="60" t="n"/>
      <c r="AA199" s="60" t="n">
        <v>1</v>
      </c>
      <c r="AB199" s="60" t="n"/>
      <c r="AC199" s="60" t="n"/>
      <c r="AD199" s="60" t="n"/>
      <c r="AE199" s="60" t="n"/>
      <c r="AF199" s="60" t="n"/>
      <c r="AG199" s="60" t="n"/>
      <c r="AH199" s="60" t="n"/>
      <c r="AI199" s="60" t="n"/>
      <c r="AJ199" s="60" t="n"/>
      <c r="AK199" s="60" t="n"/>
      <c r="AL199" s="60" t="n"/>
      <c r="AM199" s="60" t="n"/>
      <c r="AN199" s="60" t="n"/>
      <c r="AO199" s="60" t="n"/>
      <c r="AP199" s="60" t="n"/>
      <c r="AQ199" s="60" t="n"/>
      <c r="AR199" s="60" t="n"/>
      <c r="AS199" s="60" t="n"/>
      <c r="AT199" s="60" t="n"/>
      <c r="AU199" s="60" t="n"/>
      <c r="AV199" s="60" t="n"/>
      <c r="AW199" s="60" t="n"/>
      <c r="AX199" s="60" t="n"/>
      <c r="AY199" s="60" t="n"/>
      <c r="AZ199" s="60" t="n"/>
      <c r="BA199" s="60" t="n"/>
      <c r="BB199" s="60" t="n"/>
      <c r="BC199" s="60" t="n"/>
      <c r="BD199" s="60" t="n"/>
      <c r="BE199" s="60" t="n"/>
      <c r="BF199" s="60" t="n"/>
      <c r="BG199" s="60" t="n"/>
      <c r="BH199" s="60" t="n"/>
      <c r="BI199" s="60" t="n"/>
      <c r="BJ199" s="60" t="n"/>
      <c r="BK199" s="60" t="n"/>
      <c r="BL199" s="60" t="n"/>
      <c r="BM199" s="60" t="n"/>
      <c r="BN199" s="60" t="n"/>
      <c r="BO199" s="60" t="n"/>
      <c r="BP199" s="60" t="n"/>
      <c r="BQ199" s="60" t="n"/>
      <c r="BR199" s="60" t="n"/>
      <c r="BS199" s="60" t="n"/>
      <c r="BT199" s="60" t="n"/>
      <c r="BU199" s="60" t="n"/>
      <c r="BV199" s="60" t="n"/>
      <c r="BW199" s="60" t="n"/>
      <c r="BX199" s="60" t="n"/>
      <c r="BY199" s="60" t="n"/>
      <c r="BZ199" s="60" t="n"/>
      <c r="CA199" s="60" t="n"/>
      <c r="CB199" s="60" t="n"/>
      <c r="CC199" s="60" t="n"/>
      <c r="CD199" s="60" t="n"/>
      <c r="CE199" s="60" t="n"/>
      <c r="CF199" s="60" t="n"/>
      <c r="CG199" s="60" t="n"/>
      <c r="CH199" s="60" t="n"/>
      <c r="CI199" s="60" t="n"/>
      <c r="CJ199" s="60" t="n"/>
      <c r="CK199" s="60" t="n"/>
      <c r="CL199" s="60" t="n"/>
      <c r="CM199" s="60" t="n"/>
      <c r="CN199" s="60" t="n"/>
      <c r="CO199" s="60" t="n"/>
      <c r="CP199" s="60" t="n"/>
      <c r="CQ199" s="60" t="n"/>
      <c r="CR199" s="60" t="n"/>
      <c r="CS199" s="60" t="n"/>
      <c r="CT199" s="60" t="n"/>
      <c r="CU199" s="60" t="n"/>
      <c r="CV199" s="60" t="n"/>
      <c r="CW199" s="60" t="n"/>
      <c r="CX199" s="60" t="n"/>
      <c r="CY199" s="60" t="n"/>
      <c r="CZ199" s="60" t="n"/>
      <c r="DA199" s="60" t="n"/>
      <c r="DB199" s="60" t="n"/>
      <c r="DC199" s="60" t="n"/>
      <c r="DD199" s="60" t="n"/>
      <c r="DE199" s="60" t="n"/>
    </row>
    <row r="200">
      <c r="A200" s="60" t="inlineStr">
        <is>
          <t>Pieza fabricada (se explota en su MP)</t>
        </is>
      </c>
      <c r="B200" s="60" t="inlineStr">
        <is>
          <t>Fondo — Ø76,2 × e1,25 × 22 de alto; disco Ø100</t>
        </is>
      </c>
      <c r="C200" s="60" t="inlineStr">
        <is>
          <t>u</t>
        </is>
      </c>
      <c r="D200" s="60" t="inlineStr">
        <is>
          <t>No</t>
        </is>
      </c>
      <c r="E200" s="60" t="n"/>
      <c r="F200" s="60" t="inlineStr">
        <is>
          <t>6 Desbobinado + embutido (M06-M08)</t>
        </is>
      </c>
      <c r="G200" s="60" t="n">
        <v>1</v>
      </c>
      <c r="H200" s="60" t="n"/>
      <c r="I200" s="60" t="n"/>
      <c r="J200" s="60" t="n"/>
      <c r="K200" s="60" t="n"/>
      <c r="L200" s="60" t="n"/>
      <c r="M200" s="60" t="n"/>
      <c r="N200" s="60" t="n"/>
      <c r="O200" s="60" t="n"/>
      <c r="P200" s="60" t="n"/>
      <c r="Q200" s="60" t="n"/>
      <c r="R200" s="60" t="n"/>
      <c r="S200" s="60" t="n"/>
      <c r="T200" s="60" t="n"/>
      <c r="U200" s="60" t="n"/>
      <c r="V200" s="60" t="n"/>
      <c r="W200" s="60" t="n"/>
      <c r="X200" s="60" t="n">
        <v>1</v>
      </c>
      <c r="Y200" s="60" t="n"/>
      <c r="Z200" s="60" t="n"/>
      <c r="AA200" s="60" t="n"/>
      <c r="AB200" s="60" t="n"/>
      <c r="AC200" s="60" t="n"/>
      <c r="AD200" s="60" t="n"/>
      <c r="AE200" s="60" t="n"/>
      <c r="AF200" s="60" t="n"/>
      <c r="AG200" s="60" t="n"/>
      <c r="AH200" s="60" t="n"/>
      <c r="AI200" s="60" t="n"/>
      <c r="AJ200" s="60" t="n"/>
      <c r="AK200" s="60" t="n"/>
      <c r="AL200" s="60" t="n"/>
      <c r="AM200" s="60" t="n"/>
      <c r="AN200" s="60" t="n"/>
      <c r="AO200" s="60" t="n"/>
      <c r="AP200" s="60" t="n"/>
      <c r="AQ200" s="60" t="n"/>
      <c r="AR200" s="60" t="n"/>
      <c r="AS200" s="60" t="n"/>
      <c r="AT200" s="60" t="n"/>
      <c r="AU200" s="60" t="n"/>
      <c r="AV200" s="60" t="n"/>
      <c r="AW200" s="60" t="n"/>
      <c r="AX200" s="60" t="n"/>
      <c r="AY200" s="60" t="n"/>
      <c r="AZ200" s="60" t="n"/>
      <c r="BA200" s="60" t="n"/>
      <c r="BB200" s="60" t="n"/>
      <c r="BC200" s="60" t="n"/>
      <c r="BD200" s="60" t="n"/>
      <c r="BE200" s="60" t="n"/>
      <c r="BF200" s="60" t="n"/>
      <c r="BG200" s="60" t="n"/>
      <c r="BH200" s="60" t="n"/>
      <c r="BI200" s="60" t="n"/>
      <c r="BJ200" s="60" t="n"/>
      <c r="BK200" s="60" t="n"/>
      <c r="BL200" s="60" t="n"/>
      <c r="BM200" s="60" t="n"/>
      <c r="BN200" s="60" t="n"/>
      <c r="BO200" s="60" t="n"/>
      <c r="BP200" s="60" t="n"/>
      <c r="BQ200" s="60" t="n"/>
      <c r="BR200" s="60" t="n"/>
      <c r="BS200" s="60" t="n"/>
      <c r="BT200" s="60" t="n"/>
      <c r="BU200" s="60" t="n"/>
      <c r="BV200" s="60" t="n"/>
      <c r="BW200" s="60" t="n"/>
      <c r="BX200" s="60" t="n"/>
      <c r="BY200" s="60" t="n"/>
      <c r="BZ200" s="60" t="n"/>
      <c r="CA200" s="60" t="n"/>
      <c r="CB200" s="60" t="n"/>
      <c r="CC200" s="60" t="n"/>
      <c r="CD200" s="60" t="n"/>
      <c r="CE200" s="60" t="n"/>
      <c r="CF200" s="60" t="n"/>
      <c r="CG200" s="60" t="n"/>
      <c r="CH200" s="60" t="n"/>
      <c r="CI200" s="60" t="n"/>
      <c r="CJ200" s="60" t="n"/>
      <c r="CK200" s="60" t="n"/>
      <c r="CL200" s="60" t="n"/>
      <c r="CM200" s="60" t="n"/>
      <c r="CN200" s="60" t="n"/>
      <c r="CO200" s="60" t="n"/>
      <c r="CP200" s="60" t="n"/>
      <c r="CQ200" s="60" t="n"/>
      <c r="CR200" s="60" t="n"/>
      <c r="CS200" s="60" t="n"/>
      <c r="CT200" s="60" t="n"/>
      <c r="CU200" s="60" t="n"/>
      <c r="CV200" s="60" t="n"/>
      <c r="CW200" s="60" t="n"/>
      <c r="CX200" s="60" t="n"/>
      <c r="CY200" s="60" t="n"/>
      <c r="CZ200" s="60" t="n"/>
      <c r="DA200" s="60" t="n"/>
      <c r="DB200" s="60" t="n"/>
      <c r="DC200" s="60" t="n"/>
      <c r="DD200" s="60" t="n"/>
      <c r="DE200" s="60" t="n"/>
    </row>
    <row r="201">
      <c r="A201" s="60" t="inlineStr">
        <is>
          <t>Pieza fabricada (se explota en su MP)</t>
        </is>
      </c>
      <c r="B201" s="60" t="inlineStr">
        <is>
          <t>Sunchos de fijación — 414 × 335,8 × 315</t>
        </is>
      </c>
      <c r="C201" s="60" t="inlineStr">
        <is>
          <t>u</t>
        </is>
      </c>
      <c r="D201" s="60" t="inlineStr">
        <is>
          <t>No</t>
        </is>
      </c>
      <c r="E201" s="60" t="n"/>
      <c r="F201" s="60" t="inlineStr">
        <is>
          <t>Corte en sierra -&gt; curvado / plegado -&gt; soldadura MAG del carro -&gt; C9 armado (S-TC); puesto de soldadura de carros a incorporar al layout</t>
        </is>
      </c>
      <c r="G201" s="60" t="n"/>
      <c r="H201" s="60" t="n"/>
      <c r="I201" s="60" t="n"/>
      <c r="J201" s="60" t="n"/>
      <c r="K201" s="60" t="n"/>
      <c r="L201" s="60" t="n"/>
      <c r="M201" s="60" t="n"/>
      <c r="N201" s="60" t="n"/>
      <c r="O201" s="60" t="n"/>
      <c r="P201" s="60" t="n"/>
      <c r="Q201" s="60" t="n"/>
      <c r="R201" s="60" t="n"/>
      <c r="S201" s="60" t="n"/>
      <c r="T201" s="60" t="n">
        <v>1</v>
      </c>
      <c r="U201" s="60" t="n"/>
      <c r="V201" s="60" t="n"/>
      <c r="W201" s="60" t="n"/>
      <c r="X201" s="60" t="n"/>
      <c r="Y201" s="60" t="n"/>
      <c r="Z201" s="60" t="n"/>
      <c r="AA201" s="60" t="n"/>
      <c r="AB201" s="60" t="n"/>
      <c r="AC201" s="60" t="n"/>
      <c r="AD201" s="60" t="n"/>
      <c r="AE201" s="60" t="n"/>
      <c r="AF201" s="60" t="n"/>
      <c r="AG201" s="60" t="n"/>
      <c r="AH201" s="60" t="n"/>
      <c r="AI201" s="60" t="n"/>
      <c r="AJ201" s="60" t="n"/>
      <c r="AK201" s="60" t="n"/>
      <c r="AL201" s="60" t="n"/>
      <c r="AM201" s="60" t="n"/>
      <c r="AN201" s="60" t="n"/>
      <c r="AO201" s="60" t="n"/>
      <c r="AP201" s="60" t="n"/>
      <c r="AQ201" s="60" t="n"/>
      <c r="AR201" s="60" t="n"/>
      <c r="AS201" s="60" t="n"/>
      <c r="AT201" s="60" t="n"/>
      <c r="AU201" s="60" t="n"/>
      <c r="AV201" s="60" t="n"/>
      <c r="AW201" s="60" t="n"/>
      <c r="AX201" s="60" t="n"/>
      <c r="AY201" s="60" t="n"/>
      <c r="AZ201" s="60" t="n"/>
      <c r="BA201" s="60" t="n"/>
      <c r="BB201" s="60" t="n"/>
      <c r="BC201" s="60" t="n"/>
      <c r="BD201" s="60" t="n"/>
      <c r="BE201" s="60" t="n"/>
      <c r="BF201" s="60" t="n"/>
      <c r="BG201" s="60" t="n"/>
      <c r="BH201" s="60" t="n"/>
      <c r="BI201" s="60" t="n"/>
      <c r="BJ201" s="60" t="n"/>
      <c r="BK201" s="60" t="n"/>
      <c r="BL201" s="60" t="n"/>
      <c r="BM201" s="60" t="n"/>
      <c r="BN201" s="60" t="n"/>
      <c r="BO201" s="60" t="n"/>
      <c r="BP201" s="60" t="n"/>
      <c r="BQ201" s="60" t="n"/>
      <c r="BR201" s="60" t="n"/>
      <c r="BS201" s="60" t="n"/>
      <c r="BT201" s="60" t="n"/>
      <c r="BU201" s="60" t="n"/>
      <c r="BV201" s="60" t="n"/>
      <c r="BW201" s="60" t="n"/>
      <c r="BX201" s="60" t="n"/>
      <c r="BY201" s="60" t="n"/>
      <c r="BZ201" s="60" t="n"/>
      <c r="CA201" s="60" t="n"/>
      <c r="CB201" s="60" t="n"/>
      <c r="CC201" s="60" t="n"/>
      <c r="CD201" s="60" t="n"/>
      <c r="CE201" s="60" t="n"/>
      <c r="CF201" s="60" t="n"/>
      <c r="CG201" s="60" t="n"/>
      <c r="CH201" s="60" t="n"/>
      <c r="CI201" s="60" t="n"/>
      <c r="CJ201" s="60" t="n"/>
      <c r="CK201" s="60" t="n"/>
      <c r="CL201" s="60" t="n"/>
      <c r="CM201" s="60" t="n"/>
      <c r="CN201" s="60" t="n"/>
      <c r="CO201" s="60" t="n"/>
      <c r="CP201" s="60" t="n"/>
      <c r="CQ201" s="60" t="n"/>
      <c r="CR201" s="60" t="n"/>
      <c r="CS201" s="60" t="n"/>
      <c r="CT201" s="60" t="n"/>
      <c r="CU201" s="60" t="n"/>
      <c r="CV201" s="60" t="n"/>
      <c r="CW201" s="60" t="n"/>
      <c r="CX201" s="60" t="n"/>
      <c r="CY201" s="60" t="n"/>
      <c r="CZ201" s="60" t="n"/>
      <c r="DA201" s="60" t="n"/>
      <c r="DB201" s="60" t="n"/>
      <c r="DC201" s="60" t="n"/>
      <c r="DD201" s="60" t="n"/>
      <c r="DE201" s="60" t="n"/>
    </row>
    <row r="202">
      <c r="A202" s="60" t="inlineStr">
        <is>
          <t>Pieza fabricada (se explota en su MP)</t>
        </is>
      </c>
      <c r="B202" s="60" t="inlineStr">
        <is>
          <t>Sunchos de fijación — 525 × 518,8 × 405</t>
        </is>
      </c>
      <c r="C202" s="60" t="inlineStr">
        <is>
          <t>u</t>
        </is>
      </c>
      <c r="D202" s="60" t="inlineStr">
        <is>
          <t>No</t>
        </is>
      </c>
      <c r="E202" s="60" t="n"/>
      <c r="F202" s="60" t="inlineStr">
        <is>
          <t>Corte en sierra -&gt; curvado / plegado -&gt; soldadura MAG del carro -&gt; C9 armado (S-TC); puesto de soldadura de carros a incorporar al layout</t>
        </is>
      </c>
      <c r="G202" s="60" t="n"/>
      <c r="H202" s="60" t="n"/>
      <c r="I202" s="60" t="n"/>
      <c r="J202" s="60" t="n"/>
      <c r="K202" s="60" t="n"/>
      <c r="L202" s="60" t="n"/>
      <c r="M202" s="60" t="n"/>
      <c r="N202" s="60" t="n"/>
      <c r="O202" s="60" t="n"/>
      <c r="P202" s="60" t="n"/>
      <c r="Q202" s="60" t="n"/>
      <c r="R202" s="60" t="n"/>
      <c r="S202" s="60" t="n"/>
      <c r="T202" s="60" t="n"/>
      <c r="U202" s="60" t="n"/>
      <c r="V202" s="60" t="n">
        <v>1</v>
      </c>
      <c r="W202" s="60" t="n"/>
      <c r="X202" s="60" t="n"/>
      <c r="Y202" s="60" t="n"/>
      <c r="Z202" s="60" t="n"/>
      <c r="AA202" s="60" t="n"/>
      <c r="AB202" s="60" t="n"/>
      <c r="AC202" s="60" t="n"/>
      <c r="AD202" s="60" t="n"/>
      <c r="AE202" s="60" t="n"/>
      <c r="AF202" s="60" t="n"/>
      <c r="AG202" s="60" t="n"/>
      <c r="AH202" s="60" t="n"/>
      <c r="AI202" s="60" t="n"/>
      <c r="AJ202" s="60" t="n"/>
      <c r="AK202" s="60" t="n"/>
      <c r="AL202" s="60" t="n"/>
      <c r="AM202" s="60" t="n"/>
      <c r="AN202" s="60" t="n"/>
      <c r="AO202" s="60" t="n"/>
      <c r="AP202" s="60" t="n"/>
      <c r="AQ202" s="60" t="n"/>
      <c r="AR202" s="60" t="n"/>
      <c r="AS202" s="60" t="n"/>
      <c r="AT202" s="60" t="n"/>
      <c r="AU202" s="60" t="n"/>
      <c r="AV202" s="60" t="n"/>
      <c r="AW202" s="60" t="n"/>
      <c r="AX202" s="60" t="n"/>
      <c r="AY202" s="60" t="n"/>
      <c r="AZ202" s="60" t="n"/>
      <c r="BA202" s="60" t="n"/>
      <c r="BB202" s="60" t="n"/>
      <c r="BC202" s="60" t="n"/>
      <c r="BD202" s="60" t="n"/>
      <c r="BE202" s="60" t="n"/>
      <c r="BF202" s="60" t="n"/>
      <c r="BG202" s="60" t="n"/>
      <c r="BH202" s="60" t="n"/>
      <c r="BI202" s="60" t="n"/>
      <c r="BJ202" s="60" t="n"/>
      <c r="BK202" s="60" t="n"/>
      <c r="BL202" s="60" t="n"/>
      <c r="BM202" s="60" t="n"/>
      <c r="BN202" s="60" t="n"/>
      <c r="BO202" s="60" t="n"/>
      <c r="BP202" s="60" t="n"/>
      <c r="BQ202" s="60" t="n"/>
      <c r="BR202" s="60" t="n"/>
      <c r="BS202" s="60" t="n"/>
      <c r="BT202" s="60" t="n"/>
      <c r="BU202" s="60" t="n"/>
      <c r="BV202" s="60" t="n"/>
      <c r="BW202" s="60" t="n"/>
      <c r="BX202" s="60" t="n"/>
      <c r="BY202" s="60" t="n"/>
      <c r="BZ202" s="60" t="n"/>
      <c r="CA202" s="60" t="n"/>
      <c r="CB202" s="60" t="n"/>
      <c r="CC202" s="60" t="n"/>
      <c r="CD202" s="60" t="n"/>
      <c r="CE202" s="60" t="n"/>
      <c r="CF202" s="60" t="n"/>
      <c r="CG202" s="60" t="n"/>
      <c r="CH202" s="60" t="n"/>
      <c r="CI202" s="60" t="n"/>
      <c r="CJ202" s="60" t="n"/>
      <c r="CK202" s="60" t="n"/>
      <c r="CL202" s="60" t="n"/>
      <c r="CM202" s="60" t="n"/>
      <c r="CN202" s="60" t="n"/>
      <c r="CO202" s="60" t="n"/>
      <c r="CP202" s="60" t="n"/>
      <c r="CQ202" s="60" t="n"/>
      <c r="CR202" s="60" t="n"/>
      <c r="CS202" s="60" t="n"/>
      <c r="CT202" s="60" t="n"/>
      <c r="CU202" s="60" t="n"/>
      <c r="CV202" s="60" t="n"/>
      <c r="CW202" s="60" t="n"/>
      <c r="CX202" s="60" t="n"/>
      <c r="CY202" s="60" t="n"/>
      <c r="CZ202" s="60" t="n"/>
      <c r="DA202" s="60" t="n"/>
      <c r="DB202" s="60" t="n"/>
      <c r="DC202" s="60" t="n"/>
      <c r="DD202" s="60" t="n"/>
      <c r="DE202" s="60" t="n"/>
    </row>
    <row r="203">
      <c r="A203" s="60" t="inlineStr">
        <is>
          <t>Pieza fabricada (se explota en su MP)</t>
        </is>
      </c>
      <c r="B203" s="60" t="inlineStr">
        <is>
          <t>Sunchos de fijación — 604 × 590,2 × 440</t>
        </is>
      </c>
      <c r="C203" s="60" t="inlineStr">
        <is>
          <t>u</t>
        </is>
      </c>
      <c r="D203" s="60" t="inlineStr">
        <is>
          <t>No</t>
        </is>
      </c>
      <c r="E203" s="60" t="n"/>
      <c r="F203" s="60" t="inlineStr">
        <is>
          <t>Corte en sierra -&gt; curvado / plegado -&gt; soldadura MAG del carro -&gt; C9 armado (S-TC); puesto de soldadura de carros a incorporar al layout</t>
        </is>
      </c>
      <c r="G203" s="60" t="n"/>
      <c r="H203" s="60" t="n"/>
      <c r="I203" s="60" t="n"/>
      <c r="J203" s="60" t="n"/>
      <c r="K203" s="60" t="n"/>
      <c r="L203" s="60" t="n"/>
      <c r="M203" s="60" t="n"/>
      <c r="N203" s="60" t="n"/>
      <c r="O203" s="60" t="n"/>
      <c r="P203" s="60" t="n"/>
      <c r="Q203" s="60" t="n"/>
      <c r="R203" s="60" t="n"/>
      <c r="S203" s="60" t="n"/>
      <c r="T203" s="60" t="n"/>
      <c r="U203" s="60" t="n"/>
      <c r="V203" s="60" t="n"/>
      <c r="W203" s="60" t="n">
        <v>1</v>
      </c>
      <c r="X203" s="60" t="n"/>
      <c r="Y203" s="60" t="n"/>
      <c r="Z203" s="60" t="n"/>
      <c r="AA203" s="60" t="n"/>
      <c r="AB203" s="60" t="n"/>
      <c r="AC203" s="60" t="n"/>
      <c r="AD203" s="60" t="n"/>
      <c r="AE203" s="60" t="n"/>
      <c r="AF203" s="60" t="n"/>
      <c r="AG203" s="60" t="n"/>
      <c r="AH203" s="60" t="n"/>
      <c r="AI203" s="60" t="n"/>
      <c r="AJ203" s="60" t="n"/>
      <c r="AK203" s="60" t="n"/>
      <c r="AL203" s="60" t="n"/>
      <c r="AM203" s="60" t="n"/>
      <c r="AN203" s="60" t="n"/>
      <c r="AO203" s="60" t="n"/>
      <c r="AP203" s="60" t="n"/>
      <c r="AQ203" s="60" t="n"/>
      <c r="AR203" s="60" t="n"/>
      <c r="AS203" s="60" t="n"/>
      <c r="AT203" s="60" t="n"/>
      <c r="AU203" s="60" t="n"/>
      <c r="AV203" s="60" t="n"/>
      <c r="AW203" s="60" t="n"/>
      <c r="AX203" s="60" t="n"/>
      <c r="AY203" s="60" t="n"/>
      <c r="AZ203" s="60" t="n"/>
      <c r="BA203" s="60" t="n"/>
      <c r="BB203" s="60" t="n"/>
      <c r="BC203" s="60" t="n"/>
      <c r="BD203" s="60" t="n"/>
      <c r="BE203" s="60" t="n"/>
      <c r="BF203" s="60" t="n"/>
      <c r="BG203" s="60" t="n"/>
      <c r="BH203" s="60" t="n"/>
      <c r="BI203" s="60" t="n"/>
      <c r="BJ203" s="60" t="n"/>
      <c r="BK203" s="60" t="n"/>
      <c r="BL203" s="60" t="n"/>
      <c r="BM203" s="60" t="n"/>
      <c r="BN203" s="60" t="n"/>
      <c r="BO203" s="60" t="n"/>
      <c r="BP203" s="60" t="n"/>
      <c r="BQ203" s="60" t="n"/>
      <c r="BR203" s="60" t="n"/>
      <c r="BS203" s="60" t="n"/>
      <c r="BT203" s="60" t="n"/>
      <c r="BU203" s="60" t="n"/>
      <c r="BV203" s="60" t="n"/>
      <c r="BW203" s="60" t="n"/>
      <c r="BX203" s="60" t="n"/>
      <c r="BY203" s="60" t="n"/>
      <c r="BZ203" s="60" t="n"/>
      <c r="CA203" s="60" t="n"/>
      <c r="CB203" s="60" t="n"/>
      <c r="CC203" s="60" t="n"/>
      <c r="CD203" s="60" t="n"/>
      <c r="CE203" s="60" t="n"/>
      <c r="CF203" s="60" t="n"/>
      <c r="CG203" s="60" t="n"/>
      <c r="CH203" s="60" t="n"/>
      <c r="CI203" s="60" t="n"/>
      <c r="CJ203" s="60" t="n"/>
      <c r="CK203" s="60" t="n"/>
      <c r="CL203" s="60" t="n"/>
      <c r="CM203" s="60" t="n"/>
      <c r="CN203" s="60" t="n"/>
      <c r="CO203" s="60" t="n"/>
      <c r="CP203" s="60" t="n"/>
      <c r="CQ203" s="60" t="n"/>
      <c r="CR203" s="60" t="n"/>
      <c r="CS203" s="60" t="n"/>
      <c r="CT203" s="60" t="n"/>
      <c r="CU203" s="60" t="n"/>
      <c r="CV203" s="60" t="n"/>
      <c r="CW203" s="60" t="n"/>
      <c r="CX203" s="60" t="n"/>
      <c r="CY203" s="60" t="n"/>
      <c r="CZ203" s="60" t="n"/>
      <c r="DA203" s="60" t="n"/>
      <c r="DB203" s="60" t="n"/>
      <c r="DC203" s="60" t="n"/>
      <c r="DD203" s="60" t="n"/>
      <c r="DE203" s="60" t="n"/>
    </row>
    <row r="204">
      <c r="A204" s="61" t="inlineStr">
        <is>
          <t>Pieza fabricada (se explota en su MP)</t>
        </is>
      </c>
      <c r="B204" s="61" t="inlineStr">
        <is>
          <t>Varilla de refuerzo interior — 653,2 × 8 × 8</t>
        </is>
      </c>
      <c r="C204" s="61" t="inlineStr">
        <is>
          <t>u</t>
        </is>
      </c>
      <c r="D204" s="61" t="inlineStr">
        <is>
          <t>No</t>
        </is>
      </c>
      <c r="E204" s="61" t="n"/>
      <c r="F204" s="61" t="inlineStr">
        <is>
          <t>Corte de barra -&gt; C2 punteo interior antes de C3 soldadura longitudinal</t>
        </is>
      </c>
      <c r="G204" s="60" t="n"/>
      <c r="H204" s="60" t="n"/>
      <c r="I204" s="60" t="n"/>
      <c r="J204" s="60" t="n"/>
      <c r="K204" s="60" t="n"/>
      <c r="L204" s="60" t="n"/>
      <c r="M204" s="60" t="n"/>
      <c r="N204" s="60" t="n"/>
      <c r="O204" s="60" t="n"/>
      <c r="P204" s="60" t="n"/>
      <c r="Q204" s="60" t="n"/>
      <c r="R204" s="60" t="n"/>
      <c r="S204" s="60" t="n"/>
      <c r="T204" s="60" t="n"/>
      <c r="U204" s="60" t="n"/>
      <c r="V204" s="60" t="n">
        <v>1</v>
      </c>
      <c r="W204" s="60" t="n"/>
      <c r="X204" s="60" t="n"/>
      <c r="Y204" s="60" t="n"/>
      <c r="Z204" s="60" t="n"/>
      <c r="AA204" s="60" t="n"/>
      <c r="AB204" s="60" t="n"/>
      <c r="AC204" s="60" t="n"/>
      <c r="AD204" s="60" t="n">
        <v>1</v>
      </c>
      <c r="AE204" s="60" t="n"/>
      <c r="AF204" s="60" t="n"/>
      <c r="AG204" s="60" t="n"/>
      <c r="AH204" s="60" t="n"/>
      <c r="AI204" s="60" t="n"/>
      <c r="AJ204" s="60" t="n"/>
      <c r="AK204" s="60" t="n"/>
      <c r="AL204" s="60" t="n"/>
      <c r="AM204" s="60" t="n"/>
      <c r="AN204" s="60" t="n"/>
      <c r="AO204" s="60" t="n"/>
      <c r="AP204" s="60" t="n"/>
      <c r="AQ204" s="60" t="n"/>
      <c r="AR204" s="60" t="n"/>
      <c r="AS204" s="60" t="n"/>
      <c r="AT204" s="60" t="n"/>
      <c r="AU204" s="60" t="n"/>
      <c r="AV204" s="60" t="n"/>
      <c r="AW204" s="60" t="n"/>
      <c r="AX204" s="60" t="n"/>
      <c r="AY204" s="60" t="n"/>
      <c r="AZ204" s="60" t="n"/>
      <c r="BA204" s="60" t="n"/>
      <c r="BB204" s="60" t="n"/>
      <c r="BC204" s="60" t="n"/>
      <c r="BD204" s="60" t="n"/>
      <c r="BE204" s="60" t="n"/>
      <c r="BF204" s="60" t="n"/>
      <c r="BG204" s="60" t="n"/>
      <c r="BH204" s="60" t="n"/>
      <c r="BI204" s="60" t="n"/>
      <c r="BJ204" s="60" t="n"/>
      <c r="BK204" s="60" t="n"/>
      <c r="BL204" s="60" t="n"/>
      <c r="BM204" s="60" t="n"/>
      <c r="BN204" s="60" t="n"/>
      <c r="BO204" s="60" t="n"/>
      <c r="BP204" s="60" t="n"/>
      <c r="BQ204" s="60" t="n"/>
      <c r="BR204" s="60" t="n"/>
      <c r="BS204" s="60" t="n"/>
      <c r="BT204" s="60" t="n"/>
      <c r="BU204" s="60" t="n"/>
      <c r="BV204" s="60" t="n"/>
      <c r="BW204" s="60" t="n"/>
      <c r="BX204" s="60" t="n"/>
      <c r="BY204" s="60" t="n"/>
      <c r="BZ204" s="60" t="n"/>
      <c r="CA204" s="60" t="n"/>
      <c r="CB204" s="60" t="n"/>
      <c r="CC204" s="60" t="n"/>
      <c r="CD204" s="60" t="n"/>
      <c r="CE204" s="60" t="n"/>
      <c r="CF204" s="60" t="n"/>
      <c r="CG204" s="60" t="n"/>
      <c r="CH204" s="60" t="n"/>
      <c r="CI204" s="60" t="n"/>
      <c r="CJ204" s="60" t="n"/>
      <c r="CK204" s="60" t="n"/>
      <c r="CL204" s="60" t="n"/>
      <c r="CM204" s="60" t="n"/>
      <c r="CN204" s="60" t="n"/>
      <c r="CO204" s="60" t="n"/>
      <c r="CP204" s="60" t="n"/>
      <c r="CQ204" s="60" t="n"/>
      <c r="CR204" s="60" t="n"/>
      <c r="CS204" s="60" t="n"/>
      <c r="CT204" s="60" t="n"/>
      <c r="CU204" s="60" t="n"/>
      <c r="CV204" s="60" t="n"/>
      <c r="CW204" s="60" t="n"/>
      <c r="CX204" s="60" t="n"/>
      <c r="CY204" s="60" t="n"/>
      <c r="CZ204" s="60" t="n"/>
      <c r="DA204" s="60" t="n"/>
      <c r="DB204" s="60" t="n"/>
      <c r="DC204" s="60" t="n"/>
      <c r="DD204" s="60" t="n"/>
      <c r="DE204" s="60" t="n"/>
    </row>
    <row r="205">
      <c r="A205" s="61" t="inlineStr">
        <is>
          <t>Pieza fabricada (se explota en su MP)</t>
        </is>
      </c>
      <c r="B205" s="61" t="inlineStr">
        <is>
          <t>Varilla de refuerzo interior — 759,1 × 8 × 8</t>
        </is>
      </c>
      <c r="C205" s="61" t="inlineStr">
        <is>
          <t>u</t>
        </is>
      </c>
      <c r="D205" s="61" t="inlineStr">
        <is>
          <t>No</t>
        </is>
      </c>
      <c r="E205" s="61" t="n"/>
      <c r="F205" s="61" t="inlineStr">
        <is>
          <t>Corte de barra -&gt; C2 punteo interior antes de C3 soldadura longitudinal</t>
        </is>
      </c>
      <c r="G205" s="60" t="n"/>
      <c r="H205" s="60" t="n"/>
      <c r="I205" s="60" t="n"/>
      <c r="J205" s="60" t="n"/>
      <c r="K205" s="60" t="n"/>
      <c r="L205" s="60" t="n"/>
      <c r="M205" s="60" t="n"/>
      <c r="N205" s="60" t="n"/>
      <c r="O205" s="60" t="n"/>
      <c r="P205" s="60" t="n"/>
      <c r="Q205" s="60" t="n"/>
      <c r="R205" s="60" t="n"/>
      <c r="S205" s="60" t="n"/>
      <c r="T205" s="60" t="n"/>
      <c r="U205" s="60" t="n"/>
      <c r="V205" s="60" t="n"/>
      <c r="W205" s="60" t="n">
        <v>1</v>
      </c>
      <c r="X205" s="60" t="n"/>
      <c r="Y205" s="60" t="n"/>
      <c r="Z205" s="60" t="n"/>
      <c r="AA205" s="60" t="n"/>
      <c r="AB205" s="60" t="n"/>
      <c r="AC205" s="60" t="n"/>
      <c r="AD205" s="60" t="n"/>
      <c r="AE205" s="60" t="n">
        <v>1</v>
      </c>
      <c r="AF205" s="60" t="n"/>
      <c r="AG205" s="60" t="n"/>
      <c r="AH205" s="60" t="n"/>
      <c r="AI205" s="60" t="n"/>
      <c r="AJ205" s="60" t="n"/>
      <c r="AK205" s="60" t="n"/>
      <c r="AL205" s="60" t="n"/>
      <c r="AM205" s="60" t="n"/>
      <c r="AN205" s="60" t="n"/>
      <c r="AO205" s="60" t="n"/>
      <c r="AP205" s="60" t="n"/>
      <c r="AQ205" s="60" t="n"/>
      <c r="AR205" s="60" t="n"/>
      <c r="AS205" s="60" t="n"/>
      <c r="AT205" s="60" t="n"/>
      <c r="AU205" s="60" t="n"/>
      <c r="AV205" s="60" t="n"/>
      <c r="AW205" s="60" t="n"/>
      <c r="AX205" s="60" t="n"/>
      <c r="AY205" s="60" t="n"/>
      <c r="AZ205" s="60" t="n"/>
      <c r="BA205" s="60" t="n"/>
      <c r="BB205" s="60" t="n"/>
      <c r="BC205" s="60" t="n"/>
      <c r="BD205" s="60" t="n"/>
      <c r="BE205" s="60" t="n"/>
      <c r="BF205" s="60" t="n"/>
      <c r="BG205" s="60" t="n"/>
      <c r="BH205" s="60" t="n"/>
      <c r="BI205" s="60" t="n"/>
      <c r="BJ205" s="60" t="n"/>
      <c r="BK205" s="60" t="n"/>
      <c r="BL205" s="60" t="n"/>
      <c r="BM205" s="60" t="n"/>
      <c r="BN205" s="60" t="n"/>
      <c r="BO205" s="60" t="n"/>
      <c r="BP205" s="60" t="n"/>
      <c r="BQ205" s="60" t="n"/>
      <c r="BR205" s="60" t="n"/>
      <c r="BS205" s="60" t="n"/>
      <c r="BT205" s="60" t="n"/>
      <c r="BU205" s="60" t="n"/>
      <c r="BV205" s="60" t="n"/>
      <c r="BW205" s="60" t="n"/>
      <c r="BX205" s="60" t="n"/>
      <c r="BY205" s="60" t="n"/>
      <c r="BZ205" s="60" t="n"/>
      <c r="CA205" s="60" t="n"/>
      <c r="CB205" s="60" t="n"/>
      <c r="CC205" s="60" t="n"/>
      <c r="CD205" s="60" t="n"/>
      <c r="CE205" s="60" t="n"/>
      <c r="CF205" s="60" t="n"/>
      <c r="CG205" s="60" t="n"/>
      <c r="CH205" s="60" t="n"/>
      <c r="CI205" s="60" t="n"/>
      <c r="CJ205" s="60" t="n"/>
      <c r="CK205" s="60" t="n"/>
      <c r="CL205" s="60" t="n"/>
      <c r="CM205" s="60" t="n"/>
      <c r="CN205" s="60" t="n"/>
      <c r="CO205" s="60" t="n"/>
      <c r="CP205" s="60" t="n"/>
      <c r="CQ205" s="60" t="n"/>
      <c r="CR205" s="60" t="n"/>
      <c r="CS205" s="60" t="n"/>
      <c r="CT205" s="60" t="n"/>
      <c r="CU205" s="60" t="n"/>
      <c r="CV205" s="60" t="n"/>
      <c r="CW205" s="60" t="n"/>
      <c r="CX205" s="60" t="n"/>
      <c r="CY205" s="60" t="n"/>
      <c r="CZ205" s="60" t="n"/>
      <c r="DA205" s="60" t="n"/>
      <c r="DB205" s="60" t="n"/>
      <c r="DC205" s="60" t="n"/>
      <c r="DD205" s="60" t="n"/>
      <c r="DE205" s="60" t="n"/>
    </row>
    <row r="206">
      <c r="A206" s="60" t="inlineStr">
        <is>
          <t>Incluido en un conjunto comprado</t>
        </is>
      </c>
      <c r="B206" s="60" t="inlineStr">
        <is>
          <t>Caño de pesca (sifón) — Ø12 × 276,8 de largo</t>
        </is>
      </c>
      <c r="C206" s="60" t="inlineStr">
        <is>
          <t>u</t>
        </is>
      </c>
      <c r="D206" s="60" t="inlineStr">
        <is>
          <t>No</t>
        </is>
      </c>
      <c r="E206" s="60" t="n"/>
      <c r="F206" s="60" t="inlineStr">
        <is>
          <t>19 Ensamblaje de válvula (T03/T04)</t>
        </is>
      </c>
      <c r="G206" s="60" t="n"/>
      <c r="H206" s="60" t="n">
        <v>1</v>
      </c>
      <c r="I206" s="60" t="n"/>
      <c r="J206" s="60" t="n"/>
      <c r="K206" s="60" t="n"/>
      <c r="L206" s="60" t="n"/>
      <c r="M206" s="60" t="n"/>
      <c r="N206" s="60" t="n"/>
      <c r="O206" s="60" t="n"/>
      <c r="P206" s="60" t="n"/>
      <c r="Q206" s="60" t="n"/>
      <c r="R206" s="60" t="n"/>
      <c r="S206" s="60" t="n"/>
      <c r="T206" s="60" t="n"/>
      <c r="U206" s="60" t="n"/>
      <c r="V206" s="60" t="n"/>
      <c r="W206" s="60" t="n"/>
      <c r="X206" s="60" t="n"/>
      <c r="Y206" s="60" t="n"/>
      <c r="Z206" s="60" t="n"/>
      <c r="AA206" s="60" t="n"/>
      <c r="AB206" s="60" t="n"/>
      <c r="AC206" s="60" t="n"/>
      <c r="AD206" s="60" t="n"/>
      <c r="AE206" s="60" t="n"/>
      <c r="AF206" s="60" t="n"/>
      <c r="AG206" s="60" t="n"/>
      <c r="AH206" s="60" t="n"/>
      <c r="AI206" s="60" t="n"/>
      <c r="AJ206" s="60" t="n"/>
      <c r="AK206" s="60" t="n"/>
      <c r="AL206" s="60" t="n"/>
      <c r="AM206" s="60" t="n"/>
      <c r="AN206" s="60" t="n"/>
      <c r="AO206" s="60" t="n"/>
      <c r="AP206" s="60" t="n"/>
      <c r="AQ206" s="60" t="n"/>
      <c r="AR206" s="60" t="n"/>
      <c r="AS206" s="60" t="n"/>
      <c r="AT206" s="60" t="n"/>
      <c r="AU206" s="60" t="n"/>
      <c r="AV206" s="60" t="n"/>
      <c r="AW206" s="60" t="n"/>
      <c r="AX206" s="60" t="n"/>
      <c r="AY206" s="60" t="n"/>
      <c r="AZ206" s="60" t="n"/>
      <c r="BA206" s="60" t="n"/>
      <c r="BB206" s="60" t="n"/>
      <c r="BC206" s="60" t="n"/>
      <c r="BD206" s="60" t="n"/>
      <c r="BE206" s="60" t="n"/>
      <c r="BF206" s="60" t="n"/>
      <c r="BG206" s="60" t="n"/>
      <c r="BH206" s="60" t="n"/>
      <c r="BI206" s="60" t="n"/>
      <c r="BJ206" s="60" t="n"/>
      <c r="BK206" s="60" t="n"/>
      <c r="BL206" s="60" t="n"/>
      <c r="BM206" s="60" t="n"/>
      <c r="BN206" s="60" t="n"/>
      <c r="BO206" s="60" t="n"/>
      <c r="BP206" s="60" t="n"/>
      <c r="BQ206" s="60" t="n"/>
      <c r="BR206" s="60" t="n"/>
      <c r="BS206" s="60" t="n"/>
      <c r="BT206" s="60" t="n"/>
      <c r="BU206" s="60" t="n"/>
      <c r="BV206" s="60" t="n"/>
      <c r="BW206" s="60" t="n"/>
      <c r="BX206" s="60" t="n"/>
      <c r="BY206" s="60" t="n"/>
      <c r="BZ206" s="60" t="n"/>
      <c r="CA206" s="60" t="n"/>
      <c r="CB206" s="60" t="n"/>
      <c r="CC206" s="60" t="n"/>
      <c r="CD206" s="60" t="n"/>
      <c r="CE206" s="60" t="n"/>
      <c r="CF206" s="60" t="n"/>
      <c r="CG206" s="60" t="n"/>
      <c r="CH206" s="60" t="n"/>
      <c r="CI206" s="60" t="n"/>
      <c r="CJ206" s="60" t="n"/>
      <c r="CK206" s="60" t="n"/>
      <c r="CL206" s="60" t="n"/>
      <c r="CM206" s="60" t="n"/>
      <c r="CN206" s="60" t="n"/>
      <c r="CO206" s="60" t="n"/>
      <c r="CP206" s="60" t="n"/>
      <c r="CQ206" s="60" t="n"/>
      <c r="CR206" s="60" t="n"/>
      <c r="CS206" s="60" t="n"/>
      <c r="CT206" s="60" t="n"/>
      <c r="CU206" s="60" t="n"/>
      <c r="CV206" s="60" t="n"/>
      <c r="CW206" s="60" t="n"/>
      <c r="CX206" s="60" t="n"/>
      <c r="CY206" s="60" t="n"/>
      <c r="CZ206" s="60" t="n"/>
      <c r="DA206" s="60" t="n"/>
      <c r="DB206" s="60" t="n"/>
      <c r="DC206" s="60" t="n"/>
      <c r="DD206" s="60" t="n"/>
      <c r="DE206" s="60" t="n"/>
    </row>
    <row r="207">
      <c r="A207" s="60" t="inlineStr">
        <is>
          <t>Incluido en un conjunto comprado</t>
        </is>
      </c>
      <c r="B207" s="60" t="inlineStr">
        <is>
          <t>Caño de pesca (sifón) — Ø12 × 352,4 de largo</t>
        </is>
      </c>
      <c r="C207" s="60" t="inlineStr">
        <is>
          <t>u</t>
        </is>
      </c>
      <c r="D207" s="60" t="inlineStr">
        <is>
          <t>No</t>
        </is>
      </c>
      <c r="E207" s="60" t="n"/>
      <c r="F207" s="60" t="inlineStr">
        <is>
          <t>19 Ensamblaje de válvula (T03/T04)</t>
        </is>
      </c>
      <c r="G207" s="60" t="n"/>
      <c r="H207" s="60" t="n"/>
      <c r="I207" s="60" t="n">
        <v>1</v>
      </c>
      <c r="J207" s="60" t="n"/>
      <c r="K207" s="60" t="n"/>
      <c r="L207" s="60" t="n"/>
      <c r="M207" s="60" t="n"/>
      <c r="N207" s="60" t="n">
        <v>1</v>
      </c>
      <c r="O207" s="60" t="n"/>
      <c r="P207" s="60" t="n"/>
      <c r="Q207" s="60" t="n"/>
      <c r="R207" s="60" t="n">
        <v>1</v>
      </c>
      <c r="S207" s="60" t="n"/>
      <c r="T207" s="60" t="n"/>
      <c r="U207" s="60" t="n"/>
      <c r="V207" s="60" t="n"/>
      <c r="W207" s="60" t="n"/>
      <c r="X207" s="60" t="n"/>
      <c r="Y207" s="60" t="n"/>
      <c r="Z207" s="60" t="n"/>
      <c r="AA207" s="60" t="n"/>
      <c r="AB207" s="60" t="n"/>
      <c r="AC207" s="60" t="n"/>
      <c r="AD207" s="60" t="n"/>
      <c r="AE207" s="60" t="n"/>
      <c r="AF207" s="60" t="n"/>
      <c r="AG207" s="60" t="n"/>
      <c r="AH207" s="60" t="n"/>
      <c r="AI207" s="60" t="n"/>
      <c r="AJ207" s="60" t="n"/>
      <c r="AK207" s="60" t="n"/>
      <c r="AL207" s="60" t="n"/>
      <c r="AM207" s="60" t="n"/>
      <c r="AN207" s="60" t="n"/>
      <c r="AO207" s="60" t="n"/>
      <c r="AP207" s="60" t="n"/>
      <c r="AQ207" s="60" t="n"/>
      <c r="AR207" s="60" t="n"/>
      <c r="AS207" s="60" t="n"/>
      <c r="AT207" s="60" t="n"/>
      <c r="AU207" s="60" t="n"/>
      <c r="AV207" s="60" t="n"/>
      <c r="AW207" s="60" t="n"/>
      <c r="AX207" s="60" t="n"/>
      <c r="AY207" s="60" t="n"/>
      <c r="AZ207" s="60" t="n"/>
      <c r="BA207" s="60" t="n"/>
      <c r="BB207" s="60" t="n"/>
      <c r="BC207" s="60" t="n"/>
      <c r="BD207" s="60" t="n"/>
      <c r="BE207" s="60" t="n"/>
      <c r="BF207" s="60" t="n"/>
      <c r="BG207" s="60" t="n"/>
      <c r="BH207" s="60" t="n"/>
      <c r="BI207" s="60" t="n"/>
      <c r="BJ207" s="60" t="n"/>
      <c r="BK207" s="60" t="n"/>
      <c r="BL207" s="60" t="n"/>
      <c r="BM207" s="60" t="n"/>
      <c r="BN207" s="60" t="n"/>
      <c r="BO207" s="60" t="n"/>
      <c r="BP207" s="60" t="n"/>
      <c r="BQ207" s="60" t="n"/>
      <c r="BR207" s="60" t="n"/>
      <c r="BS207" s="60" t="n"/>
      <c r="BT207" s="60" t="n"/>
      <c r="BU207" s="60" t="n"/>
      <c r="BV207" s="60" t="n"/>
      <c r="BW207" s="60" t="n"/>
      <c r="BX207" s="60" t="n"/>
      <c r="BY207" s="60" t="n"/>
      <c r="BZ207" s="60" t="n"/>
      <c r="CA207" s="60" t="n"/>
      <c r="CB207" s="60" t="n"/>
      <c r="CC207" s="60" t="n"/>
      <c r="CD207" s="60" t="n"/>
      <c r="CE207" s="60" t="n"/>
      <c r="CF207" s="60" t="n"/>
      <c r="CG207" s="60" t="n"/>
      <c r="CH207" s="60" t="n"/>
      <c r="CI207" s="60" t="n"/>
      <c r="CJ207" s="60" t="n"/>
      <c r="CK207" s="60" t="n"/>
      <c r="CL207" s="60" t="n"/>
      <c r="CM207" s="60" t="n"/>
      <c r="CN207" s="60" t="n"/>
      <c r="CO207" s="60" t="n"/>
      <c r="CP207" s="60" t="n"/>
      <c r="CQ207" s="60" t="n"/>
      <c r="CR207" s="60" t="n"/>
      <c r="CS207" s="60" t="n"/>
      <c r="CT207" s="60" t="n"/>
      <c r="CU207" s="60" t="n"/>
      <c r="CV207" s="60" t="n"/>
      <c r="CW207" s="60" t="n"/>
      <c r="CX207" s="60" t="n"/>
      <c r="CY207" s="60" t="n"/>
      <c r="CZ207" s="60" t="n"/>
      <c r="DA207" s="60" t="n"/>
      <c r="DB207" s="60" t="n"/>
      <c r="DC207" s="60" t="n"/>
      <c r="DD207" s="60" t="n"/>
      <c r="DE207" s="60" t="n"/>
    </row>
    <row r="208">
      <c r="A208" s="60" t="inlineStr">
        <is>
          <t>Incluido en un conjunto comprado</t>
        </is>
      </c>
      <c r="B208" s="60" t="inlineStr">
        <is>
          <t>Caño de pesca (sifón) — Ø12 × 525,7 de largo</t>
        </is>
      </c>
      <c r="C208" s="60" t="inlineStr">
        <is>
          <t>u</t>
        </is>
      </c>
      <c r="D208" s="60" t="inlineStr">
        <is>
          <t>No</t>
        </is>
      </c>
      <c r="E208" s="60" t="n"/>
      <c r="F208" s="60" t="inlineStr">
        <is>
          <t>19 Ensamblaje de válvula (T03/T04)</t>
        </is>
      </c>
      <c r="G208" s="60" t="n"/>
      <c r="H208" s="60" t="n"/>
      <c r="I208" s="60" t="n"/>
      <c r="J208" s="60" t="n">
        <v>1</v>
      </c>
      <c r="K208" s="60" t="n"/>
      <c r="L208" s="60" t="n"/>
      <c r="M208" s="60" t="n"/>
      <c r="N208" s="60" t="n"/>
      <c r="O208" s="60" t="n"/>
      <c r="P208" s="60" t="n"/>
      <c r="Q208" s="60" t="n"/>
      <c r="R208" s="60" t="n"/>
      <c r="S208" s="60" t="n">
        <v>1</v>
      </c>
      <c r="T208" s="60" t="n"/>
      <c r="U208" s="60" t="n"/>
      <c r="V208" s="60" t="n"/>
      <c r="W208" s="60" t="n"/>
      <c r="X208" s="60" t="n"/>
      <c r="Y208" s="60" t="n"/>
      <c r="Z208" s="60" t="n"/>
      <c r="AA208" s="60" t="n"/>
      <c r="AB208" s="60" t="n"/>
      <c r="AC208" s="60" t="n"/>
      <c r="AD208" s="60" t="n"/>
      <c r="AE208" s="60" t="n"/>
      <c r="AF208" s="60" t="n"/>
      <c r="AG208" s="60" t="n"/>
      <c r="AH208" s="60" t="n"/>
      <c r="AI208" s="60" t="n"/>
      <c r="AJ208" s="60" t="n"/>
      <c r="AK208" s="60" t="n"/>
      <c r="AL208" s="60" t="n"/>
      <c r="AM208" s="60" t="n"/>
      <c r="AN208" s="60" t="n"/>
      <c r="AO208" s="60" t="n"/>
      <c r="AP208" s="60" t="n"/>
      <c r="AQ208" s="60" t="n"/>
      <c r="AR208" s="60" t="n"/>
      <c r="AS208" s="60" t="n"/>
      <c r="AT208" s="60" t="n"/>
      <c r="AU208" s="60" t="n"/>
      <c r="AV208" s="60" t="n"/>
      <c r="AW208" s="60" t="n"/>
      <c r="AX208" s="60" t="n"/>
      <c r="AY208" s="60" t="n"/>
      <c r="AZ208" s="60" t="n"/>
      <c r="BA208" s="60" t="n"/>
      <c r="BB208" s="60" t="n"/>
      <c r="BC208" s="60" t="n"/>
      <c r="BD208" s="60" t="n"/>
      <c r="BE208" s="60" t="n"/>
      <c r="BF208" s="60" t="n"/>
      <c r="BG208" s="60" t="n"/>
      <c r="BH208" s="60" t="n"/>
      <c r="BI208" s="60" t="n"/>
      <c r="BJ208" s="60" t="n"/>
      <c r="BK208" s="60" t="n"/>
      <c r="BL208" s="60" t="n"/>
      <c r="BM208" s="60" t="n"/>
      <c r="BN208" s="60" t="n"/>
      <c r="BO208" s="60" t="n"/>
      <c r="BP208" s="60" t="n"/>
      <c r="BQ208" s="60" t="n"/>
      <c r="BR208" s="60" t="n"/>
      <c r="BS208" s="60" t="n"/>
      <c r="BT208" s="60" t="n"/>
      <c r="BU208" s="60" t="n"/>
      <c r="BV208" s="60" t="n"/>
      <c r="BW208" s="60" t="n"/>
      <c r="BX208" s="60" t="n"/>
      <c r="BY208" s="60" t="n"/>
      <c r="BZ208" s="60" t="n"/>
      <c r="CA208" s="60" t="n"/>
      <c r="CB208" s="60" t="n"/>
      <c r="CC208" s="60" t="n"/>
      <c r="CD208" s="60" t="n"/>
      <c r="CE208" s="60" t="n"/>
      <c r="CF208" s="60" t="n"/>
      <c r="CG208" s="60" t="n"/>
      <c r="CH208" s="60" t="n"/>
      <c r="CI208" s="60" t="n"/>
      <c r="CJ208" s="60" t="n"/>
      <c r="CK208" s="60" t="n"/>
      <c r="CL208" s="60" t="n"/>
      <c r="CM208" s="60" t="n"/>
      <c r="CN208" s="60" t="n"/>
      <c r="CO208" s="60" t="n"/>
      <c r="CP208" s="60" t="n"/>
      <c r="CQ208" s="60" t="n"/>
      <c r="CR208" s="60" t="n"/>
      <c r="CS208" s="60" t="n"/>
      <c r="CT208" s="60" t="n"/>
      <c r="CU208" s="60" t="n"/>
      <c r="CV208" s="60" t="n"/>
      <c r="CW208" s="60" t="n"/>
      <c r="CX208" s="60" t="n"/>
      <c r="CY208" s="60" t="n"/>
      <c r="CZ208" s="60" t="n"/>
      <c r="DA208" s="60" t="n"/>
      <c r="DB208" s="60" t="n"/>
      <c r="DC208" s="60" t="n"/>
      <c r="DD208" s="60" t="n"/>
      <c r="DE208" s="60" t="n"/>
    </row>
    <row r="209">
      <c r="A209" s="60" t="inlineStr">
        <is>
          <t>Incluido en un conjunto comprado</t>
        </is>
      </c>
      <c r="B209" s="60" t="inlineStr">
        <is>
          <t>Caño de pesca (sifón) — Ø24 × 1.033,2 de largo</t>
        </is>
      </c>
      <c r="C209" s="60" t="inlineStr">
        <is>
          <t>u</t>
        </is>
      </c>
      <c r="D209" s="60" t="inlineStr">
        <is>
          <t>No</t>
        </is>
      </c>
      <c r="E209" s="60" t="n"/>
      <c r="F209" s="60" t="inlineStr">
        <is>
          <t>C9 armado</t>
        </is>
      </c>
      <c r="G209" s="60" t="n"/>
      <c r="H209" s="60" t="n"/>
      <c r="I209" s="60" t="n"/>
      <c r="J209" s="60" t="n"/>
      <c r="K209" s="60" t="n"/>
      <c r="L209" s="60" t="n"/>
      <c r="M209" s="60" t="n"/>
      <c r="N209" s="60" t="n"/>
      <c r="O209" s="60" t="n"/>
      <c r="P209" s="60" t="n"/>
      <c r="Q209" s="60" t="n"/>
      <c r="R209" s="60" t="n"/>
      <c r="S209" s="60" t="n"/>
      <c r="T209" s="60" t="n"/>
      <c r="U209" s="60" t="n"/>
      <c r="V209" s="60" t="n"/>
      <c r="W209" s="60" t="n">
        <v>1</v>
      </c>
      <c r="X209" s="60" t="n"/>
      <c r="Y209" s="60" t="n"/>
      <c r="Z209" s="60" t="n"/>
      <c r="AA209" s="60" t="n"/>
      <c r="AB209" s="60" t="n"/>
      <c r="AC209" s="60" t="n"/>
      <c r="AD209" s="60" t="n"/>
      <c r="AE209" s="60" t="n"/>
      <c r="AF209" s="60" t="n"/>
      <c r="AG209" s="60" t="n"/>
      <c r="AH209" s="60" t="n"/>
      <c r="AI209" s="60" t="n"/>
      <c r="AJ209" s="60" t="n"/>
      <c r="AK209" s="60" t="n"/>
      <c r="AL209" s="60" t="n"/>
      <c r="AM209" s="60" t="n"/>
      <c r="AN209" s="60" t="n"/>
      <c r="AO209" s="60" t="n"/>
      <c r="AP209" s="60" t="n"/>
      <c r="AQ209" s="60" t="n"/>
      <c r="AR209" s="60" t="n"/>
      <c r="AS209" s="60" t="n"/>
      <c r="AT209" s="60" t="n"/>
      <c r="AU209" s="60" t="n"/>
      <c r="AV209" s="60" t="n"/>
      <c r="AW209" s="60" t="n"/>
      <c r="AX209" s="60" t="n"/>
      <c r="AY209" s="60" t="n"/>
      <c r="AZ209" s="60" t="n"/>
      <c r="BA209" s="60" t="n"/>
      <c r="BB209" s="60" t="n"/>
      <c r="BC209" s="60" t="n"/>
      <c r="BD209" s="60" t="n"/>
      <c r="BE209" s="60" t="n"/>
      <c r="BF209" s="60" t="n"/>
      <c r="BG209" s="60" t="n"/>
      <c r="BH209" s="60" t="n"/>
      <c r="BI209" s="60" t="n"/>
      <c r="BJ209" s="60" t="n"/>
      <c r="BK209" s="60" t="n"/>
      <c r="BL209" s="60" t="n"/>
      <c r="BM209" s="60" t="n"/>
      <c r="BN209" s="60" t="n"/>
      <c r="BO209" s="60" t="n"/>
      <c r="BP209" s="60" t="n"/>
      <c r="BQ209" s="60" t="n"/>
      <c r="BR209" s="60" t="n"/>
      <c r="BS209" s="60" t="n"/>
      <c r="BT209" s="60" t="n"/>
      <c r="BU209" s="60" t="n"/>
      <c r="BV209" s="60" t="n"/>
      <c r="BW209" s="60" t="n"/>
      <c r="BX209" s="60" t="n"/>
      <c r="BY209" s="60" t="n"/>
      <c r="BZ209" s="60" t="n"/>
      <c r="CA209" s="60" t="n"/>
      <c r="CB209" s="60" t="n"/>
      <c r="CC209" s="60" t="n"/>
      <c r="CD209" s="60" t="n"/>
      <c r="CE209" s="60" t="n"/>
      <c r="CF209" s="60" t="n"/>
      <c r="CG209" s="60" t="n"/>
      <c r="CH209" s="60" t="n"/>
      <c r="CI209" s="60" t="n"/>
      <c r="CJ209" s="60" t="n"/>
      <c r="CK209" s="60" t="n"/>
      <c r="CL209" s="60" t="n"/>
      <c r="CM209" s="60" t="n"/>
      <c r="CN209" s="60" t="n"/>
      <c r="CO209" s="60" t="n"/>
      <c r="CP209" s="60" t="n"/>
      <c r="CQ209" s="60" t="n"/>
      <c r="CR209" s="60" t="n"/>
      <c r="CS209" s="60" t="n"/>
      <c r="CT209" s="60" t="n"/>
      <c r="CU209" s="60" t="n"/>
      <c r="CV209" s="60" t="n"/>
      <c r="CW209" s="60" t="n"/>
      <c r="CX209" s="60" t="n"/>
      <c r="CY209" s="60" t="n"/>
      <c r="CZ209" s="60" t="n"/>
      <c r="DA209" s="60" t="n"/>
      <c r="DB209" s="60" t="n"/>
      <c r="DC209" s="60" t="n"/>
      <c r="DD209" s="60" t="n"/>
      <c r="DE209" s="60" t="n"/>
    </row>
    <row r="210">
      <c r="A210" s="60" t="inlineStr">
        <is>
          <t>Incluido en un conjunto comprado</t>
        </is>
      </c>
      <c r="B210" s="60" t="inlineStr">
        <is>
          <t>Caño de pesca (sifón) — Ø24 × 569,9 de largo</t>
        </is>
      </c>
      <c r="C210" s="60" t="inlineStr">
        <is>
          <t>u</t>
        </is>
      </c>
      <c r="D210" s="60" t="inlineStr">
        <is>
          <t>No</t>
        </is>
      </c>
      <c r="E210" s="60" t="n"/>
      <c r="F210" s="60" t="inlineStr">
        <is>
          <t>C9 armado</t>
        </is>
      </c>
      <c r="G210" s="60" t="n"/>
      <c r="H210" s="60" t="n"/>
      <c r="I210" s="60" t="n"/>
      <c r="J210" s="60" t="n"/>
      <c r="K210" s="60" t="n"/>
      <c r="L210" s="60" t="n"/>
      <c r="M210" s="60" t="n"/>
      <c r="N210" s="60" t="n"/>
      <c r="O210" s="60" t="n"/>
      <c r="P210" s="60" t="n"/>
      <c r="Q210" s="60" t="n"/>
      <c r="R210" s="60" t="n"/>
      <c r="S210" s="60" t="n"/>
      <c r="T210" s="60" t="n">
        <v>1</v>
      </c>
      <c r="U210" s="60" t="n"/>
      <c r="V210" s="60" t="n"/>
      <c r="W210" s="60" t="n"/>
      <c r="X210" s="60" t="n"/>
      <c r="Y210" s="60" t="n"/>
      <c r="Z210" s="60" t="n"/>
      <c r="AA210" s="60" t="n"/>
      <c r="AB210" s="60" t="n"/>
      <c r="AC210" s="60" t="n"/>
      <c r="AD210" s="60" t="n"/>
      <c r="AE210" s="60" t="n"/>
      <c r="AF210" s="60" t="n"/>
      <c r="AG210" s="60" t="n"/>
      <c r="AH210" s="60" t="n"/>
      <c r="AI210" s="60" t="n"/>
      <c r="AJ210" s="60" t="n"/>
      <c r="AK210" s="60" t="n"/>
      <c r="AL210" s="60" t="n"/>
      <c r="AM210" s="60" t="n"/>
      <c r="AN210" s="60" t="n"/>
      <c r="AO210" s="60" t="n"/>
      <c r="AP210" s="60" t="n"/>
      <c r="AQ210" s="60" t="n"/>
      <c r="AR210" s="60" t="n"/>
      <c r="AS210" s="60" t="n"/>
      <c r="AT210" s="60" t="n"/>
      <c r="AU210" s="60" t="n"/>
      <c r="AV210" s="60" t="n"/>
      <c r="AW210" s="60" t="n"/>
      <c r="AX210" s="60" t="n"/>
      <c r="AY210" s="60" t="n"/>
      <c r="AZ210" s="60" t="n"/>
      <c r="BA210" s="60" t="n"/>
      <c r="BB210" s="60" t="n"/>
      <c r="BC210" s="60" t="n"/>
      <c r="BD210" s="60" t="n"/>
      <c r="BE210" s="60" t="n"/>
      <c r="BF210" s="60" t="n"/>
      <c r="BG210" s="60" t="n"/>
      <c r="BH210" s="60" t="n"/>
      <c r="BI210" s="60" t="n"/>
      <c r="BJ210" s="60" t="n"/>
      <c r="BK210" s="60" t="n"/>
      <c r="BL210" s="60" t="n"/>
      <c r="BM210" s="60" t="n"/>
      <c r="BN210" s="60" t="n"/>
      <c r="BO210" s="60" t="n"/>
      <c r="BP210" s="60" t="n"/>
      <c r="BQ210" s="60" t="n"/>
      <c r="BR210" s="60" t="n"/>
      <c r="BS210" s="60" t="n"/>
      <c r="BT210" s="60" t="n"/>
      <c r="BU210" s="60" t="n"/>
      <c r="BV210" s="60" t="n"/>
      <c r="BW210" s="60" t="n"/>
      <c r="BX210" s="60" t="n"/>
      <c r="BY210" s="60" t="n"/>
      <c r="BZ210" s="60" t="n"/>
      <c r="CA210" s="60" t="n"/>
      <c r="CB210" s="60" t="n"/>
      <c r="CC210" s="60" t="n"/>
      <c r="CD210" s="60" t="n"/>
      <c r="CE210" s="60" t="n"/>
      <c r="CF210" s="60" t="n"/>
      <c r="CG210" s="60" t="n"/>
      <c r="CH210" s="60" t="n"/>
      <c r="CI210" s="60" t="n"/>
      <c r="CJ210" s="60" t="n"/>
      <c r="CK210" s="60" t="n"/>
      <c r="CL210" s="60" t="n"/>
      <c r="CM210" s="60" t="n"/>
      <c r="CN210" s="60" t="n"/>
      <c r="CO210" s="60" t="n"/>
      <c r="CP210" s="60" t="n"/>
      <c r="CQ210" s="60" t="n"/>
      <c r="CR210" s="60" t="n"/>
      <c r="CS210" s="60" t="n"/>
      <c r="CT210" s="60" t="n"/>
      <c r="CU210" s="60" t="n"/>
      <c r="CV210" s="60" t="n"/>
      <c r="CW210" s="60" t="n"/>
      <c r="CX210" s="60" t="n"/>
      <c r="CY210" s="60" t="n"/>
      <c r="CZ210" s="60" t="n"/>
      <c r="DA210" s="60" t="n"/>
      <c r="DB210" s="60" t="n"/>
      <c r="DC210" s="60" t="n"/>
      <c r="DD210" s="60" t="n"/>
      <c r="DE210" s="60" t="n"/>
    </row>
    <row r="211">
      <c r="A211" s="60" t="inlineStr">
        <is>
          <t>Incluido en un conjunto comprado</t>
        </is>
      </c>
      <c r="B211" s="60" t="inlineStr">
        <is>
          <t>Caño de pesca (sifón) — Ø24 × 900,8 de largo</t>
        </is>
      </c>
      <c r="C211" s="60" t="inlineStr">
        <is>
          <t>u</t>
        </is>
      </c>
      <c r="D211" s="60" t="inlineStr">
        <is>
          <t>No</t>
        </is>
      </c>
      <c r="E211" s="60" t="n"/>
      <c r="F211" s="60" t="inlineStr">
        <is>
          <t>C9 armado</t>
        </is>
      </c>
      <c r="G211" s="60" t="n"/>
      <c r="H211" s="60" t="n"/>
      <c r="I211" s="60" t="n"/>
      <c r="J211" s="60" t="n"/>
      <c r="K211" s="60" t="n"/>
      <c r="L211" s="60" t="n"/>
      <c r="M211" s="60" t="n"/>
      <c r="N211" s="60" t="n"/>
      <c r="O211" s="60" t="n"/>
      <c r="P211" s="60" t="n"/>
      <c r="Q211" s="60" t="n"/>
      <c r="R211" s="60" t="n"/>
      <c r="S211" s="60" t="n"/>
      <c r="T211" s="60" t="n"/>
      <c r="U211" s="60" t="n"/>
      <c r="V211" s="60" t="n">
        <v>1</v>
      </c>
      <c r="W211" s="60" t="n"/>
      <c r="X211" s="60" t="n"/>
      <c r="Y211" s="60" t="n"/>
      <c r="Z211" s="60" t="n"/>
      <c r="AA211" s="60" t="n"/>
      <c r="AB211" s="60" t="n"/>
      <c r="AC211" s="60" t="n"/>
      <c r="AD211" s="60" t="n"/>
      <c r="AE211" s="60" t="n"/>
      <c r="AF211" s="60" t="n"/>
      <c r="AG211" s="60" t="n"/>
      <c r="AH211" s="60" t="n"/>
      <c r="AI211" s="60" t="n"/>
      <c r="AJ211" s="60" t="n"/>
      <c r="AK211" s="60" t="n"/>
      <c r="AL211" s="60" t="n"/>
      <c r="AM211" s="60" t="n"/>
      <c r="AN211" s="60" t="n"/>
      <c r="AO211" s="60" t="n"/>
      <c r="AP211" s="60" t="n"/>
      <c r="AQ211" s="60" t="n"/>
      <c r="AR211" s="60" t="n"/>
      <c r="AS211" s="60" t="n"/>
      <c r="AT211" s="60" t="n"/>
      <c r="AU211" s="60" t="n"/>
      <c r="AV211" s="60" t="n"/>
      <c r="AW211" s="60" t="n"/>
      <c r="AX211" s="60" t="n"/>
      <c r="AY211" s="60" t="n"/>
      <c r="AZ211" s="60" t="n"/>
      <c r="BA211" s="60" t="n"/>
      <c r="BB211" s="60" t="n"/>
      <c r="BC211" s="60" t="n"/>
      <c r="BD211" s="60" t="n"/>
      <c r="BE211" s="60" t="n"/>
      <c r="BF211" s="60" t="n"/>
      <c r="BG211" s="60" t="n"/>
      <c r="BH211" s="60" t="n"/>
      <c r="BI211" s="60" t="n"/>
      <c r="BJ211" s="60" t="n"/>
      <c r="BK211" s="60" t="n"/>
      <c r="BL211" s="60" t="n"/>
      <c r="BM211" s="60" t="n"/>
      <c r="BN211" s="60" t="n"/>
      <c r="BO211" s="60" t="n"/>
      <c r="BP211" s="60" t="n"/>
      <c r="BQ211" s="60" t="n"/>
      <c r="BR211" s="60" t="n"/>
      <c r="BS211" s="60" t="n"/>
      <c r="BT211" s="60" t="n"/>
      <c r="BU211" s="60" t="n"/>
      <c r="BV211" s="60" t="n"/>
      <c r="BW211" s="60" t="n"/>
      <c r="BX211" s="60" t="n"/>
      <c r="BY211" s="60" t="n"/>
      <c r="BZ211" s="60" t="n"/>
      <c r="CA211" s="60" t="n"/>
      <c r="CB211" s="60" t="n"/>
      <c r="CC211" s="60" t="n"/>
      <c r="CD211" s="60" t="n"/>
      <c r="CE211" s="60" t="n"/>
      <c r="CF211" s="60" t="n"/>
      <c r="CG211" s="60" t="n"/>
      <c r="CH211" s="60" t="n"/>
      <c r="CI211" s="60" t="n"/>
      <c r="CJ211" s="60" t="n"/>
      <c r="CK211" s="60" t="n"/>
      <c r="CL211" s="60" t="n"/>
      <c r="CM211" s="60" t="n"/>
      <c r="CN211" s="60" t="n"/>
      <c r="CO211" s="60" t="n"/>
      <c r="CP211" s="60" t="n"/>
      <c r="CQ211" s="60" t="n"/>
      <c r="CR211" s="60" t="n"/>
      <c r="CS211" s="60" t="n"/>
      <c r="CT211" s="60" t="n"/>
      <c r="CU211" s="60" t="n"/>
      <c r="CV211" s="60" t="n"/>
      <c r="CW211" s="60" t="n"/>
      <c r="CX211" s="60" t="n"/>
      <c r="CY211" s="60" t="n"/>
      <c r="CZ211" s="60" t="n"/>
      <c r="DA211" s="60" t="n"/>
      <c r="DB211" s="60" t="n"/>
      <c r="DC211" s="60" t="n"/>
      <c r="DD211" s="60" t="n"/>
      <c r="DE211" s="60" t="n"/>
    </row>
    <row r="212">
      <c r="A212" s="60" t="inlineStr">
        <is>
          <t>Incluido en un conjunto comprado</t>
        </is>
      </c>
      <c r="B212" s="60" t="inlineStr">
        <is>
          <t>Caño de pesca (sifón) — Ø9,6 × 269,1 de largo</t>
        </is>
      </c>
      <c r="C212" s="60" t="inlineStr">
        <is>
          <t>u</t>
        </is>
      </c>
      <c r="D212" s="60" t="inlineStr">
        <is>
          <t>No</t>
        </is>
      </c>
      <c r="E212" s="60" t="n"/>
      <c r="F212" s="60" t="inlineStr">
        <is>
          <t>19 Ensamblaje de válvula (T03/T04)</t>
        </is>
      </c>
      <c r="G212" s="60" t="n">
        <v>1</v>
      </c>
      <c r="H212" s="60" t="n"/>
      <c r="I212" s="60" t="n"/>
      <c r="J212" s="60" t="n"/>
      <c r="K212" s="60" t="n"/>
      <c r="L212" s="60" t="n"/>
      <c r="M212" s="60" t="n"/>
      <c r="N212" s="60" t="n"/>
      <c r="O212" s="60" t="n"/>
      <c r="P212" s="60" t="n"/>
      <c r="Q212" s="60" t="n"/>
      <c r="R212" s="60" t="n"/>
      <c r="S212" s="60" t="n"/>
      <c r="T212" s="60" t="n"/>
      <c r="U212" s="60" t="n"/>
      <c r="V212" s="60" t="n"/>
      <c r="W212" s="60" t="n"/>
      <c r="X212" s="60" t="n"/>
      <c r="Y212" s="60" t="n"/>
      <c r="Z212" s="60" t="n"/>
      <c r="AA212" s="60" t="n"/>
      <c r="AB212" s="60" t="n"/>
      <c r="AC212" s="60" t="n"/>
      <c r="AD212" s="60" t="n"/>
      <c r="AE212" s="60" t="n"/>
      <c r="AF212" s="60" t="n"/>
      <c r="AG212" s="60" t="n"/>
      <c r="AH212" s="60" t="n"/>
      <c r="AI212" s="60" t="n"/>
      <c r="AJ212" s="60" t="n"/>
      <c r="AK212" s="60" t="n"/>
      <c r="AL212" s="60" t="n"/>
      <c r="AM212" s="60" t="n"/>
      <c r="AN212" s="60" t="n"/>
      <c r="AO212" s="60" t="n"/>
      <c r="AP212" s="60" t="n"/>
      <c r="AQ212" s="60" t="n"/>
      <c r="AR212" s="60" t="n"/>
      <c r="AS212" s="60" t="n"/>
      <c r="AT212" s="60" t="n"/>
      <c r="AU212" s="60" t="n"/>
      <c r="AV212" s="60" t="n"/>
      <c r="AW212" s="60" t="n"/>
      <c r="AX212" s="60" t="n"/>
      <c r="AY212" s="60" t="n"/>
      <c r="AZ212" s="60" t="n"/>
      <c r="BA212" s="60" t="n"/>
      <c r="BB212" s="60" t="n"/>
      <c r="BC212" s="60" t="n"/>
      <c r="BD212" s="60" t="n"/>
      <c r="BE212" s="60" t="n"/>
      <c r="BF212" s="60" t="n"/>
      <c r="BG212" s="60" t="n"/>
      <c r="BH212" s="60" t="n"/>
      <c r="BI212" s="60" t="n"/>
      <c r="BJ212" s="60" t="n"/>
      <c r="BK212" s="60" t="n"/>
      <c r="BL212" s="60" t="n"/>
      <c r="BM212" s="60" t="n"/>
      <c r="BN212" s="60" t="n"/>
      <c r="BO212" s="60" t="n"/>
      <c r="BP212" s="60" t="n"/>
      <c r="BQ212" s="60" t="n"/>
      <c r="BR212" s="60" t="n"/>
      <c r="BS212" s="60" t="n"/>
      <c r="BT212" s="60" t="n"/>
      <c r="BU212" s="60" t="n"/>
      <c r="BV212" s="60" t="n"/>
      <c r="BW212" s="60" t="n"/>
      <c r="BX212" s="60" t="n"/>
      <c r="BY212" s="60" t="n"/>
      <c r="BZ212" s="60" t="n"/>
      <c r="CA212" s="60" t="n"/>
      <c r="CB212" s="60" t="n"/>
      <c r="CC212" s="60" t="n"/>
      <c r="CD212" s="60" t="n"/>
      <c r="CE212" s="60" t="n"/>
      <c r="CF212" s="60" t="n"/>
      <c r="CG212" s="60" t="n"/>
      <c r="CH212" s="60" t="n"/>
      <c r="CI212" s="60" t="n"/>
      <c r="CJ212" s="60" t="n"/>
      <c r="CK212" s="60" t="n"/>
      <c r="CL212" s="60" t="n"/>
      <c r="CM212" s="60" t="n"/>
      <c r="CN212" s="60" t="n"/>
      <c r="CO212" s="60" t="n"/>
      <c r="CP212" s="60" t="n"/>
      <c r="CQ212" s="60" t="n"/>
      <c r="CR212" s="60" t="n"/>
      <c r="CS212" s="60" t="n"/>
      <c r="CT212" s="60" t="n"/>
      <c r="CU212" s="60" t="n"/>
      <c r="CV212" s="60" t="n"/>
      <c r="CW212" s="60" t="n"/>
      <c r="CX212" s="60" t="n"/>
      <c r="CY212" s="60" t="n"/>
      <c r="CZ212" s="60" t="n"/>
      <c r="DA212" s="60" t="n"/>
      <c r="DB212" s="60" t="n"/>
      <c r="DC212" s="60" t="n"/>
      <c r="DD212" s="60" t="n"/>
      <c r="DE212" s="60" t="n"/>
    </row>
    <row r="213">
      <c r="A213" s="60" t="inlineStr">
        <is>
          <t>Incluido en un conjunto comprado</t>
        </is>
      </c>
      <c r="B213" s="60" t="inlineStr">
        <is>
          <t>Collarín de válvula — 33,8 × 33,8 × 8</t>
        </is>
      </c>
      <c r="C213" s="60" t="inlineStr">
        <is>
          <t>u</t>
        </is>
      </c>
      <c r="D213" s="60" t="inlineStr">
        <is>
          <t>No</t>
        </is>
      </c>
      <c r="E213" s="60" t="n"/>
      <c r="F213" s="60" t="inlineStr">
        <is>
          <t>19 Ensamblaje de válvula (T03/T04)</t>
        </is>
      </c>
      <c r="G213" s="60" t="n">
        <v>1</v>
      </c>
      <c r="H213" s="60" t="n"/>
      <c r="I213" s="60" t="n"/>
      <c r="J213" s="60" t="n"/>
      <c r="K213" s="60" t="n"/>
      <c r="L213" s="60" t="n"/>
      <c r="M213" s="60" t="n"/>
      <c r="N213" s="60" t="n"/>
      <c r="O213" s="60" t="n"/>
      <c r="P213" s="60" t="n"/>
      <c r="Q213" s="60" t="n"/>
      <c r="R213" s="60" t="n"/>
      <c r="S213" s="60" t="n"/>
      <c r="T213" s="60" t="n"/>
      <c r="U213" s="60" t="n"/>
      <c r="V213" s="60" t="n"/>
      <c r="W213" s="60" t="n"/>
      <c r="X213" s="60" t="n"/>
      <c r="Y213" s="60" t="n"/>
      <c r="Z213" s="60" t="n"/>
      <c r="AA213" s="60" t="n"/>
      <c r="AB213" s="60" t="n"/>
      <c r="AC213" s="60" t="n"/>
      <c r="AD213" s="60" t="n"/>
      <c r="AE213" s="60" t="n"/>
      <c r="AF213" s="60" t="n"/>
      <c r="AG213" s="60" t="n"/>
      <c r="AH213" s="60" t="n"/>
      <c r="AI213" s="60" t="n"/>
      <c r="AJ213" s="60" t="n"/>
      <c r="AK213" s="60" t="n"/>
      <c r="AL213" s="60" t="n"/>
      <c r="AM213" s="60" t="n"/>
      <c r="AN213" s="60" t="n"/>
      <c r="AO213" s="60" t="n"/>
      <c r="AP213" s="60" t="n"/>
      <c r="AQ213" s="60" t="n"/>
      <c r="AR213" s="60" t="n"/>
      <c r="AS213" s="60" t="n"/>
      <c r="AT213" s="60" t="n"/>
      <c r="AU213" s="60" t="n"/>
      <c r="AV213" s="60" t="n"/>
      <c r="AW213" s="60" t="n"/>
      <c r="AX213" s="60" t="n"/>
      <c r="AY213" s="60" t="n"/>
      <c r="AZ213" s="60" t="n"/>
      <c r="BA213" s="60" t="n"/>
      <c r="BB213" s="60" t="n"/>
      <c r="BC213" s="60" t="n"/>
      <c r="BD213" s="60" t="n"/>
      <c r="BE213" s="60" t="n"/>
      <c r="BF213" s="60" t="n"/>
      <c r="BG213" s="60" t="n"/>
      <c r="BH213" s="60" t="n"/>
      <c r="BI213" s="60" t="n"/>
      <c r="BJ213" s="60" t="n"/>
      <c r="BK213" s="60" t="n"/>
      <c r="BL213" s="60" t="n"/>
      <c r="BM213" s="60" t="n"/>
      <c r="BN213" s="60" t="n"/>
      <c r="BO213" s="60" t="n"/>
      <c r="BP213" s="60" t="n"/>
      <c r="BQ213" s="60" t="n"/>
      <c r="BR213" s="60" t="n"/>
      <c r="BS213" s="60" t="n"/>
      <c r="BT213" s="60" t="n"/>
      <c r="BU213" s="60" t="n"/>
      <c r="BV213" s="60" t="n"/>
      <c r="BW213" s="60" t="n"/>
      <c r="BX213" s="60" t="n"/>
      <c r="BY213" s="60" t="n"/>
      <c r="BZ213" s="60" t="n"/>
      <c r="CA213" s="60" t="n"/>
      <c r="CB213" s="60" t="n"/>
      <c r="CC213" s="60" t="n"/>
      <c r="CD213" s="60" t="n"/>
      <c r="CE213" s="60" t="n"/>
      <c r="CF213" s="60" t="n"/>
      <c r="CG213" s="60" t="n"/>
      <c r="CH213" s="60" t="n"/>
      <c r="CI213" s="60" t="n"/>
      <c r="CJ213" s="60" t="n"/>
      <c r="CK213" s="60" t="n"/>
      <c r="CL213" s="60" t="n"/>
      <c r="CM213" s="60" t="n"/>
      <c r="CN213" s="60" t="n"/>
      <c r="CO213" s="60" t="n"/>
      <c r="CP213" s="60" t="n"/>
      <c r="CQ213" s="60" t="n"/>
      <c r="CR213" s="60" t="n"/>
      <c r="CS213" s="60" t="n"/>
      <c r="CT213" s="60" t="n"/>
      <c r="CU213" s="60" t="n"/>
      <c r="CV213" s="60" t="n"/>
      <c r="CW213" s="60" t="n"/>
      <c r="CX213" s="60" t="n"/>
      <c r="CY213" s="60" t="n"/>
      <c r="CZ213" s="60" t="n"/>
      <c r="DA213" s="60" t="n"/>
      <c r="DB213" s="60" t="n"/>
      <c r="DC213" s="60" t="n"/>
      <c r="DD213" s="60" t="n"/>
      <c r="DE213" s="60" t="n"/>
    </row>
    <row r="214">
      <c r="A214" s="60" t="inlineStr">
        <is>
          <t>Incluido en un conjunto comprado</t>
        </is>
      </c>
      <c r="B214" s="60" t="inlineStr">
        <is>
          <t>Collarín de válvula — 42,8 × 42,8 × 10</t>
        </is>
      </c>
      <c r="C214" s="60" t="inlineStr">
        <is>
          <t>u</t>
        </is>
      </c>
      <c r="D214" s="60" t="inlineStr">
        <is>
          <t>No</t>
        </is>
      </c>
      <c r="E214" s="60" t="n"/>
      <c r="F214" s="60" t="inlineStr">
        <is>
          <t>19 Ensamblaje de válvula (T03/T04)</t>
        </is>
      </c>
      <c r="G214" s="60" t="n"/>
      <c r="H214" s="60" t="n"/>
      <c r="I214" s="60" t="n"/>
      <c r="J214" s="60" t="n">
        <v>1</v>
      </c>
      <c r="K214" s="60" t="n"/>
      <c r="L214" s="60" t="n"/>
      <c r="M214" s="60" t="n"/>
      <c r="N214" s="60" t="n"/>
      <c r="O214" s="60" t="n"/>
      <c r="P214" s="60" t="n"/>
      <c r="Q214" s="60" t="n"/>
      <c r="R214" s="60" t="n"/>
      <c r="S214" s="60" t="n">
        <v>1</v>
      </c>
      <c r="T214" s="60" t="n"/>
      <c r="U214" s="60" t="n"/>
      <c r="V214" s="60" t="n"/>
      <c r="W214" s="60" t="n"/>
      <c r="X214" s="60" t="n"/>
      <c r="Y214" s="60" t="n"/>
      <c r="Z214" s="60" t="n"/>
      <c r="AA214" s="60" t="n"/>
      <c r="AB214" s="60" t="n"/>
      <c r="AC214" s="60" t="n"/>
      <c r="AD214" s="60" t="n"/>
      <c r="AE214" s="60" t="n"/>
      <c r="AF214" s="60" t="n"/>
      <c r="AG214" s="60" t="n"/>
      <c r="AH214" s="60" t="n"/>
      <c r="AI214" s="60" t="n"/>
      <c r="AJ214" s="60" t="n"/>
      <c r="AK214" s="60" t="n"/>
      <c r="AL214" s="60" t="n"/>
      <c r="AM214" s="60" t="n"/>
      <c r="AN214" s="60" t="n"/>
      <c r="AO214" s="60" t="n"/>
      <c r="AP214" s="60" t="n"/>
      <c r="AQ214" s="60" t="n"/>
      <c r="AR214" s="60" t="n"/>
      <c r="AS214" s="60" t="n"/>
      <c r="AT214" s="60" t="n"/>
      <c r="AU214" s="60" t="n"/>
      <c r="AV214" s="60" t="n"/>
      <c r="AW214" s="60" t="n"/>
      <c r="AX214" s="60" t="n"/>
      <c r="AY214" s="60" t="n"/>
      <c r="AZ214" s="60" t="n"/>
      <c r="BA214" s="60" t="n"/>
      <c r="BB214" s="60" t="n"/>
      <c r="BC214" s="60" t="n"/>
      <c r="BD214" s="60" t="n"/>
      <c r="BE214" s="60" t="n"/>
      <c r="BF214" s="60" t="n"/>
      <c r="BG214" s="60" t="n"/>
      <c r="BH214" s="60" t="n"/>
      <c r="BI214" s="60" t="n"/>
      <c r="BJ214" s="60" t="n"/>
      <c r="BK214" s="60" t="n"/>
      <c r="BL214" s="60" t="n"/>
      <c r="BM214" s="60" t="n"/>
      <c r="BN214" s="60" t="n"/>
      <c r="BO214" s="60" t="n"/>
      <c r="BP214" s="60" t="n"/>
      <c r="BQ214" s="60" t="n"/>
      <c r="BR214" s="60" t="n"/>
      <c r="BS214" s="60" t="n"/>
      <c r="BT214" s="60" t="n"/>
      <c r="BU214" s="60" t="n"/>
      <c r="BV214" s="60" t="n"/>
      <c r="BW214" s="60" t="n"/>
      <c r="BX214" s="60" t="n"/>
      <c r="BY214" s="60" t="n"/>
      <c r="BZ214" s="60" t="n"/>
      <c r="CA214" s="60" t="n"/>
      <c r="CB214" s="60" t="n"/>
      <c r="CC214" s="60" t="n"/>
      <c r="CD214" s="60" t="n"/>
      <c r="CE214" s="60" t="n"/>
      <c r="CF214" s="60" t="n"/>
      <c r="CG214" s="60" t="n"/>
      <c r="CH214" s="60" t="n"/>
      <c r="CI214" s="60" t="n"/>
      <c r="CJ214" s="60" t="n"/>
      <c r="CK214" s="60" t="n"/>
      <c r="CL214" s="60" t="n"/>
      <c r="CM214" s="60" t="n"/>
      <c r="CN214" s="60" t="n"/>
      <c r="CO214" s="60" t="n"/>
      <c r="CP214" s="60" t="n"/>
      <c r="CQ214" s="60" t="n"/>
      <c r="CR214" s="60" t="n"/>
      <c r="CS214" s="60" t="n"/>
      <c r="CT214" s="60" t="n"/>
      <c r="CU214" s="60" t="n"/>
      <c r="CV214" s="60" t="n"/>
      <c r="CW214" s="60" t="n"/>
      <c r="CX214" s="60" t="n"/>
      <c r="CY214" s="60" t="n"/>
      <c r="CZ214" s="60" t="n"/>
      <c r="DA214" s="60" t="n"/>
      <c r="DB214" s="60" t="n"/>
      <c r="DC214" s="60" t="n"/>
      <c r="DD214" s="60" t="n"/>
      <c r="DE214" s="60" t="n"/>
    </row>
    <row r="215">
      <c r="A215" s="60" t="inlineStr">
        <is>
          <t>Incluido en un conjunto comprado</t>
        </is>
      </c>
      <c r="B215" s="60" t="inlineStr">
        <is>
          <t>Collarín de válvula — 43 × 43 × 10</t>
        </is>
      </c>
      <c r="C215" s="60" t="inlineStr">
        <is>
          <t>u</t>
        </is>
      </c>
      <c r="D215" s="60" t="inlineStr">
        <is>
          <t>No</t>
        </is>
      </c>
      <c r="E215" s="60" t="n"/>
      <c r="F215" s="60" t="inlineStr">
        <is>
          <t>19 Ensamblaje de válvula (T03/T04)</t>
        </is>
      </c>
      <c r="G215" s="60" t="n"/>
      <c r="H215" s="60" t="n">
        <v>1</v>
      </c>
      <c r="I215" s="60" t="n">
        <v>1</v>
      </c>
      <c r="J215" s="60" t="n"/>
      <c r="K215" s="60" t="n">
        <v>1</v>
      </c>
      <c r="L215" s="60" t="n">
        <v>1</v>
      </c>
      <c r="M215" s="60" t="n"/>
      <c r="N215" s="60" t="n">
        <v>1</v>
      </c>
      <c r="O215" s="60" t="n">
        <v>1</v>
      </c>
      <c r="P215" s="60" t="n"/>
      <c r="Q215" s="60" t="n"/>
      <c r="R215" s="60" t="n">
        <v>1</v>
      </c>
      <c r="S215" s="60" t="n"/>
      <c r="T215" s="60" t="n"/>
      <c r="U215" s="60" t="n"/>
      <c r="V215" s="60" t="n"/>
      <c r="W215" s="60" t="n"/>
      <c r="X215" s="60" t="n"/>
      <c r="Y215" s="60" t="n"/>
      <c r="Z215" s="60" t="n"/>
      <c r="AA215" s="60" t="n"/>
      <c r="AB215" s="60" t="n"/>
      <c r="AC215" s="60" t="n"/>
      <c r="AD215" s="60" t="n"/>
      <c r="AE215" s="60" t="n"/>
      <c r="AF215" s="60" t="n"/>
      <c r="AG215" s="60" t="n"/>
      <c r="AH215" s="60" t="n"/>
      <c r="AI215" s="60" t="n"/>
      <c r="AJ215" s="60" t="n"/>
      <c r="AK215" s="60" t="n"/>
      <c r="AL215" s="60" t="n"/>
      <c r="AM215" s="60" t="n"/>
      <c r="AN215" s="60" t="n"/>
      <c r="AO215" s="60" t="n"/>
      <c r="AP215" s="60" t="n"/>
      <c r="AQ215" s="60" t="n"/>
      <c r="AR215" s="60" t="n"/>
      <c r="AS215" s="60" t="n"/>
      <c r="AT215" s="60" t="n"/>
      <c r="AU215" s="60" t="n"/>
      <c r="AV215" s="60" t="n"/>
      <c r="AW215" s="60" t="n"/>
      <c r="AX215" s="60" t="n"/>
      <c r="AY215" s="60" t="n"/>
      <c r="AZ215" s="60" t="n"/>
      <c r="BA215" s="60" t="n"/>
      <c r="BB215" s="60" t="n"/>
      <c r="BC215" s="60" t="n"/>
      <c r="BD215" s="60" t="n"/>
      <c r="BE215" s="60" t="n"/>
      <c r="BF215" s="60" t="n"/>
      <c r="BG215" s="60" t="n"/>
      <c r="BH215" s="60" t="n"/>
      <c r="BI215" s="60" t="n"/>
      <c r="BJ215" s="60" t="n"/>
      <c r="BK215" s="60" t="n"/>
      <c r="BL215" s="60" t="n"/>
      <c r="BM215" s="60" t="n"/>
      <c r="BN215" s="60" t="n"/>
      <c r="BO215" s="60" t="n"/>
      <c r="BP215" s="60" t="n"/>
      <c r="BQ215" s="60" t="n"/>
      <c r="BR215" s="60" t="n"/>
      <c r="BS215" s="60" t="n"/>
      <c r="BT215" s="60" t="n"/>
      <c r="BU215" s="60" t="n"/>
      <c r="BV215" s="60" t="n"/>
      <c r="BW215" s="60" t="n"/>
      <c r="BX215" s="60" t="n"/>
      <c r="BY215" s="60" t="n"/>
      <c r="BZ215" s="60" t="n"/>
      <c r="CA215" s="60" t="n"/>
      <c r="CB215" s="60" t="n"/>
      <c r="CC215" s="60" t="n"/>
      <c r="CD215" s="60" t="n"/>
      <c r="CE215" s="60" t="n"/>
      <c r="CF215" s="60" t="n"/>
      <c r="CG215" s="60" t="n"/>
      <c r="CH215" s="60" t="n"/>
      <c r="CI215" s="60" t="n"/>
      <c r="CJ215" s="60" t="n"/>
      <c r="CK215" s="60" t="n"/>
      <c r="CL215" s="60" t="n"/>
      <c r="CM215" s="60" t="n"/>
      <c r="CN215" s="60" t="n"/>
      <c r="CO215" s="60" t="n"/>
      <c r="CP215" s="60" t="n"/>
      <c r="CQ215" s="60" t="n"/>
      <c r="CR215" s="60" t="n"/>
      <c r="CS215" s="60" t="n"/>
      <c r="CT215" s="60" t="n"/>
      <c r="CU215" s="60" t="n"/>
      <c r="CV215" s="60" t="n"/>
      <c r="CW215" s="60" t="n"/>
      <c r="CX215" s="60" t="n"/>
      <c r="CY215" s="60" t="n"/>
      <c r="CZ215" s="60" t="n"/>
      <c r="DA215" s="60" t="n"/>
      <c r="DB215" s="60" t="n"/>
      <c r="DC215" s="60" t="n"/>
      <c r="DD215" s="60" t="n"/>
      <c r="DE215" s="60" t="n"/>
    </row>
    <row r="216">
      <c r="A216" s="60" t="inlineStr">
        <is>
          <t>Incluido en un conjunto comprado</t>
        </is>
      </c>
      <c r="B216" s="60" t="inlineStr">
        <is>
          <t>Collarín de válvula — 45,1 × 45,1 × 13,5</t>
        </is>
      </c>
      <c r="C216" s="60" t="inlineStr">
        <is>
          <t>u</t>
        </is>
      </c>
      <c r="D216" s="60" t="inlineStr">
        <is>
          <t>No</t>
        </is>
      </c>
      <c r="E216" s="60" t="n"/>
      <c r="F216" s="60" t="inlineStr">
        <is>
          <t>C9 armado</t>
        </is>
      </c>
      <c r="G216" s="60" t="n"/>
      <c r="H216" s="60" t="n"/>
      <c r="I216" s="60" t="n"/>
      <c r="J216" s="60" t="n"/>
      <c r="K216" s="60" t="n"/>
      <c r="L216" s="60" t="n"/>
      <c r="M216" s="60" t="n"/>
      <c r="N216" s="60" t="n"/>
      <c r="O216" s="60" t="n"/>
      <c r="P216" s="60" t="n"/>
      <c r="Q216" s="60" t="n"/>
      <c r="R216" s="60" t="n"/>
      <c r="S216" s="60" t="n"/>
      <c r="T216" s="60" t="n">
        <v>1</v>
      </c>
      <c r="U216" s="60" t="n"/>
      <c r="V216" s="60" t="n"/>
      <c r="W216" s="60" t="n"/>
      <c r="X216" s="60" t="n"/>
      <c r="Y216" s="60" t="n"/>
      <c r="Z216" s="60" t="n"/>
      <c r="AA216" s="60" t="n"/>
      <c r="AB216" s="60" t="n"/>
      <c r="AC216" s="60" t="n"/>
      <c r="AD216" s="60" t="n"/>
      <c r="AE216" s="60" t="n"/>
      <c r="AF216" s="60" t="n"/>
      <c r="AG216" s="60" t="n"/>
      <c r="AH216" s="60" t="n"/>
      <c r="AI216" s="60" t="n"/>
      <c r="AJ216" s="60" t="n"/>
      <c r="AK216" s="60" t="n"/>
      <c r="AL216" s="60" t="n"/>
      <c r="AM216" s="60" t="n"/>
      <c r="AN216" s="60" t="n"/>
      <c r="AO216" s="60" t="n"/>
      <c r="AP216" s="60" t="n"/>
      <c r="AQ216" s="60" t="n"/>
      <c r="AR216" s="60" t="n"/>
      <c r="AS216" s="60" t="n"/>
      <c r="AT216" s="60" t="n"/>
      <c r="AU216" s="60" t="n"/>
      <c r="AV216" s="60" t="n"/>
      <c r="AW216" s="60" t="n"/>
      <c r="AX216" s="60" t="n"/>
      <c r="AY216" s="60" t="n"/>
      <c r="AZ216" s="60" t="n"/>
      <c r="BA216" s="60" t="n"/>
      <c r="BB216" s="60" t="n"/>
      <c r="BC216" s="60" t="n"/>
      <c r="BD216" s="60" t="n"/>
      <c r="BE216" s="60" t="n"/>
      <c r="BF216" s="60" t="n"/>
      <c r="BG216" s="60" t="n"/>
      <c r="BH216" s="60" t="n"/>
      <c r="BI216" s="60" t="n"/>
      <c r="BJ216" s="60" t="n"/>
      <c r="BK216" s="60" t="n"/>
      <c r="BL216" s="60" t="n"/>
      <c r="BM216" s="60" t="n"/>
      <c r="BN216" s="60" t="n"/>
      <c r="BO216" s="60" t="n"/>
      <c r="BP216" s="60" t="n"/>
      <c r="BQ216" s="60" t="n"/>
      <c r="BR216" s="60" t="n"/>
      <c r="BS216" s="60" t="n"/>
      <c r="BT216" s="60" t="n"/>
      <c r="BU216" s="60" t="n"/>
      <c r="BV216" s="60" t="n"/>
      <c r="BW216" s="60" t="n"/>
      <c r="BX216" s="60" t="n"/>
      <c r="BY216" s="60" t="n"/>
      <c r="BZ216" s="60" t="n"/>
      <c r="CA216" s="60" t="n"/>
      <c r="CB216" s="60" t="n"/>
      <c r="CC216" s="60" t="n"/>
      <c r="CD216" s="60" t="n"/>
      <c r="CE216" s="60" t="n"/>
      <c r="CF216" s="60" t="n"/>
      <c r="CG216" s="60" t="n"/>
      <c r="CH216" s="60" t="n"/>
      <c r="CI216" s="60" t="n"/>
      <c r="CJ216" s="60" t="n"/>
      <c r="CK216" s="60" t="n"/>
      <c r="CL216" s="60" t="n"/>
      <c r="CM216" s="60" t="n"/>
      <c r="CN216" s="60" t="n"/>
      <c r="CO216" s="60" t="n"/>
      <c r="CP216" s="60" t="n"/>
      <c r="CQ216" s="60" t="n"/>
      <c r="CR216" s="60" t="n"/>
      <c r="CS216" s="60" t="n"/>
      <c r="CT216" s="60" t="n"/>
      <c r="CU216" s="60" t="n"/>
      <c r="CV216" s="60" t="n"/>
      <c r="CW216" s="60" t="n"/>
      <c r="CX216" s="60" t="n"/>
      <c r="CY216" s="60" t="n"/>
      <c r="CZ216" s="60" t="n"/>
      <c r="DA216" s="60" t="n"/>
      <c r="DB216" s="60" t="n"/>
      <c r="DC216" s="60" t="n"/>
      <c r="DD216" s="60" t="n"/>
      <c r="DE216" s="60" t="n"/>
    </row>
    <row r="217">
      <c r="A217" s="60" t="inlineStr">
        <is>
          <t>Incluido en un conjunto comprado</t>
        </is>
      </c>
      <c r="B217" s="60" t="inlineStr">
        <is>
          <t>Cuerpo de válvula — 34,2 × 27 × 21,1</t>
        </is>
      </c>
      <c r="C217" s="60" t="inlineStr">
        <is>
          <t>u</t>
        </is>
      </c>
      <c r="D217" s="60" t="inlineStr">
        <is>
          <t>No</t>
        </is>
      </c>
      <c r="E217" s="60" t="n"/>
      <c r="F217" s="60" t="inlineStr">
        <is>
          <t>19 Ensamblaje de válvula (T03/T04)</t>
        </is>
      </c>
      <c r="G217" s="60" t="n">
        <v>1</v>
      </c>
      <c r="H217" s="60" t="n"/>
      <c r="I217" s="60" t="n"/>
      <c r="J217" s="60" t="n"/>
      <c r="K217" s="60" t="n"/>
      <c r="L217" s="60" t="n"/>
      <c r="M217" s="60" t="n"/>
      <c r="N217" s="60" t="n"/>
      <c r="O217" s="60" t="n"/>
      <c r="P217" s="60" t="n"/>
      <c r="Q217" s="60" t="n"/>
      <c r="R217" s="60" t="n"/>
      <c r="S217" s="60" t="n"/>
      <c r="T217" s="60" t="n"/>
      <c r="U217" s="60" t="n"/>
      <c r="V217" s="60" t="n"/>
      <c r="W217" s="60" t="n"/>
      <c r="X217" s="60" t="n"/>
      <c r="Y217" s="60" t="n"/>
      <c r="Z217" s="60" t="n"/>
      <c r="AA217" s="60" t="n"/>
      <c r="AB217" s="60" t="n"/>
      <c r="AC217" s="60" t="n"/>
      <c r="AD217" s="60" t="n"/>
      <c r="AE217" s="60" t="n"/>
      <c r="AF217" s="60" t="n"/>
      <c r="AG217" s="60" t="n"/>
      <c r="AH217" s="60" t="n"/>
      <c r="AI217" s="60" t="n"/>
      <c r="AJ217" s="60" t="n"/>
      <c r="AK217" s="60" t="n"/>
      <c r="AL217" s="60" t="n"/>
      <c r="AM217" s="60" t="n"/>
      <c r="AN217" s="60" t="n"/>
      <c r="AO217" s="60" t="n"/>
      <c r="AP217" s="60" t="n"/>
      <c r="AQ217" s="60" t="n"/>
      <c r="AR217" s="60" t="n"/>
      <c r="AS217" s="60" t="n"/>
      <c r="AT217" s="60" t="n"/>
      <c r="AU217" s="60" t="n"/>
      <c r="AV217" s="60" t="n"/>
      <c r="AW217" s="60" t="n"/>
      <c r="AX217" s="60" t="n"/>
      <c r="AY217" s="60" t="n"/>
      <c r="AZ217" s="60" t="n"/>
      <c r="BA217" s="60" t="n"/>
      <c r="BB217" s="60" t="n"/>
      <c r="BC217" s="60" t="n"/>
      <c r="BD217" s="60" t="n"/>
      <c r="BE217" s="60" t="n"/>
      <c r="BF217" s="60" t="n"/>
      <c r="BG217" s="60" t="n"/>
      <c r="BH217" s="60" t="n"/>
      <c r="BI217" s="60" t="n"/>
      <c r="BJ217" s="60" t="n"/>
      <c r="BK217" s="60" t="n"/>
      <c r="BL217" s="60" t="n"/>
      <c r="BM217" s="60" t="n"/>
      <c r="BN217" s="60" t="n"/>
      <c r="BO217" s="60" t="n"/>
      <c r="BP217" s="60" t="n"/>
      <c r="BQ217" s="60" t="n"/>
      <c r="BR217" s="60" t="n"/>
      <c r="BS217" s="60" t="n"/>
      <c r="BT217" s="60" t="n"/>
      <c r="BU217" s="60" t="n"/>
      <c r="BV217" s="60" t="n"/>
      <c r="BW217" s="60" t="n"/>
      <c r="BX217" s="60" t="n"/>
      <c r="BY217" s="60" t="n"/>
      <c r="BZ217" s="60" t="n"/>
      <c r="CA217" s="60" t="n"/>
      <c r="CB217" s="60" t="n"/>
      <c r="CC217" s="60" t="n"/>
      <c r="CD217" s="60" t="n"/>
      <c r="CE217" s="60" t="n"/>
      <c r="CF217" s="60" t="n"/>
      <c r="CG217" s="60" t="n"/>
      <c r="CH217" s="60" t="n"/>
      <c r="CI217" s="60" t="n"/>
      <c r="CJ217" s="60" t="n"/>
      <c r="CK217" s="60" t="n"/>
      <c r="CL217" s="60" t="n"/>
      <c r="CM217" s="60" t="n"/>
      <c r="CN217" s="60" t="n"/>
      <c r="CO217" s="60" t="n"/>
      <c r="CP217" s="60" t="n"/>
      <c r="CQ217" s="60" t="n"/>
      <c r="CR217" s="60" t="n"/>
      <c r="CS217" s="60" t="n"/>
      <c r="CT217" s="60" t="n"/>
      <c r="CU217" s="60" t="n"/>
      <c r="CV217" s="60" t="n"/>
      <c r="CW217" s="60" t="n"/>
      <c r="CX217" s="60" t="n"/>
      <c r="CY217" s="60" t="n"/>
      <c r="CZ217" s="60" t="n"/>
      <c r="DA217" s="60" t="n"/>
      <c r="DB217" s="60" t="n"/>
      <c r="DC217" s="60" t="n"/>
      <c r="DD217" s="60" t="n"/>
      <c r="DE217" s="60" t="n"/>
    </row>
    <row r="218">
      <c r="A218" s="60" t="inlineStr">
        <is>
          <t>Incluido en un conjunto comprado</t>
        </is>
      </c>
      <c r="B218" s="60" t="inlineStr">
        <is>
          <t>Cuerpo de válvula — 56,3 × 43 × 34</t>
        </is>
      </c>
      <c r="C218" s="60" t="inlineStr">
        <is>
          <t>u</t>
        </is>
      </c>
      <c r="D218" s="60" t="inlineStr">
        <is>
          <t>No</t>
        </is>
      </c>
      <c r="E218" s="60" t="n"/>
      <c r="F218" s="60" t="inlineStr">
        <is>
          <t>19 Ensamblaje de válvula (T03/T04)</t>
        </is>
      </c>
      <c r="G218" s="60" t="n"/>
      <c r="H218" s="60" t="n"/>
      <c r="I218" s="60" t="n">
        <v>1</v>
      </c>
      <c r="J218" s="60" t="n"/>
      <c r="K218" s="60" t="n"/>
      <c r="L218" s="60" t="n"/>
      <c r="M218" s="60" t="n"/>
      <c r="N218" s="60" t="n">
        <v>1</v>
      </c>
      <c r="O218" s="60" t="n"/>
      <c r="P218" s="60" t="n"/>
      <c r="Q218" s="60" t="n"/>
      <c r="R218" s="60" t="n">
        <v>1</v>
      </c>
      <c r="S218" s="60" t="n"/>
      <c r="T218" s="60" t="n"/>
      <c r="U218" s="60" t="n"/>
      <c r="V218" s="60" t="n"/>
      <c r="W218" s="60" t="n"/>
      <c r="X218" s="60" t="n"/>
      <c r="Y218" s="60" t="n"/>
      <c r="Z218" s="60" t="n"/>
      <c r="AA218" s="60" t="n"/>
      <c r="AB218" s="60" t="n"/>
      <c r="AC218" s="60" t="n"/>
      <c r="AD218" s="60" t="n"/>
      <c r="AE218" s="60" t="n"/>
      <c r="AF218" s="60" t="n"/>
      <c r="AG218" s="60" t="n"/>
      <c r="AH218" s="60" t="n"/>
      <c r="AI218" s="60" t="n"/>
      <c r="AJ218" s="60" t="n"/>
      <c r="AK218" s="60" t="n"/>
      <c r="AL218" s="60" t="n"/>
      <c r="AM218" s="60" t="n"/>
      <c r="AN218" s="60" t="n"/>
      <c r="AO218" s="60" t="n"/>
      <c r="AP218" s="60" t="n"/>
      <c r="AQ218" s="60" t="n"/>
      <c r="AR218" s="60" t="n"/>
      <c r="AS218" s="60" t="n"/>
      <c r="AT218" s="60" t="n"/>
      <c r="AU218" s="60" t="n"/>
      <c r="AV218" s="60" t="n"/>
      <c r="AW218" s="60" t="n"/>
      <c r="AX218" s="60" t="n"/>
      <c r="AY218" s="60" t="n"/>
      <c r="AZ218" s="60" t="n"/>
      <c r="BA218" s="60" t="n"/>
      <c r="BB218" s="60" t="n"/>
      <c r="BC218" s="60" t="n"/>
      <c r="BD218" s="60" t="n"/>
      <c r="BE218" s="60" t="n"/>
      <c r="BF218" s="60" t="n"/>
      <c r="BG218" s="60" t="n"/>
      <c r="BH218" s="60" t="n"/>
      <c r="BI218" s="60" t="n"/>
      <c r="BJ218" s="60" t="n"/>
      <c r="BK218" s="60" t="n"/>
      <c r="BL218" s="60" t="n"/>
      <c r="BM218" s="60" t="n"/>
      <c r="BN218" s="60" t="n"/>
      <c r="BO218" s="60" t="n"/>
      <c r="BP218" s="60" t="n"/>
      <c r="BQ218" s="60" t="n"/>
      <c r="BR218" s="60" t="n"/>
      <c r="BS218" s="60" t="n"/>
      <c r="BT218" s="60" t="n"/>
      <c r="BU218" s="60" t="n"/>
      <c r="BV218" s="60" t="n"/>
      <c r="BW218" s="60" t="n"/>
      <c r="BX218" s="60" t="n"/>
      <c r="BY218" s="60" t="n"/>
      <c r="BZ218" s="60" t="n"/>
      <c r="CA218" s="60" t="n"/>
      <c r="CB218" s="60" t="n"/>
      <c r="CC218" s="60" t="n"/>
      <c r="CD218" s="60" t="n"/>
      <c r="CE218" s="60" t="n"/>
      <c r="CF218" s="60" t="n"/>
      <c r="CG218" s="60" t="n"/>
      <c r="CH218" s="60" t="n"/>
      <c r="CI218" s="60" t="n"/>
      <c r="CJ218" s="60" t="n"/>
      <c r="CK218" s="60" t="n"/>
      <c r="CL218" s="60" t="n"/>
      <c r="CM218" s="60" t="n"/>
      <c r="CN218" s="60" t="n"/>
      <c r="CO218" s="60" t="n"/>
      <c r="CP218" s="60" t="n"/>
      <c r="CQ218" s="60" t="n"/>
      <c r="CR218" s="60" t="n"/>
      <c r="CS218" s="60" t="n"/>
      <c r="CT218" s="60" t="n"/>
      <c r="CU218" s="60" t="n"/>
      <c r="CV218" s="60" t="n"/>
      <c r="CW218" s="60" t="n"/>
      <c r="CX218" s="60" t="n"/>
      <c r="CY218" s="60" t="n"/>
      <c r="CZ218" s="60" t="n"/>
      <c r="DA218" s="60" t="n"/>
      <c r="DB218" s="60" t="n"/>
      <c r="DC218" s="60" t="n"/>
      <c r="DD218" s="60" t="n"/>
      <c r="DE218" s="60" t="n"/>
    </row>
    <row r="219">
      <c r="A219" s="60" t="inlineStr">
        <is>
          <t>Incluido en un conjunto comprado</t>
        </is>
      </c>
      <c r="B219" s="60" t="inlineStr">
        <is>
          <t>Cuerpo de válvula — 59,4 × 43 × 34</t>
        </is>
      </c>
      <c r="C219" s="60" t="inlineStr">
        <is>
          <t>u</t>
        </is>
      </c>
      <c r="D219" s="60" t="inlineStr">
        <is>
          <t>No</t>
        </is>
      </c>
      <c r="E219" s="60" t="n"/>
      <c r="F219" s="60" t="inlineStr">
        <is>
          <t>19 Ensamblaje de válvula (T03/T04)</t>
        </is>
      </c>
      <c r="G219" s="60" t="n"/>
      <c r="H219" s="60" t="n"/>
      <c r="I219" s="60" t="n"/>
      <c r="J219" s="60" t="n">
        <v>1</v>
      </c>
      <c r="K219" s="60" t="n"/>
      <c r="L219" s="60" t="n"/>
      <c r="M219" s="60" t="n"/>
      <c r="N219" s="60" t="n"/>
      <c r="O219" s="60" t="n"/>
      <c r="P219" s="60" t="n"/>
      <c r="Q219" s="60" t="n"/>
      <c r="R219" s="60" t="n"/>
      <c r="S219" s="60" t="n"/>
      <c r="T219" s="60" t="n"/>
      <c r="U219" s="60" t="n"/>
      <c r="V219" s="60" t="n"/>
      <c r="W219" s="60" t="n"/>
      <c r="X219" s="60" t="n"/>
      <c r="Y219" s="60" t="n"/>
      <c r="Z219" s="60" t="n"/>
      <c r="AA219" s="60" t="n"/>
      <c r="AB219" s="60" t="n"/>
      <c r="AC219" s="60" t="n"/>
      <c r="AD219" s="60" t="n"/>
      <c r="AE219" s="60" t="n"/>
      <c r="AF219" s="60" t="n"/>
      <c r="AG219" s="60" t="n"/>
      <c r="AH219" s="60" t="n"/>
      <c r="AI219" s="60" t="n"/>
      <c r="AJ219" s="60" t="n"/>
      <c r="AK219" s="60" t="n"/>
      <c r="AL219" s="60" t="n"/>
      <c r="AM219" s="60" t="n"/>
      <c r="AN219" s="60" t="n"/>
      <c r="AO219" s="60" t="n"/>
      <c r="AP219" s="60" t="n"/>
      <c r="AQ219" s="60" t="n"/>
      <c r="AR219" s="60" t="n"/>
      <c r="AS219" s="60" t="n"/>
      <c r="AT219" s="60" t="n"/>
      <c r="AU219" s="60" t="n"/>
      <c r="AV219" s="60" t="n"/>
      <c r="AW219" s="60" t="n"/>
      <c r="AX219" s="60" t="n"/>
      <c r="AY219" s="60" t="n"/>
      <c r="AZ219" s="60" t="n"/>
      <c r="BA219" s="60" t="n"/>
      <c r="BB219" s="60" t="n"/>
      <c r="BC219" s="60" t="n"/>
      <c r="BD219" s="60" t="n"/>
      <c r="BE219" s="60" t="n"/>
      <c r="BF219" s="60" t="n"/>
      <c r="BG219" s="60" t="n"/>
      <c r="BH219" s="60" t="n"/>
      <c r="BI219" s="60" t="n"/>
      <c r="BJ219" s="60" t="n"/>
      <c r="BK219" s="60" t="n"/>
      <c r="BL219" s="60" t="n"/>
      <c r="BM219" s="60" t="n"/>
      <c r="BN219" s="60" t="n"/>
      <c r="BO219" s="60" t="n"/>
      <c r="BP219" s="60" t="n"/>
      <c r="BQ219" s="60" t="n"/>
      <c r="BR219" s="60" t="n"/>
      <c r="BS219" s="60" t="n"/>
      <c r="BT219" s="60" t="n"/>
      <c r="BU219" s="60" t="n"/>
      <c r="BV219" s="60" t="n"/>
      <c r="BW219" s="60" t="n"/>
      <c r="BX219" s="60" t="n"/>
      <c r="BY219" s="60" t="n"/>
      <c r="BZ219" s="60" t="n"/>
      <c r="CA219" s="60" t="n"/>
      <c r="CB219" s="60" t="n"/>
      <c r="CC219" s="60" t="n"/>
      <c r="CD219" s="60" t="n"/>
      <c r="CE219" s="60" t="n"/>
      <c r="CF219" s="60" t="n"/>
      <c r="CG219" s="60" t="n"/>
      <c r="CH219" s="60" t="n"/>
      <c r="CI219" s="60" t="n"/>
      <c r="CJ219" s="60" t="n"/>
      <c r="CK219" s="60" t="n"/>
      <c r="CL219" s="60" t="n"/>
      <c r="CM219" s="60" t="n"/>
      <c r="CN219" s="60" t="n"/>
      <c r="CO219" s="60" t="n"/>
      <c r="CP219" s="60" t="n"/>
      <c r="CQ219" s="60" t="n"/>
      <c r="CR219" s="60" t="n"/>
      <c r="CS219" s="60" t="n"/>
      <c r="CT219" s="60" t="n"/>
      <c r="CU219" s="60" t="n"/>
      <c r="CV219" s="60" t="n"/>
      <c r="CW219" s="60" t="n"/>
      <c r="CX219" s="60" t="n"/>
      <c r="CY219" s="60" t="n"/>
      <c r="CZ219" s="60" t="n"/>
      <c r="DA219" s="60" t="n"/>
      <c r="DB219" s="60" t="n"/>
      <c r="DC219" s="60" t="n"/>
      <c r="DD219" s="60" t="n"/>
      <c r="DE219" s="60" t="n"/>
    </row>
    <row r="220">
      <c r="A220" s="60" t="inlineStr">
        <is>
          <t>Incluido en un conjunto comprado</t>
        </is>
      </c>
      <c r="B220" s="60" t="inlineStr">
        <is>
          <t>Cuerpo de válvula — 66,1 × 43 × 34</t>
        </is>
      </c>
      <c r="C220" s="60" t="inlineStr">
        <is>
          <t>u</t>
        </is>
      </c>
      <c r="D220" s="60" t="inlineStr">
        <is>
          <t>No</t>
        </is>
      </c>
      <c r="E220" s="60" t="n"/>
      <c r="F220" s="60" t="inlineStr">
        <is>
          <t>19 Ensamblaje de válvula (T03/T04)</t>
        </is>
      </c>
      <c r="G220" s="60" t="n"/>
      <c r="H220" s="60" t="n">
        <v>1</v>
      </c>
      <c r="I220" s="60" t="n"/>
      <c r="J220" s="60" t="n"/>
      <c r="K220" s="60" t="n"/>
      <c r="L220" s="60" t="n"/>
      <c r="M220" s="60" t="n"/>
      <c r="N220" s="60" t="n"/>
      <c r="O220" s="60" t="n"/>
      <c r="P220" s="60" t="n"/>
      <c r="Q220" s="60" t="n"/>
      <c r="R220" s="60" t="n"/>
      <c r="S220" s="60" t="n"/>
      <c r="T220" s="60" t="n"/>
      <c r="U220" s="60" t="n"/>
      <c r="V220" s="60" t="n"/>
      <c r="W220" s="60" t="n"/>
      <c r="X220" s="60" t="n"/>
      <c r="Y220" s="60" t="n"/>
      <c r="Z220" s="60" t="n"/>
      <c r="AA220" s="60" t="n"/>
      <c r="AB220" s="60" t="n"/>
      <c r="AC220" s="60" t="n"/>
      <c r="AD220" s="60" t="n"/>
      <c r="AE220" s="60" t="n"/>
      <c r="AF220" s="60" t="n"/>
      <c r="AG220" s="60" t="n"/>
      <c r="AH220" s="60" t="n"/>
      <c r="AI220" s="60" t="n"/>
      <c r="AJ220" s="60" t="n"/>
      <c r="AK220" s="60" t="n"/>
      <c r="AL220" s="60" t="n"/>
      <c r="AM220" s="60" t="n"/>
      <c r="AN220" s="60" t="n"/>
      <c r="AO220" s="60" t="n"/>
      <c r="AP220" s="60" t="n"/>
      <c r="AQ220" s="60" t="n"/>
      <c r="AR220" s="60" t="n"/>
      <c r="AS220" s="60" t="n"/>
      <c r="AT220" s="60" t="n"/>
      <c r="AU220" s="60" t="n"/>
      <c r="AV220" s="60" t="n"/>
      <c r="AW220" s="60" t="n"/>
      <c r="AX220" s="60" t="n"/>
      <c r="AY220" s="60" t="n"/>
      <c r="AZ220" s="60" t="n"/>
      <c r="BA220" s="60" t="n"/>
      <c r="BB220" s="60" t="n"/>
      <c r="BC220" s="60" t="n"/>
      <c r="BD220" s="60" t="n"/>
      <c r="BE220" s="60" t="n"/>
      <c r="BF220" s="60" t="n"/>
      <c r="BG220" s="60" t="n"/>
      <c r="BH220" s="60" t="n"/>
      <c r="BI220" s="60" t="n"/>
      <c r="BJ220" s="60" t="n"/>
      <c r="BK220" s="60" t="n"/>
      <c r="BL220" s="60" t="n"/>
      <c r="BM220" s="60" t="n"/>
      <c r="BN220" s="60" t="n"/>
      <c r="BO220" s="60" t="n"/>
      <c r="BP220" s="60" t="n"/>
      <c r="BQ220" s="60" t="n"/>
      <c r="BR220" s="60" t="n"/>
      <c r="BS220" s="60" t="n"/>
      <c r="BT220" s="60" t="n"/>
      <c r="BU220" s="60" t="n"/>
      <c r="BV220" s="60" t="n"/>
      <c r="BW220" s="60" t="n"/>
      <c r="BX220" s="60" t="n"/>
      <c r="BY220" s="60" t="n"/>
      <c r="BZ220" s="60" t="n"/>
      <c r="CA220" s="60" t="n"/>
      <c r="CB220" s="60" t="n"/>
      <c r="CC220" s="60" t="n"/>
      <c r="CD220" s="60" t="n"/>
      <c r="CE220" s="60" t="n"/>
      <c r="CF220" s="60" t="n"/>
      <c r="CG220" s="60" t="n"/>
      <c r="CH220" s="60" t="n"/>
      <c r="CI220" s="60" t="n"/>
      <c r="CJ220" s="60" t="n"/>
      <c r="CK220" s="60" t="n"/>
      <c r="CL220" s="60" t="n"/>
      <c r="CM220" s="60" t="n"/>
      <c r="CN220" s="60" t="n"/>
      <c r="CO220" s="60" t="n"/>
      <c r="CP220" s="60" t="n"/>
      <c r="CQ220" s="60" t="n"/>
      <c r="CR220" s="60" t="n"/>
      <c r="CS220" s="60" t="n"/>
      <c r="CT220" s="60" t="n"/>
      <c r="CU220" s="60" t="n"/>
      <c r="CV220" s="60" t="n"/>
      <c r="CW220" s="60" t="n"/>
      <c r="CX220" s="60" t="n"/>
      <c r="CY220" s="60" t="n"/>
      <c r="CZ220" s="60" t="n"/>
      <c r="DA220" s="60" t="n"/>
      <c r="DB220" s="60" t="n"/>
      <c r="DC220" s="60" t="n"/>
      <c r="DD220" s="60" t="n"/>
      <c r="DE220" s="60" t="n"/>
    </row>
    <row r="221">
      <c r="A221" s="60" t="inlineStr">
        <is>
          <t>Incluido en un conjunto comprado</t>
        </is>
      </c>
      <c r="B221" s="60" t="inlineStr">
        <is>
          <t>Eje de palanca — 28,8 × 4,8 × 4,8</t>
        </is>
      </c>
      <c r="C221" s="60" t="inlineStr">
        <is>
          <t>u</t>
        </is>
      </c>
      <c r="D221" s="60" t="inlineStr">
        <is>
          <t>No</t>
        </is>
      </c>
      <c r="E221" s="60" t="n"/>
      <c r="F221" s="60" t="inlineStr">
        <is>
          <t>19 Ensamblaje de válvula (T03/T04)</t>
        </is>
      </c>
      <c r="G221" s="60" t="n">
        <v>1</v>
      </c>
      <c r="H221" s="60" t="n"/>
      <c r="I221" s="60" t="n"/>
      <c r="J221" s="60" t="n"/>
      <c r="K221" s="60" t="n"/>
      <c r="L221" s="60" t="n"/>
      <c r="M221" s="60" t="n"/>
      <c r="N221" s="60" t="n"/>
      <c r="O221" s="60" t="n"/>
      <c r="P221" s="60" t="n"/>
      <c r="Q221" s="60" t="n"/>
      <c r="R221" s="60" t="n"/>
      <c r="S221" s="60" t="n"/>
      <c r="T221" s="60" t="n"/>
      <c r="U221" s="60" t="n"/>
      <c r="V221" s="60" t="n"/>
      <c r="W221" s="60" t="n"/>
      <c r="X221" s="60" t="n"/>
      <c r="Y221" s="60" t="n"/>
      <c r="Z221" s="60" t="n"/>
      <c r="AA221" s="60" t="n"/>
      <c r="AB221" s="60" t="n"/>
      <c r="AC221" s="60" t="n"/>
      <c r="AD221" s="60" t="n"/>
      <c r="AE221" s="60" t="n"/>
      <c r="AF221" s="60" t="n"/>
      <c r="AG221" s="60" t="n"/>
      <c r="AH221" s="60" t="n"/>
      <c r="AI221" s="60" t="n"/>
      <c r="AJ221" s="60" t="n"/>
      <c r="AK221" s="60" t="n"/>
      <c r="AL221" s="60" t="n"/>
      <c r="AM221" s="60" t="n"/>
      <c r="AN221" s="60" t="n"/>
      <c r="AO221" s="60" t="n"/>
      <c r="AP221" s="60" t="n"/>
      <c r="AQ221" s="60" t="n"/>
      <c r="AR221" s="60" t="n"/>
      <c r="AS221" s="60" t="n"/>
      <c r="AT221" s="60" t="n"/>
      <c r="AU221" s="60" t="n"/>
      <c r="AV221" s="60" t="n"/>
      <c r="AW221" s="60" t="n"/>
      <c r="AX221" s="60" t="n"/>
      <c r="AY221" s="60" t="n"/>
      <c r="AZ221" s="60" t="n"/>
      <c r="BA221" s="60" t="n"/>
      <c r="BB221" s="60" t="n"/>
      <c r="BC221" s="60" t="n"/>
      <c r="BD221" s="60" t="n"/>
      <c r="BE221" s="60" t="n"/>
      <c r="BF221" s="60" t="n"/>
      <c r="BG221" s="60" t="n"/>
      <c r="BH221" s="60" t="n"/>
      <c r="BI221" s="60" t="n"/>
      <c r="BJ221" s="60" t="n"/>
      <c r="BK221" s="60" t="n"/>
      <c r="BL221" s="60" t="n"/>
      <c r="BM221" s="60" t="n"/>
      <c r="BN221" s="60" t="n"/>
      <c r="BO221" s="60" t="n"/>
      <c r="BP221" s="60" t="n"/>
      <c r="BQ221" s="60" t="n"/>
      <c r="BR221" s="60" t="n"/>
      <c r="BS221" s="60" t="n"/>
      <c r="BT221" s="60" t="n"/>
      <c r="BU221" s="60" t="n"/>
      <c r="BV221" s="60" t="n"/>
      <c r="BW221" s="60" t="n"/>
      <c r="BX221" s="60" t="n"/>
      <c r="BY221" s="60" t="n"/>
      <c r="BZ221" s="60" t="n"/>
      <c r="CA221" s="60" t="n"/>
      <c r="CB221" s="60" t="n"/>
      <c r="CC221" s="60" t="n"/>
      <c r="CD221" s="60" t="n"/>
      <c r="CE221" s="60" t="n"/>
      <c r="CF221" s="60" t="n"/>
      <c r="CG221" s="60" t="n"/>
      <c r="CH221" s="60" t="n"/>
      <c r="CI221" s="60" t="n"/>
      <c r="CJ221" s="60" t="n"/>
      <c r="CK221" s="60" t="n"/>
      <c r="CL221" s="60" t="n"/>
      <c r="CM221" s="60" t="n"/>
      <c r="CN221" s="60" t="n"/>
      <c r="CO221" s="60" t="n"/>
      <c r="CP221" s="60" t="n"/>
      <c r="CQ221" s="60" t="n"/>
      <c r="CR221" s="60" t="n"/>
      <c r="CS221" s="60" t="n"/>
      <c r="CT221" s="60" t="n"/>
      <c r="CU221" s="60" t="n"/>
      <c r="CV221" s="60" t="n"/>
      <c r="CW221" s="60" t="n"/>
      <c r="CX221" s="60" t="n"/>
      <c r="CY221" s="60" t="n"/>
      <c r="CZ221" s="60" t="n"/>
      <c r="DA221" s="60" t="n"/>
      <c r="DB221" s="60" t="n"/>
      <c r="DC221" s="60" t="n"/>
      <c r="DD221" s="60" t="n"/>
      <c r="DE221" s="60" t="n"/>
    </row>
    <row r="222">
      <c r="A222" s="60" t="inlineStr">
        <is>
          <t>Incluido en un conjunto comprado</t>
        </is>
      </c>
      <c r="B222" s="60" t="inlineStr">
        <is>
          <t>Eje de palanca — 36 × 6 × 6</t>
        </is>
      </c>
      <c r="C222" s="60" t="inlineStr">
        <is>
          <t>u</t>
        </is>
      </c>
      <c r="D222" s="60" t="inlineStr">
        <is>
          <t>No</t>
        </is>
      </c>
      <c r="E222" s="60" t="n"/>
      <c r="F222" s="60" t="inlineStr">
        <is>
          <t>19 Ensamblaje de válvula (T03/T04)</t>
        </is>
      </c>
      <c r="G222" s="60" t="n"/>
      <c r="H222" s="60" t="n">
        <v>1</v>
      </c>
      <c r="I222" s="60" t="n">
        <v>1</v>
      </c>
      <c r="J222" s="60" t="n">
        <v>1</v>
      </c>
      <c r="K222" s="60" t="n">
        <v>1</v>
      </c>
      <c r="L222" s="60" t="n">
        <v>1</v>
      </c>
      <c r="M222" s="60" t="n"/>
      <c r="N222" s="60" t="n">
        <v>1</v>
      </c>
      <c r="O222" s="60" t="n">
        <v>1</v>
      </c>
      <c r="P222" s="60" t="n">
        <v>1</v>
      </c>
      <c r="Q222" s="60" t="n">
        <v>1</v>
      </c>
      <c r="R222" s="60" t="n">
        <v>1</v>
      </c>
      <c r="S222" s="60" t="n">
        <v>1</v>
      </c>
      <c r="T222" s="60" t="n"/>
      <c r="U222" s="60" t="n"/>
      <c r="V222" s="60" t="n"/>
      <c r="W222" s="60" t="n"/>
      <c r="X222" s="60" t="n"/>
      <c r="Y222" s="60" t="n"/>
      <c r="Z222" s="60" t="n"/>
      <c r="AA222" s="60" t="n"/>
      <c r="AB222" s="60" t="n"/>
      <c r="AC222" s="60" t="n"/>
      <c r="AD222" s="60" t="n"/>
      <c r="AE222" s="60" t="n"/>
      <c r="AF222" s="60" t="n"/>
      <c r="AG222" s="60" t="n"/>
      <c r="AH222" s="60" t="n"/>
      <c r="AI222" s="60" t="n"/>
      <c r="AJ222" s="60" t="n"/>
      <c r="AK222" s="60" t="n"/>
      <c r="AL222" s="60" t="n"/>
      <c r="AM222" s="60" t="n"/>
      <c r="AN222" s="60" t="n"/>
      <c r="AO222" s="60" t="n"/>
      <c r="AP222" s="60" t="n"/>
      <c r="AQ222" s="60" t="n"/>
      <c r="AR222" s="60" t="n"/>
      <c r="AS222" s="60" t="n"/>
      <c r="AT222" s="60" t="n"/>
      <c r="AU222" s="60" t="n"/>
      <c r="AV222" s="60" t="n"/>
      <c r="AW222" s="60" t="n"/>
      <c r="AX222" s="60" t="n"/>
      <c r="AY222" s="60" t="n"/>
      <c r="AZ222" s="60" t="n"/>
      <c r="BA222" s="60" t="n"/>
      <c r="BB222" s="60" t="n"/>
      <c r="BC222" s="60" t="n"/>
      <c r="BD222" s="60" t="n"/>
      <c r="BE222" s="60" t="n"/>
      <c r="BF222" s="60" t="n"/>
      <c r="BG222" s="60" t="n"/>
      <c r="BH222" s="60" t="n"/>
      <c r="BI222" s="60" t="n"/>
      <c r="BJ222" s="60" t="n"/>
      <c r="BK222" s="60" t="n"/>
      <c r="BL222" s="60" t="n"/>
      <c r="BM222" s="60" t="n"/>
      <c r="BN222" s="60" t="n"/>
      <c r="BO222" s="60" t="n"/>
      <c r="BP222" s="60" t="n"/>
      <c r="BQ222" s="60" t="n"/>
      <c r="BR222" s="60" t="n"/>
      <c r="BS222" s="60" t="n"/>
      <c r="BT222" s="60" t="n"/>
      <c r="BU222" s="60" t="n"/>
      <c r="BV222" s="60" t="n"/>
      <c r="BW222" s="60" t="n"/>
      <c r="BX222" s="60" t="n"/>
      <c r="BY222" s="60" t="n"/>
      <c r="BZ222" s="60" t="n"/>
      <c r="CA222" s="60" t="n"/>
      <c r="CB222" s="60" t="n"/>
      <c r="CC222" s="60" t="n"/>
      <c r="CD222" s="60" t="n"/>
      <c r="CE222" s="60" t="n"/>
      <c r="CF222" s="60" t="n"/>
      <c r="CG222" s="60" t="n"/>
      <c r="CH222" s="60" t="n"/>
      <c r="CI222" s="60" t="n"/>
      <c r="CJ222" s="60" t="n"/>
      <c r="CK222" s="60" t="n"/>
      <c r="CL222" s="60" t="n"/>
      <c r="CM222" s="60" t="n"/>
      <c r="CN222" s="60" t="n"/>
      <c r="CO222" s="60" t="n"/>
      <c r="CP222" s="60" t="n"/>
      <c r="CQ222" s="60" t="n"/>
      <c r="CR222" s="60" t="n"/>
      <c r="CS222" s="60" t="n"/>
      <c r="CT222" s="60" t="n"/>
      <c r="CU222" s="60" t="n"/>
      <c r="CV222" s="60" t="n"/>
      <c r="CW222" s="60" t="n"/>
      <c r="CX222" s="60" t="n"/>
      <c r="CY222" s="60" t="n"/>
      <c r="CZ222" s="60" t="n"/>
      <c r="DA222" s="60" t="n"/>
      <c r="DB222" s="60" t="n"/>
      <c r="DC222" s="60" t="n"/>
      <c r="DD222" s="60" t="n"/>
      <c r="DE222" s="60" t="n"/>
    </row>
    <row r="223">
      <c r="A223" s="60" t="inlineStr">
        <is>
          <t>Incluido en un conjunto comprado</t>
        </is>
      </c>
      <c r="B223" s="60" t="inlineStr">
        <is>
          <t>Espiga roscada — 20,4 × 20,4 × 9,6</t>
        </is>
      </c>
      <c r="C223" s="60" t="inlineStr">
        <is>
          <t>u</t>
        </is>
      </c>
      <c r="D223" s="60" t="inlineStr">
        <is>
          <t>No</t>
        </is>
      </c>
      <c r="E223" s="60" t="n"/>
      <c r="F223" s="60" t="inlineStr">
        <is>
          <t>19 Ensamblaje de válvula (T03/T04)</t>
        </is>
      </c>
      <c r="G223" s="60" t="n">
        <v>1</v>
      </c>
      <c r="H223" s="60" t="n"/>
      <c r="I223" s="60" t="n"/>
      <c r="J223" s="60" t="n"/>
      <c r="K223" s="60" t="n"/>
      <c r="L223" s="60" t="n"/>
      <c r="M223" s="60" t="n"/>
      <c r="N223" s="60" t="n"/>
      <c r="O223" s="60" t="n"/>
      <c r="P223" s="60" t="n"/>
      <c r="Q223" s="60" t="n"/>
      <c r="R223" s="60" t="n"/>
      <c r="S223" s="60" t="n"/>
      <c r="T223" s="60" t="n"/>
      <c r="U223" s="60" t="n"/>
      <c r="V223" s="60" t="n"/>
      <c r="W223" s="60" t="n"/>
      <c r="X223" s="60" t="n"/>
      <c r="Y223" s="60" t="n"/>
      <c r="Z223" s="60" t="n"/>
      <c r="AA223" s="60" t="n"/>
      <c r="AB223" s="60" t="n"/>
      <c r="AC223" s="60" t="n"/>
      <c r="AD223" s="60" t="n"/>
      <c r="AE223" s="60" t="n"/>
      <c r="AF223" s="60" t="n"/>
      <c r="AG223" s="60" t="n"/>
      <c r="AH223" s="60" t="n"/>
      <c r="AI223" s="60" t="n"/>
      <c r="AJ223" s="60" t="n"/>
      <c r="AK223" s="60" t="n"/>
      <c r="AL223" s="60" t="n"/>
      <c r="AM223" s="60" t="n"/>
      <c r="AN223" s="60" t="n"/>
      <c r="AO223" s="60" t="n"/>
      <c r="AP223" s="60" t="n"/>
      <c r="AQ223" s="60" t="n"/>
      <c r="AR223" s="60" t="n"/>
      <c r="AS223" s="60" t="n"/>
      <c r="AT223" s="60" t="n"/>
      <c r="AU223" s="60" t="n"/>
      <c r="AV223" s="60" t="n"/>
      <c r="AW223" s="60" t="n"/>
      <c r="AX223" s="60" t="n"/>
      <c r="AY223" s="60" t="n"/>
      <c r="AZ223" s="60" t="n"/>
      <c r="BA223" s="60" t="n"/>
      <c r="BB223" s="60" t="n"/>
      <c r="BC223" s="60" t="n"/>
      <c r="BD223" s="60" t="n"/>
      <c r="BE223" s="60" t="n"/>
      <c r="BF223" s="60" t="n"/>
      <c r="BG223" s="60" t="n"/>
      <c r="BH223" s="60" t="n"/>
      <c r="BI223" s="60" t="n"/>
      <c r="BJ223" s="60" t="n"/>
      <c r="BK223" s="60" t="n"/>
      <c r="BL223" s="60" t="n"/>
      <c r="BM223" s="60" t="n"/>
      <c r="BN223" s="60" t="n"/>
      <c r="BO223" s="60" t="n"/>
      <c r="BP223" s="60" t="n"/>
      <c r="BQ223" s="60" t="n"/>
      <c r="BR223" s="60" t="n"/>
      <c r="BS223" s="60" t="n"/>
      <c r="BT223" s="60" t="n"/>
      <c r="BU223" s="60" t="n"/>
      <c r="BV223" s="60" t="n"/>
      <c r="BW223" s="60" t="n"/>
      <c r="BX223" s="60" t="n"/>
      <c r="BY223" s="60" t="n"/>
      <c r="BZ223" s="60" t="n"/>
      <c r="CA223" s="60" t="n"/>
      <c r="CB223" s="60" t="n"/>
      <c r="CC223" s="60" t="n"/>
      <c r="CD223" s="60" t="n"/>
      <c r="CE223" s="60" t="n"/>
      <c r="CF223" s="60" t="n"/>
      <c r="CG223" s="60" t="n"/>
      <c r="CH223" s="60" t="n"/>
      <c r="CI223" s="60" t="n"/>
      <c r="CJ223" s="60" t="n"/>
      <c r="CK223" s="60" t="n"/>
      <c r="CL223" s="60" t="n"/>
      <c r="CM223" s="60" t="n"/>
      <c r="CN223" s="60" t="n"/>
      <c r="CO223" s="60" t="n"/>
      <c r="CP223" s="60" t="n"/>
      <c r="CQ223" s="60" t="n"/>
      <c r="CR223" s="60" t="n"/>
      <c r="CS223" s="60" t="n"/>
      <c r="CT223" s="60" t="n"/>
      <c r="CU223" s="60" t="n"/>
      <c r="CV223" s="60" t="n"/>
      <c r="CW223" s="60" t="n"/>
      <c r="CX223" s="60" t="n"/>
      <c r="CY223" s="60" t="n"/>
      <c r="CZ223" s="60" t="n"/>
      <c r="DA223" s="60" t="n"/>
      <c r="DB223" s="60" t="n"/>
      <c r="DC223" s="60" t="n"/>
      <c r="DD223" s="60" t="n"/>
      <c r="DE223" s="60" t="n"/>
    </row>
    <row r="224">
      <c r="A224" s="60" t="inlineStr">
        <is>
          <t>Incluido en un conjunto comprado</t>
        </is>
      </c>
      <c r="B224" s="60" t="inlineStr">
        <is>
          <t>Espiga roscada — 28,4 × 28,4 × 12</t>
        </is>
      </c>
      <c r="C224" s="60" t="inlineStr">
        <is>
          <t>u</t>
        </is>
      </c>
      <c r="D224" s="60" t="inlineStr">
        <is>
          <t>No</t>
        </is>
      </c>
      <c r="E224" s="60" t="n"/>
      <c r="F224" s="60" t="inlineStr">
        <is>
          <t>19 Ensamblaje de válvula (T03/T04)</t>
        </is>
      </c>
      <c r="G224" s="60" t="n"/>
      <c r="H224" s="60" t="n">
        <v>1</v>
      </c>
      <c r="I224" s="60" t="n">
        <v>1</v>
      </c>
      <c r="J224" s="60" t="n">
        <v>1</v>
      </c>
      <c r="K224" s="60" t="n">
        <v>1</v>
      </c>
      <c r="L224" s="60" t="n">
        <v>1</v>
      </c>
      <c r="M224" s="60" t="n"/>
      <c r="N224" s="60" t="n">
        <v>1</v>
      </c>
      <c r="O224" s="60" t="n">
        <v>1</v>
      </c>
      <c r="P224" s="60" t="n"/>
      <c r="Q224" s="60" t="n"/>
      <c r="R224" s="60" t="n">
        <v>1</v>
      </c>
      <c r="S224" s="60" t="n">
        <v>1</v>
      </c>
      <c r="T224" s="60" t="n"/>
      <c r="U224" s="60" t="n"/>
      <c r="V224" s="60" t="n"/>
      <c r="W224" s="60" t="n"/>
      <c r="X224" s="60" t="n"/>
      <c r="Y224" s="60" t="n"/>
      <c r="Z224" s="60" t="n"/>
      <c r="AA224" s="60" t="n"/>
      <c r="AB224" s="60" t="n"/>
      <c r="AC224" s="60" t="n"/>
      <c r="AD224" s="60" t="n"/>
      <c r="AE224" s="60" t="n"/>
      <c r="AF224" s="60" t="n"/>
      <c r="AG224" s="60" t="n"/>
      <c r="AH224" s="60" t="n"/>
      <c r="AI224" s="60" t="n"/>
      <c r="AJ224" s="60" t="n"/>
      <c r="AK224" s="60" t="n"/>
      <c r="AL224" s="60" t="n"/>
      <c r="AM224" s="60" t="n"/>
      <c r="AN224" s="60" t="n"/>
      <c r="AO224" s="60" t="n"/>
      <c r="AP224" s="60" t="n"/>
      <c r="AQ224" s="60" t="n"/>
      <c r="AR224" s="60" t="n"/>
      <c r="AS224" s="60" t="n"/>
      <c r="AT224" s="60" t="n"/>
      <c r="AU224" s="60" t="n"/>
      <c r="AV224" s="60" t="n"/>
      <c r="AW224" s="60" t="n"/>
      <c r="AX224" s="60" t="n"/>
      <c r="AY224" s="60" t="n"/>
      <c r="AZ224" s="60" t="n"/>
      <c r="BA224" s="60" t="n"/>
      <c r="BB224" s="60" t="n"/>
      <c r="BC224" s="60" t="n"/>
      <c r="BD224" s="60" t="n"/>
      <c r="BE224" s="60" t="n"/>
      <c r="BF224" s="60" t="n"/>
      <c r="BG224" s="60" t="n"/>
      <c r="BH224" s="60" t="n"/>
      <c r="BI224" s="60" t="n"/>
      <c r="BJ224" s="60" t="n"/>
      <c r="BK224" s="60" t="n"/>
      <c r="BL224" s="60" t="n"/>
      <c r="BM224" s="60" t="n"/>
      <c r="BN224" s="60" t="n"/>
      <c r="BO224" s="60" t="n"/>
      <c r="BP224" s="60" t="n"/>
      <c r="BQ224" s="60" t="n"/>
      <c r="BR224" s="60" t="n"/>
      <c r="BS224" s="60" t="n"/>
      <c r="BT224" s="60" t="n"/>
      <c r="BU224" s="60" t="n"/>
      <c r="BV224" s="60" t="n"/>
      <c r="BW224" s="60" t="n"/>
      <c r="BX224" s="60" t="n"/>
      <c r="BY224" s="60" t="n"/>
      <c r="BZ224" s="60" t="n"/>
      <c r="CA224" s="60" t="n"/>
      <c r="CB224" s="60" t="n"/>
      <c r="CC224" s="60" t="n"/>
      <c r="CD224" s="60" t="n"/>
      <c r="CE224" s="60" t="n"/>
      <c r="CF224" s="60" t="n"/>
      <c r="CG224" s="60" t="n"/>
      <c r="CH224" s="60" t="n"/>
      <c r="CI224" s="60" t="n"/>
      <c r="CJ224" s="60" t="n"/>
      <c r="CK224" s="60" t="n"/>
      <c r="CL224" s="60" t="n"/>
      <c r="CM224" s="60" t="n"/>
      <c r="CN224" s="60" t="n"/>
      <c r="CO224" s="60" t="n"/>
      <c r="CP224" s="60" t="n"/>
      <c r="CQ224" s="60" t="n"/>
      <c r="CR224" s="60" t="n"/>
      <c r="CS224" s="60" t="n"/>
      <c r="CT224" s="60" t="n"/>
      <c r="CU224" s="60" t="n"/>
      <c r="CV224" s="60" t="n"/>
      <c r="CW224" s="60" t="n"/>
      <c r="CX224" s="60" t="n"/>
      <c r="CY224" s="60" t="n"/>
      <c r="CZ224" s="60" t="n"/>
      <c r="DA224" s="60" t="n"/>
      <c r="DB224" s="60" t="n"/>
      <c r="DC224" s="60" t="n"/>
      <c r="DD224" s="60" t="n"/>
      <c r="DE224" s="60" t="n"/>
    </row>
    <row r="225">
      <c r="A225" s="60" t="inlineStr">
        <is>
          <t>Incluido en un conjunto comprado</t>
        </is>
      </c>
      <c r="B225" s="60" t="inlineStr">
        <is>
          <t>Espiga roscada — 28,4 × 28,4 × 16,2</t>
        </is>
      </c>
      <c r="C225" s="60" t="inlineStr">
        <is>
          <t>u</t>
        </is>
      </c>
      <c r="D225" s="60" t="inlineStr">
        <is>
          <t>No</t>
        </is>
      </c>
      <c r="E225" s="60" t="n"/>
      <c r="F225" s="60" t="inlineStr">
        <is>
          <t>C9 armado</t>
        </is>
      </c>
      <c r="G225" s="60" t="n"/>
      <c r="H225" s="60" t="n"/>
      <c r="I225" s="60" t="n"/>
      <c r="J225" s="60" t="n"/>
      <c r="K225" s="60" t="n"/>
      <c r="L225" s="60" t="n"/>
      <c r="M225" s="60" t="n"/>
      <c r="N225" s="60" t="n"/>
      <c r="O225" s="60" t="n"/>
      <c r="P225" s="60" t="n"/>
      <c r="Q225" s="60" t="n"/>
      <c r="R225" s="60" t="n"/>
      <c r="S225" s="60" t="n"/>
      <c r="T225" s="60" t="n">
        <v>1</v>
      </c>
      <c r="U225" s="60" t="n"/>
      <c r="V225" s="60" t="n"/>
      <c r="W225" s="60" t="n"/>
      <c r="X225" s="60" t="n"/>
      <c r="Y225" s="60" t="n"/>
      <c r="Z225" s="60" t="n"/>
      <c r="AA225" s="60" t="n"/>
      <c r="AB225" s="60" t="n"/>
      <c r="AC225" s="60" t="n"/>
      <c r="AD225" s="60" t="n"/>
      <c r="AE225" s="60" t="n"/>
      <c r="AF225" s="60" t="n"/>
      <c r="AG225" s="60" t="n"/>
      <c r="AH225" s="60" t="n"/>
      <c r="AI225" s="60" t="n"/>
      <c r="AJ225" s="60" t="n"/>
      <c r="AK225" s="60" t="n"/>
      <c r="AL225" s="60" t="n"/>
      <c r="AM225" s="60" t="n"/>
      <c r="AN225" s="60" t="n"/>
      <c r="AO225" s="60" t="n"/>
      <c r="AP225" s="60" t="n"/>
      <c r="AQ225" s="60" t="n"/>
      <c r="AR225" s="60" t="n"/>
      <c r="AS225" s="60" t="n"/>
      <c r="AT225" s="60" t="n"/>
      <c r="AU225" s="60" t="n"/>
      <c r="AV225" s="60" t="n"/>
      <c r="AW225" s="60" t="n"/>
      <c r="AX225" s="60" t="n"/>
      <c r="AY225" s="60" t="n"/>
      <c r="AZ225" s="60" t="n"/>
      <c r="BA225" s="60" t="n"/>
      <c r="BB225" s="60" t="n"/>
      <c r="BC225" s="60" t="n"/>
      <c r="BD225" s="60" t="n"/>
      <c r="BE225" s="60" t="n"/>
      <c r="BF225" s="60" t="n"/>
      <c r="BG225" s="60" t="n"/>
      <c r="BH225" s="60" t="n"/>
      <c r="BI225" s="60" t="n"/>
      <c r="BJ225" s="60" t="n"/>
      <c r="BK225" s="60" t="n"/>
      <c r="BL225" s="60" t="n"/>
      <c r="BM225" s="60" t="n"/>
      <c r="BN225" s="60" t="n"/>
      <c r="BO225" s="60" t="n"/>
      <c r="BP225" s="60" t="n"/>
      <c r="BQ225" s="60" t="n"/>
      <c r="BR225" s="60" t="n"/>
      <c r="BS225" s="60" t="n"/>
      <c r="BT225" s="60" t="n"/>
      <c r="BU225" s="60" t="n"/>
      <c r="BV225" s="60" t="n"/>
      <c r="BW225" s="60" t="n"/>
      <c r="BX225" s="60" t="n"/>
      <c r="BY225" s="60" t="n"/>
      <c r="BZ225" s="60" t="n"/>
      <c r="CA225" s="60" t="n"/>
      <c r="CB225" s="60" t="n"/>
      <c r="CC225" s="60" t="n"/>
      <c r="CD225" s="60" t="n"/>
      <c r="CE225" s="60" t="n"/>
      <c r="CF225" s="60" t="n"/>
      <c r="CG225" s="60" t="n"/>
      <c r="CH225" s="60" t="n"/>
      <c r="CI225" s="60" t="n"/>
      <c r="CJ225" s="60" t="n"/>
      <c r="CK225" s="60" t="n"/>
      <c r="CL225" s="60" t="n"/>
      <c r="CM225" s="60" t="n"/>
      <c r="CN225" s="60" t="n"/>
      <c r="CO225" s="60" t="n"/>
      <c r="CP225" s="60" t="n"/>
      <c r="CQ225" s="60" t="n"/>
      <c r="CR225" s="60" t="n"/>
      <c r="CS225" s="60" t="n"/>
      <c r="CT225" s="60" t="n"/>
      <c r="CU225" s="60" t="n"/>
      <c r="CV225" s="60" t="n"/>
      <c r="CW225" s="60" t="n"/>
      <c r="CX225" s="60" t="n"/>
      <c r="CY225" s="60" t="n"/>
      <c r="CZ225" s="60" t="n"/>
      <c r="DA225" s="60" t="n"/>
      <c r="DB225" s="60" t="n"/>
      <c r="DC225" s="60" t="n"/>
      <c r="DD225" s="60" t="n"/>
      <c r="DE225" s="60" t="n"/>
    </row>
    <row r="226">
      <c r="A226" s="60" t="inlineStr">
        <is>
          <t>Incluido en un conjunto comprado</t>
        </is>
      </c>
      <c r="B226" s="60" t="inlineStr">
        <is>
          <t>Junta tórica del vástago</t>
        </is>
      </c>
      <c r="C226" s="60" t="inlineStr">
        <is>
          <t>u</t>
        </is>
      </c>
      <c r="D226" s="60" t="inlineStr">
        <is>
          <t>No</t>
        </is>
      </c>
      <c r="E226" s="60" t="n"/>
      <c r="F226" s="60" t="inlineStr">
        <is>
          <t>19 Ensamblaje</t>
        </is>
      </c>
      <c r="G226" s="60" t="n">
        <v>1</v>
      </c>
      <c r="H226" s="60" t="n">
        <v>1</v>
      </c>
      <c r="I226" s="60" t="n">
        <v>1</v>
      </c>
      <c r="J226" s="60" t="n">
        <v>1</v>
      </c>
      <c r="K226" s="60" t="n">
        <v>1</v>
      </c>
      <c r="L226" s="60" t="n">
        <v>1</v>
      </c>
      <c r="M226" s="60" t="n">
        <v>1</v>
      </c>
      <c r="N226" s="60" t="n">
        <v>1</v>
      </c>
      <c r="O226" s="60" t="n">
        <v>1</v>
      </c>
      <c r="P226" s="60" t="n">
        <v>1</v>
      </c>
      <c r="Q226" s="60" t="n">
        <v>1</v>
      </c>
      <c r="R226" s="60" t="n">
        <v>1</v>
      </c>
      <c r="S226" s="60" t="n">
        <v>1</v>
      </c>
      <c r="T226" s="60" t="n">
        <v>1</v>
      </c>
      <c r="U226" s="60" t="n">
        <v>1</v>
      </c>
      <c r="V226" s="60" t="n">
        <v>1</v>
      </c>
      <c r="W226" s="60" t="n">
        <v>1</v>
      </c>
      <c r="X226" s="60" t="n"/>
      <c r="Y226" s="60" t="n"/>
      <c r="Z226" s="60" t="n"/>
      <c r="AA226" s="60" t="n"/>
      <c r="AB226" s="60" t="n"/>
      <c r="AC226" s="60" t="n"/>
      <c r="AD226" s="60" t="n"/>
      <c r="AE226" s="60" t="n"/>
      <c r="AF226" s="60" t="n"/>
      <c r="AG226" s="60" t="n"/>
      <c r="AH226" s="60" t="n"/>
      <c r="AI226" s="60" t="n"/>
      <c r="AJ226" s="60" t="n"/>
      <c r="AK226" s="60" t="n"/>
      <c r="AL226" s="60" t="n"/>
      <c r="AM226" s="60" t="n"/>
      <c r="AN226" s="60" t="n"/>
      <c r="AO226" s="60" t="n"/>
      <c r="AP226" s="60" t="n"/>
      <c r="AQ226" s="60" t="n"/>
      <c r="AR226" s="60" t="n"/>
      <c r="AS226" s="60" t="n"/>
      <c r="AT226" s="60" t="n"/>
      <c r="AU226" s="60" t="n"/>
      <c r="AV226" s="60" t="n"/>
      <c r="AW226" s="60" t="n"/>
      <c r="AX226" s="60" t="n"/>
      <c r="AY226" s="60" t="n"/>
      <c r="AZ226" s="60" t="n"/>
      <c r="BA226" s="60" t="n"/>
      <c r="BB226" s="60" t="n"/>
      <c r="BC226" s="60" t="n"/>
      <c r="BD226" s="60" t="n"/>
      <c r="BE226" s="60" t="n"/>
      <c r="BF226" s="60" t="n"/>
      <c r="BG226" s="60" t="n"/>
      <c r="BH226" s="60" t="n"/>
      <c r="BI226" s="60" t="n"/>
      <c r="BJ226" s="60" t="n"/>
      <c r="BK226" s="60" t="n"/>
      <c r="BL226" s="60" t="n"/>
      <c r="BM226" s="60" t="n"/>
      <c r="BN226" s="60" t="n"/>
      <c r="BO226" s="60" t="n"/>
      <c r="BP226" s="60" t="n"/>
      <c r="BQ226" s="60" t="n"/>
      <c r="BR226" s="60" t="n"/>
      <c r="BS226" s="60" t="n"/>
      <c r="BT226" s="60" t="n"/>
      <c r="BU226" s="60" t="n"/>
      <c r="BV226" s="60" t="n"/>
      <c r="BW226" s="60" t="n"/>
      <c r="BX226" s="60" t="n"/>
      <c r="BY226" s="60" t="n"/>
      <c r="BZ226" s="60" t="n"/>
      <c r="CA226" s="60" t="n"/>
      <c r="CB226" s="60" t="n"/>
      <c r="CC226" s="60" t="n"/>
      <c r="CD226" s="60" t="n"/>
      <c r="CE226" s="60" t="n"/>
      <c r="CF226" s="60" t="n"/>
      <c r="CG226" s="60" t="n"/>
      <c r="CH226" s="60" t="n"/>
      <c r="CI226" s="60" t="n"/>
      <c r="CJ226" s="60" t="n"/>
      <c r="CK226" s="60" t="n"/>
      <c r="CL226" s="60" t="n"/>
      <c r="CM226" s="60" t="n"/>
      <c r="CN226" s="60" t="n"/>
      <c r="CO226" s="60" t="n"/>
      <c r="CP226" s="60" t="n"/>
      <c r="CQ226" s="60" t="n"/>
      <c r="CR226" s="60" t="n"/>
      <c r="CS226" s="60" t="n"/>
      <c r="CT226" s="60" t="n"/>
      <c r="CU226" s="60" t="n"/>
      <c r="CV226" s="60" t="n"/>
      <c r="CW226" s="60" t="n"/>
      <c r="CX226" s="60" t="n"/>
      <c r="CY226" s="60" t="n"/>
      <c r="CZ226" s="60" t="n"/>
      <c r="DA226" s="60" t="n"/>
      <c r="DB226" s="60" t="n"/>
      <c r="DC226" s="60" t="n"/>
      <c r="DD226" s="60" t="n"/>
      <c r="DE226" s="60" t="n"/>
    </row>
    <row r="227">
      <c r="A227" s="60" t="inlineStr">
        <is>
          <t>Incluido en un conjunto comprado</t>
        </is>
      </c>
      <c r="B227" s="60" t="inlineStr">
        <is>
          <t>Llanta con cubo — Ø216 × 65 de ancho</t>
        </is>
      </c>
      <c r="C227" s="60" t="inlineStr">
        <is>
          <t>u</t>
        </is>
      </c>
      <c r="D227" s="60" t="inlineStr">
        <is>
          <t>No</t>
        </is>
      </c>
      <c r="E227" s="60" t="n"/>
      <c r="F227" s="60" t="inlineStr">
        <is>
          <t>C9 armado de ruedas (S-TC)</t>
        </is>
      </c>
      <c r="G227" s="60" t="n"/>
      <c r="H227" s="60" t="n"/>
      <c r="I227" s="60" t="n"/>
      <c r="J227" s="60" t="n"/>
      <c r="K227" s="60" t="n"/>
      <c r="L227" s="60" t="n"/>
      <c r="M227" s="60" t="n"/>
      <c r="N227" s="60" t="n"/>
      <c r="O227" s="60" t="n"/>
      <c r="P227" s="60" t="n"/>
      <c r="Q227" s="60" t="n"/>
      <c r="R227" s="60" t="n"/>
      <c r="S227" s="60" t="n"/>
      <c r="T227" s="60" t="n">
        <v>2</v>
      </c>
      <c r="U227" s="60" t="n"/>
      <c r="V227" s="60" t="n"/>
      <c r="W227" s="60" t="n"/>
      <c r="X227" s="60" t="n"/>
      <c r="Y227" s="60" t="n"/>
      <c r="Z227" s="60" t="n"/>
      <c r="AA227" s="60" t="n"/>
      <c r="AB227" s="60" t="n"/>
      <c r="AC227" s="60" t="n"/>
      <c r="AD227" s="60" t="n"/>
      <c r="AE227" s="60" t="n"/>
      <c r="AF227" s="60" t="n"/>
      <c r="AG227" s="60" t="n"/>
      <c r="AH227" s="60" t="n"/>
      <c r="AI227" s="60" t="n"/>
      <c r="AJ227" s="60" t="n"/>
      <c r="AK227" s="60" t="n"/>
      <c r="AL227" s="60" t="n"/>
      <c r="AM227" s="60" t="n"/>
      <c r="AN227" s="60" t="n"/>
      <c r="AO227" s="60" t="n"/>
      <c r="AP227" s="60" t="n"/>
      <c r="AQ227" s="60" t="n"/>
      <c r="AR227" s="60" t="n"/>
      <c r="AS227" s="60" t="n"/>
      <c r="AT227" s="60" t="n"/>
      <c r="AU227" s="60" t="n"/>
      <c r="AV227" s="60" t="n"/>
      <c r="AW227" s="60" t="n"/>
      <c r="AX227" s="60" t="n"/>
      <c r="AY227" s="60" t="n"/>
      <c r="AZ227" s="60" t="n"/>
      <c r="BA227" s="60" t="n"/>
      <c r="BB227" s="60" t="n"/>
      <c r="BC227" s="60" t="n"/>
      <c r="BD227" s="60" t="n"/>
      <c r="BE227" s="60" t="n"/>
      <c r="BF227" s="60" t="n"/>
      <c r="BG227" s="60" t="n"/>
      <c r="BH227" s="60" t="n"/>
      <c r="BI227" s="60" t="n"/>
      <c r="BJ227" s="60" t="n"/>
      <c r="BK227" s="60" t="n"/>
      <c r="BL227" s="60" t="n"/>
      <c r="BM227" s="60" t="n"/>
      <c r="BN227" s="60" t="n"/>
      <c r="BO227" s="60" t="n"/>
      <c r="BP227" s="60" t="n"/>
      <c r="BQ227" s="60" t="n"/>
      <c r="BR227" s="60" t="n"/>
      <c r="BS227" s="60" t="n"/>
      <c r="BT227" s="60" t="n"/>
      <c r="BU227" s="60" t="n"/>
      <c r="BV227" s="60" t="n"/>
      <c r="BW227" s="60" t="n"/>
      <c r="BX227" s="60" t="n"/>
      <c r="BY227" s="60" t="n"/>
      <c r="BZ227" s="60" t="n"/>
      <c r="CA227" s="60" t="n"/>
      <c r="CB227" s="60" t="n"/>
      <c r="CC227" s="60" t="n"/>
      <c r="CD227" s="60" t="n"/>
      <c r="CE227" s="60" t="n"/>
      <c r="CF227" s="60" t="n"/>
      <c r="CG227" s="60" t="n"/>
      <c r="CH227" s="60" t="n"/>
      <c r="CI227" s="60" t="n"/>
      <c r="CJ227" s="60" t="n"/>
      <c r="CK227" s="60" t="n"/>
      <c r="CL227" s="60" t="n"/>
      <c r="CM227" s="60" t="n"/>
      <c r="CN227" s="60" t="n"/>
      <c r="CO227" s="60" t="n"/>
      <c r="CP227" s="60" t="n"/>
      <c r="CQ227" s="60" t="n"/>
      <c r="CR227" s="60" t="n"/>
      <c r="CS227" s="60" t="n"/>
      <c r="CT227" s="60" t="n"/>
      <c r="CU227" s="60" t="n"/>
      <c r="CV227" s="60" t="n"/>
      <c r="CW227" s="60" t="n"/>
      <c r="CX227" s="60" t="n"/>
      <c r="CY227" s="60" t="n"/>
      <c r="CZ227" s="60" t="n"/>
      <c r="DA227" s="60" t="n"/>
      <c r="DB227" s="60" t="n"/>
      <c r="DC227" s="60" t="n"/>
      <c r="DD227" s="60" t="n"/>
      <c r="DE227" s="60" t="n"/>
    </row>
    <row r="228">
      <c r="A228" s="60" t="inlineStr">
        <is>
          <t>Incluido en un conjunto comprado</t>
        </is>
      </c>
      <c r="B228" s="60" t="inlineStr">
        <is>
          <t>Llanta con cubo — Ø288 × 90 de ancho</t>
        </is>
      </c>
      <c r="C228" s="60" t="inlineStr">
        <is>
          <t>u</t>
        </is>
      </c>
      <c r="D228" s="60" t="inlineStr">
        <is>
          <t>No</t>
        </is>
      </c>
      <c r="E228" s="60" t="n"/>
      <c r="F228" s="60" t="inlineStr">
        <is>
          <t>C9 armado de ruedas (S-TC)</t>
        </is>
      </c>
      <c r="G228" s="60" t="n"/>
      <c r="H228" s="60" t="n"/>
      <c r="I228" s="60" t="n"/>
      <c r="J228" s="60" t="n"/>
      <c r="K228" s="60" t="n"/>
      <c r="L228" s="60" t="n"/>
      <c r="M228" s="60" t="n"/>
      <c r="N228" s="60" t="n"/>
      <c r="O228" s="60" t="n"/>
      <c r="P228" s="60" t="n"/>
      <c r="Q228" s="60" t="n"/>
      <c r="R228" s="60" t="n"/>
      <c r="S228" s="60" t="n"/>
      <c r="T228" s="60" t="n"/>
      <c r="U228" s="60" t="n"/>
      <c r="V228" s="60" t="n"/>
      <c r="W228" s="60" t="n">
        <v>2</v>
      </c>
      <c r="X228" s="60" t="n"/>
      <c r="Y228" s="60" t="n"/>
      <c r="Z228" s="60" t="n"/>
      <c r="AA228" s="60" t="n"/>
      <c r="AB228" s="60" t="n"/>
      <c r="AC228" s="60" t="n"/>
      <c r="AD228" s="60" t="n"/>
      <c r="AE228" s="60" t="n"/>
      <c r="AF228" s="60" t="n"/>
      <c r="AG228" s="60" t="n"/>
      <c r="AH228" s="60" t="n"/>
      <c r="AI228" s="60" t="n"/>
      <c r="AJ228" s="60" t="n"/>
      <c r="AK228" s="60" t="n"/>
      <c r="AL228" s="60" t="n"/>
      <c r="AM228" s="60" t="n"/>
      <c r="AN228" s="60" t="n"/>
      <c r="AO228" s="60" t="n"/>
      <c r="AP228" s="60" t="n"/>
      <c r="AQ228" s="60" t="n"/>
      <c r="AR228" s="60" t="n"/>
      <c r="AS228" s="60" t="n"/>
      <c r="AT228" s="60" t="n"/>
      <c r="AU228" s="60" t="n"/>
      <c r="AV228" s="60" t="n"/>
      <c r="AW228" s="60" t="n"/>
      <c r="AX228" s="60" t="n"/>
      <c r="AY228" s="60" t="n"/>
      <c r="AZ228" s="60" t="n"/>
      <c r="BA228" s="60" t="n"/>
      <c r="BB228" s="60" t="n"/>
      <c r="BC228" s="60" t="n"/>
      <c r="BD228" s="60" t="n"/>
      <c r="BE228" s="60" t="n"/>
      <c r="BF228" s="60" t="n"/>
      <c r="BG228" s="60" t="n"/>
      <c r="BH228" s="60" t="n"/>
      <c r="BI228" s="60" t="n"/>
      <c r="BJ228" s="60" t="n"/>
      <c r="BK228" s="60" t="n"/>
      <c r="BL228" s="60" t="n"/>
      <c r="BM228" s="60" t="n"/>
      <c r="BN228" s="60" t="n"/>
      <c r="BO228" s="60" t="n"/>
      <c r="BP228" s="60" t="n"/>
      <c r="BQ228" s="60" t="n"/>
      <c r="BR228" s="60" t="n"/>
      <c r="BS228" s="60" t="n"/>
      <c r="BT228" s="60" t="n"/>
      <c r="BU228" s="60" t="n"/>
      <c r="BV228" s="60" t="n"/>
      <c r="BW228" s="60" t="n"/>
      <c r="BX228" s="60" t="n"/>
      <c r="BY228" s="60" t="n"/>
      <c r="BZ228" s="60" t="n"/>
      <c r="CA228" s="60" t="n"/>
      <c r="CB228" s="60" t="n"/>
      <c r="CC228" s="60" t="n"/>
      <c r="CD228" s="60" t="n"/>
      <c r="CE228" s="60" t="n"/>
      <c r="CF228" s="60" t="n"/>
      <c r="CG228" s="60" t="n"/>
      <c r="CH228" s="60" t="n"/>
      <c r="CI228" s="60" t="n"/>
      <c r="CJ228" s="60" t="n"/>
      <c r="CK228" s="60" t="n"/>
      <c r="CL228" s="60" t="n"/>
      <c r="CM228" s="60" t="n"/>
      <c r="CN228" s="60" t="n"/>
      <c r="CO228" s="60" t="n"/>
      <c r="CP228" s="60" t="n"/>
      <c r="CQ228" s="60" t="n"/>
      <c r="CR228" s="60" t="n"/>
      <c r="CS228" s="60" t="n"/>
      <c r="CT228" s="60" t="n"/>
      <c r="CU228" s="60" t="n"/>
      <c r="CV228" s="60" t="n"/>
      <c r="CW228" s="60" t="n"/>
      <c r="CX228" s="60" t="n"/>
      <c r="CY228" s="60" t="n"/>
      <c r="CZ228" s="60" t="n"/>
      <c r="DA228" s="60" t="n"/>
      <c r="DB228" s="60" t="n"/>
      <c r="DC228" s="60" t="n"/>
      <c r="DD228" s="60" t="n"/>
      <c r="DE228" s="60" t="n"/>
    </row>
    <row r="229">
      <c r="A229" s="60" t="inlineStr">
        <is>
          <t>Incluido en un conjunto comprado</t>
        </is>
      </c>
      <c r="B229" s="60" t="inlineStr">
        <is>
          <t>Manija de accionamiento — 130,4 × 27 × 21,3</t>
        </is>
      </c>
      <c r="C229" s="60" t="inlineStr">
        <is>
          <t>u</t>
        </is>
      </c>
      <c r="D229" s="60" t="inlineStr">
        <is>
          <t>No</t>
        </is>
      </c>
      <c r="E229" s="60" t="n"/>
      <c r="F229" s="60" t="inlineStr">
        <is>
          <t>C9 armado</t>
        </is>
      </c>
      <c r="G229" s="60" t="n"/>
      <c r="H229" s="60" t="n"/>
      <c r="I229" s="60" t="n"/>
      <c r="J229" s="60" t="n"/>
      <c r="K229" s="60" t="n"/>
      <c r="L229" s="60" t="n"/>
      <c r="M229" s="60" t="n"/>
      <c r="N229" s="60" t="n"/>
      <c r="O229" s="60" t="n"/>
      <c r="P229" s="60" t="n"/>
      <c r="Q229" s="60" t="n"/>
      <c r="R229" s="60" t="n"/>
      <c r="S229" s="60" t="n"/>
      <c r="T229" s="60" t="n">
        <v>1</v>
      </c>
      <c r="U229" s="60" t="n"/>
      <c r="V229" s="60" t="n"/>
      <c r="W229" s="60" t="n"/>
      <c r="X229" s="60" t="n"/>
      <c r="Y229" s="60" t="n"/>
      <c r="Z229" s="60" t="n"/>
      <c r="AA229" s="60" t="n"/>
      <c r="AB229" s="60" t="n"/>
      <c r="AC229" s="60" t="n"/>
      <c r="AD229" s="60" t="n"/>
      <c r="AE229" s="60" t="n"/>
      <c r="AF229" s="60" t="n"/>
      <c r="AG229" s="60" t="n"/>
      <c r="AH229" s="60" t="n"/>
      <c r="AI229" s="60" t="n"/>
      <c r="AJ229" s="60" t="n"/>
      <c r="AK229" s="60" t="n"/>
      <c r="AL229" s="60" t="n"/>
      <c r="AM229" s="60" t="n"/>
      <c r="AN229" s="60" t="n"/>
      <c r="AO229" s="60" t="n"/>
      <c r="AP229" s="60" t="n"/>
      <c r="AQ229" s="60" t="n"/>
      <c r="AR229" s="60" t="n"/>
      <c r="AS229" s="60" t="n"/>
      <c r="AT229" s="60" t="n"/>
      <c r="AU229" s="60" t="n"/>
      <c r="AV229" s="60" t="n"/>
      <c r="AW229" s="60" t="n"/>
      <c r="AX229" s="60" t="n"/>
      <c r="AY229" s="60" t="n"/>
      <c r="AZ229" s="60" t="n"/>
      <c r="BA229" s="60" t="n"/>
      <c r="BB229" s="60" t="n"/>
      <c r="BC229" s="60" t="n"/>
      <c r="BD229" s="60" t="n"/>
      <c r="BE229" s="60" t="n"/>
      <c r="BF229" s="60" t="n"/>
      <c r="BG229" s="60" t="n"/>
      <c r="BH229" s="60" t="n"/>
      <c r="BI229" s="60" t="n"/>
      <c r="BJ229" s="60" t="n"/>
      <c r="BK229" s="60" t="n"/>
      <c r="BL229" s="60" t="n"/>
      <c r="BM229" s="60" t="n"/>
      <c r="BN229" s="60" t="n"/>
      <c r="BO229" s="60" t="n"/>
      <c r="BP229" s="60" t="n"/>
      <c r="BQ229" s="60" t="n"/>
      <c r="BR229" s="60" t="n"/>
      <c r="BS229" s="60" t="n"/>
      <c r="BT229" s="60" t="n"/>
      <c r="BU229" s="60" t="n"/>
      <c r="BV229" s="60" t="n"/>
      <c r="BW229" s="60" t="n"/>
      <c r="BX229" s="60" t="n"/>
      <c r="BY229" s="60" t="n"/>
      <c r="BZ229" s="60" t="n"/>
      <c r="CA229" s="60" t="n"/>
      <c r="CB229" s="60" t="n"/>
      <c r="CC229" s="60" t="n"/>
      <c r="CD229" s="60" t="n"/>
      <c r="CE229" s="60" t="n"/>
      <c r="CF229" s="60" t="n"/>
      <c r="CG229" s="60" t="n"/>
      <c r="CH229" s="60" t="n"/>
      <c r="CI229" s="60" t="n"/>
      <c r="CJ229" s="60" t="n"/>
      <c r="CK229" s="60" t="n"/>
      <c r="CL229" s="60" t="n"/>
      <c r="CM229" s="60" t="n"/>
      <c r="CN229" s="60" t="n"/>
      <c r="CO229" s="60" t="n"/>
      <c r="CP229" s="60" t="n"/>
      <c r="CQ229" s="60" t="n"/>
      <c r="CR229" s="60" t="n"/>
      <c r="CS229" s="60" t="n"/>
      <c r="CT229" s="60" t="n"/>
      <c r="CU229" s="60" t="n"/>
      <c r="CV229" s="60" t="n"/>
      <c r="CW229" s="60" t="n"/>
      <c r="CX229" s="60" t="n"/>
      <c r="CY229" s="60" t="n"/>
      <c r="CZ229" s="60" t="n"/>
      <c r="DA229" s="60" t="n"/>
      <c r="DB229" s="60" t="n"/>
      <c r="DC229" s="60" t="n"/>
      <c r="DD229" s="60" t="n"/>
      <c r="DE229" s="60" t="n"/>
    </row>
    <row r="230">
      <c r="A230" s="60" t="inlineStr">
        <is>
          <t>Incluido en un conjunto comprado</t>
        </is>
      </c>
      <c r="B230" s="60" t="inlineStr">
        <is>
          <t>Manija de accionamiento — 131,7 × 20,1 × 20</t>
        </is>
      </c>
      <c r="C230" s="60" t="inlineStr">
        <is>
          <t>u</t>
        </is>
      </c>
      <c r="D230" s="60" t="inlineStr">
        <is>
          <t>No</t>
        </is>
      </c>
      <c r="E230" s="60" t="n"/>
      <c r="F230" s="60" t="inlineStr">
        <is>
          <t>19 Ensamblaje de válvula (T03/T04)</t>
        </is>
      </c>
      <c r="G230" s="60" t="n"/>
      <c r="H230" s="60" t="n"/>
      <c r="I230" s="60" t="n"/>
      <c r="J230" s="60" t="n">
        <v>1</v>
      </c>
      <c r="K230" s="60" t="n"/>
      <c r="L230" s="60" t="n"/>
      <c r="M230" s="60" t="n"/>
      <c r="N230" s="60" t="n"/>
      <c r="O230" s="60" t="n"/>
      <c r="P230" s="60" t="n"/>
      <c r="Q230" s="60" t="n"/>
      <c r="R230" s="60" t="n"/>
      <c r="S230" s="60" t="n"/>
      <c r="T230" s="60" t="n"/>
      <c r="U230" s="60" t="n"/>
      <c r="V230" s="60" t="n"/>
      <c r="W230" s="60" t="n"/>
      <c r="X230" s="60" t="n"/>
      <c r="Y230" s="60" t="n"/>
      <c r="Z230" s="60" t="n"/>
      <c r="AA230" s="60" t="n"/>
      <c r="AB230" s="60" t="n"/>
      <c r="AC230" s="60" t="n"/>
      <c r="AD230" s="60" t="n"/>
      <c r="AE230" s="60" t="n"/>
      <c r="AF230" s="60" t="n"/>
      <c r="AG230" s="60" t="n"/>
      <c r="AH230" s="60" t="n"/>
      <c r="AI230" s="60" t="n"/>
      <c r="AJ230" s="60" t="n"/>
      <c r="AK230" s="60" t="n"/>
      <c r="AL230" s="60" t="n"/>
      <c r="AM230" s="60" t="n"/>
      <c r="AN230" s="60" t="n"/>
      <c r="AO230" s="60" t="n"/>
      <c r="AP230" s="60" t="n"/>
      <c r="AQ230" s="60" t="n"/>
      <c r="AR230" s="60" t="n"/>
      <c r="AS230" s="60" t="n"/>
      <c r="AT230" s="60" t="n"/>
      <c r="AU230" s="60" t="n"/>
      <c r="AV230" s="60" t="n"/>
      <c r="AW230" s="60" t="n"/>
      <c r="AX230" s="60" t="n"/>
      <c r="AY230" s="60" t="n"/>
      <c r="AZ230" s="60" t="n"/>
      <c r="BA230" s="60" t="n"/>
      <c r="BB230" s="60" t="n"/>
      <c r="BC230" s="60" t="n"/>
      <c r="BD230" s="60" t="n"/>
      <c r="BE230" s="60" t="n"/>
      <c r="BF230" s="60" t="n"/>
      <c r="BG230" s="60" t="n"/>
      <c r="BH230" s="60" t="n"/>
      <c r="BI230" s="60" t="n"/>
      <c r="BJ230" s="60" t="n"/>
      <c r="BK230" s="60" t="n"/>
      <c r="BL230" s="60" t="n"/>
      <c r="BM230" s="60" t="n"/>
      <c r="BN230" s="60" t="n"/>
      <c r="BO230" s="60" t="n"/>
      <c r="BP230" s="60" t="n"/>
      <c r="BQ230" s="60" t="n"/>
      <c r="BR230" s="60" t="n"/>
      <c r="BS230" s="60" t="n"/>
      <c r="BT230" s="60" t="n"/>
      <c r="BU230" s="60" t="n"/>
      <c r="BV230" s="60" t="n"/>
      <c r="BW230" s="60" t="n"/>
      <c r="BX230" s="60" t="n"/>
      <c r="BY230" s="60" t="n"/>
      <c r="BZ230" s="60" t="n"/>
      <c r="CA230" s="60" t="n"/>
      <c r="CB230" s="60" t="n"/>
      <c r="CC230" s="60" t="n"/>
      <c r="CD230" s="60" t="n"/>
      <c r="CE230" s="60" t="n"/>
      <c r="CF230" s="60" t="n"/>
      <c r="CG230" s="60" t="n"/>
      <c r="CH230" s="60" t="n"/>
      <c r="CI230" s="60" t="n"/>
      <c r="CJ230" s="60" t="n"/>
      <c r="CK230" s="60" t="n"/>
      <c r="CL230" s="60" t="n"/>
      <c r="CM230" s="60" t="n"/>
      <c r="CN230" s="60" t="n"/>
      <c r="CO230" s="60" t="n"/>
      <c r="CP230" s="60" t="n"/>
      <c r="CQ230" s="60" t="n"/>
      <c r="CR230" s="60" t="n"/>
      <c r="CS230" s="60" t="n"/>
      <c r="CT230" s="60" t="n"/>
      <c r="CU230" s="60" t="n"/>
      <c r="CV230" s="60" t="n"/>
      <c r="CW230" s="60" t="n"/>
      <c r="CX230" s="60" t="n"/>
      <c r="CY230" s="60" t="n"/>
      <c r="CZ230" s="60" t="n"/>
      <c r="DA230" s="60" t="n"/>
      <c r="DB230" s="60" t="n"/>
      <c r="DC230" s="60" t="n"/>
      <c r="DD230" s="60" t="n"/>
      <c r="DE230" s="60" t="n"/>
    </row>
    <row r="231">
      <c r="A231" s="60" t="inlineStr">
        <is>
          <t>Incluido en un conjunto comprado</t>
        </is>
      </c>
      <c r="B231" s="60" t="inlineStr">
        <is>
          <t>Manija de accionamiento — 141 × 21,2 × 20</t>
        </is>
      </c>
      <c r="C231" s="60" t="inlineStr">
        <is>
          <t>u</t>
        </is>
      </c>
      <c r="D231" s="60" t="inlineStr">
        <is>
          <t>No</t>
        </is>
      </c>
      <c r="E231" s="60" t="n"/>
      <c r="F231" s="60" t="inlineStr">
        <is>
          <t>19 Ensamblaje de válvula (T03/T04)</t>
        </is>
      </c>
      <c r="G231" s="60" t="n"/>
      <c r="H231" s="60" t="n"/>
      <c r="I231" s="60" t="n">
        <v>1</v>
      </c>
      <c r="J231" s="60" t="n"/>
      <c r="K231" s="60" t="n"/>
      <c r="L231" s="60" t="n"/>
      <c r="M231" s="60" t="n"/>
      <c r="N231" s="60" t="n">
        <v>1</v>
      </c>
      <c r="O231" s="60" t="n"/>
      <c r="P231" s="60" t="n"/>
      <c r="Q231" s="60" t="n"/>
      <c r="R231" s="60" t="n">
        <v>1</v>
      </c>
      <c r="S231" s="60" t="n"/>
      <c r="T231" s="60" t="n"/>
      <c r="U231" s="60" t="n"/>
      <c r="V231" s="60" t="n"/>
      <c r="W231" s="60" t="n"/>
      <c r="X231" s="60" t="n"/>
      <c r="Y231" s="60" t="n"/>
      <c r="Z231" s="60" t="n"/>
      <c r="AA231" s="60" t="n"/>
      <c r="AB231" s="60" t="n"/>
      <c r="AC231" s="60" t="n"/>
      <c r="AD231" s="60" t="n"/>
      <c r="AE231" s="60" t="n"/>
      <c r="AF231" s="60" t="n"/>
      <c r="AG231" s="60" t="n"/>
      <c r="AH231" s="60" t="n"/>
      <c r="AI231" s="60" t="n"/>
      <c r="AJ231" s="60" t="n"/>
      <c r="AK231" s="60" t="n"/>
      <c r="AL231" s="60" t="n"/>
      <c r="AM231" s="60" t="n"/>
      <c r="AN231" s="60" t="n"/>
      <c r="AO231" s="60" t="n"/>
      <c r="AP231" s="60" t="n"/>
      <c r="AQ231" s="60" t="n"/>
      <c r="AR231" s="60" t="n"/>
      <c r="AS231" s="60" t="n"/>
      <c r="AT231" s="60" t="n"/>
      <c r="AU231" s="60" t="n"/>
      <c r="AV231" s="60" t="n"/>
      <c r="AW231" s="60" t="n"/>
      <c r="AX231" s="60" t="n"/>
      <c r="AY231" s="60" t="n"/>
      <c r="AZ231" s="60" t="n"/>
      <c r="BA231" s="60" t="n"/>
      <c r="BB231" s="60" t="n"/>
      <c r="BC231" s="60" t="n"/>
      <c r="BD231" s="60" t="n"/>
      <c r="BE231" s="60" t="n"/>
      <c r="BF231" s="60" t="n"/>
      <c r="BG231" s="60" t="n"/>
      <c r="BH231" s="60" t="n"/>
      <c r="BI231" s="60" t="n"/>
      <c r="BJ231" s="60" t="n"/>
      <c r="BK231" s="60" t="n"/>
      <c r="BL231" s="60" t="n"/>
      <c r="BM231" s="60" t="n"/>
      <c r="BN231" s="60" t="n"/>
      <c r="BO231" s="60" t="n"/>
      <c r="BP231" s="60" t="n"/>
      <c r="BQ231" s="60" t="n"/>
      <c r="BR231" s="60" t="n"/>
      <c r="BS231" s="60" t="n"/>
      <c r="BT231" s="60" t="n"/>
      <c r="BU231" s="60" t="n"/>
      <c r="BV231" s="60" t="n"/>
      <c r="BW231" s="60" t="n"/>
      <c r="BX231" s="60" t="n"/>
      <c r="BY231" s="60" t="n"/>
      <c r="BZ231" s="60" t="n"/>
      <c r="CA231" s="60" t="n"/>
      <c r="CB231" s="60" t="n"/>
      <c r="CC231" s="60" t="n"/>
      <c r="CD231" s="60" t="n"/>
      <c r="CE231" s="60" t="n"/>
      <c r="CF231" s="60" t="n"/>
      <c r="CG231" s="60" t="n"/>
      <c r="CH231" s="60" t="n"/>
      <c r="CI231" s="60" t="n"/>
      <c r="CJ231" s="60" t="n"/>
      <c r="CK231" s="60" t="n"/>
      <c r="CL231" s="60" t="n"/>
      <c r="CM231" s="60" t="n"/>
      <c r="CN231" s="60" t="n"/>
      <c r="CO231" s="60" t="n"/>
      <c r="CP231" s="60" t="n"/>
      <c r="CQ231" s="60" t="n"/>
      <c r="CR231" s="60" t="n"/>
      <c r="CS231" s="60" t="n"/>
      <c r="CT231" s="60" t="n"/>
      <c r="CU231" s="60" t="n"/>
      <c r="CV231" s="60" t="n"/>
      <c r="CW231" s="60" t="n"/>
      <c r="CX231" s="60" t="n"/>
      <c r="CY231" s="60" t="n"/>
      <c r="CZ231" s="60" t="n"/>
      <c r="DA231" s="60" t="n"/>
      <c r="DB231" s="60" t="n"/>
      <c r="DC231" s="60" t="n"/>
      <c r="DD231" s="60" t="n"/>
      <c r="DE231" s="60" t="n"/>
    </row>
    <row r="232">
      <c r="A232" s="60" t="inlineStr">
        <is>
          <t>Incluido en un conjunto comprado</t>
        </is>
      </c>
      <c r="B232" s="60" t="inlineStr">
        <is>
          <t>Manija de accionamiento — 150,5 × 22,4 × 20</t>
        </is>
      </c>
      <c r="C232" s="60" t="inlineStr">
        <is>
          <t>u</t>
        </is>
      </c>
      <c r="D232" s="60" t="inlineStr">
        <is>
          <t>No</t>
        </is>
      </c>
      <c r="E232" s="60" t="n"/>
      <c r="F232" s="60" t="inlineStr">
        <is>
          <t>19 Ensamblaje de válvula (T03/T04)</t>
        </is>
      </c>
      <c r="G232" s="60" t="n"/>
      <c r="H232" s="60" t="n">
        <v>1</v>
      </c>
      <c r="I232" s="60" t="n"/>
      <c r="J232" s="60" t="n"/>
      <c r="K232" s="60" t="n"/>
      <c r="L232" s="60" t="n"/>
      <c r="M232" s="60" t="n"/>
      <c r="N232" s="60" t="n"/>
      <c r="O232" s="60" t="n"/>
      <c r="P232" s="60" t="n"/>
      <c r="Q232" s="60" t="n"/>
      <c r="R232" s="60" t="n"/>
      <c r="S232" s="60" t="n"/>
      <c r="T232" s="60" t="n"/>
      <c r="U232" s="60" t="n"/>
      <c r="V232" s="60" t="n"/>
      <c r="W232" s="60" t="n"/>
      <c r="X232" s="60" t="n"/>
      <c r="Y232" s="60" t="n"/>
      <c r="Z232" s="60" t="n"/>
      <c r="AA232" s="60" t="n"/>
      <c r="AB232" s="60" t="n"/>
      <c r="AC232" s="60" t="n"/>
      <c r="AD232" s="60" t="n"/>
      <c r="AE232" s="60" t="n"/>
      <c r="AF232" s="60" t="n"/>
      <c r="AG232" s="60" t="n"/>
      <c r="AH232" s="60" t="n"/>
      <c r="AI232" s="60" t="n"/>
      <c r="AJ232" s="60" t="n"/>
      <c r="AK232" s="60" t="n"/>
      <c r="AL232" s="60" t="n"/>
      <c r="AM232" s="60" t="n"/>
      <c r="AN232" s="60" t="n"/>
      <c r="AO232" s="60" t="n"/>
      <c r="AP232" s="60" t="n"/>
      <c r="AQ232" s="60" t="n"/>
      <c r="AR232" s="60" t="n"/>
      <c r="AS232" s="60" t="n"/>
      <c r="AT232" s="60" t="n"/>
      <c r="AU232" s="60" t="n"/>
      <c r="AV232" s="60" t="n"/>
      <c r="AW232" s="60" t="n"/>
      <c r="AX232" s="60" t="n"/>
      <c r="AY232" s="60" t="n"/>
      <c r="AZ232" s="60" t="n"/>
      <c r="BA232" s="60" t="n"/>
      <c r="BB232" s="60" t="n"/>
      <c r="BC232" s="60" t="n"/>
      <c r="BD232" s="60" t="n"/>
      <c r="BE232" s="60" t="n"/>
      <c r="BF232" s="60" t="n"/>
      <c r="BG232" s="60" t="n"/>
      <c r="BH232" s="60" t="n"/>
      <c r="BI232" s="60" t="n"/>
      <c r="BJ232" s="60" t="n"/>
      <c r="BK232" s="60" t="n"/>
      <c r="BL232" s="60" t="n"/>
      <c r="BM232" s="60" t="n"/>
      <c r="BN232" s="60" t="n"/>
      <c r="BO232" s="60" t="n"/>
      <c r="BP232" s="60" t="n"/>
      <c r="BQ232" s="60" t="n"/>
      <c r="BR232" s="60" t="n"/>
      <c r="BS232" s="60" t="n"/>
      <c r="BT232" s="60" t="n"/>
      <c r="BU232" s="60" t="n"/>
      <c r="BV232" s="60" t="n"/>
      <c r="BW232" s="60" t="n"/>
      <c r="BX232" s="60" t="n"/>
      <c r="BY232" s="60" t="n"/>
      <c r="BZ232" s="60" t="n"/>
      <c r="CA232" s="60" t="n"/>
      <c r="CB232" s="60" t="n"/>
      <c r="CC232" s="60" t="n"/>
      <c r="CD232" s="60" t="n"/>
      <c r="CE232" s="60" t="n"/>
      <c r="CF232" s="60" t="n"/>
      <c r="CG232" s="60" t="n"/>
      <c r="CH232" s="60" t="n"/>
      <c r="CI232" s="60" t="n"/>
      <c r="CJ232" s="60" t="n"/>
      <c r="CK232" s="60" t="n"/>
      <c r="CL232" s="60" t="n"/>
      <c r="CM232" s="60" t="n"/>
      <c r="CN232" s="60" t="n"/>
      <c r="CO232" s="60" t="n"/>
      <c r="CP232" s="60" t="n"/>
      <c r="CQ232" s="60" t="n"/>
      <c r="CR232" s="60" t="n"/>
      <c r="CS232" s="60" t="n"/>
      <c r="CT232" s="60" t="n"/>
      <c r="CU232" s="60" t="n"/>
      <c r="CV232" s="60" t="n"/>
      <c r="CW232" s="60" t="n"/>
      <c r="CX232" s="60" t="n"/>
      <c r="CY232" s="60" t="n"/>
      <c r="CZ232" s="60" t="n"/>
      <c r="DA232" s="60" t="n"/>
      <c r="DB232" s="60" t="n"/>
      <c r="DC232" s="60" t="n"/>
      <c r="DD232" s="60" t="n"/>
      <c r="DE232" s="60" t="n"/>
    </row>
    <row r="233">
      <c r="A233" s="60" t="inlineStr">
        <is>
          <t>Incluido en un conjunto comprado</t>
        </is>
      </c>
      <c r="B233" s="60" t="inlineStr">
        <is>
          <t>Manija de accionamiento — 157,7 × 27 × 24,6</t>
        </is>
      </c>
      <c r="C233" s="60" t="inlineStr">
        <is>
          <t>u</t>
        </is>
      </c>
      <c r="D233" s="60" t="inlineStr">
        <is>
          <t>No</t>
        </is>
      </c>
      <c r="E233" s="60" t="n"/>
      <c r="F233" s="60" t="inlineStr">
        <is>
          <t>C9 armado</t>
        </is>
      </c>
      <c r="G233" s="60" t="n"/>
      <c r="H233" s="60" t="n"/>
      <c r="I233" s="60" t="n"/>
      <c r="J233" s="60" t="n"/>
      <c r="K233" s="60" t="n"/>
      <c r="L233" s="60" t="n"/>
      <c r="M233" s="60" t="n"/>
      <c r="N233" s="60" t="n"/>
      <c r="O233" s="60" t="n"/>
      <c r="P233" s="60" t="n"/>
      <c r="Q233" s="60" t="n"/>
      <c r="R233" s="60" t="n"/>
      <c r="S233" s="60" t="n"/>
      <c r="T233" s="60" t="n"/>
      <c r="U233" s="60" t="n"/>
      <c r="V233" s="60" t="n">
        <v>1</v>
      </c>
      <c r="W233" s="60" t="n"/>
      <c r="X233" s="60" t="n"/>
      <c r="Y233" s="60" t="n"/>
      <c r="Z233" s="60" t="n"/>
      <c r="AA233" s="60" t="n"/>
      <c r="AB233" s="60" t="n"/>
      <c r="AC233" s="60" t="n"/>
      <c r="AD233" s="60" t="n"/>
      <c r="AE233" s="60" t="n"/>
      <c r="AF233" s="60" t="n"/>
      <c r="AG233" s="60" t="n"/>
      <c r="AH233" s="60" t="n"/>
      <c r="AI233" s="60" t="n"/>
      <c r="AJ233" s="60" t="n"/>
      <c r="AK233" s="60" t="n"/>
      <c r="AL233" s="60" t="n"/>
      <c r="AM233" s="60" t="n"/>
      <c r="AN233" s="60" t="n"/>
      <c r="AO233" s="60" t="n"/>
      <c r="AP233" s="60" t="n"/>
      <c r="AQ233" s="60" t="n"/>
      <c r="AR233" s="60" t="n"/>
      <c r="AS233" s="60" t="n"/>
      <c r="AT233" s="60" t="n"/>
      <c r="AU233" s="60" t="n"/>
      <c r="AV233" s="60" t="n"/>
      <c r="AW233" s="60" t="n"/>
      <c r="AX233" s="60" t="n"/>
      <c r="AY233" s="60" t="n"/>
      <c r="AZ233" s="60" t="n"/>
      <c r="BA233" s="60" t="n"/>
      <c r="BB233" s="60" t="n"/>
      <c r="BC233" s="60" t="n"/>
      <c r="BD233" s="60" t="n"/>
      <c r="BE233" s="60" t="n"/>
      <c r="BF233" s="60" t="n"/>
      <c r="BG233" s="60" t="n"/>
      <c r="BH233" s="60" t="n"/>
      <c r="BI233" s="60" t="n"/>
      <c r="BJ233" s="60" t="n"/>
      <c r="BK233" s="60" t="n"/>
      <c r="BL233" s="60" t="n"/>
      <c r="BM233" s="60" t="n"/>
      <c r="BN233" s="60" t="n"/>
      <c r="BO233" s="60" t="n"/>
      <c r="BP233" s="60" t="n"/>
      <c r="BQ233" s="60" t="n"/>
      <c r="BR233" s="60" t="n"/>
      <c r="BS233" s="60" t="n"/>
      <c r="BT233" s="60" t="n"/>
      <c r="BU233" s="60" t="n"/>
      <c r="BV233" s="60" t="n"/>
      <c r="BW233" s="60" t="n"/>
      <c r="BX233" s="60" t="n"/>
      <c r="BY233" s="60" t="n"/>
      <c r="BZ233" s="60" t="n"/>
      <c r="CA233" s="60" t="n"/>
      <c r="CB233" s="60" t="n"/>
      <c r="CC233" s="60" t="n"/>
      <c r="CD233" s="60" t="n"/>
      <c r="CE233" s="60" t="n"/>
      <c r="CF233" s="60" t="n"/>
      <c r="CG233" s="60" t="n"/>
      <c r="CH233" s="60" t="n"/>
      <c r="CI233" s="60" t="n"/>
      <c r="CJ233" s="60" t="n"/>
      <c r="CK233" s="60" t="n"/>
      <c r="CL233" s="60" t="n"/>
      <c r="CM233" s="60" t="n"/>
      <c r="CN233" s="60" t="n"/>
      <c r="CO233" s="60" t="n"/>
      <c r="CP233" s="60" t="n"/>
      <c r="CQ233" s="60" t="n"/>
      <c r="CR233" s="60" t="n"/>
      <c r="CS233" s="60" t="n"/>
      <c r="CT233" s="60" t="n"/>
      <c r="CU233" s="60" t="n"/>
      <c r="CV233" s="60" t="n"/>
      <c r="CW233" s="60" t="n"/>
      <c r="CX233" s="60" t="n"/>
      <c r="CY233" s="60" t="n"/>
      <c r="CZ233" s="60" t="n"/>
      <c r="DA233" s="60" t="n"/>
      <c r="DB233" s="60" t="n"/>
      <c r="DC233" s="60" t="n"/>
      <c r="DD233" s="60" t="n"/>
      <c r="DE233" s="60" t="n"/>
    </row>
    <row r="234">
      <c r="A234" s="60" t="inlineStr">
        <is>
          <t>Incluido en un conjunto comprado</t>
        </is>
      </c>
      <c r="B234" s="60" t="inlineStr">
        <is>
          <t>Manija de accionamiento — 172,6 × 27 × 26,5</t>
        </is>
      </c>
      <c r="C234" s="60" t="inlineStr">
        <is>
          <t>u</t>
        </is>
      </c>
      <c r="D234" s="60" t="inlineStr">
        <is>
          <t>No</t>
        </is>
      </c>
      <c r="E234" s="60" t="n"/>
      <c r="F234" s="60" t="inlineStr">
        <is>
          <t>C9 armado</t>
        </is>
      </c>
      <c r="G234" s="60" t="n"/>
      <c r="H234" s="60" t="n"/>
      <c r="I234" s="60" t="n"/>
      <c r="J234" s="60" t="n"/>
      <c r="K234" s="60" t="n"/>
      <c r="L234" s="60" t="n"/>
      <c r="M234" s="60" t="n"/>
      <c r="N234" s="60" t="n"/>
      <c r="O234" s="60" t="n"/>
      <c r="P234" s="60" t="n"/>
      <c r="Q234" s="60" t="n"/>
      <c r="R234" s="60" t="n"/>
      <c r="S234" s="60" t="n"/>
      <c r="T234" s="60" t="n"/>
      <c r="U234" s="60" t="n"/>
      <c r="V234" s="60" t="n"/>
      <c r="W234" s="60" t="n">
        <v>1</v>
      </c>
      <c r="X234" s="60" t="n"/>
      <c r="Y234" s="60" t="n"/>
      <c r="Z234" s="60" t="n"/>
      <c r="AA234" s="60" t="n"/>
      <c r="AB234" s="60" t="n"/>
      <c r="AC234" s="60" t="n"/>
      <c r="AD234" s="60" t="n"/>
      <c r="AE234" s="60" t="n"/>
      <c r="AF234" s="60" t="n"/>
      <c r="AG234" s="60" t="n"/>
      <c r="AH234" s="60" t="n"/>
      <c r="AI234" s="60" t="n"/>
      <c r="AJ234" s="60" t="n"/>
      <c r="AK234" s="60" t="n"/>
      <c r="AL234" s="60" t="n"/>
      <c r="AM234" s="60" t="n"/>
      <c r="AN234" s="60" t="n"/>
      <c r="AO234" s="60" t="n"/>
      <c r="AP234" s="60" t="n"/>
      <c r="AQ234" s="60" t="n"/>
      <c r="AR234" s="60" t="n"/>
      <c r="AS234" s="60" t="n"/>
      <c r="AT234" s="60" t="n"/>
      <c r="AU234" s="60" t="n"/>
      <c r="AV234" s="60" t="n"/>
      <c r="AW234" s="60" t="n"/>
      <c r="AX234" s="60" t="n"/>
      <c r="AY234" s="60" t="n"/>
      <c r="AZ234" s="60" t="n"/>
      <c r="BA234" s="60" t="n"/>
      <c r="BB234" s="60" t="n"/>
      <c r="BC234" s="60" t="n"/>
      <c r="BD234" s="60" t="n"/>
      <c r="BE234" s="60" t="n"/>
      <c r="BF234" s="60" t="n"/>
      <c r="BG234" s="60" t="n"/>
      <c r="BH234" s="60" t="n"/>
      <c r="BI234" s="60" t="n"/>
      <c r="BJ234" s="60" t="n"/>
      <c r="BK234" s="60" t="n"/>
      <c r="BL234" s="60" t="n"/>
      <c r="BM234" s="60" t="n"/>
      <c r="BN234" s="60" t="n"/>
      <c r="BO234" s="60" t="n"/>
      <c r="BP234" s="60" t="n"/>
      <c r="BQ234" s="60" t="n"/>
      <c r="BR234" s="60" t="n"/>
      <c r="BS234" s="60" t="n"/>
      <c r="BT234" s="60" t="n"/>
      <c r="BU234" s="60" t="n"/>
      <c r="BV234" s="60" t="n"/>
      <c r="BW234" s="60" t="n"/>
      <c r="BX234" s="60" t="n"/>
      <c r="BY234" s="60" t="n"/>
      <c r="BZ234" s="60" t="n"/>
      <c r="CA234" s="60" t="n"/>
      <c r="CB234" s="60" t="n"/>
      <c r="CC234" s="60" t="n"/>
      <c r="CD234" s="60" t="n"/>
      <c r="CE234" s="60" t="n"/>
      <c r="CF234" s="60" t="n"/>
      <c r="CG234" s="60" t="n"/>
      <c r="CH234" s="60" t="n"/>
      <c r="CI234" s="60" t="n"/>
      <c r="CJ234" s="60" t="n"/>
      <c r="CK234" s="60" t="n"/>
      <c r="CL234" s="60" t="n"/>
      <c r="CM234" s="60" t="n"/>
      <c r="CN234" s="60" t="n"/>
      <c r="CO234" s="60" t="n"/>
      <c r="CP234" s="60" t="n"/>
      <c r="CQ234" s="60" t="n"/>
      <c r="CR234" s="60" t="n"/>
      <c r="CS234" s="60" t="n"/>
      <c r="CT234" s="60" t="n"/>
      <c r="CU234" s="60" t="n"/>
      <c r="CV234" s="60" t="n"/>
      <c r="CW234" s="60" t="n"/>
      <c r="CX234" s="60" t="n"/>
      <c r="CY234" s="60" t="n"/>
      <c r="CZ234" s="60" t="n"/>
      <c r="DA234" s="60" t="n"/>
      <c r="DB234" s="60" t="n"/>
      <c r="DC234" s="60" t="n"/>
      <c r="DD234" s="60" t="n"/>
      <c r="DE234" s="60" t="n"/>
    </row>
    <row r="235">
      <c r="A235" s="60" t="inlineStr">
        <is>
          <t>Incluido en un conjunto comprado</t>
        </is>
      </c>
      <c r="B235" s="60" t="inlineStr">
        <is>
          <t>Manija de accionamiento — 60 × 16 × 10,5</t>
        </is>
      </c>
      <c r="C235" s="60" t="inlineStr">
        <is>
          <t>u</t>
        </is>
      </c>
      <c r="D235" s="60" t="inlineStr">
        <is>
          <t>No</t>
        </is>
      </c>
      <c r="E235" s="60" t="n"/>
      <c r="F235" s="60" t="inlineStr">
        <is>
          <t>19 Ensamblaje de válvula (T03/T04)</t>
        </is>
      </c>
      <c r="G235" s="60" t="n">
        <v>1</v>
      </c>
      <c r="H235" s="60" t="n"/>
      <c r="I235" s="60" t="n"/>
      <c r="J235" s="60" t="n"/>
      <c r="K235" s="60" t="n"/>
      <c r="L235" s="60" t="n"/>
      <c r="M235" s="60" t="n"/>
      <c r="N235" s="60" t="n"/>
      <c r="O235" s="60" t="n"/>
      <c r="P235" s="60" t="n"/>
      <c r="Q235" s="60" t="n"/>
      <c r="R235" s="60" t="n"/>
      <c r="S235" s="60" t="n"/>
      <c r="T235" s="60" t="n"/>
      <c r="U235" s="60" t="n"/>
      <c r="V235" s="60" t="n"/>
      <c r="W235" s="60" t="n"/>
      <c r="X235" s="60" t="n"/>
      <c r="Y235" s="60" t="n"/>
      <c r="Z235" s="60" t="n"/>
      <c r="AA235" s="60" t="n"/>
      <c r="AB235" s="60" t="n"/>
      <c r="AC235" s="60" t="n"/>
      <c r="AD235" s="60" t="n"/>
      <c r="AE235" s="60" t="n"/>
      <c r="AF235" s="60" t="n"/>
      <c r="AG235" s="60" t="n"/>
      <c r="AH235" s="60" t="n"/>
      <c r="AI235" s="60" t="n"/>
      <c r="AJ235" s="60" t="n"/>
      <c r="AK235" s="60" t="n"/>
      <c r="AL235" s="60" t="n"/>
      <c r="AM235" s="60" t="n"/>
      <c r="AN235" s="60" t="n"/>
      <c r="AO235" s="60" t="n"/>
      <c r="AP235" s="60" t="n"/>
      <c r="AQ235" s="60" t="n"/>
      <c r="AR235" s="60" t="n"/>
      <c r="AS235" s="60" t="n"/>
      <c r="AT235" s="60" t="n"/>
      <c r="AU235" s="60" t="n"/>
      <c r="AV235" s="60" t="n"/>
      <c r="AW235" s="60" t="n"/>
      <c r="AX235" s="60" t="n"/>
      <c r="AY235" s="60" t="n"/>
      <c r="AZ235" s="60" t="n"/>
      <c r="BA235" s="60" t="n"/>
      <c r="BB235" s="60" t="n"/>
      <c r="BC235" s="60" t="n"/>
      <c r="BD235" s="60" t="n"/>
      <c r="BE235" s="60" t="n"/>
      <c r="BF235" s="60" t="n"/>
      <c r="BG235" s="60" t="n"/>
      <c r="BH235" s="60" t="n"/>
      <c r="BI235" s="60" t="n"/>
      <c r="BJ235" s="60" t="n"/>
      <c r="BK235" s="60" t="n"/>
      <c r="BL235" s="60" t="n"/>
      <c r="BM235" s="60" t="n"/>
      <c r="BN235" s="60" t="n"/>
      <c r="BO235" s="60" t="n"/>
      <c r="BP235" s="60" t="n"/>
      <c r="BQ235" s="60" t="n"/>
      <c r="BR235" s="60" t="n"/>
      <c r="BS235" s="60" t="n"/>
      <c r="BT235" s="60" t="n"/>
      <c r="BU235" s="60" t="n"/>
      <c r="BV235" s="60" t="n"/>
      <c r="BW235" s="60" t="n"/>
      <c r="BX235" s="60" t="n"/>
      <c r="BY235" s="60" t="n"/>
      <c r="BZ235" s="60" t="n"/>
      <c r="CA235" s="60" t="n"/>
      <c r="CB235" s="60" t="n"/>
      <c r="CC235" s="60" t="n"/>
      <c r="CD235" s="60" t="n"/>
      <c r="CE235" s="60" t="n"/>
      <c r="CF235" s="60" t="n"/>
      <c r="CG235" s="60" t="n"/>
      <c r="CH235" s="60" t="n"/>
      <c r="CI235" s="60" t="n"/>
      <c r="CJ235" s="60" t="n"/>
      <c r="CK235" s="60" t="n"/>
      <c r="CL235" s="60" t="n"/>
      <c r="CM235" s="60" t="n"/>
      <c r="CN235" s="60" t="n"/>
      <c r="CO235" s="60" t="n"/>
      <c r="CP235" s="60" t="n"/>
      <c r="CQ235" s="60" t="n"/>
      <c r="CR235" s="60" t="n"/>
      <c r="CS235" s="60" t="n"/>
      <c r="CT235" s="60" t="n"/>
      <c r="CU235" s="60" t="n"/>
      <c r="CV235" s="60" t="n"/>
      <c r="CW235" s="60" t="n"/>
      <c r="CX235" s="60" t="n"/>
      <c r="CY235" s="60" t="n"/>
      <c r="CZ235" s="60" t="n"/>
      <c r="DA235" s="60" t="n"/>
      <c r="DB235" s="60" t="n"/>
      <c r="DC235" s="60" t="n"/>
      <c r="DD235" s="60" t="n"/>
      <c r="DE235" s="60" t="n"/>
    </row>
    <row r="236">
      <c r="A236" s="60" t="inlineStr">
        <is>
          <t>Incluido en un conjunto comprado</t>
        </is>
      </c>
      <c r="B236" s="60" t="inlineStr">
        <is>
          <t>Manija de transporte — 107,9 × 20 × 15,3</t>
        </is>
      </c>
      <c r="C236" s="60" t="inlineStr">
        <is>
          <t>u</t>
        </is>
      </c>
      <c r="D236" s="60" t="inlineStr">
        <is>
          <t>No</t>
        </is>
      </c>
      <c r="E236" s="60" t="n"/>
      <c r="F236" s="60" t="inlineStr">
        <is>
          <t>19 Ensamblaje de válvula (T03/T04)</t>
        </is>
      </c>
      <c r="G236" s="60" t="n"/>
      <c r="H236" s="60" t="n">
        <v>1</v>
      </c>
      <c r="I236" s="60" t="n"/>
      <c r="J236" s="60" t="n"/>
      <c r="K236" s="60" t="n"/>
      <c r="L236" s="60" t="n"/>
      <c r="M236" s="60" t="n"/>
      <c r="N236" s="60" t="n"/>
      <c r="O236" s="60" t="n"/>
      <c r="P236" s="60" t="n"/>
      <c r="Q236" s="60" t="n"/>
      <c r="R236" s="60" t="n"/>
      <c r="S236" s="60" t="n"/>
      <c r="T236" s="60" t="n"/>
      <c r="U236" s="60" t="n"/>
      <c r="V236" s="60" t="n"/>
      <c r="W236" s="60" t="n"/>
      <c r="X236" s="60" t="n"/>
      <c r="Y236" s="60" t="n"/>
      <c r="Z236" s="60" t="n"/>
      <c r="AA236" s="60" t="n"/>
      <c r="AB236" s="60" t="n"/>
      <c r="AC236" s="60" t="n"/>
      <c r="AD236" s="60" t="n"/>
      <c r="AE236" s="60" t="n"/>
      <c r="AF236" s="60" t="n"/>
      <c r="AG236" s="60" t="n"/>
      <c r="AH236" s="60" t="n"/>
      <c r="AI236" s="60" t="n"/>
      <c r="AJ236" s="60" t="n"/>
      <c r="AK236" s="60" t="n"/>
      <c r="AL236" s="60" t="n"/>
      <c r="AM236" s="60" t="n"/>
      <c r="AN236" s="60" t="n"/>
      <c r="AO236" s="60" t="n"/>
      <c r="AP236" s="60" t="n"/>
      <c r="AQ236" s="60" t="n"/>
      <c r="AR236" s="60" t="n"/>
      <c r="AS236" s="60" t="n"/>
      <c r="AT236" s="60" t="n"/>
      <c r="AU236" s="60" t="n"/>
      <c r="AV236" s="60" t="n"/>
      <c r="AW236" s="60" t="n"/>
      <c r="AX236" s="60" t="n"/>
      <c r="AY236" s="60" t="n"/>
      <c r="AZ236" s="60" t="n"/>
      <c r="BA236" s="60" t="n"/>
      <c r="BB236" s="60" t="n"/>
      <c r="BC236" s="60" t="n"/>
      <c r="BD236" s="60" t="n"/>
      <c r="BE236" s="60" t="n"/>
      <c r="BF236" s="60" t="n"/>
      <c r="BG236" s="60" t="n"/>
      <c r="BH236" s="60" t="n"/>
      <c r="BI236" s="60" t="n"/>
      <c r="BJ236" s="60" t="n"/>
      <c r="BK236" s="60" t="n"/>
      <c r="BL236" s="60" t="n"/>
      <c r="BM236" s="60" t="n"/>
      <c r="BN236" s="60" t="n"/>
      <c r="BO236" s="60" t="n"/>
      <c r="BP236" s="60" t="n"/>
      <c r="BQ236" s="60" t="n"/>
      <c r="BR236" s="60" t="n"/>
      <c r="BS236" s="60" t="n"/>
      <c r="BT236" s="60" t="n"/>
      <c r="BU236" s="60" t="n"/>
      <c r="BV236" s="60" t="n"/>
      <c r="BW236" s="60" t="n"/>
      <c r="BX236" s="60" t="n"/>
      <c r="BY236" s="60" t="n"/>
      <c r="BZ236" s="60" t="n"/>
      <c r="CA236" s="60" t="n"/>
      <c r="CB236" s="60" t="n"/>
      <c r="CC236" s="60" t="n"/>
      <c r="CD236" s="60" t="n"/>
      <c r="CE236" s="60" t="n"/>
      <c r="CF236" s="60" t="n"/>
      <c r="CG236" s="60" t="n"/>
      <c r="CH236" s="60" t="n"/>
      <c r="CI236" s="60" t="n"/>
      <c r="CJ236" s="60" t="n"/>
      <c r="CK236" s="60" t="n"/>
      <c r="CL236" s="60" t="n"/>
      <c r="CM236" s="60" t="n"/>
      <c r="CN236" s="60" t="n"/>
      <c r="CO236" s="60" t="n"/>
      <c r="CP236" s="60" t="n"/>
      <c r="CQ236" s="60" t="n"/>
      <c r="CR236" s="60" t="n"/>
      <c r="CS236" s="60" t="n"/>
      <c r="CT236" s="60" t="n"/>
      <c r="CU236" s="60" t="n"/>
      <c r="CV236" s="60" t="n"/>
      <c r="CW236" s="60" t="n"/>
      <c r="CX236" s="60" t="n"/>
      <c r="CY236" s="60" t="n"/>
      <c r="CZ236" s="60" t="n"/>
      <c r="DA236" s="60" t="n"/>
      <c r="DB236" s="60" t="n"/>
      <c r="DC236" s="60" t="n"/>
      <c r="DD236" s="60" t="n"/>
      <c r="DE236" s="60" t="n"/>
    </row>
    <row r="237">
      <c r="A237" s="60" t="inlineStr">
        <is>
          <t>Incluido en un conjunto comprado</t>
        </is>
      </c>
      <c r="B237" s="60" t="inlineStr">
        <is>
          <t>Manija de transporte — 113,7 × 27 × 17,3</t>
        </is>
      </c>
      <c r="C237" s="60" t="inlineStr">
        <is>
          <t>u</t>
        </is>
      </c>
      <c r="D237" s="60" t="inlineStr">
        <is>
          <t>No</t>
        </is>
      </c>
      <c r="E237" s="60" t="n"/>
      <c r="F237" s="60" t="inlineStr">
        <is>
          <t>C9 armado</t>
        </is>
      </c>
      <c r="G237" s="60" t="n"/>
      <c r="H237" s="60" t="n"/>
      <c r="I237" s="60" t="n"/>
      <c r="J237" s="60" t="n"/>
      <c r="K237" s="60" t="n"/>
      <c r="L237" s="60" t="n"/>
      <c r="M237" s="60" t="n"/>
      <c r="N237" s="60" t="n"/>
      <c r="O237" s="60" t="n"/>
      <c r="P237" s="60" t="n"/>
      <c r="Q237" s="60" t="n"/>
      <c r="R237" s="60" t="n"/>
      <c r="S237" s="60" t="n"/>
      <c r="T237" s="60" t="n"/>
      <c r="U237" s="60" t="n"/>
      <c r="V237" s="60" t="n"/>
      <c r="W237" s="60" t="n">
        <v>1</v>
      </c>
      <c r="X237" s="60" t="n"/>
      <c r="Y237" s="60" t="n"/>
      <c r="Z237" s="60" t="n"/>
      <c r="AA237" s="60" t="n"/>
      <c r="AB237" s="60" t="n"/>
      <c r="AC237" s="60" t="n"/>
      <c r="AD237" s="60" t="n"/>
      <c r="AE237" s="60" t="n"/>
      <c r="AF237" s="60" t="n"/>
      <c r="AG237" s="60" t="n"/>
      <c r="AH237" s="60" t="n"/>
      <c r="AI237" s="60" t="n"/>
      <c r="AJ237" s="60" t="n"/>
      <c r="AK237" s="60" t="n"/>
      <c r="AL237" s="60" t="n"/>
      <c r="AM237" s="60" t="n"/>
      <c r="AN237" s="60" t="n"/>
      <c r="AO237" s="60" t="n"/>
      <c r="AP237" s="60" t="n"/>
      <c r="AQ237" s="60" t="n"/>
      <c r="AR237" s="60" t="n"/>
      <c r="AS237" s="60" t="n"/>
      <c r="AT237" s="60" t="n"/>
      <c r="AU237" s="60" t="n"/>
      <c r="AV237" s="60" t="n"/>
      <c r="AW237" s="60" t="n"/>
      <c r="AX237" s="60" t="n"/>
      <c r="AY237" s="60" t="n"/>
      <c r="AZ237" s="60" t="n"/>
      <c r="BA237" s="60" t="n"/>
      <c r="BB237" s="60" t="n"/>
      <c r="BC237" s="60" t="n"/>
      <c r="BD237" s="60" t="n"/>
      <c r="BE237" s="60" t="n"/>
      <c r="BF237" s="60" t="n"/>
      <c r="BG237" s="60" t="n"/>
      <c r="BH237" s="60" t="n"/>
      <c r="BI237" s="60" t="n"/>
      <c r="BJ237" s="60" t="n"/>
      <c r="BK237" s="60" t="n"/>
      <c r="BL237" s="60" t="n"/>
      <c r="BM237" s="60" t="n"/>
      <c r="BN237" s="60" t="n"/>
      <c r="BO237" s="60" t="n"/>
      <c r="BP237" s="60" t="n"/>
      <c r="BQ237" s="60" t="n"/>
      <c r="BR237" s="60" t="n"/>
      <c r="BS237" s="60" t="n"/>
      <c r="BT237" s="60" t="n"/>
      <c r="BU237" s="60" t="n"/>
      <c r="BV237" s="60" t="n"/>
      <c r="BW237" s="60" t="n"/>
      <c r="BX237" s="60" t="n"/>
      <c r="BY237" s="60" t="n"/>
      <c r="BZ237" s="60" t="n"/>
      <c r="CA237" s="60" t="n"/>
      <c r="CB237" s="60" t="n"/>
      <c r="CC237" s="60" t="n"/>
      <c r="CD237" s="60" t="n"/>
      <c r="CE237" s="60" t="n"/>
      <c r="CF237" s="60" t="n"/>
      <c r="CG237" s="60" t="n"/>
      <c r="CH237" s="60" t="n"/>
      <c r="CI237" s="60" t="n"/>
      <c r="CJ237" s="60" t="n"/>
      <c r="CK237" s="60" t="n"/>
      <c r="CL237" s="60" t="n"/>
      <c r="CM237" s="60" t="n"/>
      <c r="CN237" s="60" t="n"/>
      <c r="CO237" s="60" t="n"/>
      <c r="CP237" s="60" t="n"/>
      <c r="CQ237" s="60" t="n"/>
      <c r="CR237" s="60" t="n"/>
      <c r="CS237" s="60" t="n"/>
      <c r="CT237" s="60" t="n"/>
      <c r="CU237" s="60" t="n"/>
      <c r="CV237" s="60" t="n"/>
      <c r="CW237" s="60" t="n"/>
      <c r="CX237" s="60" t="n"/>
      <c r="CY237" s="60" t="n"/>
      <c r="CZ237" s="60" t="n"/>
      <c r="DA237" s="60" t="n"/>
      <c r="DB237" s="60" t="n"/>
      <c r="DC237" s="60" t="n"/>
      <c r="DD237" s="60" t="n"/>
      <c r="DE237" s="60" t="n"/>
    </row>
    <row r="238">
      <c r="A238" s="60" t="inlineStr">
        <is>
          <t>Incluido en un conjunto comprado</t>
        </is>
      </c>
      <c r="B238" s="60" t="inlineStr">
        <is>
          <t>Manija de transporte — 26,6 × 16 × 5,9</t>
        </is>
      </c>
      <c r="C238" s="60" t="inlineStr">
        <is>
          <t>u</t>
        </is>
      </c>
      <c r="D238" s="60" t="inlineStr">
        <is>
          <t>No</t>
        </is>
      </c>
      <c r="E238" s="60" t="n"/>
      <c r="F238" s="60" t="inlineStr">
        <is>
          <t>19 Ensamblaje de válvula (T03/T04)</t>
        </is>
      </c>
      <c r="G238" s="60" t="n">
        <v>1</v>
      </c>
      <c r="H238" s="60" t="n"/>
      <c r="I238" s="60" t="n"/>
      <c r="J238" s="60" t="n"/>
      <c r="K238" s="60" t="n"/>
      <c r="L238" s="60" t="n"/>
      <c r="M238" s="60" t="n"/>
      <c r="N238" s="60" t="n"/>
      <c r="O238" s="60" t="n"/>
      <c r="P238" s="60" t="n"/>
      <c r="Q238" s="60" t="n"/>
      <c r="R238" s="60" t="n"/>
      <c r="S238" s="60" t="n"/>
      <c r="T238" s="60" t="n"/>
      <c r="U238" s="60" t="n"/>
      <c r="V238" s="60" t="n"/>
      <c r="W238" s="60" t="n"/>
      <c r="X238" s="60" t="n"/>
      <c r="Y238" s="60" t="n"/>
      <c r="Z238" s="60" t="n"/>
      <c r="AA238" s="60" t="n"/>
      <c r="AB238" s="60" t="n"/>
      <c r="AC238" s="60" t="n"/>
      <c r="AD238" s="60" t="n"/>
      <c r="AE238" s="60" t="n"/>
      <c r="AF238" s="60" t="n"/>
      <c r="AG238" s="60" t="n"/>
      <c r="AH238" s="60" t="n"/>
      <c r="AI238" s="60" t="n"/>
      <c r="AJ238" s="60" t="n"/>
      <c r="AK238" s="60" t="n"/>
      <c r="AL238" s="60" t="n"/>
      <c r="AM238" s="60" t="n"/>
      <c r="AN238" s="60" t="n"/>
      <c r="AO238" s="60" t="n"/>
      <c r="AP238" s="60" t="n"/>
      <c r="AQ238" s="60" t="n"/>
      <c r="AR238" s="60" t="n"/>
      <c r="AS238" s="60" t="n"/>
      <c r="AT238" s="60" t="n"/>
      <c r="AU238" s="60" t="n"/>
      <c r="AV238" s="60" t="n"/>
      <c r="AW238" s="60" t="n"/>
      <c r="AX238" s="60" t="n"/>
      <c r="AY238" s="60" t="n"/>
      <c r="AZ238" s="60" t="n"/>
      <c r="BA238" s="60" t="n"/>
      <c r="BB238" s="60" t="n"/>
      <c r="BC238" s="60" t="n"/>
      <c r="BD238" s="60" t="n"/>
      <c r="BE238" s="60" t="n"/>
      <c r="BF238" s="60" t="n"/>
      <c r="BG238" s="60" t="n"/>
      <c r="BH238" s="60" t="n"/>
      <c r="BI238" s="60" t="n"/>
      <c r="BJ238" s="60" t="n"/>
      <c r="BK238" s="60" t="n"/>
      <c r="BL238" s="60" t="n"/>
      <c r="BM238" s="60" t="n"/>
      <c r="BN238" s="60" t="n"/>
      <c r="BO238" s="60" t="n"/>
      <c r="BP238" s="60" t="n"/>
      <c r="BQ238" s="60" t="n"/>
      <c r="BR238" s="60" t="n"/>
      <c r="BS238" s="60" t="n"/>
      <c r="BT238" s="60" t="n"/>
      <c r="BU238" s="60" t="n"/>
      <c r="BV238" s="60" t="n"/>
      <c r="BW238" s="60" t="n"/>
      <c r="BX238" s="60" t="n"/>
      <c r="BY238" s="60" t="n"/>
      <c r="BZ238" s="60" t="n"/>
      <c r="CA238" s="60" t="n"/>
      <c r="CB238" s="60" t="n"/>
      <c r="CC238" s="60" t="n"/>
      <c r="CD238" s="60" t="n"/>
      <c r="CE238" s="60" t="n"/>
      <c r="CF238" s="60" t="n"/>
      <c r="CG238" s="60" t="n"/>
      <c r="CH238" s="60" t="n"/>
      <c r="CI238" s="60" t="n"/>
      <c r="CJ238" s="60" t="n"/>
      <c r="CK238" s="60" t="n"/>
      <c r="CL238" s="60" t="n"/>
      <c r="CM238" s="60" t="n"/>
      <c r="CN238" s="60" t="n"/>
      <c r="CO238" s="60" t="n"/>
      <c r="CP238" s="60" t="n"/>
      <c r="CQ238" s="60" t="n"/>
      <c r="CR238" s="60" t="n"/>
      <c r="CS238" s="60" t="n"/>
      <c r="CT238" s="60" t="n"/>
      <c r="CU238" s="60" t="n"/>
      <c r="CV238" s="60" t="n"/>
      <c r="CW238" s="60" t="n"/>
      <c r="CX238" s="60" t="n"/>
      <c r="CY238" s="60" t="n"/>
      <c r="CZ238" s="60" t="n"/>
      <c r="DA238" s="60" t="n"/>
      <c r="DB238" s="60" t="n"/>
      <c r="DC238" s="60" t="n"/>
      <c r="DD238" s="60" t="n"/>
      <c r="DE238" s="60" t="n"/>
    </row>
    <row r="239">
      <c r="A239" s="60" t="inlineStr">
        <is>
          <t>Incluido en un conjunto comprado</t>
        </is>
      </c>
      <c r="B239" s="60" t="inlineStr">
        <is>
          <t>Manija de transporte — 71,4 × 27 × 12,8</t>
        </is>
      </c>
      <c r="C239" s="60" t="inlineStr">
        <is>
          <t>u</t>
        </is>
      </c>
      <c r="D239" s="60" t="inlineStr">
        <is>
          <t>No</t>
        </is>
      </c>
      <c r="E239" s="60" t="n"/>
      <c r="F239" s="60" t="inlineStr">
        <is>
          <t>C9 armado</t>
        </is>
      </c>
      <c r="G239" s="60" t="n"/>
      <c r="H239" s="60" t="n"/>
      <c r="I239" s="60" t="n"/>
      <c r="J239" s="60" t="n"/>
      <c r="K239" s="60" t="n"/>
      <c r="L239" s="60" t="n"/>
      <c r="M239" s="60" t="n"/>
      <c r="N239" s="60" t="n"/>
      <c r="O239" s="60" t="n"/>
      <c r="P239" s="60" t="n"/>
      <c r="Q239" s="60" t="n"/>
      <c r="R239" s="60" t="n"/>
      <c r="S239" s="60" t="n"/>
      <c r="T239" s="60" t="n">
        <v>1</v>
      </c>
      <c r="U239" s="60" t="n"/>
      <c r="V239" s="60" t="n"/>
      <c r="W239" s="60" t="n"/>
      <c r="X239" s="60" t="n"/>
      <c r="Y239" s="60" t="n"/>
      <c r="Z239" s="60" t="n"/>
      <c r="AA239" s="60" t="n"/>
      <c r="AB239" s="60" t="n"/>
      <c r="AC239" s="60" t="n"/>
      <c r="AD239" s="60" t="n"/>
      <c r="AE239" s="60" t="n"/>
      <c r="AF239" s="60" t="n"/>
      <c r="AG239" s="60" t="n"/>
      <c r="AH239" s="60" t="n"/>
      <c r="AI239" s="60" t="n"/>
      <c r="AJ239" s="60" t="n"/>
      <c r="AK239" s="60" t="n"/>
      <c r="AL239" s="60" t="n"/>
      <c r="AM239" s="60" t="n"/>
      <c r="AN239" s="60" t="n"/>
      <c r="AO239" s="60" t="n"/>
      <c r="AP239" s="60" t="n"/>
      <c r="AQ239" s="60" t="n"/>
      <c r="AR239" s="60" t="n"/>
      <c r="AS239" s="60" t="n"/>
      <c r="AT239" s="60" t="n"/>
      <c r="AU239" s="60" t="n"/>
      <c r="AV239" s="60" t="n"/>
      <c r="AW239" s="60" t="n"/>
      <c r="AX239" s="60" t="n"/>
      <c r="AY239" s="60" t="n"/>
      <c r="AZ239" s="60" t="n"/>
      <c r="BA239" s="60" t="n"/>
      <c r="BB239" s="60" t="n"/>
      <c r="BC239" s="60" t="n"/>
      <c r="BD239" s="60" t="n"/>
      <c r="BE239" s="60" t="n"/>
      <c r="BF239" s="60" t="n"/>
      <c r="BG239" s="60" t="n"/>
      <c r="BH239" s="60" t="n"/>
      <c r="BI239" s="60" t="n"/>
      <c r="BJ239" s="60" t="n"/>
      <c r="BK239" s="60" t="n"/>
      <c r="BL239" s="60" t="n"/>
      <c r="BM239" s="60" t="n"/>
      <c r="BN239" s="60" t="n"/>
      <c r="BO239" s="60" t="n"/>
      <c r="BP239" s="60" t="n"/>
      <c r="BQ239" s="60" t="n"/>
      <c r="BR239" s="60" t="n"/>
      <c r="BS239" s="60" t="n"/>
      <c r="BT239" s="60" t="n"/>
      <c r="BU239" s="60" t="n"/>
      <c r="BV239" s="60" t="n"/>
      <c r="BW239" s="60" t="n"/>
      <c r="BX239" s="60" t="n"/>
      <c r="BY239" s="60" t="n"/>
      <c r="BZ239" s="60" t="n"/>
      <c r="CA239" s="60" t="n"/>
      <c r="CB239" s="60" t="n"/>
      <c r="CC239" s="60" t="n"/>
      <c r="CD239" s="60" t="n"/>
      <c r="CE239" s="60" t="n"/>
      <c r="CF239" s="60" t="n"/>
      <c r="CG239" s="60" t="n"/>
      <c r="CH239" s="60" t="n"/>
      <c r="CI239" s="60" t="n"/>
      <c r="CJ239" s="60" t="n"/>
      <c r="CK239" s="60" t="n"/>
      <c r="CL239" s="60" t="n"/>
      <c r="CM239" s="60" t="n"/>
      <c r="CN239" s="60" t="n"/>
      <c r="CO239" s="60" t="n"/>
      <c r="CP239" s="60" t="n"/>
      <c r="CQ239" s="60" t="n"/>
      <c r="CR239" s="60" t="n"/>
      <c r="CS239" s="60" t="n"/>
      <c r="CT239" s="60" t="n"/>
      <c r="CU239" s="60" t="n"/>
      <c r="CV239" s="60" t="n"/>
      <c r="CW239" s="60" t="n"/>
      <c r="CX239" s="60" t="n"/>
      <c r="CY239" s="60" t="n"/>
      <c r="CZ239" s="60" t="n"/>
      <c r="DA239" s="60" t="n"/>
      <c r="DB239" s="60" t="n"/>
      <c r="DC239" s="60" t="n"/>
      <c r="DD239" s="60" t="n"/>
      <c r="DE239" s="60" t="n"/>
    </row>
    <row r="240">
      <c r="A240" s="60" t="inlineStr">
        <is>
          <t>Incluido en un conjunto comprado</t>
        </is>
      </c>
      <c r="B240" s="60" t="inlineStr">
        <is>
          <t>Manija de transporte — 89,2 × 20 × 13,3</t>
        </is>
      </c>
      <c r="C240" s="60" t="inlineStr">
        <is>
          <t>u</t>
        </is>
      </c>
      <c r="D240" s="60" t="inlineStr">
        <is>
          <t>No</t>
        </is>
      </c>
      <c r="E240" s="60" t="n"/>
      <c r="F240" s="60" t="inlineStr">
        <is>
          <t>19 Ensamblaje de válvula (T03/T04)</t>
        </is>
      </c>
      <c r="G240" s="60" t="n"/>
      <c r="H240" s="60" t="n"/>
      <c r="I240" s="60" t="n"/>
      <c r="J240" s="60" t="n">
        <v>1</v>
      </c>
      <c r="K240" s="60" t="n"/>
      <c r="L240" s="60" t="n"/>
      <c r="M240" s="60" t="n"/>
      <c r="N240" s="60" t="n"/>
      <c r="O240" s="60" t="n"/>
      <c r="P240" s="60" t="n"/>
      <c r="Q240" s="60" t="n"/>
      <c r="R240" s="60" t="n"/>
      <c r="S240" s="60" t="n"/>
      <c r="T240" s="60" t="n"/>
      <c r="U240" s="60" t="n"/>
      <c r="V240" s="60" t="n"/>
      <c r="W240" s="60" t="n"/>
      <c r="X240" s="60" t="n"/>
      <c r="Y240" s="60" t="n"/>
      <c r="Z240" s="60" t="n"/>
      <c r="AA240" s="60" t="n"/>
      <c r="AB240" s="60" t="n"/>
      <c r="AC240" s="60" t="n"/>
      <c r="AD240" s="60" t="n"/>
      <c r="AE240" s="60" t="n"/>
      <c r="AF240" s="60" t="n"/>
      <c r="AG240" s="60" t="n"/>
      <c r="AH240" s="60" t="n"/>
      <c r="AI240" s="60" t="n"/>
      <c r="AJ240" s="60" t="n"/>
      <c r="AK240" s="60" t="n"/>
      <c r="AL240" s="60" t="n"/>
      <c r="AM240" s="60" t="n"/>
      <c r="AN240" s="60" t="n"/>
      <c r="AO240" s="60" t="n"/>
      <c r="AP240" s="60" t="n"/>
      <c r="AQ240" s="60" t="n"/>
      <c r="AR240" s="60" t="n"/>
      <c r="AS240" s="60" t="n"/>
      <c r="AT240" s="60" t="n"/>
      <c r="AU240" s="60" t="n"/>
      <c r="AV240" s="60" t="n"/>
      <c r="AW240" s="60" t="n"/>
      <c r="AX240" s="60" t="n"/>
      <c r="AY240" s="60" t="n"/>
      <c r="AZ240" s="60" t="n"/>
      <c r="BA240" s="60" t="n"/>
      <c r="BB240" s="60" t="n"/>
      <c r="BC240" s="60" t="n"/>
      <c r="BD240" s="60" t="n"/>
      <c r="BE240" s="60" t="n"/>
      <c r="BF240" s="60" t="n"/>
      <c r="BG240" s="60" t="n"/>
      <c r="BH240" s="60" t="n"/>
      <c r="BI240" s="60" t="n"/>
      <c r="BJ240" s="60" t="n"/>
      <c r="BK240" s="60" t="n"/>
      <c r="BL240" s="60" t="n"/>
      <c r="BM240" s="60" t="n"/>
      <c r="BN240" s="60" t="n"/>
      <c r="BO240" s="60" t="n"/>
      <c r="BP240" s="60" t="n"/>
      <c r="BQ240" s="60" t="n"/>
      <c r="BR240" s="60" t="n"/>
      <c r="BS240" s="60" t="n"/>
      <c r="BT240" s="60" t="n"/>
      <c r="BU240" s="60" t="n"/>
      <c r="BV240" s="60" t="n"/>
      <c r="BW240" s="60" t="n"/>
      <c r="BX240" s="60" t="n"/>
      <c r="BY240" s="60" t="n"/>
      <c r="BZ240" s="60" t="n"/>
      <c r="CA240" s="60" t="n"/>
      <c r="CB240" s="60" t="n"/>
      <c r="CC240" s="60" t="n"/>
      <c r="CD240" s="60" t="n"/>
      <c r="CE240" s="60" t="n"/>
      <c r="CF240" s="60" t="n"/>
      <c r="CG240" s="60" t="n"/>
      <c r="CH240" s="60" t="n"/>
      <c r="CI240" s="60" t="n"/>
      <c r="CJ240" s="60" t="n"/>
      <c r="CK240" s="60" t="n"/>
      <c r="CL240" s="60" t="n"/>
      <c r="CM240" s="60" t="n"/>
      <c r="CN240" s="60" t="n"/>
      <c r="CO240" s="60" t="n"/>
      <c r="CP240" s="60" t="n"/>
      <c r="CQ240" s="60" t="n"/>
      <c r="CR240" s="60" t="n"/>
      <c r="CS240" s="60" t="n"/>
      <c r="CT240" s="60" t="n"/>
      <c r="CU240" s="60" t="n"/>
      <c r="CV240" s="60" t="n"/>
      <c r="CW240" s="60" t="n"/>
      <c r="CX240" s="60" t="n"/>
      <c r="CY240" s="60" t="n"/>
      <c r="CZ240" s="60" t="n"/>
      <c r="DA240" s="60" t="n"/>
      <c r="DB240" s="60" t="n"/>
      <c r="DC240" s="60" t="n"/>
      <c r="DD240" s="60" t="n"/>
      <c r="DE240" s="60" t="n"/>
    </row>
    <row r="241">
      <c r="A241" s="60" t="inlineStr">
        <is>
          <t>Incluido en un conjunto comprado</t>
        </is>
      </c>
      <c r="B241" s="60" t="inlineStr">
        <is>
          <t>Manija de transporte — 98,4 × 20 × 14,3</t>
        </is>
      </c>
      <c r="C241" s="60" t="inlineStr">
        <is>
          <t>u</t>
        </is>
      </c>
      <c r="D241" s="60" t="inlineStr">
        <is>
          <t>No</t>
        </is>
      </c>
      <c r="E241" s="60" t="n"/>
      <c r="F241" s="60" t="inlineStr">
        <is>
          <t>19 Ensamblaje de válvula (T03/T04)</t>
        </is>
      </c>
      <c r="G241" s="60" t="n"/>
      <c r="H241" s="60" t="n"/>
      <c r="I241" s="60" t="n">
        <v>1</v>
      </c>
      <c r="J241" s="60" t="n"/>
      <c r="K241" s="60" t="n"/>
      <c r="L241" s="60" t="n"/>
      <c r="M241" s="60" t="n"/>
      <c r="N241" s="60" t="n">
        <v>1</v>
      </c>
      <c r="O241" s="60" t="n"/>
      <c r="P241" s="60" t="n"/>
      <c r="Q241" s="60" t="n"/>
      <c r="R241" s="60" t="n">
        <v>1</v>
      </c>
      <c r="S241" s="60" t="n"/>
      <c r="T241" s="60" t="n"/>
      <c r="U241" s="60" t="n"/>
      <c r="V241" s="60" t="n"/>
      <c r="W241" s="60" t="n"/>
      <c r="X241" s="60" t="n"/>
      <c r="Y241" s="60" t="n"/>
      <c r="Z241" s="60" t="n"/>
      <c r="AA241" s="60" t="n"/>
      <c r="AB241" s="60" t="n"/>
      <c r="AC241" s="60" t="n"/>
      <c r="AD241" s="60" t="n"/>
      <c r="AE241" s="60" t="n"/>
      <c r="AF241" s="60" t="n"/>
      <c r="AG241" s="60" t="n"/>
      <c r="AH241" s="60" t="n"/>
      <c r="AI241" s="60" t="n"/>
      <c r="AJ241" s="60" t="n"/>
      <c r="AK241" s="60" t="n"/>
      <c r="AL241" s="60" t="n"/>
      <c r="AM241" s="60" t="n"/>
      <c r="AN241" s="60" t="n"/>
      <c r="AO241" s="60" t="n"/>
      <c r="AP241" s="60" t="n"/>
      <c r="AQ241" s="60" t="n"/>
      <c r="AR241" s="60" t="n"/>
      <c r="AS241" s="60" t="n"/>
      <c r="AT241" s="60" t="n"/>
      <c r="AU241" s="60" t="n"/>
      <c r="AV241" s="60" t="n"/>
      <c r="AW241" s="60" t="n"/>
      <c r="AX241" s="60" t="n"/>
      <c r="AY241" s="60" t="n"/>
      <c r="AZ241" s="60" t="n"/>
      <c r="BA241" s="60" t="n"/>
      <c r="BB241" s="60" t="n"/>
      <c r="BC241" s="60" t="n"/>
      <c r="BD241" s="60" t="n"/>
      <c r="BE241" s="60" t="n"/>
      <c r="BF241" s="60" t="n"/>
      <c r="BG241" s="60" t="n"/>
      <c r="BH241" s="60" t="n"/>
      <c r="BI241" s="60" t="n"/>
      <c r="BJ241" s="60" t="n"/>
      <c r="BK241" s="60" t="n"/>
      <c r="BL241" s="60" t="n"/>
      <c r="BM241" s="60" t="n"/>
      <c r="BN241" s="60" t="n"/>
      <c r="BO241" s="60" t="n"/>
      <c r="BP241" s="60" t="n"/>
      <c r="BQ241" s="60" t="n"/>
      <c r="BR241" s="60" t="n"/>
      <c r="BS241" s="60" t="n"/>
      <c r="BT241" s="60" t="n"/>
      <c r="BU241" s="60" t="n"/>
      <c r="BV241" s="60" t="n"/>
      <c r="BW241" s="60" t="n"/>
      <c r="BX241" s="60" t="n"/>
      <c r="BY241" s="60" t="n"/>
      <c r="BZ241" s="60" t="n"/>
      <c r="CA241" s="60" t="n"/>
      <c r="CB241" s="60" t="n"/>
      <c r="CC241" s="60" t="n"/>
      <c r="CD241" s="60" t="n"/>
      <c r="CE241" s="60" t="n"/>
      <c r="CF241" s="60" t="n"/>
      <c r="CG241" s="60" t="n"/>
      <c r="CH241" s="60" t="n"/>
      <c r="CI241" s="60" t="n"/>
      <c r="CJ241" s="60" t="n"/>
      <c r="CK241" s="60" t="n"/>
      <c r="CL241" s="60" t="n"/>
      <c r="CM241" s="60" t="n"/>
      <c r="CN241" s="60" t="n"/>
      <c r="CO241" s="60" t="n"/>
      <c r="CP241" s="60" t="n"/>
      <c r="CQ241" s="60" t="n"/>
      <c r="CR241" s="60" t="n"/>
      <c r="CS241" s="60" t="n"/>
      <c r="CT241" s="60" t="n"/>
      <c r="CU241" s="60" t="n"/>
      <c r="CV241" s="60" t="n"/>
      <c r="CW241" s="60" t="n"/>
      <c r="CX241" s="60" t="n"/>
      <c r="CY241" s="60" t="n"/>
      <c r="CZ241" s="60" t="n"/>
      <c r="DA241" s="60" t="n"/>
      <c r="DB241" s="60" t="n"/>
      <c r="DC241" s="60" t="n"/>
      <c r="DD241" s="60" t="n"/>
      <c r="DE241" s="60" t="n"/>
    </row>
    <row r="242">
      <c r="A242" s="60" t="inlineStr">
        <is>
          <t>Incluido en un conjunto comprado</t>
        </is>
      </c>
      <c r="B242" s="60" t="inlineStr">
        <is>
          <t>Manija de transporte — 98,8 × 27 × 15,7</t>
        </is>
      </c>
      <c r="C242" s="60" t="inlineStr">
        <is>
          <t>u</t>
        </is>
      </c>
      <c r="D242" s="60" t="inlineStr">
        <is>
          <t>No</t>
        </is>
      </c>
      <c r="E242" s="60" t="n"/>
      <c r="F242" s="60" t="inlineStr">
        <is>
          <t>C9 armado</t>
        </is>
      </c>
      <c r="G242" s="60" t="n"/>
      <c r="H242" s="60" t="n"/>
      <c r="I242" s="60" t="n"/>
      <c r="J242" s="60" t="n"/>
      <c r="K242" s="60" t="n"/>
      <c r="L242" s="60" t="n"/>
      <c r="M242" s="60" t="n"/>
      <c r="N242" s="60" t="n"/>
      <c r="O242" s="60" t="n"/>
      <c r="P242" s="60" t="n"/>
      <c r="Q242" s="60" t="n"/>
      <c r="R242" s="60" t="n"/>
      <c r="S242" s="60" t="n"/>
      <c r="T242" s="60" t="n"/>
      <c r="U242" s="60" t="n"/>
      <c r="V242" s="60" t="n">
        <v>1</v>
      </c>
      <c r="W242" s="60" t="n"/>
      <c r="X242" s="60" t="n"/>
      <c r="Y242" s="60" t="n"/>
      <c r="Z242" s="60" t="n"/>
      <c r="AA242" s="60" t="n"/>
      <c r="AB242" s="60" t="n"/>
      <c r="AC242" s="60" t="n"/>
      <c r="AD242" s="60" t="n"/>
      <c r="AE242" s="60" t="n"/>
      <c r="AF242" s="60" t="n"/>
      <c r="AG242" s="60" t="n"/>
      <c r="AH242" s="60" t="n"/>
      <c r="AI242" s="60" t="n"/>
      <c r="AJ242" s="60" t="n"/>
      <c r="AK242" s="60" t="n"/>
      <c r="AL242" s="60" t="n"/>
      <c r="AM242" s="60" t="n"/>
      <c r="AN242" s="60" t="n"/>
      <c r="AO242" s="60" t="n"/>
      <c r="AP242" s="60" t="n"/>
      <c r="AQ242" s="60" t="n"/>
      <c r="AR242" s="60" t="n"/>
      <c r="AS242" s="60" t="n"/>
      <c r="AT242" s="60" t="n"/>
      <c r="AU242" s="60" t="n"/>
      <c r="AV242" s="60" t="n"/>
      <c r="AW242" s="60" t="n"/>
      <c r="AX242" s="60" t="n"/>
      <c r="AY242" s="60" t="n"/>
      <c r="AZ242" s="60" t="n"/>
      <c r="BA242" s="60" t="n"/>
      <c r="BB242" s="60" t="n"/>
      <c r="BC242" s="60" t="n"/>
      <c r="BD242" s="60" t="n"/>
      <c r="BE242" s="60" t="n"/>
      <c r="BF242" s="60" t="n"/>
      <c r="BG242" s="60" t="n"/>
      <c r="BH242" s="60" t="n"/>
      <c r="BI242" s="60" t="n"/>
      <c r="BJ242" s="60" t="n"/>
      <c r="BK242" s="60" t="n"/>
      <c r="BL242" s="60" t="n"/>
      <c r="BM242" s="60" t="n"/>
      <c r="BN242" s="60" t="n"/>
      <c r="BO242" s="60" t="n"/>
      <c r="BP242" s="60" t="n"/>
      <c r="BQ242" s="60" t="n"/>
      <c r="BR242" s="60" t="n"/>
      <c r="BS242" s="60" t="n"/>
      <c r="BT242" s="60" t="n"/>
      <c r="BU242" s="60" t="n"/>
      <c r="BV242" s="60" t="n"/>
      <c r="BW242" s="60" t="n"/>
      <c r="BX242" s="60" t="n"/>
      <c r="BY242" s="60" t="n"/>
      <c r="BZ242" s="60" t="n"/>
      <c r="CA242" s="60" t="n"/>
      <c r="CB242" s="60" t="n"/>
      <c r="CC242" s="60" t="n"/>
      <c r="CD242" s="60" t="n"/>
      <c r="CE242" s="60" t="n"/>
      <c r="CF242" s="60" t="n"/>
      <c r="CG242" s="60" t="n"/>
      <c r="CH242" s="60" t="n"/>
      <c r="CI242" s="60" t="n"/>
      <c r="CJ242" s="60" t="n"/>
      <c r="CK242" s="60" t="n"/>
      <c r="CL242" s="60" t="n"/>
      <c r="CM242" s="60" t="n"/>
      <c r="CN242" s="60" t="n"/>
      <c r="CO242" s="60" t="n"/>
      <c r="CP242" s="60" t="n"/>
      <c r="CQ242" s="60" t="n"/>
      <c r="CR242" s="60" t="n"/>
      <c r="CS242" s="60" t="n"/>
      <c r="CT242" s="60" t="n"/>
      <c r="CU242" s="60" t="n"/>
      <c r="CV242" s="60" t="n"/>
      <c r="CW242" s="60" t="n"/>
      <c r="CX242" s="60" t="n"/>
      <c r="CY242" s="60" t="n"/>
      <c r="CZ242" s="60" t="n"/>
      <c r="DA242" s="60" t="n"/>
      <c r="DB242" s="60" t="n"/>
      <c r="DC242" s="60" t="n"/>
      <c r="DD242" s="60" t="n"/>
      <c r="DE242" s="60" t="n"/>
    </row>
    <row r="243">
      <c r="A243" s="60" t="inlineStr">
        <is>
          <t>Incluido en un conjunto comprado</t>
        </is>
      </c>
      <c r="B243" s="60" t="inlineStr">
        <is>
          <t>Pasador de seguridad — 36,3 × 16,8 × 16,6</t>
        </is>
      </c>
      <c r="C243" s="60" t="inlineStr">
        <is>
          <t>u</t>
        </is>
      </c>
      <c r="D243" s="60" t="inlineStr">
        <is>
          <t>No</t>
        </is>
      </c>
      <c r="E243" s="60" t="n"/>
      <c r="F243" s="60" t="inlineStr">
        <is>
          <t>19 Ensamblaje de válvula (T03/T04)</t>
        </is>
      </c>
      <c r="G243" s="60" t="n">
        <v>1</v>
      </c>
      <c r="H243" s="60" t="n"/>
      <c r="I243" s="60" t="n"/>
      <c r="J243" s="60" t="n"/>
      <c r="K243" s="60" t="n"/>
      <c r="L243" s="60" t="n"/>
      <c r="M243" s="60" t="n"/>
      <c r="N243" s="60" t="n"/>
      <c r="O243" s="60" t="n"/>
      <c r="P243" s="60" t="n"/>
      <c r="Q243" s="60" t="n"/>
      <c r="R243" s="60" t="n"/>
      <c r="S243" s="60" t="n"/>
      <c r="T243" s="60" t="n"/>
      <c r="U243" s="60" t="n"/>
      <c r="V243" s="60" t="n"/>
      <c r="W243" s="60" t="n"/>
      <c r="X243" s="60" t="n"/>
      <c r="Y243" s="60" t="n"/>
      <c r="Z243" s="60" t="n"/>
      <c r="AA243" s="60" t="n"/>
      <c r="AB243" s="60" t="n"/>
      <c r="AC243" s="60" t="n"/>
      <c r="AD243" s="60" t="n"/>
      <c r="AE243" s="60" t="n"/>
      <c r="AF243" s="60" t="n"/>
      <c r="AG243" s="60" t="n"/>
      <c r="AH243" s="60" t="n"/>
      <c r="AI243" s="60" t="n"/>
      <c r="AJ243" s="60" t="n"/>
      <c r="AK243" s="60" t="n"/>
      <c r="AL243" s="60" t="n"/>
      <c r="AM243" s="60" t="n"/>
      <c r="AN243" s="60" t="n"/>
      <c r="AO243" s="60" t="n"/>
      <c r="AP243" s="60" t="n"/>
      <c r="AQ243" s="60" t="n"/>
      <c r="AR243" s="60" t="n"/>
      <c r="AS243" s="60" t="n"/>
      <c r="AT243" s="60" t="n"/>
      <c r="AU243" s="60" t="n"/>
      <c r="AV243" s="60" t="n"/>
      <c r="AW243" s="60" t="n"/>
      <c r="AX243" s="60" t="n"/>
      <c r="AY243" s="60" t="n"/>
      <c r="AZ243" s="60" t="n"/>
      <c r="BA243" s="60" t="n"/>
      <c r="BB243" s="60" t="n"/>
      <c r="BC243" s="60" t="n"/>
      <c r="BD243" s="60" t="n"/>
      <c r="BE243" s="60" t="n"/>
      <c r="BF243" s="60" t="n"/>
      <c r="BG243" s="60" t="n"/>
      <c r="BH243" s="60" t="n"/>
      <c r="BI243" s="60" t="n"/>
      <c r="BJ243" s="60" t="n"/>
      <c r="BK243" s="60" t="n"/>
      <c r="BL243" s="60" t="n"/>
      <c r="BM243" s="60" t="n"/>
      <c r="BN243" s="60" t="n"/>
      <c r="BO243" s="60" t="n"/>
      <c r="BP243" s="60" t="n"/>
      <c r="BQ243" s="60" t="n"/>
      <c r="BR243" s="60" t="n"/>
      <c r="BS243" s="60" t="n"/>
      <c r="BT243" s="60" t="n"/>
      <c r="BU243" s="60" t="n"/>
      <c r="BV243" s="60" t="n"/>
      <c r="BW243" s="60" t="n"/>
      <c r="BX243" s="60" t="n"/>
      <c r="BY243" s="60" t="n"/>
      <c r="BZ243" s="60" t="n"/>
      <c r="CA243" s="60" t="n"/>
      <c r="CB243" s="60" t="n"/>
      <c r="CC243" s="60" t="n"/>
      <c r="CD243" s="60" t="n"/>
      <c r="CE243" s="60" t="n"/>
      <c r="CF243" s="60" t="n"/>
      <c r="CG243" s="60" t="n"/>
      <c r="CH243" s="60" t="n"/>
      <c r="CI243" s="60" t="n"/>
      <c r="CJ243" s="60" t="n"/>
      <c r="CK243" s="60" t="n"/>
      <c r="CL243" s="60" t="n"/>
      <c r="CM243" s="60" t="n"/>
      <c r="CN243" s="60" t="n"/>
      <c r="CO243" s="60" t="n"/>
      <c r="CP243" s="60" t="n"/>
      <c r="CQ243" s="60" t="n"/>
      <c r="CR243" s="60" t="n"/>
      <c r="CS243" s="60" t="n"/>
      <c r="CT243" s="60" t="n"/>
      <c r="CU243" s="60" t="n"/>
      <c r="CV243" s="60" t="n"/>
      <c r="CW243" s="60" t="n"/>
      <c r="CX243" s="60" t="n"/>
      <c r="CY243" s="60" t="n"/>
      <c r="CZ243" s="60" t="n"/>
      <c r="DA243" s="60" t="n"/>
      <c r="DB243" s="60" t="n"/>
      <c r="DC243" s="60" t="n"/>
      <c r="DD243" s="60" t="n"/>
      <c r="DE243" s="60" t="n"/>
    </row>
    <row r="244">
      <c r="A244" s="60" t="inlineStr">
        <is>
          <t>Incluido en un conjunto comprado</t>
        </is>
      </c>
      <c r="B244" s="60" t="inlineStr">
        <is>
          <t>Pasador de seguridad — 45,4 × 21 × 20,8</t>
        </is>
      </c>
      <c r="C244" s="60" t="inlineStr">
        <is>
          <t>u</t>
        </is>
      </c>
      <c r="D244" s="60" t="inlineStr">
        <is>
          <t>No</t>
        </is>
      </c>
      <c r="E244" s="60" t="n"/>
      <c r="F244" s="60" t="inlineStr">
        <is>
          <t>19 Ensamblaje de válvula (T03/T04)</t>
        </is>
      </c>
      <c r="G244" s="60" t="n"/>
      <c r="H244" s="60" t="n">
        <v>1</v>
      </c>
      <c r="I244" s="60" t="n">
        <v>1</v>
      </c>
      <c r="J244" s="60" t="n">
        <v>1</v>
      </c>
      <c r="K244" s="60" t="n">
        <v>1</v>
      </c>
      <c r="L244" s="60" t="n">
        <v>1</v>
      </c>
      <c r="M244" s="60" t="n"/>
      <c r="N244" s="60" t="n">
        <v>1</v>
      </c>
      <c r="O244" s="60" t="n">
        <v>1</v>
      </c>
      <c r="P244" s="60" t="n">
        <v>1</v>
      </c>
      <c r="Q244" s="60" t="n">
        <v>1</v>
      </c>
      <c r="R244" s="60" t="n">
        <v>1</v>
      </c>
      <c r="S244" s="60" t="n">
        <v>1</v>
      </c>
      <c r="T244" s="60" t="n"/>
      <c r="U244" s="60" t="n"/>
      <c r="V244" s="60" t="n"/>
      <c r="W244" s="60" t="n"/>
      <c r="X244" s="60" t="n"/>
      <c r="Y244" s="60" t="n"/>
      <c r="Z244" s="60" t="n"/>
      <c r="AA244" s="60" t="n"/>
      <c r="AB244" s="60" t="n"/>
      <c r="AC244" s="60" t="n"/>
      <c r="AD244" s="60" t="n"/>
      <c r="AE244" s="60" t="n"/>
      <c r="AF244" s="60" t="n"/>
      <c r="AG244" s="60" t="n"/>
      <c r="AH244" s="60" t="n"/>
      <c r="AI244" s="60" t="n"/>
      <c r="AJ244" s="60" t="n"/>
      <c r="AK244" s="60" t="n"/>
      <c r="AL244" s="60" t="n"/>
      <c r="AM244" s="60" t="n"/>
      <c r="AN244" s="60" t="n"/>
      <c r="AO244" s="60" t="n"/>
      <c r="AP244" s="60" t="n"/>
      <c r="AQ244" s="60" t="n"/>
      <c r="AR244" s="60" t="n"/>
      <c r="AS244" s="60" t="n"/>
      <c r="AT244" s="60" t="n"/>
      <c r="AU244" s="60" t="n"/>
      <c r="AV244" s="60" t="n"/>
      <c r="AW244" s="60" t="n"/>
      <c r="AX244" s="60" t="n"/>
      <c r="AY244" s="60" t="n"/>
      <c r="AZ244" s="60" t="n"/>
      <c r="BA244" s="60" t="n"/>
      <c r="BB244" s="60" t="n"/>
      <c r="BC244" s="60" t="n"/>
      <c r="BD244" s="60" t="n"/>
      <c r="BE244" s="60" t="n"/>
      <c r="BF244" s="60" t="n"/>
      <c r="BG244" s="60" t="n"/>
      <c r="BH244" s="60" t="n"/>
      <c r="BI244" s="60" t="n"/>
      <c r="BJ244" s="60" t="n"/>
      <c r="BK244" s="60" t="n"/>
      <c r="BL244" s="60" t="n"/>
      <c r="BM244" s="60" t="n"/>
      <c r="BN244" s="60" t="n"/>
      <c r="BO244" s="60" t="n"/>
      <c r="BP244" s="60" t="n"/>
      <c r="BQ244" s="60" t="n"/>
      <c r="BR244" s="60" t="n"/>
      <c r="BS244" s="60" t="n"/>
      <c r="BT244" s="60" t="n"/>
      <c r="BU244" s="60" t="n"/>
      <c r="BV244" s="60" t="n"/>
      <c r="BW244" s="60" t="n"/>
      <c r="BX244" s="60" t="n"/>
      <c r="BY244" s="60" t="n"/>
      <c r="BZ244" s="60" t="n"/>
      <c r="CA244" s="60" t="n"/>
      <c r="CB244" s="60" t="n"/>
      <c r="CC244" s="60" t="n"/>
      <c r="CD244" s="60" t="n"/>
      <c r="CE244" s="60" t="n"/>
      <c r="CF244" s="60" t="n"/>
      <c r="CG244" s="60" t="n"/>
      <c r="CH244" s="60" t="n"/>
      <c r="CI244" s="60" t="n"/>
      <c r="CJ244" s="60" t="n"/>
      <c r="CK244" s="60" t="n"/>
      <c r="CL244" s="60" t="n"/>
      <c r="CM244" s="60" t="n"/>
      <c r="CN244" s="60" t="n"/>
      <c r="CO244" s="60" t="n"/>
      <c r="CP244" s="60" t="n"/>
      <c r="CQ244" s="60" t="n"/>
      <c r="CR244" s="60" t="n"/>
      <c r="CS244" s="60" t="n"/>
      <c r="CT244" s="60" t="n"/>
      <c r="CU244" s="60" t="n"/>
      <c r="CV244" s="60" t="n"/>
      <c r="CW244" s="60" t="n"/>
      <c r="CX244" s="60" t="n"/>
      <c r="CY244" s="60" t="n"/>
      <c r="CZ244" s="60" t="n"/>
      <c r="DA244" s="60" t="n"/>
      <c r="DB244" s="60" t="n"/>
      <c r="DC244" s="60" t="n"/>
      <c r="DD244" s="60" t="n"/>
      <c r="DE244" s="60" t="n"/>
    </row>
    <row r="245">
      <c r="A245" s="60" t="inlineStr">
        <is>
          <t>Incluido en un conjunto comprado</t>
        </is>
      </c>
      <c r="B245" s="60" t="inlineStr">
        <is>
          <t>Resorte de retorno del vástago</t>
        </is>
      </c>
      <c r="C245" s="60" t="inlineStr">
        <is>
          <t>u</t>
        </is>
      </c>
      <c r="D245" s="60" t="inlineStr">
        <is>
          <t>No</t>
        </is>
      </c>
      <c r="E245" s="60" t="n"/>
      <c r="F245" s="60" t="inlineStr">
        <is>
          <t>19 Ensamblaje</t>
        </is>
      </c>
      <c r="G245" s="60" t="n">
        <v>1</v>
      </c>
      <c r="H245" s="60" t="n">
        <v>1</v>
      </c>
      <c r="I245" s="60" t="n">
        <v>1</v>
      </c>
      <c r="J245" s="60" t="n">
        <v>1</v>
      </c>
      <c r="K245" s="60" t="n">
        <v>1</v>
      </c>
      <c r="L245" s="60" t="n">
        <v>1</v>
      </c>
      <c r="M245" s="60" t="n">
        <v>1</v>
      </c>
      <c r="N245" s="60" t="n">
        <v>1</v>
      </c>
      <c r="O245" s="60" t="n">
        <v>1</v>
      </c>
      <c r="P245" s="60" t="n"/>
      <c r="Q245" s="60" t="n"/>
      <c r="R245" s="60" t="n">
        <v>1</v>
      </c>
      <c r="S245" s="60" t="n">
        <v>1</v>
      </c>
      <c r="T245" s="60" t="n">
        <v>1</v>
      </c>
      <c r="U245" s="60" t="n">
        <v>1</v>
      </c>
      <c r="V245" s="60" t="n">
        <v>1</v>
      </c>
      <c r="W245" s="60" t="n">
        <v>1</v>
      </c>
      <c r="X245" s="60" t="n"/>
      <c r="Y245" s="60" t="n"/>
      <c r="Z245" s="60" t="n"/>
      <c r="AA245" s="60" t="n"/>
      <c r="AB245" s="60" t="n"/>
      <c r="AC245" s="60" t="n"/>
      <c r="AD245" s="60" t="n"/>
      <c r="AE245" s="60" t="n"/>
      <c r="AF245" s="60" t="n"/>
      <c r="AG245" s="60" t="n"/>
      <c r="AH245" s="60" t="n"/>
      <c r="AI245" s="60" t="n"/>
      <c r="AJ245" s="60" t="n"/>
      <c r="AK245" s="60" t="n"/>
      <c r="AL245" s="60" t="n"/>
      <c r="AM245" s="60" t="n"/>
      <c r="AN245" s="60" t="n"/>
      <c r="AO245" s="60" t="n"/>
      <c r="AP245" s="60" t="n"/>
      <c r="AQ245" s="60" t="n"/>
      <c r="AR245" s="60" t="n"/>
      <c r="AS245" s="60" t="n"/>
      <c r="AT245" s="60" t="n"/>
      <c r="AU245" s="60" t="n"/>
      <c r="AV245" s="60" t="n"/>
      <c r="AW245" s="60" t="n"/>
      <c r="AX245" s="60" t="n"/>
      <c r="AY245" s="60" t="n"/>
      <c r="AZ245" s="60" t="n"/>
      <c r="BA245" s="60" t="n"/>
      <c r="BB245" s="60" t="n"/>
      <c r="BC245" s="60" t="n"/>
      <c r="BD245" s="60" t="n"/>
      <c r="BE245" s="60" t="n"/>
      <c r="BF245" s="60" t="n"/>
      <c r="BG245" s="60" t="n"/>
      <c r="BH245" s="60" t="n"/>
      <c r="BI245" s="60" t="n"/>
      <c r="BJ245" s="60" t="n"/>
      <c r="BK245" s="60" t="n"/>
      <c r="BL245" s="60" t="n"/>
      <c r="BM245" s="60" t="n"/>
      <c r="BN245" s="60" t="n"/>
      <c r="BO245" s="60" t="n"/>
      <c r="BP245" s="60" t="n"/>
      <c r="BQ245" s="60" t="n"/>
      <c r="BR245" s="60" t="n"/>
      <c r="BS245" s="60" t="n"/>
      <c r="BT245" s="60" t="n"/>
      <c r="BU245" s="60" t="n"/>
      <c r="BV245" s="60" t="n"/>
      <c r="BW245" s="60" t="n"/>
      <c r="BX245" s="60" t="n"/>
      <c r="BY245" s="60" t="n"/>
      <c r="BZ245" s="60" t="n"/>
      <c r="CA245" s="60" t="n"/>
      <c r="CB245" s="60" t="n"/>
      <c r="CC245" s="60" t="n"/>
      <c r="CD245" s="60" t="n"/>
      <c r="CE245" s="60" t="n"/>
      <c r="CF245" s="60" t="n"/>
      <c r="CG245" s="60" t="n"/>
      <c r="CH245" s="60" t="n"/>
      <c r="CI245" s="60" t="n"/>
      <c r="CJ245" s="60" t="n"/>
      <c r="CK245" s="60" t="n"/>
      <c r="CL245" s="60" t="n"/>
      <c r="CM245" s="60" t="n"/>
      <c r="CN245" s="60" t="n"/>
      <c r="CO245" s="60" t="n"/>
      <c r="CP245" s="60" t="n"/>
      <c r="CQ245" s="60" t="n"/>
      <c r="CR245" s="60" t="n"/>
      <c r="CS245" s="60" t="n"/>
      <c r="CT245" s="60" t="n"/>
      <c r="CU245" s="60" t="n"/>
      <c r="CV245" s="60" t="n"/>
      <c r="CW245" s="60" t="n"/>
      <c r="CX245" s="60" t="n"/>
      <c r="CY245" s="60" t="n"/>
      <c r="CZ245" s="60" t="n"/>
      <c r="DA245" s="60" t="n"/>
      <c r="DB245" s="60" t="n"/>
      <c r="DC245" s="60" t="n"/>
      <c r="DD245" s="60" t="n"/>
      <c r="DE245" s="60" t="n"/>
    </row>
    <row r="246">
      <c r="A246" s="60" t="inlineStr">
        <is>
          <t>Incluido en un conjunto comprado</t>
        </is>
      </c>
      <c r="B246" s="60" t="inlineStr">
        <is>
          <t>Vástago — 6,4 × 6,4 × 3,4</t>
        </is>
      </c>
      <c r="C246" s="60" t="inlineStr">
        <is>
          <t>u</t>
        </is>
      </c>
      <c r="D246" s="60" t="inlineStr">
        <is>
          <t>No</t>
        </is>
      </c>
      <c r="E246" s="60" t="n"/>
      <c r="F246" s="60" t="inlineStr">
        <is>
          <t>19 Ensamblaje de válvula (T03/T04)</t>
        </is>
      </c>
      <c r="G246" s="60" t="n">
        <v>1</v>
      </c>
      <c r="H246" s="60" t="n"/>
      <c r="I246" s="60" t="n"/>
      <c r="J246" s="60" t="n"/>
      <c r="K246" s="60" t="n"/>
      <c r="L246" s="60" t="n"/>
      <c r="M246" s="60" t="n"/>
      <c r="N246" s="60" t="n"/>
      <c r="O246" s="60" t="n"/>
      <c r="P246" s="60" t="n"/>
      <c r="Q246" s="60" t="n"/>
      <c r="R246" s="60" t="n"/>
      <c r="S246" s="60" t="n"/>
      <c r="T246" s="60" t="n"/>
      <c r="U246" s="60" t="n"/>
      <c r="V246" s="60" t="n"/>
      <c r="W246" s="60" t="n"/>
      <c r="X246" s="60" t="n"/>
      <c r="Y246" s="60" t="n"/>
      <c r="Z246" s="60" t="n"/>
      <c r="AA246" s="60" t="n"/>
      <c r="AB246" s="60" t="n"/>
      <c r="AC246" s="60" t="n"/>
      <c r="AD246" s="60" t="n"/>
      <c r="AE246" s="60" t="n"/>
      <c r="AF246" s="60" t="n"/>
      <c r="AG246" s="60" t="n"/>
      <c r="AH246" s="60" t="n"/>
      <c r="AI246" s="60" t="n"/>
      <c r="AJ246" s="60" t="n"/>
      <c r="AK246" s="60" t="n"/>
      <c r="AL246" s="60" t="n"/>
      <c r="AM246" s="60" t="n"/>
      <c r="AN246" s="60" t="n"/>
      <c r="AO246" s="60" t="n"/>
      <c r="AP246" s="60" t="n"/>
      <c r="AQ246" s="60" t="n"/>
      <c r="AR246" s="60" t="n"/>
      <c r="AS246" s="60" t="n"/>
      <c r="AT246" s="60" t="n"/>
      <c r="AU246" s="60" t="n"/>
      <c r="AV246" s="60" t="n"/>
      <c r="AW246" s="60" t="n"/>
      <c r="AX246" s="60" t="n"/>
      <c r="AY246" s="60" t="n"/>
      <c r="AZ246" s="60" t="n"/>
      <c r="BA246" s="60" t="n"/>
      <c r="BB246" s="60" t="n"/>
      <c r="BC246" s="60" t="n"/>
      <c r="BD246" s="60" t="n"/>
      <c r="BE246" s="60" t="n"/>
      <c r="BF246" s="60" t="n"/>
      <c r="BG246" s="60" t="n"/>
      <c r="BH246" s="60" t="n"/>
      <c r="BI246" s="60" t="n"/>
      <c r="BJ246" s="60" t="n"/>
      <c r="BK246" s="60" t="n"/>
      <c r="BL246" s="60" t="n"/>
      <c r="BM246" s="60" t="n"/>
      <c r="BN246" s="60" t="n"/>
      <c r="BO246" s="60" t="n"/>
      <c r="BP246" s="60" t="n"/>
      <c r="BQ246" s="60" t="n"/>
      <c r="BR246" s="60" t="n"/>
      <c r="BS246" s="60" t="n"/>
      <c r="BT246" s="60" t="n"/>
      <c r="BU246" s="60" t="n"/>
      <c r="BV246" s="60" t="n"/>
      <c r="BW246" s="60" t="n"/>
      <c r="BX246" s="60" t="n"/>
      <c r="BY246" s="60" t="n"/>
      <c r="BZ246" s="60" t="n"/>
      <c r="CA246" s="60" t="n"/>
      <c r="CB246" s="60" t="n"/>
      <c r="CC246" s="60" t="n"/>
      <c r="CD246" s="60" t="n"/>
      <c r="CE246" s="60" t="n"/>
      <c r="CF246" s="60" t="n"/>
      <c r="CG246" s="60" t="n"/>
      <c r="CH246" s="60" t="n"/>
      <c r="CI246" s="60" t="n"/>
      <c r="CJ246" s="60" t="n"/>
      <c r="CK246" s="60" t="n"/>
      <c r="CL246" s="60" t="n"/>
      <c r="CM246" s="60" t="n"/>
      <c r="CN246" s="60" t="n"/>
      <c r="CO246" s="60" t="n"/>
      <c r="CP246" s="60" t="n"/>
      <c r="CQ246" s="60" t="n"/>
      <c r="CR246" s="60" t="n"/>
      <c r="CS246" s="60" t="n"/>
      <c r="CT246" s="60" t="n"/>
      <c r="CU246" s="60" t="n"/>
      <c r="CV246" s="60" t="n"/>
      <c r="CW246" s="60" t="n"/>
      <c r="CX246" s="60" t="n"/>
      <c r="CY246" s="60" t="n"/>
      <c r="CZ246" s="60" t="n"/>
      <c r="DA246" s="60" t="n"/>
      <c r="DB246" s="60" t="n"/>
      <c r="DC246" s="60" t="n"/>
      <c r="DD246" s="60" t="n"/>
      <c r="DE246" s="60" t="n"/>
    </row>
    <row r="247">
      <c r="A247" s="60" t="inlineStr">
        <is>
          <t>Incluido en un conjunto comprado</t>
        </is>
      </c>
      <c r="B247" s="60" t="inlineStr">
        <is>
          <t>Vástago — 8 × 8 × 4</t>
        </is>
      </c>
      <c r="C247" s="60" t="inlineStr">
        <is>
          <t>u</t>
        </is>
      </c>
      <c r="D247" s="60" t="inlineStr">
        <is>
          <t>No</t>
        </is>
      </c>
      <c r="E247" s="60" t="n"/>
      <c r="F247" s="60" t="inlineStr">
        <is>
          <t>19 Ensamblaje de válvula (T03/T04)</t>
        </is>
      </c>
      <c r="G247" s="60" t="n"/>
      <c r="H247" s="60" t="n">
        <v>1</v>
      </c>
      <c r="I247" s="60" t="n">
        <v>1</v>
      </c>
      <c r="J247" s="60" t="n">
        <v>1</v>
      </c>
      <c r="K247" s="60" t="n">
        <v>1</v>
      </c>
      <c r="L247" s="60" t="n">
        <v>1</v>
      </c>
      <c r="M247" s="60" t="n"/>
      <c r="N247" s="60" t="n">
        <v>1</v>
      </c>
      <c r="O247" s="60" t="n">
        <v>1</v>
      </c>
      <c r="P247" s="60" t="n">
        <v>1</v>
      </c>
      <c r="Q247" s="60" t="n">
        <v>1</v>
      </c>
      <c r="R247" s="60" t="n">
        <v>1</v>
      </c>
      <c r="S247" s="60" t="n">
        <v>1</v>
      </c>
      <c r="T247" s="60" t="n"/>
      <c r="U247" s="60" t="n"/>
      <c r="V247" s="60" t="n"/>
      <c r="W247" s="60" t="n"/>
      <c r="X247" s="60" t="n"/>
      <c r="Y247" s="60" t="n"/>
      <c r="Z247" s="60" t="n"/>
      <c r="AA247" s="60" t="n"/>
      <c r="AB247" s="60" t="n"/>
      <c r="AC247" s="60" t="n"/>
      <c r="AD247" s="60" t="n"/>
      <c r="AE247" s="60" t="n"/>
      <c r="AF247" s="60" t="n"/>
      <c r="AG247" s="60" t="n"/>
      <c r="AH247" s="60" t="n"/>
      <c r="AI247" s="60" t="n"/>
      <c r="AJ247" s="60" t="n"/>
      <c r="AK247" s="60" t="n"/>
      <c r="AL247" s="60" t="n"/>
      <c r="AM247" s="60" t="n"/>
      <c r="AN247" s="60" t="n"/>
      <c r="AO247" s="60" t="n"/>
      <c r="AP247" s="60" t="n"/>
      <c r="AQ247" s="60" t="n"/>
      <c r="AR247" s="60" t="n"/>
      <c r="AS247" s="60" t="n"/>
      <c r="AT247" s="60" t="n"/>
      <c r="AU247" s="60" t="n"/>
      <c r="AV247" s="60" t="n"/>
      <c r="AW247" s="60" t="n"/>
      <c r="AX247" s="60" t="n"/>
      <c r="AY247" s="60" t="n"/>
      <c r="AZ247" s="60" t="n"/>
      <c r="BA247" s="60" t="n"/>
      <c r="BB247" s="60" t="n"/>
      <c r="BC247" s="60" t="n"/>
      <c r="BD247" s="60" t="n"/>
      <c r="BE247" s="60" t="n"/>
      <c r="BF247" s="60" t="n"/>
      <c r="BG247" s="60" t="n"/>
      <c r="BH247" s="60" t="n"/>
      <c r="BI247" s="60" t="n"/>
      <c r="BJ247" s="60" t="n"/>
      <c r="BK247" s="60" t="n"/>
      <c r="BL247" s="60" t="n"/>
      <c r="BM247" s="60" t="n"/>
      <c r="BN247" s="60" t="n"/>
      <c r="BO247" s="60" t="n"/>
      <c r="BP247" s="60" t="n"/>
      <c r="BQ247" s="60" t="n"/>
      <c r="BR247" s="60" t="n"/>
      <c r="BS247" s="60" t="n"/>
      <c r="BT247" s="60" t="n"/>
      <c r="BU247" s="60" t="n"/>
      <c r="BV247" s="60" t="n"/>
      <c r="BW247" s="60" t="n"/>
      <c r="BX247" s="60" t="n"/>
      <c r="BY247" s="60" t="n"/>
      <c r="BZ247" s="60" t="n"/>
      <c r="CA247" s="60" t="n"/>
      <c r="CB247" s="60" t="n"/>
      <c r="CC247" s="60" t="n"/>
      <c r="CD247" s="60" t="n"/>
      <c r="CE247" s="60" t="n"/>
      <c r="CF247" s="60" t="n"/>
      <c r="CG247" s="60" t="n"/>
      <c r="CH247" s="60" t="n"/>
      <c r="CI247" s="60" t="n"/>
      <c r="CJ247" s="60" t="n"/>
      <c r="CK247" s="60" t="n"/>
      <c r="CL247" s="60" t="n"/>
      <c r="CM247" s="60" t="n"/>
      <c r="CN247" s="60" t="n"/>
      <c r="CO247" s="60" t="n"/>
      <c r="CP247" s="60" t="n"/>
      <c r="CQ247" s="60" t="n"/>
      <c r="CR247" s="60" t="n"/>
      <c r="CS247" s="60" t="n"/>
      <c r="CT247" s="60" t="n"/>
      <c r="CU247" s="60" t="n"/>
      <c r="CV247" s="60" t="n"/>
      <c r="CW247" s="60" t="n"/>
      <c r="CX247" s="60" t="n"/>
      <c r="CY247" s="60" t="n"/>
      <c r="CZ247" s="60" t="n"/>
      <c r="DA247" s="60" t="n"/>
      <c r="DB247" s="60" t="n"/>
      <c r="DC247" s="60" t="n"/>
      <c r="DD247" s="60" t="n"/>
      <c r="DE247" s="60" t="n"/>
    </row>
    <row r="248">
      <c r="A248" s="60" t="inlineStr">
        <is>
          <t>Referencia del revendido (no se compra)</t>
        </is>
      </c>
      <c r="B248" s="60" t="inlineStr">
        <is>
          <t>Acetato de potasio - DEMSA Kitchen - Acetato de potasio (DEMSA Kitchen, 1,300 g/ml, pH 8,5)</t>
        </is>
      </c>
      <c r="C248" s="60" t="inlineStr">
        <is>
          <t>L</t>
        </is>
      </c>
      <c r="D248" s="60" t="inlineStr">
        <is>
          <t>No</t>
        </is>
      </c>
      <c r="E248" s="60" t="n"/>
      <c r="F248" s="60" t="inlineStr">
        <is>
          <t>SP-1 almacén previo a la carga</t>
        </is>
      </c>
      <c r="G248" s="60" t="n"/>
      <c r="H248" s="60" t="n"/>
      <c r="I248" s="60" t="n"/>
      <c r="J248" s="60" t="n"/>
      <c r="K248" s="60" t="n"/>
      <c r="L248" s="60" t="n"/>
      <c r="M248" s="60" t="n"/>
      <c r="N248" s="60" t="n"/>
      <c r="O248" s="60" t="n">
        <v>6.09</v>
      </c>
      <c r="P248" s="60" t="n"/>
      <c r="Q248" s="60" t="n"/>
      <c r="R248" s="60" t="n"/>
      <c r="S248" s="60" t="n"/>
      <c r="T248" s="60" t="n"/>
      <c r="U248" s="60" t="n"/>
      <c r="V248" s="60" t="n"/>
      <c r="W248" s="60" t="n"/>
      <c r="X248" s="60" t="n"/>
      <c r="Y248" s="60" t="n"/>
      <c r="Z248" s="60" t="n"/>
      <c r="AA248" s="60" t="n"/>
      <c r="AB248" s="60" t="n"/>
      <c r="AC248" s="60" t="n"/>
      <c r="AD248" s="60" t="n"/>
      <c r="AE248" s="60" t="n"/>
      <c r="AF248" s="60" t="n"/>
      <c r="AG248" s="60" t="n"/>
      <c r="AH248" s="60" t="n"/>
      <c r="AI248" s="60" t="n"/>
      <c r="AJ248" s="60" t="n"/>
      <c r="AK248" s="60" t="n"/>
      <c r="AL248" s="60" t="n"/>
      <c r="AM248" s="60" t="n"/>
      <c r="AN248" s="60" t="n"/>
      <c r="AO248" s="60" t="n"/>
      <c r="AP248" s="60" t="n"/>
      <c r="AQ248" s="60" t="n"/>
      <c r="AR248" s="60" t="n"/>
      <c r="AS248" s="60" t="n"/>
      <c r="AT248" s="60" t="n"/>
      <c r="AU248" s="60" t="n"/>
      <c r="AV248" s="60" t="n"/>
      <c r="AW248" s="60" t="n"/>
      <c r="AX248" s="60" t="n"/>
      <c r="AY248" s="60" t="n"/>
      <c r="AZ248" s="60" t="n"/>
      <c r="BA248" s="60" t="n"/>
      <c r="BB248" s="60" t="n"/>
      <c r="BC248" s="60" t="n"/>
      <c r="BD248" s="60" t="n"/>
      <c r="BE248" s="60" t="n"/>
      <c r="BF248" s="60" t="n"/>
      <c r="BG248" s="60" t="n"/>
      <c r="BH248" s="60" t="n"/>
      <c r="BI248" s="60" t="n"/>
      <c r="BJ248" s="60" t="n"/>
      <c r="BK248" s="60" t="n"/>
      <c r="BL248" s="60" t="n"/>
      <c r="BM248" s="60" t="n"/>
      <c r="BN248" s="60" t="n"/>
      <c r="BO248" s="60" t="n"/>
      <c r="BP248" s="60" t="n"/>
      <c r="BQ248" s="60" t="n"/>
      <c r="BR248" s="60" t="n"/>
      <c r="BS248" s="60" t="n"/>
      <c r="BT248" s="60" t="n"/>
      <c r="BU248" s="60" t="n"/>
      <c r="BV248" s="60" t="n"/>
      <c r="BW248" s="60" t="n"/>
      <c r="BX248" s="60" t="n"/>
      <c r="BY248" s="60" t="n"/>
      <c r="BZ248" s="60" t="n"/>
      <c r="CA248" s="60" t="n"/>
      <c r="CB248" s="60" t="n"/>
      <c r="CC248" s="60" t="n"/>
      <c r="CD248" s="60" t="n"/>
      <c r="CE248" s="60" t="n"/>
      <c r="CF248" s="60" t="n"/>
      <c r="CG248" s="60" t="n"/>
      <c r="CH248" s="60" t="n"/>
      <c r="CI248" s="60" t="n"/>
      <c r="CJ248" s="60" t="n"/>
      <c r="CK248" s="60" t="n"/>
      <c r="CL248" s="60" t="n"/>
      <c r="CM248" s="60" t="n"/>
      <c r="CN248" s="60" t="n"/>
      <c r="CO248" s="60" t="n"/>
      <c r="CP248" s="60" t="n"/>
      <c r="CQ248" s="60" t="n"/>
      <c r="CR248" s="60" t="n"/>
      <c r="CS248" s="60" t="n"/>
      <c r="CT248" s="60" t="n"/>
      <c r="CU248" s="60" t="n"/>
      <c r="CV248" s="60" t="n"/>
      <c r="CW248" s="60" t="n"/>
      <c r="CX248" s="60" t="n"/>
      <c r="CY248" s="60" t="n"/>
      <c r="CZ248" s="60" t="n"/>
      <c r="DA248" s="60" t="n"/>
      <c r="DB248" s="60" t="n"/>
      <c r="DC248" s="60" t="n"/>
      <c r="DD248" s="60" t="n"/>
      <c r="DE248" s="60" t="n"/>
    </row>
    <row r="249">
      <c r="A249" s="60" t="inlineStr">
        <is>
          <t>Referencia del revendido (no se compra)</t>
        </is>
      </c>
      <c r="B249" s="60" t="inlineStr">
        <is>
          <t>Agua</t>
        </is>
      </c>
      <c r="C249" s="60" t="inlineStr">
        <is>
          <t>L</t>
        </is>
      </c>
      <c r="D249" s="60" t="inlineStr">
        <is>
          <t>No</t>
        </is>
      </c>
      <c r="E249" s="60" t="n"/>
      <c r="F249" s="60" t="inlineStr">
        <is>
          <t>SP-1 almacén previo a la carga</t>
        </is>
      </c>
      <c r="G249" s="60" t="n"/>
      <c r="H249" s="60" t="n"/>
      <c r="I249" s="60" t="n"/>
      <c r="J249" s="60" t="n"/>
      <c r="K249" s="60" t="n">
        <v>10</v>
      </c>
      <c r="L249" s="60" t="n"/>
      <c r="M249" s="60" t="n"/>
      <c r="N249" s="60" t="n"/>
      <c r="O249" s="60" t="n"/>
      <c r="P249" s="60" t="n"/>
      <c r="Q249" s="60" t="n"/>
      <c r="R249" s="60" t="n"/>
      <c r="S249" s="60" t="n"/>
      <c r="T249" s="60" t="n"/>
      <c r="U249" s="60" t="n"/>
      <c r="V249" s="60" t="n"/>
      <c r="W249" s="60" t="n"/>
      <c r="X249" s="60" t="n"/>
      <c r="Y249" s="60" t="n"/>
      <c r="Z249" s="60" t="n"/>
      <c r="AA249" s="60" t="n"/>
      <c r="AB249" s="60" t="n"/>
      <c r="AC249" s="60" t="n"/>
      <c r="AD249" s="60" t="n"/>
      <c r="AE249" s="60" t="n"/>
      <c r="AF249" s="60" t="n"/>
      <c r="AG249" s="60" t="n"/>
      <c r="AH249" s="60" t="n"/>
      <c r="AI249" s="60" t="n"/>
      <c r="AJ249" s="60" t="n"/>
      <c r="AK249" s="60" t="n"/>
      <c r="AL249" s="60" t="n"/>
      <c r="AM249" s="60" t="n"/>
      <c r="AN249" s="60" t="n"/>
      <c r="AO249" s="60" t="n"/>
      <c r="AP249" s="60" t="n"/>
      <c r="AQ249" s="60" t="n"/>
      <c r="AR249" s="60" t="n"/>
      <c r="AS249" s="60" t="n"/>
      <c r="AT249" s="60" t="n"/>
      <c r="AU249" s="60" t="n"/>
      <c r="AV249" s="60" t="n"/>
      <c r="AW249" s="60" t="n"/>
      <c r="AX249" s="60" t="n"/>
      <c r="AY249" s="60" t="n"/>
      <c r="AZ249" s="60" t="n"/>
      <c r="BA249" s="60" t="n"/>
      <c r="BB249" s="60" t="n"/>
      <c r="BC249" s="60" t="n"/>
      <c r="BD249" s="60" t="n"/>
      <c r="BE249" s="60" t="n"/>
      <c r="BF249" s="60" t="n"/>
      <c r="BG249" s="60" t="n"/>
      <c r="BH249" s="60" t="n"/>
      <c r="BI249" s="60" t="n"/>
      <c r="BJ249" s="60" t="n"/>
      <c r="BK249" s="60" t="n"/>
      <c r="BL249" s="60" t="n"/>
      <c r="BM249" s="60" t="n">
        <v>10</v>
      </c>
      <c r="BN249" s="60" t="n">
        <v>10</v>
      </c>
      <c r="BO249" s="60" t="n"/>
      <c r="BP249" s="60" t="n"/>
      <c r="BQ249" s="60" t="n"/>
      <c r="BR249" s="60" t="n"/>
      <c r="BS249" s="60" t="n"/>
      <c r="BT249" s="60" t="n"/>
      <c r="BU249" s="60" t="n"/>
      <c r="BV249" s="60" t="n"/>
      <c r="BW249" s="60" t="n"/>
      <c r="BX249" s="60" t="n"/>
      <c r="BY249" s="60" t="n"/>
      <c r="BZ249" s="60" t="n"/>
      <c r="CA249" s="60" t="n"/>
      <c r="CB249" s="60" t="n"/>
      <c r="CC249" s="60" t="n"/>
      <c r="CD249" s="60" t="n"/>
      <c r="CE249" s="60" t="n"/>
      <c r="CF249" s="60" t="n"/>
      <c r="CG249" s="60" t="n"/>
      <c r="CH249" s="60" t="n"/>
      <c r="CI249" s="60" t="n"/>
      <c r="CJ249" s="60" t="n"/>
      <c r="CK249" s="60" t="n"/>
      <c r="CL249" s="60" t="n"/>
      <c r="CM249" s="60" t="n"/>
      <c r="CN249" s="60" t="n"/>
      <c r="CO249" s="60" t="n"/>
      <c r="CP249" s="60" t="n"/>
      <c r="CQ249" s="60" t="n"/>
      <c r="CR249" s="60" t="n"/>
      <c r="CS249" s="60" t="n"/>
      <c r="CT249" s="60" t="n"/>
      <c r="CU249" s="60" t="n"/>
      <c r="CV249" s="60" t="n"/>
      <c r="CW249" s="60" t="n"/>
      <c r="CX249" s="60" t="n"/>
      <c r="CY249" s="60" t="n"/>
      <c r="CZ249" s="60" t="n"/>
      <c r="DA249" s="60" t="n"/>
      <c r="DB249" s="60" t="n"/>
      <c r="DC249" s="60" t="n"/>
      <c r="DD249" s="60" t="n"/>
      <c r="DE249" s="60" t="n"/>
    </row>
    <row r="250">
      <c r="A250" s="60" t="inlineStr">
        <is>
          <t>Referencia del revendido (no se compra)</t>
        </is>
      </c>
      <c r="B250" s="60" t="inlineStr">
        <is>
          <t>Agua potable (premezcla)</t>
        </is>
      </c>
      <c r="C250" s="60" t="inlineStr">
        <is>
          <t>L</t>
        </is>
      </c>
      <c r="D250" s="60" t="inlineStr">
        <is>
          <t>No</t>
        </is>
      </c>
      <c r="E250" s="60" t="n"/>
      <c r="F250" s="60" t="inlineStr">
        <is>
          <t>SP-1 premezcla</t>
        </is>
      </c>
      <c r="G250" s="60" t="n"/>
      <c r="H250" s="60" t="n"/>
      <c r="I250" s="60" t="n"/>
      <c r="J250" s="60" t="n"/>
      <c r="K250" s="60" t="n"/>
      <c r="L250" s="60" t="n">
        <v>9.699999999999999</v>
      </c>
      <c r="M250" s="60" t="n">
        <v>48.5</v>
      </c>
      <c r="N250" s="60" t="n"/>
      <c r="O250" s="60" t="n"/>
      <c r="P250" s="60" t="n"/>
      <c r="Q250" s="60" t="n"/>
      <c r="R250" s="60" t="n"/>
      <c r="S250" s="60" t="n"/>
      <c r="T250" s="60" t="n"/>
      <c r="U250" s="60" t="n"/>
      <c r="V250" s="60" t="n"/>
      <c r="W250" s="60" t="n"/>
      <c r="X250" s="60" t="n"/>
      <c r="Y250" s="60" t="n"/>
      <c r="Z250" s="60" t="n"/>
      <c r="AA250" s="60" t="n"/>
      <c r="AB250" s="60" t="n"/>
      <c r="AC250" s="60" t="n"/>
      <c r="AD250" s="60" t="n"/>
      <c r="AE250" s="60" t="n"/>
      <c r="AF250" s="60" t="n"/>
      <c r="AG250" s="60" t="n"/>
      <c r="AH250" s="60" t="n"/>
      <c r="AI250" s="60" t="n"/>
      <c r="AJ250" s="60" t="n"/>
      <c r="AK250" s="60" t="n"/>
      <c r="AL250" s="60" t="n"/>
      <c r="AM250" s="60" t="n"/>
      <c r="AN250" s="60" t="n"/>
      <c r="AO250" s="60" t="n"/>
      <c r="AP250" s="60" t="n"/>
      <c r="AQ250" s="60" t="n"/>
      <c r="AR250" s="60" t="n"/>
      <c r="AS250" s="60" t="n"/>
      <c r="AT250" s="60" t="n"/>
      <c r="AU250" s="60" t="n"/>
      <c r="AV250" s="60" t="n"/>
      <c r="AW250" s="60" t="n"/>
      <c r="AX250" s="60" t="n"/>
      <c r="AY250" s="60" t="n"/>
      <c r="AZ250" s="60" t="n"/>
      <c r="BA250" s="60" t="n"/>
      <c r="BB250" s="60" t="n"/>
      <c r="BC250" s="60" t="n"/>
      <c r="BD250" s="60" t="n"/>
      <c r="BE250" s="60" t="n"/>
      <c r="BF250" s="60" t="n"/>
      <c r="BG250" s="60" t="n"/>
      <c r="BH250" s="60" t="n"/>
      <c r="BI250" s="60" t="n"/>
      <c r="BJ250" s="60" t="n"/>
      <c r="BK250" s="60" t="n"/>
      <c r="BL250" s="60" t="n"/>
      <c r="BM250" s="60" t="n"/>
      <c r="BN250" s="60" t="n"/>
      <c r="BO250" s="60" t="n"/>
      <c r="BP250" s="60" t="n"/>
      <c r="BQ250" s="60" t="n"/>
      <c r="BR250" s="60" t="n"/>
      <c r="BS250" s="60" t="n"/>
      <c r="BT250" s="60" t="n"/>
      <c r="BU250" s="60" t="n"/>
      <c r="BV250" s="60" t="n"/>
      <c r="BW250" s="60" t="n"/>
      <c r="BX250" s="60" t="n"/>
      <c r="BY250" s="60" t="n"/>
      <c r="BZ250" s="60" t="n"/>
      <c r="CA250" s="60" t="n"/>
      <c r="CB250" s="60" t="n"/>
      <c r="CC250" s="60" t="n"/>
      <c r="CD250" s="60" t="n"/>
      <c r="CE250" s="60" t="n"/>
      <c r="CF250" s="60" t="n"/>
      <c r="CG250" s="60" t="n"/>
      <c r="CH250" s="60" t="n"/>
      <c r="CI250" s="60" t="n"/>
      <c r="CJ250" s="60" t="n"/>
      <c r="CK250" s="60" t="n"/>
      <c r="CL250" s="60" t="n"/>
      <c r="CM250" s="60" t="n"/>
      <c r="CN250" s="60" t="n"/>
      <c r="CO250" s="60" t="n"/>
      <c r="CP250" s="60" t="n"/>
      <c r="CQ250" s="60" t="n"/>
      <c r="CR250" s="60" t="n"/>
      <c r="CS250" s="60" t="n"/>
      <c r="CT250" s="60" t="n"/>
      <c r="CU250" s="60" t="n"/>
      <c r="CV250" s="60" t="n"/>
      <c r="CW250" s="60" t="n"/>
      <c r="CX250" s="60" t="n"/>
      <c r="CY250" s="60" t="n"/>
      <c r="CZ250" s="60" t="n"/>
      <c r="DA250" s="60" t="n"/>
      <c r="DB250" s="60" t="n"/>
      <c r="DC250" s="60" t="n"/>
      <c r="DD250" s="60" t="n"/>
      <c r="DE250" s="60" t="n"/>
    </row>
    <row r="251">
      <c r="A251" s="60" t="inlineStr">
        <is>
          <t>Referencia del revendido (no se compra)</t>
        </is>
      </c>
      <c r="B251" s="60" t="inlineStr">
        <is>
          <t>Apoyo delantero — 70 × 55 × 50</t>
        </is>
      </c>
      <c r="C251" s="60" t="inlineStr">
        <is>
          <t>u</t>
        </is>
      </c>
      <c r="D251" s="60" t="inlineStr">
        <is>
          <t>No</t>
        </is>
      </c>
      <c r="E251" s="60" t="n"/>
      <c r="F251" s="60" t="inlineStr">
        <is>
          <t>S4 - se compra terminado (tercerizado con sello IRAM)</t>
        </is>
      </c>
      <c r="G251" s="60" t="n"/>
      <c r="H251" s="60" t="n"/>
      <c r="I251" s="60" t="n"/>
      <c r="J251" s="60" t="n"/>
      <c r="K251" s="60" t="n"/>
      <c r="L251" s="60" t="n"/>
      <c r="M251" s="60" t="n">
        <v>1</v>
      </c>
      <c r="N251" s="60" t="n"/>
      <c r="O251" s="60" t="n"/>
      <c r="P251" s="60" t="n"/>
      <c r="Q251" s="60" t="n"/>
      <c r="R251" s="60" t="n"/>
      <c r="S251" s="60" t="n"/>
      <c r="T251" s="60" t="n">
        <v>1</v>
      </c>
      <c r="U251" s="60" t="n">
        <v>1</v>
      </c>
      <c r="V251" s="60" t="n">
        <v>1</v>
      </c>
      <c r="W251" s="60" t="n">
        <v>1</v>
      </c>
      <c r="X251" s="60" t="n"/>
      <c r="Y251" s="60" t="n"/>
      <c r="Z251" s="60" t="n"/>
      <c r="AA251" s="60" t="n"/>
      <c r="AB251" s="60" t="n"/>
      <c r="AC251" s="60" t="n"/>
      <c r="AD251" s="60" t="n"/>
      <c r="AE251" s="60" t="n"/>
      <c r="AF251" s="60" t="n"/>
      <c r="AG251" s="60" t="n"/>
      <c r="AH251" s="60" t="n"/>
      <c r="AI251" s="60" t="n"/>
      <c r="AJ251" s="60" t="n"/>
      <c r="AK251" s="60" t="n"/>
      <c r="AL251" s="60" t="n"/>
      <c r="AM251" s="60" t="n"/>
      <c r="AN251" s="60" t="n"/>
      <c r="AO251" s="60" t="n"/>
      <c r="AP251" s="60" t="n"/>
      <c r="AQ251" s="60" t="n"/>
      <c r="AR251" s="60" t="n"/>
      <c r="AS251" s="60" t="n"/>
      <c r="AT251" s="60" t="n"/>
      <c r="AU251" s="60" t="n"/>
      <c r="AV251" s="60" t="n"/>
      <c r="AW251" s="60" t="n"/>
      <c r="AX251" s="60" t="n"/>
      <c r="AY251" s="60" t="n"/>
      <c r="AZ251" s="60" t="n"/>
      <c r="BA251" s="60" t="n"/>
      <c r="BB251" s="60" t="n"/>
      <c r="BC251" s="60" t="n"/>
      <c r="BD251" s="60" t="n"/>
      <c r="BE251" s="60" t="n"/>
      <c r="BF251" s="60" t="n"/>
      <c r="BG251" s="60" t="n"/>
      <c r="BH251" s="60" t="n"/>
      <c r="BI251" s="60" t="n"/>
      <c r="BJ251" s="60" t="n"/>
      <c r="BK251" s="60" t="n"/>
      <c r="BL251" s="60" t="n"/>
      <c r="BM251" s="60" t="n"/>
      <c r="BN251" s="60" t="n"/>
      <c r="BO251" s="60" t="n"/>
      <c r="BP251" s="60" t="n"/>
      <c r="BQ251" s="60" t="n"/>
      <c r="BR251" s="60" t="n"/>
      <c r="BS251" s="60" t="n"/>
      <c r="BT251" s="60" t="n"/>
      <c r="BU251" s="60" t="n"/>
      <c r="BV251" s="60" t="n"/>
      <c r="BW251" s="60" t="n"/>
      <c r="BX251" s="60" t="n"/>
      <c r="BY251" s="60" t="n"/>
      <c r="BZ251" s="60" t="n"/>
      <c r="CA251" s="60" t="n"/>
      <c r="CB251" s="60" t="n"/>
      <c r="CC251" s="60" t="n"/>
      <c r="CD251" s="60" t="n"/>
      <c r="CE251" s="60" t="n"/>
      <c r="CF251" s="60" t="n"/>
      <c r="CG251" s="60" t="n"/>
      <c r="CH251" s="60" t="n"/>
      <c r="CI251" s="60" t="n"/>
      <c r="CJ251" s="60" t="n"/>
      <c r="CK251" s="60" t="n"/>
      <c r="CL251" s="60" t="n"/>
      <c r="CM251" s="60" t="n"/>
      <c r="CN251" s="60" t="n"/>
      <c r="CO251" s="60" t="n"/>
      <c r="CP251" s="60" t="n"/>
      <c r="CQ251" s="60" t="n"/>
      <c r="CR251" s="60" t="n"/>
      <c r="CS251" s="60" t="n"/>
      <c r="CT251" s="60" t="n"/>
      <c r="CU251" s="60" t="n"/>
      <c r="CV251" s="60" t="n"/>
      <c r="CW251" s="60" t="n"/>
      <c r="CX251" s="60" t="n"/>
      <c r="CY251" s="60" t="n"/>
      <c r="CZ251" s="60" t="n"/>
      <c r="DA251" s="60" t="n"/>
      <c r="DB251" s="60" t="n"/>
      <c r="DC251" s="60" t="n"/>
      <c r="DD251" s="60" t="n"/>
      <c r="DE251" s="60" t="n"/>
    </row>
    <row r="252">
      <c r="A252" s="60" t="inlineStr">
        <is>
          <t>Referencia del revendido (no se compra)</t>
        </is>
      </c>
      <c r="B252" s="60" t="inlineStr">
        <is>
          <t>Bastidor — caño Ø25,4 × 1,6 × 2.148 de largo desarrollado</t>
        </is>
      </c>
      <c r="C252" s="60" t="inlineStr">
        <is>
          <t>u</t>
        </is>
      </c>
      <c r="D252" s="60" t="inlineStr">
        <is>
          <t>No</t>
        </is>
      </c>
      <c r="E252" s="60" t="n"/>
      <c r="F252" s="60" t="inlineStr">
        <is>
          <t>S4 - se compra terminado (tercerizado con sello IRAM)</t>
        </is>
      </c>
      <c r="G252" s="60" t="n"/>
      <c r="H252" s="60" t="n"/>
      <c r="I252" s="60" t="n"/>
      <c r="J252" s="60" t="n"/>
      <c r="K252" s="60" t="n"/>
      <c r="L252" s="60" t="n"/>
      <c r="M252" s="60" t="n">
        <v>1</v>
      </c>
      <c r="N252" s="60" t="n"/>
      <c r="O252" s="60" t="n"/>
      <c r="P252" s="60" t="n"/>
      <c r="Q252" s="60" t="n"/>
      <c r="R252" s="60" t="n"/>
      <c r="S252" s="60" t="n"/>
      <c r="T252" s="60" t="n"/>
      <c r="U252" s="60" t="n">
        <v>1</v>
      </c>
      <c r="V252" s="60" t="n"/>
      <c r="W252" s="60" t="n"/>
      <c r="X252" s="60" t="n"/>
      <c r="Y252" s="60" t="n"/>
      <c r="Z252" s="60" t="n"/>
      <c r="AA252" s="60" t="n"/>
      <c r="AB252" s="60" t="n"/>
      <c r="AC252" s="60" t="n"/>
      <c r="AD252" s="60" t="n"/>
      <c r="AE252" s="60" t="n"/>
      <c r="AF252" s="60" t="n"/>
      <c r="AG252" s="60" t="n"/>
      <c r="AH252" s="60" t="n"/>
      <c r="AI252" s="60" t="n"/>
      <c r="AJ252" s="60" t="n"/>
      <c r="AK252" s="60" t="n"/>
      <c r="AL252" s="60" t="n"/>
      <c r="AM252" s="60" t="n"/>
      <c r="AN252" s="60" t="n"/>
      <c r="AO252" s="60" t="n"/>
      <c r="AP252" s="60" t="n"/>
      <c r="AQ252" s="60" t="n"/>
      <c r="AR252" s="60" t="n"/>
      <c r="AS252" s="60" t="n"/>
      <c r="AT252" s="60" t="n"/>
      <c r="AU252" s="60" t="n"/>
      <c r="AV252" s="60" t="n"/>
      <c r="AW252" s="60" t="n"/>
      <c r="AX252" s="60" t="n"/>
      <c r="AY252" s="60" t="n"/>
      <c r="AZ252" s="60" t="n"/>
      <c r="BA252" s="60" t="n"/>
      <c r="BB252" s="60" t="n"/>
      <c r="BC252" s="60" t="n"/>
      <c r="BD252" s="60" t="n"/>
      <c r="BE252" s="60" t="n"/>
      <c r="BF252" s="60" t="n"/>
      <c r="BG252" s="60" t="n"/>
      <c r="BH252" s="60" t="n"/>
      <c r="BI252" s="60" t="n"/>
      <c r="BJ252" s="60" t="n"/>
      <c r="BK252" s="60" t="n"/>
      <c r="BL252" s="60" t="n"/>
      <c r="BM252" s="60" t="n"/>
      <c r="BN252" s="60" t="n"/>
      <c r="BO252" s="60" t="n"/>
      <c r="BP252" s="60" t="n"/>
      <c r="BQ252" s="60" t="n"/>
      <c r="BR252" s="60" t="n"/>
      <c r="BS252" s="60" t="n"/>
      <c r="BT252" s="60" t="n"/>
      <c r="BU252" s="60" t="n"/>
      <c r="BV252" s="60" t="n"/>
      <c r="BW252" s="60" t="n"/>
      <c r="BX252" s="60" t="n"/>
      <c r="BY252" s="60" t="n"/>
      <c r="BZ252" s="60" t="n"/>
      <c r="CA252" s="60" t="n"/>
      <c r="CB252" s="60" t="n"/>
      <c r="CC252" s="60" t="n"/>
      <c r="CD252" s="60" t="n"/>
      <c r="CE252" s="60" t="n"/>
      <c r="CF252" s="60" t="n"/>
      <c r="CG252" s="60" t="n"/>
      <c r="CH252" s="60" t="n"/>
      <c r="CI252" s="60" t="n"/>
      <c r="CJ252" s="60" t="n"/>
      <c r="CK252" s="60" t="n"/>
      <c r="CL252" s="60" t="n"/>
      <c r="CM252" s="60" t="n"/>
      <c r="CN252" s="60" t="n"/>
      <c r="CO252" s="60" t="n"/>
      <c r="CP252" s="60" t="n"/>
      <c r="CQ252" s="60" t="n"/>
      <c r="CR252" s="60" t="n"/>
      <c r="CS252" s="60" t="n"/>
      <c r="CT252" s="60" t="n"/>
      <c r="CU252" s="60" t="n"/>
      <c r="CV252" s="60" t="n"/>
      <c r="CW252" s="60" t="n"/>
      <c r="CX252" s="60" t="n"/>
      <c r="CY252" s="60" t="n"/>
      <c r="CZ252" s="60" t="n"/>
      <c r="DA252" s="60" t="n"/>
      <c r="DB252" s="60" t="n"/>
      <c r="DC252" s="60" t="n"/>
      <c r="DD252" s="60" t="n"/>
      <c r="DE252" s="60" t="n"/>
    </row>
    <row r="253">
      <c r="A253" s="60" t="inlineStr">
        <is>
          <t>Referencia del revendido (no se compra)</t>
        </is>
      </c>
      <c r="B253" s="60" t="inlineStr">
        <is>
          <t>Brazo giratorio — tubo Ø12 × 118 de largo desarrollado</t>
        </is>
      </c>
      <c r="C253" s="60" t="inlineStr">
        <is>
          <t>u</t>
        </is>
      </c>
      <c r="D253" s="60" t="inlineStr">
        <is>
          <t>No</t>
        </is>
      </c>
      <c r="E253" s="60" t="n"/>
      <c r="F253" s="60" t="inlineStr">
        <is>
          <t>S4 - se compra terminado (tercerizado con sello IRAM)</t>
        </is>
      </c>
      <c r="G253" s="60" t="n"/>
      <c r="H253" s="60" t="n"/>
      <c r="I253" s="60" t="n"/>
      <c r="J253" s="60" t="n"/>
      <c r="K253" s="60" t="n"/>
      <c r="L253" s="60" t="n"/>
      <c r="M253" s="60" t="n"/>
      <c r="N253" s="60" t="n"/>
      <c r="O253" s="60" t="n"/>
      <c r="P253" s="60" t="n">
        <v>1</v>
      </c>
      <c r="Q253" s="60" t="n"/>
      <c r="R253" s="60" t="n"/>
      <c r="S253" s="60" t="n"/>
      <c r="T253" s="60" t="n"/>
      <c r="U253" s="60" t="n"/>
      <c r="V253" s="60" t="n"/>
      <c r="W253" s="60" t="n"/>
      <c r="X253" s="60" t="n"/>
      <c r="Y253" s="60" t="n"/>
      <c r="Z253" s="60" t="n"/>
      <c r="AA253" s="60" t="n"/>
      <c r="AB253" s="60" t="n"/>
      <c r="AC253" s="60" t="n"/>
      <c r="AD253" s="60" t="n"/>
      <c r="AE253" s="60" t="n"/>
      <c r="AF253" s="60" t="n"/>
      <c r="AG253" s="60" t="n"/>
      <c r="AH253" s="60" t="n"/>
      <c r="AI253" s="60" t="n"/>
      <c r="AJ253" s="60" t="n"/>
      <c r="AK253" s="60" t="n"/>
      <c r="AL253" s="60" t="n"/>
      <c r="AM253" s="60" t="n"/>
      <c r="AN253" s="60" t="n"/>
      <c r="AO253" s="60" t="n"/>
      <c r="AP253" s="60" t="n"/>
      <c r="AQ253" s="60" t="n"/>
      <c r="AR253" s="60" t="n"/>
      <c r="AS253" s="60" t="n"/>
      <c r="AT253" s="60" t="n"/>
      <c r="AU253" s="60" t="n"/>
      <c r="AV253" s="60" t="n"/>
      <c r="AW253" s="60" t="n"/>
      <c r="AX253" s="60" t="n"/>
      <c r="AY253" s="60" t="n"/>
      <c r="AZ253" s="60" t="n"/>
      <c r="BA253" s="60" t="n"/>
      <c r="BB253" s="60" t="n"/>
      <c r="BC253" s="60" t="n"/>
      <c r="BD253" s="60" t="n"/>
      <c r="BE253" s="60" t="n"/>
      <c r="BF253" s="60" t="n"/>
      <c r="BG253" s="60" t="n"/>
      <c r="BH253" s="60" t="n"/>
      <c r="BI253" s="60" t="n"/>
      <c r="BJ253" s="60" t="n"/>
      <c r="BK253" s="60" t="n"/>
      <c r="BL253" s="60" t="n"/>
      <c r="BM253" s="60" t="n"/>
      <c r="BN253" s="60" t="n"/>
      <c r="BO253" s="60" t="n"/>
      <c r="BP253" s="60" t="n"/>
      <c r="BQ253" s="60" t="n"/>
      <c r="BR253" s="60" t="n"/>
      <c r="BS253" s="60" t="n"/>
      <c r="BT253" s="60" t="n"/>
      <c r="BU253" s="60" t="n"/>
      <c r="BV253" s="60" t="n"/>
      <c r="BW253" s="60" t="n"/>
      <c r="BX253" s="60" t="n"/>
      <c r="BY253" s="60" t="n"/>
      <c r="BZ253" s="60" t="n"/>
      <c r="CA253" s="60" t="n"/>
      <c r="CB253" s="60" t="n"/>
      <c r="CC253" s="60" t="n"/>
      <c r="CD253" s="60" t="n"/>
      <c r="CE253" s="60" t="n"/>
      <c r="CF253" s="60" t="n"/>
      <c r="CG253" s="60" t="n"/>
      <c r="CH253" s="60" t="n"/>
      <c r="CI253" s="60" t="n"/>
      <c r="CJ253" s="60" t="n"/>
      <c r="CK253" s="60" t="n"/>
      <c r="CL253" s="60" t="n"/>
      <c r="CM253" s="60" t="n"/>
      <c r="CN253" s="60" t="n"/>
      <c r="CO253" s="60" t="n"/>
      <c r="CP253" s="60" t="n"/>
      <c r="CQ253" s="60" t="n"/>
      <c r="CR253" s="60" t="n"/>
      <c r="CS253" s="60" t="n"/>
      <c r="CT253" s="60" t="n"/>
      <c r="CU253" s="60" t="n"/>
      <c r="CV253" s="60" t="n"/>
      <c r="CW253" s="60" t="n"/>
      <c r="CX253" s="60" t="n"/>
      <c r="CY253" s="60" t="n"/>
      <c r="CZ253" s="60" t="n"/>
      <c r="DA253" s="60" t="n"/>
      <c r="DB253" s="60" t="n"/>
      <c r="DC253" s="60" t="n"/>
      <c r="DD253" s="60" t="n"/>
      <c r="DE253" s="60" t="n"/>
    </row>
    <row r="254">
      <c r="A254" s="60" t="inlineStr">
        <is>
          <t>Referencia del revendido (no se compra)</t>
        </is>
      </c>
      <c r="B254" s="60" t="inlineStr">
        <is>
          <t>Caja de cartón corrugado doble — 260 × 214 × 675 interior (envolvente del plano + 15 por lado)</t>
        </is>
      </c>
      <c r="C254" s="60" t="inlineStr">
        <is>
          <t>u</t>
        </is>
      </c>
      <c r="D254" s="60" t="inlineStr">
        <is>
          <t>No</t>
        </is>
      </c>
      <c r="E254" s="60" t="n"/>
      <c r="F254" s="60" t="inlineStr">
        <is>
          <t>23 Embalaje</t>
        </is>
      </c>
      <c r="G254" s="60" t="n"/>
      <c r="H254" s="60" t="n"/>
      <c r="I254" s="60" t="n"/>
      <c r="J254" s="60" t="n"/>
      <c r="K254" s="60" t="n"/>
      <c r="L254" s="60" t="n"/>
      <c r="M254" s="60" t="n"/>
      <c r="N254" s="60" t="n"/>
      <c r="O254" s="60" t="n"/>
      <c r="P254" s="60" t="n"/>
      <c r="Q254" s="60" t="n"/>
      <c r="R254" s="60" t="n"/>
      <c r="S254" s="60" t="n">
        <v>1</v>
      </c>
      <c r="T254" s="60" t="n"/>
      <c r="U254" s="60" t="n"/>
      <c r="V254" s="60" t="n"/>
      <c r="W254" s="60" t="n"/>
      <c r="X254" s="60" t="n"/>
      <c r="Y254" s="60" t="n"/>
      <c r="Z254" s="60" t="n"/>
      <c r="AA254" s="60" t="n"/>
      <c r="AB254" s="60" t="n"/>
      <c r="AC254" s="60" t="n"/>
      <c r="AD254" s="60" t="n"/>
      <c r="AE254" s="60" t="n"/>
      <c r="AF254" s="60" t="n"/>
      <c r="AG254" s="60" t="n"/>
      <c r="AH254" s="60" t="n"/>
      <c r="AI254" s="60" t="n"/>
      <c r="AJ254" s="60" t="n"/>
      <c r="AK254" s="60" t="n"/>
      <c r="AL254" s="60" t="n"/>
      <c r="AM254" s="60" t="n"/>
      <c r="AN254" s="60" t="n"/>
      <c r="AO254" s="60" t="n"/>
      <c r="AP254" s="60" t="n"/>
      <c r="AQ254" s="60" t="n"/>
      <c r="AR254" s="60" t="n"/>
      <c r="AS254" s="60" t="n"/>
      <c r="AT254" s="60" t="n"/>
      <c r="AU254" s="60" t="n"/>
      <c r="AV254" s="60" t="n"/>
      <c r="AW254" s="60" t="n"/>
      <c r="AX254" s="60" t="n"/>
      <c r="AY254" s="60" t="n"/>
      <c r="AZ254" s="60" t="n"/>
      <c r="BA254" s="60" t="n"/>
      <c r="BB254" s="60" t="n"/>
      <c r="BC254" s="60" t="n"/>
      <c r="BD254" s="60" t="n"/>
      <c r="BE254" s="60" t="n"/>
      <c r="BF254" s="60" t="n"/>
      <c r="BG254" s="60" t="n"/>
      <c r="BH254" s="60" t="n"/>
      <c r="BI254" s="60" t="n"/>
      <c r="BJ254" s="60" t="n"/>
      <c r="BK254" s="60" t="n"/>
      <c r="BL254" s="60" t="n"/>
      <c r="BM254" s="60" t="n"/>
      <c r="BN254" s="60" t="n"/>
      <c r="BO254" s="60" t="n"/>
      <c r="BP254" s="60" t="n"/>
      <c r="BQ254" s="60" t="n"/>
      <c r="BR254" s="60" t="n"/>
      <c r="BS254" s="60" t="n"/>
      <c r="BT254" s="60" t="n"/>
      <c r="BU254" s="60" t="n"/>
      <c r="BV254" s="60" t="n"/>
      <c r="BW254" s="60" t="n"/>
      <c r="BX254" s="60" t="n"/>
      <c r="BY254" s="60" t="n"/>
      <c r="BZ254" s="60" t="n"/>
      <c r="CA254" s="60" t="n"/>
      <c r="CB254" s="60" t="n"/>
      <c r="CC254" s="60" t="n"/>
      <c r="CD254" s="60" t="n"/>
      <c r="CE254" s="60" t="n"/>
      <c r="CF254" s="60" t="n"/>
      <c r="CG254" s="60" t="n"/>
      <c r="CH254" s="60" t="n"/>
      <c r="CI254" s="60" t="n"/>
      <c r="CJ254" s="60" t="n"/>
      <c r="CK254" s="60" t="n"/>
      <c r="CL254" s="60" t="n"/>
      <c r="CM254" s="60" t="n"/>
      <c r="CN254" s="60" t="n"/>
      <c r="CO254" s="60" t="n"/>
      <c r="CP254" s="60" t="n"/>
      <c r="CQ254" s="60" t="n"/>
      <c r="CR254" s="60" t="n"/>
      <c r="CS254" s="60" t="n"/>
      <c r="CT254" s="60" t="n"/>
      <c r="CU254" s="60" t="n"/>
      <c r="CV254" s="60" t="n"/>
      <c r="CW254" s="60" t="n"/>
      <c r="CX254" s="60" t="n"/>
      <c r="CY254" s="60" t="n"/>
      <c r="CZ254" s="60" t="n"/>
      <c r="DA254" s="60" t="n"/>
      <c r="DB254" s="60" t="n"/>
      <c r="DC254" s="60" t="n"/>
      <c r="DD254" s="60" t="n"/>
      <c r="DE254" s="60" t="n"/>
    </row>
    <row r="255">
      <c r="A255" s="60" t="inlineStr">
        <is>
          <t>Referencia del revendido (no se compra)</t>
        </is>
      </c>
      <c r="B255" s="60" t="inlineStr">
        <is>
          <t>Caja de cartón corrugado doble — 270 × 223 × 670 interior (envolvente del plano + 15 por lado)</t>
        </is>
      </c>
      <c r="C255" s="60" t="inlineStr">
        <is>
          <t>u</t>
        </is>
      </c>
      <c r="D255" s="60" t="inlineStr">
        <is>
          <t>No</t>
        </is>
      </c>
      <c r="E255" s="60" t="n"/>
      <c r="F255" s="60" t="inlineStr">
        <is>
          <t>23 Embalaje</t>
        </is>
      </c>
      <c r="G255" s="60" t="n"/>
      <c r="H255" s="60" t="n"/>
      <c r="I255" s="60" t="n"/>
      <c r="J255" s="60" t="n"/>
      <c r="K255" s="60" t="n">
        <v>1</v>
      </c>
      <c r="L255" s="60" t="n">
        <v>1</v>
      </c>
      <c r="M255" s="60" t="n"/>
      <c r="N255" s="60" t="n"/>
      <c r="O255" s="60" t="n"/>
      <c r="P255" s="60" t="n"/>
      <c r="Q255" s="60" t="n"/>
      <c r="R255" s="60" t="n"/>
      <c r="S255" s="60" t="n"/>
      <c r="T255" s="60" t="n"/>
      <c r="U255" s="60" t="n"/>
      <c r="V255" s="60" t="n"/>
      <c r="W255" s="60" t="n"/>
      <c r="X255" s="60" t="n"/>
      <c r="Y255" s="60" t="n"/>
      <c r="Z255" s="60" t="n"/>
      <c r="AA255" s="60" t="n"/>
      <c r="AB255" s="60" t="n"/>
      <c r="AC255" s="60" t="n"/>
      <c r="AD255" s="60" t="n"/>
      <c r="AE255" s="60" t="n"/>
      <c r="AF255" s="60" t="n"/>
      <c r="AG255" s="60" t="n"/>
      <c r="AH255" s="60" t="n"/>
      <c r="AI255" s="60" t="n"/>
      <c r="AJ255" s="60" t="n"/>
      <c r="AK255" s="60" t="n"/>
      <c r="AL255" s="60" t="n"/>
      <c r="AM255" s="60" t="n"/>
      <c r="AN255" s="60" t="n"/>
      <c r="AO255" s="60" t="n"/>
      <c r="AP255" s="60" t="n"/>
      <c r="AQ255" s="60" t="n"/>
      <c r="AR255" s="60" t="n"/>
      <c r="AS255" s="60" t="n"/>
      <c r="AT255" s="60" t="n"/>
      <c r="AU255" s="60" t="n"/>
      <c r="AV255" s="60" t="n"/>
      <c r="AW255" s="60" t="n"/>
      <c r="AX255" s="60" t="n"/>
      <c r="AY255" s="60" t="n"/>
      <c r="AZ255" s="60" t="n"/>
      <c r="BA255" s="60" t="n"/>
      <c r="BB255" s="60" t="n"/>
      <c r="BC255" s="60" t="n"/>
      <c r="BD255" s="60" t="n"/>
      <c r="BE255" s="60" t="n"/>
      <c r="BF255" s="60" t="n"/>
      <c r="BG255" s="60" t="n"/>
      <c r="BH255" s="60" t="n"/>
      <c r="BI255" s="60" t="n"/>
      <c r="BJ255" s="60" t="n"/>
      <c r="BK255" s="60" t="n"/>
      <c r="BL255" s="60" t="n"/>
      <c r="BM255" s="60" t="n"/>
      <c r="BN255" s="60" t="n"/>
      <c r="BO255" s="60" t="n"/>
      <c r="BP255" s="60" t="n"/>
      <c r="BQ255" s="60" t="n"/>
      <c r="BR255" s="60" t="n"/>
      <c r="BS255" s="60" t="n"/>
      <c r="BT255" s="60" t="n"/>
      <c r="BU255" s="60" t="n"/>
      <c r="BV255" s="60" t="n"/>
      <c r="BW255" s="60" t="n"/>
      <c r="BX255" s="60" t="n"/>
      <c r="BY255" s="60" t="n"/>
      <c r="BZ255" s="60" t="n"/>
      <c r="CA255" s="60" t="n"/>
      <c r="CB255" s="60" t="n"/>
      <c r="CC255" s="60" t="n"/>
      <c r="CD255" s="60" t="n"/>
      <c r="CE255" s="60" t="n"/>
      <c r="CF255" s="60" t="n"/>
      <c r="CG255" s="60" t="n"/>
      <c r="CH255" s="60" t="n"/>
      <c r="CI255" s="60" t="n"/>
      <c r="CJ255" s="60" t="n"/>
      <c r="CK255" s="60" t="n"/>
      <c r="CL255" s="60" t="n"/>
      <c r="CM255" s="60" t="n"/>
      <c r="CN255" s="60" t="n"/>
      <c r="CO255" s="60" t="n"/>
      <c r="CP255" s="60" t="n"/>
      <c r="CQ255" s="60" t="n"/>
      <c r="CR255" s="60" t="n"/>
      <c r="CS255" s="60" t="n"/>
      <c r="CT255" s="60" t="n"/>
      <c r="CU255" s="60" t="n"/>
      <c r="CV255" s="60" t="n"/>
      <c r="CW255" s="60" t="n"/>
      <c r="CX255" s="60" t="n"/>
      <c r="CY255" s="60" t="n"/>
      <c r="CZ255" s="60" t="n"/>
      <c r="DA255" s="60" t="n"/>
      <c r="DB255" s="60" t="n"/>
      <c r="DC255" s="60" t="n"/>
      <c r="DD255" s="60" t="n"/>
      <c r="DE255" s="60" t="n"/>
    </row>
    <row r="256">
      <c r="A256" s="60" t="inlineStr">
        <is>
          <t>Referencia del revendido (no se compra)</t>
        </is>
      </c>
      <c r="B256" s="60" t="inlineStr">
        <is>
          <t>Caja de cartón corrugado doble — 284 × 145 × 540 interior (envolvente del plano + 15 por lado)</t>
        </is>
      </c>
      <c r="C256" s="60" t="inlineStr">
        <is>
          <t>u</t>
        </is>
      </c>
      <c r="D256" s="60" t="inlineStr">
        <is>
          <t>No</t>
        </is>
      </c>
      <c r="E256" s="60" t="n"/>
      <c r="F256" s="60" t="inlineStr">
        <is>
          <t>23 Embalaje</t>
        </is>
      </c>
      <c r="G256" s="60" t="n"/>
      <c r="H256" s="60" t="n"/>
      <c r="I256" s="60" t="n"/>
      <c r="J256" s="60" t="n"/>
      <c r="K256" s="60" t="n"/>
      <c r="L256" s="60" t="n"/>
      <c r="M256" s="60" t="n"/>
      <c r="N256" s="60" t="n"/>
      <c r="O256" s="60" t="n"/>
      <c r="P256" s="60" t="n">
        <v>1</v>
      </c>
      <c r="Q256" s="60" t="n"/>
      <c r="R256" s="60" t="n"/>
      <c r="S256" s="60" t="n"/>
      <c r="T256" s="60" t="n"/>
      <c r="U256" s="60" t="n"/>
      <c r="V256" s="60" t="n"/>
      <c r="W256" s="60" t="n"/>
      <c r="X256" s="60" t="n"/>
      <c r="Y256" s="60" t="n"/>
      <c r="Z256" s="60" t="n"/>
      <c r="AA256" s="60" t="n"/>
      <c r="AB256" s="60" t="n"/>
      <c r="AC256" s="60" t="n"/>
      <c r="AD256" s="60" t="n"/>
      <c r="AE256" s="60" t="n"/>
      <c r="AF256" s="60" t="n"/>
      <c r="AG256" s="60" t="n"/>
      <c r="AH256" s="60" t="n"/>
      <c r="AI256" s="60" t="n"/>
      <c r="AJ256" s="60" t="n"/>
      <c r="AK256" s="60" t="n"/>
      <c r="AL256" s="60" t="n"/>
      <c r="AM256" s="60" t="n"/>
      <c r="AN256" s="60" t="n"/>
      <c r="AO256" s="60" t="n"/>
      <c r="AP256" s="60" t="n"/>
      <c r="AQ256" s="60" t="n"/>
      <c r="AR256" s="60" t="n"/>
      <c r="AS256" s="60" t="n"/>
      <c r="AT256" s="60" t="n"/>
      <c r="AU256" s="60" t="n"/>
      <c r="AV256" s="60" t="n"/>
      <c r="AW256" s="60" t="n"/>
      <c r="AX256" s="60" t="n"/>
      <c r="AY256" s="60" t="n"/>
      <c r="AZ256" s="60" t="n"/>
      <c r="BA256" s="60" t="n"/>
      <c r="BB256" s="60" t="n"/>
      <c r="BC256" s="60" t="n"/>
      <c r="BD256" s="60" t="n"/>
      <c r="BE256" s="60" t="n"/>
      <c r="BF256" s="60" t="n"/>
      <c r="BG256" s="60" t="n"/>
      <c r="BH256" s="60" t="n"/>
      <c r="BI256" s="60" t="n"/>
      <c r="BJ256" s="60" t="n"/>
      <c r="BK256" s="60" t="n"/>
      <c r="BL256" s="60" t="n"/>
      <c r="BM256" s="60" t="n"/>
      <c r="BN256" s="60" t="n"/>
      <c r="BO256" s="60" t="n"/>
      <c r="BP256" s="60" t="n"/>
      <c r="BQ256" s="60" t="n"/>
      <c r="BR256" s="60" t="n"/>
      <c r="BS256" s="60" t="n"/>
      <c r="BT256" s="60" t="n"/>
      <c r="BU256" s="60" t="n"/>
      <c r="BV256" s="60" t="n"/>
      <c r="BW256" s="60" t="n"/>
      <c r="BX256" s="60" t="n"/>
      <c r="BY256" s="60" t="n"/>
      <c r="BZ256" s="60" t="n"/>
      <c r="CA256" s="60" t="n"/>
      <c r="CB256" s="60" t="n"/>
      <c r="CC256" s="60" t="n"/>
      <c r="CD256" s="60" t="n"/>
      <c r="CE256" s="60" t="n"/>
      <c r="CF256" s="60" t="n"/>
      <c r="CG256" s="60" t="n"/>
      <c r="CH256" s="60" t="n"/>
      <c r="CI256" s="60" t="n"/>
      <c r="CJ256" s="60" t="n"/>
      <c r="CK256" s="60" t="n"/>
      <c r="CL256" s="60" t="n"/>
      <c r="CM256" s="60" t="n"/>
      <c r="CN256" s="60" t="n"/>
      <c r="CO256" s="60" t="n"/>
      <c r="CP256" s="60" t="n"/>
      <c r="CQ256" s="60" t="n"/>
      <c r="CR256" s="60" t="n"/>
      <c r="CS256" s="60" t="n"/>
      <c r="CT256" s="60" t="n"/>
      <c r="CU256" s="60" t="n"/>
      <c r="CV256" s="60" t="n"/>
      <c r="CW256" s="60" t="n"/>
      <c r="CX256" s="60" t="n"/>
      <c r="CY256" s="60" t="n"/>
      <c r="CZ256" s="60" t="n"/>
      <c r="DA256" s="60" t="n"/>
      <c r="DB256" s="60" t="n"/>
      <c r="DC256" s="60" t="n"/>
      <c r="DD256" s="60" t="n"/>
      <c r="DE256" s="60" t="n"/>
    </row>
    <row r="257">
      <c r="A257" s="60" t="inlineStr">
        <is>
          <t>Referencia del revendido (no se compra)</t>
        </is>
      </c>
      <c r="B257" s="60" t="inlineStr">
        <is>
          <t>Caja de cartón corrugado doble — 300 × 223 × 490 interior (envolvente del plano + 15 por lado)</t>
        </is>
      </c>
      <c r="C257" s="60" t="inlineStr">
        <is>
          <t>u</t>
        </is>
      </c>
      <c r="D257" s="60" t="inlineStr">
        <is>
          <t>No</t>
        </is>
      </c>
      <c r="E257" s="60" t="n"/>
      <c r="F257" s="60" t="inlineStr">
        <is>
          <t>23 Embalaje</t>
        </is>
      </c>
      <c r="G257" s="60" t="n"/>
      <c r="H257" s="60" t="n"/>
      <c r="I257" s="60" t="n"/>
      <c r="J257" s="60" t="n"/>
      <c r="K257" s="60" t="n"/>
      <c r="L257" s="60" t="n"/>
      <c r="M257" s="60" t="n"/>
      <c r="N257" s="60" t="n"/>
      <c r="O257" s="60" t="n">
        <v>1</v>
      </c>
      <c r="P257" s="60" t="n"/>
      <c r="Q257" s="60" t="n"/>
      <c r="R257" s="60" t="n"/>
      <c r="S257" s="60" t="n"/>
      <c r="T257" s="60" t="n"/>
      <c r="U257" s="60" t="n"/>
      <c r="V257" s="60" t="n"/>
      <c r="W257" s="60" t="n"/>
      <c r="X257" s="60" t="n"/>
      <c r="Y257" s="60" t="n"/>
      <c r="Z257" s="60" t="n"/>
      <c r="AA257" s="60" t="n"/>
      <c r="AB257" s="60" t="n"/>
      <c r="AC257" s="60" t="n"/>
      <c r="AD257" s="60" t="n"/>
      <c r="AE257" s="60" t="n"/>
      <c r="AF257" s="60" t="n"/>
      <c r="AG257" s="60" t="n"/>
      <c r="AH257" s="60" t="n"/>
      <c r="AI257" s="60" t="n"/>
      <c r="AJ257" s="60" t="n"/>
      <c r="AK257" s="60" t="n"/>
      <c r="AL257" s="60" t="n"/>
      <c r="AM257" s="60" t="n"/>
      <c r="AN257" s="60" t="n"/>
      <c r="AO257" s="60" t="n"/>
      <c r="AP257" s="60" t="n"/>
      <c r="AQ257" s="60" t="n"/>
      <c r="AR257" s="60" t="n"/>
      <c r="AS257" s="60" t="n"/>
      <c r="AT257" s="60" t="n"/>
      <c r="AU257" s="60" t="n"/>
      <c r="AV257" s="60" t="n"/>
      <c r="AW257" s="60" t="n"/>
      <c r="AX257" s="60" t="n"/>
      <c r="AY257" s="60" t="n"/>
      <c r="AZ257" s="60" t="n"/>
      <c r="BA257" s="60" t="n"/>
      <c r="BB257" s="60" t="n"/>
      <c r="BC257" s="60" t="n"/>
      <c r="BD257" s="60" t="n"/>
      <c r="BE257" s="60" t="n"/>
      <c r="BF257" s="60" t="n"/>
      <c r="BG257" s="60" t="n"/>
      <c r="BH257" s="60" t="n"/>
      <c r="BI257" s="60" t="n"/>
      <c r="BJ257" s="60" t="n"/>
      <c r="BK257" s="60" t="n"/>
      <c r="BL257" s="60" t="n"/>
      <c r="BM257" s="60" t="n"/>
      <c r="BN257" s="60" t="n"/>
      <c r="BO257" s="60" t="n"/>
      <c r="BP257" s="60" t="n"/>
      <c r="BQ257" s="60" t="n"/>
      <c r="BR257" s="60" t="n"/>
      <c r="BS257" s="60" t="n"/>
      <c r="BT257" s="60" t="n"/>
      <c r="BU257" s="60" t="n"/>
      <c r="BV257" s="60" t="n"/>
      <c r="BW257" s="60" t="n"/>
      <c r="BX257" s="60" t="n"/>
      <c r="BY257" s="60" t="n"/>
      <c r="BZ257" s="60" t="n"/>
      <c r="CA257" s="60" t="n"/>
      <c r="CB257" s="60" t="n"/>
      <c r="CC257" s="60" t="n"/>
      <c r="CD257" s="60" t="n"/>
      <c r="CE257" s="60" t="n"/>
      <c r="CF257" s="60" t="n"/>
      <c r="CG257" s="60" t="n"/>
      <c r="CH257" s="60" t="n"/>
      <c r="CI257" s="60" t="n"/>
      <c r="CJ257" s="60" t="n"/>
      <c r="CK257" s="60" t="n"/>
      <c r="CL257" s="60" t="n"/>
      <c r="CM257" s="60" t="n"/>
      <c r="CN257" s="60" t="n"/>
      <c r="CO257" s="60" t="n"/>
      <c r="CP257" s="60" t="n"/>
      <c r="CQ257" s="60" t="n"/>
      <c r="CR257" s="60" t="n"/>
      <c r="CS257" s="60" t="n"/>
      <c r="CT257" s="60" t="n"/>
      <c r="CU257" s="60" t="n"/>
      <c r="CV257" s="60" t="n"/>
      <c r="CW257" s="60" t="n"/>
      <c r="CX257" s="60" t="n"/>
      <c r="CY257" s="60" t="n"/>
      <c r="CZ257" s="60" t="n"/>
      <c r="DA257" s="60" t="n"/>
      <c r="DB257" s="60" t="n"/>
      <c r="DC257" s="60" t="n"/>
      <c r="DD257" s="60" t="n"/>
      <c r="DE257" s="60" t="n"/>
    </row>
    <row r="258">
      <c r="A258" s="60" t="inlineStr">
        <is>
          <t>Referencia del revendido (no se compra)</t>
        </is>
      </c>
      <c r="B258" s="60" t="inlineStr">
        <is>
          <t>Caja de cartón corrugado doble — 340 × 173 × 810 interior (envolvente del plano + 15 por lado)</t>
        </is>
      </c>
      <c r="C258" s="60" t="inlineStr">
        <is>
          <t>u</t>
        </is>
      </c>
      <c r="D258" s="60" t="inlineStr">
        <is>
          <t>No</t>
        </is>
      </c>
      <c r="E258" s="60" t="n"/>
      <c r="F258" s="60" t="inlineStr">
        <is>
          <t>23 Embalaje</t>
        </is>
      </c>
      <c r="G258" s="60" t="n"/>
      <c r="H258" s="60" t="n"/>
      <c r="I258" s="60" t="n"/>
      <c r="J258" s="60" t="n"/>
      <c r="K258" s="60" t="n"/>
      <c r="L258" s="60" t="n"/>
      <c r="M258" s="60" t="n"/>
      <c r="N258" s="60" t="n"/>
      <c r="O258" s="60" t="n"/>
      <c r="P258" s="60" t="n"/>
      <c r="Q258" s="60" t="n">
        <v>1</v>
      </c>
      <c r="R258" s="60" t="n"/>
      <c r="S258" s="60" t="n"/>
      <c r="T258" s="60" t="n"/>
      <c r="U258" s="60" t="n"/>
      <c r="V258" s="60" t="n"/>
      <c r="W258" s="60" t="n"/>
      <c r="X258" s="60" t="n"/>
      <c r="Y258" s="60" t="n"/>
      <c r="Z258" s="60" t="n"/>
      <c r="AA258" s="60" t="n"/>
      <c r="AB258" s="60" t="n"/>
      <c r="AC258" s="60" t="n"/>
      <c r="AD258" s="60" t="n"/>
      <c r="AE258" s="60" t="n"/>
      <c r="AF258" s="60" t="n"/>
      <c r="AG258" s="60" t="n"/>
      <c r="AH258" s="60" t="n"/>
      <c r="AI258" s="60" t="n"/>
      <c r="AJ258" s="60" t="n"/>
      <c r="AK258" s="60" t="n"/>
      <c r="AL258" s="60" t="n"/>
      <c r="AM258" s="60" t="n"/>
      <c r="AN258" s="60" t="n"/>
      <c r="AO258" s="60" t="n"/>
      <c r="AP258" s="60" t="n"/>
      <c r="AQ258" s="60" t="n"/>
      <c r="AR258" s="60" t="n"/>
      <c r="AS258" s="60" t="n"/>
      <c r="AT258" s="60" t="n"/>
      <c r="AU258" s="60" t="n"/>
      <c r="AV258" s="60" t="n"/>
      <c r="AW258" s="60" t="n"/>
      <c r="AX258" s="60" t="n"/>
      <c r="AY258" s="60" t="n"/>
      <c r="AZ258" s="60" t="n"/>
      <c r="BA258" s="60" t="n"/>
      <c r="BB258" s="60" t="n"/>
      <c r="BC258" s="60" t="n"/>
      <c r="BD258" s="60" t="n"/>
      <c r="BE258" s="60" t="n"/>
      <c r="BF258" s="60" t="n"/>
      <c r="BG258" s="60" t="n"/>
      <c r="BH258" s="60" t="n"/>
      <c r="BI258" s="60" t="n"/>
      <c r="BJ258" s="60" t="n"/>
      <c r="BK258" s="60" t="n"/>
      <c r="BL258" s="60" t="n"/>
      <c r="BM258" s="60" t="n"/>
      <c r="BN258" s="60" t="n"/>
      <c r="BO258" s="60" t="n"/>
      <c r="BP258" s="60" t="n"/>
      <c r="BQ258" s="60" t="n"/>
      <c r="BR258" s="60" t="n"/>
      <c r="BS258" s="60" t="n"/>
      <c r="BT258" s="60" t="n"/>
      <c r="BU258" s="60" t="n"/>
      <c r="BV258" s="60" t="n"/>
      <c r="BW258" s="60" t="n"/>
      <c r="BX258" s="60" t="n"/>
      <c r="BY258" s="60" t="n"/>
      <c r="BZ258" s="60" t="n"/>
      <c r="CA258" s="60" t="n"/>
      <c r="CB258" s="60" t="n"/>
      <c r="CC258" s="60" t="n"/>
      <c r="CD258" s="60" t="n"/>
      <c r="CE258" s="60" t="n"/>
      <c r="CF258" s="60" t="n"/>
      <c r="CG258" s="60" t="n"/>
      <c r="CH258" s="60" t="n"/>
      <c r="CI258" s="60" t="n"/>
      <c r="CJ258" s="60" t="n"/>
      <c r="CK258" s="60" t="n"/>
      <c r="CL258" s="60" t="n"/>
      <c r="CM258" s="60" t="n"/>
      <c r="CN258" s="60" t="n"/>
      <c r="CO258" s="60" t="n"/>
      <c r="CP258" s="60" t="n"/>
      <c r="CQ258" s="60" t="n"/>
      <c r="CR258" s="60" t="n"/>
      <c r="CS258" s="60" t="n"/>
      <c r="CT258" s="60" t="n"/>
      <c r="CU258" s="60" t="n"/>
      <c r="CV258" s="60" t="n"/>
      <c r="CW258" s="60" t="n"/>
      <c r="CX258" s="60" t="n"/>
      <c r="CY258" s="60" t="n"/>
      <c r="CZ258" s="60" t="n"/>
      <c r="DA258" s="60" t="n"/>
      <c r="DB258" s="60" t="n"/>
      <c r="DC258" s="60" t="n"/>
      <c r="DD258" s="60" t="n"/>
      <c r="DE258" s="60" t="n"/>
    </row>
    <row r="259">
      <c r="A259" s="60" t="inlineStr">
        <is>
          <t>Referencia del revendido (no se compra)</t>
        </is>
      </c>
      <c r="B259" s="60" t="inlineStr">
        <is>
          <t>Caja de cartón corrugado simple — 255 × 186 × 500 interior (envolvente del plano + 15 por lado)</t>
        </is>
      </c>
      <c r="C259" s="60" t="inlineStr">
        <is>
          <t>u</t>
        </is>
      </c>
      <c r="D259" s="60" t="inlineStr">
        <is>
          <t>No</t>
        </is>
      </c>
      <c r="E259" s="60" t="n"/>
      <c r="F259" s="60" t="inlineStr">
        <is>
          <t>23 Embalaje</t>
        </is>
      </c>
      <c r="G259" s="60" t="n"/>
      <c r="H259" s="60" t="n"/>
      <c r="I259" s="60" t="n"/>
      <c r="J259" s="60" t="n"/>
      <c r="K259" s="60" t="n"/>
      <c r="L259" s="60" t="n"/>
      <c r="M259" s="60" t="n"/>
      <c r="N259" s="60" t="n">
        <v>1</v>
      </c>
      <c r="O259" s="60" t="n"/>
      <c r="P259" s="60" t="n"/>
      <c r="Q259" s="60" t="n"/>
      <c r="R259" s="60" t="n">
        <v>1</v>
      </c>
      <c r="S259" s="60" t="n"/>
      <c r="T259" s="60" t="n"/>
      <c r="U259" s="60" t="n"/>
      <c r="V259" s="60" t="n"/>
      <c r="W259" s="60" t="n"/>
      <c r="X259" s="60" t="n"/>
      <c r="Y259" s="60" t="n"/>
      <c r="Z259" s="60" t="n"/>
      <c r="AA259" s="60" t="n"/>
      <c r="AB259" s="60" t="n"/>
      <c r="AC259" s="60" t="n"/>
      <c r="AD259" s="60" t="n"/>
      <c r="AE259" s="60" t="n"/>
      <c r="AF259" s="60" t="n"/>
      <c r="AG259" s="60" t="n"/>
      <c r="AH259" s="60" t="n"/>
      <c r="AI259" s="60" t="n"/>
      <c r="AJ259" s="60" t="n"/>
      <c r="AK259" s="60" t="n"/>
      <c r="AL259" s="60" t="n"/>
      <c r="AM259" s="60" t="n"/>
      <c r="AN259" s="60" t="n"/>
      <c r="AO259" s="60" t="n"/>
      <c r="AP259" s="60" t="n"/>
      <c r="AQ259" s="60" t="n"/>
      <c r="AR259" s="60" t="n"/>
      <c r="AS259" s="60" t="n"/>
      <c r="AT259" s="60" t="n"/>
      <c r="AU259" s="60" t="n"/>
      <c r="AV259" s="60" t="n"/>
      <c r="AW259" s="60" t="n"/>
      <c r="AX259" s="60" t="n"/>
      <c r="AY259" s="60" t="n"/>
      <c r="AZ259" s="60" t="n"/>
      <c r="BA259" s="60" t="n"/>
      <c r="BB259" s="60" t="n"/>
      <c r="BC259" s="60" t="n"/>
      <c r="BD259" s="60" t="n"/>
      <c r="BE259" s="60" t="n"/>
      <c r="BF259" s="60" t="n"/>
      <c r="BG259" s="60" t="n"/>
      <c r="BH259" s="60" t="n"/>
      <c r="BI259" s="60" t="n"/>
      <c r="BJ259" s="60" t="n"/>
      <c r="BK259" s="60" t="n"/>
      <c r="BL259" s="60" t="n"/>
      <c r="BM259" s="60" t="n"/>
      <c r="BN259" s="60" t="n"/>
      <c r="BO259" s="60" t="n"/>
      <c r="BP259" s="60" t="n"/>
      <c r="BQ259" s="60" t="n"/>
      <c r="BR259" s="60" t="n"/>
      <c r="BS259" s="60" t="n"/>
      <c r="BT259" s="60" t="n"/>
      <c r="BU259" s="60" t="n"/>
      <c r="BV259" s="60" t="n"/>
      <c r="BW259" s="60" t="n"/>
      <c r="BX259" s="60" t="n"/>
      <c r="BY259" s="60" t="n"/>
      <c r="BZ259" s="60" t="n"/>
      <c r="CA259" s="60" t="n"/>
      <c r="CB259" s="60" t="n"/>
      <c r="CC259" s="60" t="n"/>
      <c r="CD259" s="60" t="n"/>
      <c r="CE259" s="60" t="n"/>
      <c r="CF259" s="60" t="n"/>
      <c r="CG259" s="60" t="n"/>
      <c r="CH259" s="60" t="n"/>
      <c r="CI259" s="60" t="n"/>
      <c r="CJ259" s="60" t="n"/>
      <c r="CK259" s="60" t="n"/>
      <c r="CL259" s="60" t="n"/>
      <c r="CM259" s="60" t="n"/>
      <c r="CN259" s="60" t="n"/>
      <c r="CO259" s="60" t="n"/>
      <c r="CP259" s="60" t="n"/>
      <c r="CQ259" s="60" t="n"/>
      <c r="CR259" s="60" t="n"/>
      <c r="CS259" s="60" t="n"/>
      <c r="CT259" s="60" t="n"/>
      <c r="CU259" s="60" t="n"/>
      <c r="CV259" s="60" t="n"/>
      <c r="CW259" s="60" t="n"/>
      <c r="CX259" s="60" t="n"/>
      <c r="CY259" s="60" t="n"/>
      <c r="CZ259" s="60" t="n"/>
      <c r="DA259" s="60" t="n"/>
      <c r="DB259" s="60" t="n"/>
      <c r="DC259" s="60" t="n"/>
      <c r="DD259" s="60" t="n"/>
      <c r="DE259" s="60" t="n"/>
    </row>
    <row r="260">
      <c r="A260" s="60" t="inlineStr">
        <is>
          <t>Referencia del revendido (no se compra)</t>
        </is>
      </c>
      <c r="B260" s="60" t="inlineStr">
        <is>
          <t>Caño de pesca (sifón) — Ø10 × 375,8 de largo</t>
        </is>
      </c>
      <c r="C260" s="60" t="inlineStr">
        <is>
          <t>u</t>
        </is>
      </c>
      <c r="D260" s="60" t="inlineStr">
        <is>
          <t>No</t>
        </is>
      </c>
      <c r="E260" s="60" t="n"/>
      <c r="F260" s="60" t="inlineStr">
        <is>
          <t>S4 - se compra terminado (tercerizado con sello IRAM)</t>
        </is>
      </c>
      <c r="G260" s="60" t="n"/>
      <c r="H260" s="60" t="n"/>
      <c r="I260" s="60" t="n"/>
      <c r="J260" s="60" t="n"/>
      <c r="K260" s="60" t="n"/>
      <c r="L260" s="60" t="n"/>
      <c r="M260" s="60" t="n"/>
      <c r="N260" s="60" t="n"/>
      <c r="O260" s="60" t="n"/>
      <c r="P260" s="60" t="n">
        <v>1</v>
      </c>
      <c r="Q260" s="60" t="n"/>
      <c r="R260" s="60" t="n"/>
      <c r="S260" s="60" t="n"/>
      <c r="T260" s="60" t="n"/>
      <c r="U260" s="60" t="n"/>
      <c r="V260" s="60" t="n"/>
      <c r="W260" s="60" t="n"/>
      <c r="X260" s="60" t="n"/>
      <c r="Y260" s="60" t="n"/>
      <c r="Z260" s="60" t="n"/>
      <c r="AA260" s="60" t="n"/>
      <c r="AB260" s="60" t="n"/>
      <c r="AC260" s="60" t="n"/>
      <c r="AD260" s="60" t="n"/>
      <c r="AE260" s="60" t="n"/>
      <c r="AF260" s="60" t="n"/>
      <c r="AG260" s="60" t="n"/>
      <c r="AH260" s="60" t="n"/>
      <c r="AI260" s="60" t="n"/>
      <c r="AJ260" s="60" t="n"/>
      <c r="AK260" s="60" t="n"/>
      <c r="AL260" s="60" t="n"/>
      <c r="AM260" s="60" t="n"/>
      <c r="AN260" s="60" t="n"/>
      <c r="AO260" s="60" t="n"/>
      <c r="AP260" s="60" t="n"/>
      <c r="AQ260" s="60" t="n"/>
      <c r="AR260" s="60" t="n"/>
      <c r="AS260" s="60" t="n"/>
      <c r="AT260" s="60" t="n"/>
      <c r="AU260" s="60" t="n"/>
      <c r="AV260" s="60" t="n"/>
      <c r="AW260" s="60" t="n"/>
      <c r="AX260" s="60" t="n"/>
      <c r="AY260" s="60" t="n"/>
      <c r="AZ260" s="60" t="n"/>
      <c r="BA260" s="60" t="n"/>
      <c r="BB260" s="60" t="n"/>
      <c r="BC260" s="60" t="n"/>
      <c r="BD260" s="60" t="n"/>
      <c r="BE260" s="60" t="n"/>
      <c r="BF260" s="60" t="n"/>
      <c r="BG260" s="60" t="n"/>
      <c r="BH260" s="60" t="n"/>
      <c r="BI260" s="60" t="n"/>
      <c r="BJ260" s="60" t="n"/>
      <c r="BK260" s="60" t="n"/>
      <c r="BL260" s="60" t="n"/>
      <c r="BM260" s="60" t="n"/>
      <c r="BN260" s="60" t="n"/>
      <c r="BO260" s="60" t="n"/>
      <c r="BP260" s="60" t="n"/>
      <c r="BQ260" s="60" t="n"/>
      <c r="BR260" s="60" t="n"/>
      <c r="BS260" s="60" t="n"/>
      <c r="BT260" s="60" t="n"/>
      <c r="BU260" s="60" t="n"/>
      <c r="BV260" s="60" t="n"/>
      <c r="BW260" s="60" t="n"/>
      <c r="BX260" s="60" t="n"/>
      <c r="BY260" s="60" t="n"/>
      <c r="BZ260" s="60" t="n"/>
      <c r="CA260" s="60" t="n"/>
      <c r="CB260" s="60" t="n"/>
      <c r="CC260" s="60" t="n"/>
      <c r="CD260" s="60" t="n"/>
      <c r="CE260" s="60" t="n"/>
      <c r="CF260" s="60" t="n"/>
      <c r="CG260" s="60" t="n"/>
      <c r="CH260" s="60" t="n"/>
      <c r="CI260" s="60" t="n"/>
      <c r="CJ260" s="60" t="n"/>
      <c r="CK260" s="60" t="n"/>
      <c r="CL260" s="60" t="n"/>
      <c r="CM260" s="60" t="n"/>
      <c r="CN260" s="60" t="n"/>
      <c r="CO260" s="60" t="n"/>
      <c r="CP260" s="60" t="n"/>
      <c r="CQ260" s="60" t="n"/>
      <c r="CR260" s="60" t="n"/>
      <c r="CS260" s="60" t="n"/>
      <c r="CT260" s="60" t="n"/>
      <c r="CU260" s="60" t="n"/>
      <c r="CV260" s="60" t="n"/>
      <c r="CW260" s="60" t="n"/>
      <c r="CX260" s="60" t="n"/>
      <c r="CY260" s="60" t="n"/>
      <c r="CZ260" s="60" t="n"/>
      <c r="DA260" s="60" t="n"/>
      <c r="DB260" s="60" t="n"/>
      <c r="DC260" s="60" t="n"/>
      <c r="DD260" s="60" t="n"/>
      <c r="DE260" s="60" t="n"/>
    </row>
    <row r="261">
      <c r="A261" s="60" t="inlineStr">
        <is>
          <t>Referencia del revendido (no se compra)</t>
        </is>
      </c>
      <c r="B261" s="60" t="inlineStr">
        <is>
          <t>Caño de pesca (sifón) — Ø10 × 645,4 de largo</t>
        </is>
      </c>
      <c r="C261" s="60" t="inlineStr">
        <is>
          <t>u</t>
        </is>
      </c>
      <c r="D261" s="60" t="inlineStr">
        <is>
          <t>No</t>
        </is>
      </c>
      <c r="E261" s="60" t="n"/>
      <c r="F261" s="60" t="inlineStr">
        <is>
          <t>S4 - se compra terminado (tercerizado con sello IRAM)</t>
        </is>
      </c>
      <c r="G261" s="60" t="n"/>
      <c r="H261" s="60" t="n"/>
      <c r="I261" s="60" t="n"/>
      <c r="J261" s="60" t="n"/>
      <c r="K261" s="60" t="n"/>
      <c r="L261" s="60" t="n"/>
      <c r="M261" s="60" t="n"/>
      <c r="N261" s="60" t="n"/>
      <c r="O261" s="60" t="n"/>
      <c r="P261" s="60" t="n"/>
      <c r="Q261" s="60" t="n">
        <v>1</v>
      </c>
      <c r="R261" s="60" t="n"/>
      <c r="S261" s="60" t="n"/>
      <c r="T261" s="60" t="n"/>
      <c r="U261" s="60" t="n"/>
      <c r="V261" s="60" t="n"/>
      <c r="W261" s="60" t="n"/>
      <c r="X261" s="60" t="n"/>
      <c r="Y261" s="60" t="n"/>
      <c r="Z261" s="60" t="n"/>
      <c r="AA261" s="60" t="n"/>
      <c r="AB261" s="60" t="n"/>
      <c r="AC261" s="60" t="n"/>
      <c r="AD261" s="60" t="n"/>
      <c r="AE261" s="60" t="n"/>
      <c r="AF261" s="60" t="n"/>
      <c r="AG261" s="60" t="n"/>
      <c r="AH261" s="60" t="n"/>
      <c r="AI261" s="60" t="n"/>
      <c r="AJ261" s="60" t="n"/>
      <c r="AK261" s="60" t="n"/>
      <c r="AL261" s="60" t="n"/>
      <c r="AM261" s="60" t="n"/>
      <c r="AN261" s="60" t="n"/>
      <c r="AO261" s="60" t="n"/>
      <c r="AP261" s="60" t="n"/>
      <c r="AQ261" s="60" t="n"/>
      <c r="AR261" s="60" t="n"/>
      <c r="AS261" s="60" t="n"/>
      <c r="AT261" s="60" t="n"/>
      <c r="AU261" s="60" t="n"/>
      <c r="AV261" s="60" t="n"/>
      <c r="AW261" s="60" t="n"/>
      <c r="AX261" s="60" t="n"/>
      <c r="AY261" s="60" t="n"/>
      <c r="AZ261" s="60" t="n"/>
      <c r="BA261" s="60" t="n"/>
      <c r="BB261" s="60" t="n"/>
      <c r="BC261" s="60" t="n"/>
      <c r="BD261" s="60" t="n"/>
      <c r="BE261" s="60" t="n"/>
      <c r="BF261" s="60" t="n"/>
      <c r="BG261" s="60" t="n"/>
      <c r="BH261" s="60" t="n"/>
      <c r="BI261" s="60" t="n"/>
      <c r="BJ261" s="60" t="n"/>
      <c r="BK261" s="60" t="n"/>
      <c r="BL261" s="60" t="n"/>
      <c r="BM261" s="60" t="n"/>
      <c r="BN261" s="60" t="n"/>
      <c r="BO261" s="60" t="n"/>
      <c r="BP261" s="60" t="n"/>
      <c r="BQ261" s="60" t="n"/>
      <c r="BR261" s="60" t="n"/>
      <c r="BS261" s="60" t="n"/>
      <c r="BT261" s="60" t="n"/>
      <c r="BU261" s="60" t="n"/>
      <c r="BV261" s="60" t="n"/>
      <c r="BW261" s="60" t="n"/>
      <c r="BX261" s="60" t="n"/>
      <c r="BY261" s="60" t="n"/>
      <c r="BZ261" s="60" t="n"/>
      <c r="CA261" s="60" t="n"/>
      <c r="CB261" s="60" t="n"/>
      <c r="CC261" s="60" t="n"/>
      <c r="CD261" s="60" t="n"/>
      <c r="CE261" s="60" t="n"/>
      <c r="CF261" s="60" t="n"/>
      <c r="CG261" s="60" t="n"/>
      <c r="CH261" s="60" t="n"/>
      <c r="CI261" s="60" t="n"/>
      <c r="CJ261" s="60" t="n"/>
      <c r="CK261" s="60" t="n"/>
      <c r="CL261" s="60" t="n"/>
      <c r="CM261" s="60" t="n"/>
      <c r="CN261" s="60" t="n"/>
      <c r="CO261" s="60" t="n"/>
      <c r="CP261" s="60" t="n"/>
      <c r="CQ261" s="60" t="n"/>
      <c r="CR261" s="60" t="n"/>
      <c r="CS261" s="60" t="n"/>
      <c r="CT261" s="60" t="n"/>
      <c r="CU261" s="60" t="n"/>
      <c r="CV261" s="60" t="n"/>
      <c r="CW261" s="60" t="n"/>
      <c r="CX261" s="60" t="n"/>
      <c r="CY261" s="60" t="n"/>
      <c r="CZ261" s="60" t="n"/>
      <c r="DA261" s="60" t="n"/>
      <c r="DB261" s="60" t="n"/>
      <c r="DC261" s="60" t="n"/>
      <c r="DD261" s="60" t="n"/>
      <c r="DE261" s="60" t="n"/>
    </row>
    <row r="262">
      <c r="A262" s="60" t="inlineStr">
        <is>
          <t>Referencia del revendido (no se compra)</t>
        </is>
      </c>
      <c r="B262" s="60" t="inlineStr">
        <is>
          <t>Caño de pesca (sifón) — Ø12 × 334,2 de largo</t>
        </is>
      </c>
      <c r="C262" s="60" t="inlineStr">
        <is>
          <t>u</t>
        </is>
      </c>
      <c r="D262" s="60" t="inlineStr">
        <is>
          <t>No</t>
        </is>
      </c>
      <c r="E262" s="60" t="n"/>
      <c r="F262" s="60" t="inlineStr">
        <is>
          <t>S4 - se compra terminado (tercerizado con sello IRAM)</t>
        </is>
      </c>
      <c r="G262" s="60" t="n"/>
      <c r="H262" s="60" t="n"/>
      <c r="I262" s="60" t="n"/>
      <c r="J262" s="60" t="n"/>
      <c r="K262" s="60" t="n"/>
      <c r="L262" s="60" t="n"/>
      <c r="M262" s="60" t="n"/>
      <c r="N262" s="60" t="n"/>
      <c r="O262" s="60" t="n">
        <v>1</v>
      </c>
      <c r="P262" s="60" t="n"/>
      <c r="Q262" s="60" t="n"/>
      <c r="R262" s="60" t="n"/>
      <c r="S262" s="60" t="n"/>
      <c r="T262" s="60" t="n"/>
      <c r="U262" s="60" t="n"/>
      <c r="V262" s="60" t="n"/>
      <c r="W262" s="60" t="n"/>
      <c r="X262" s="60" t="n"/>
      <c r="Y262" s="60" t="n"/>
      <c r="Z262" s="60" t="n"/>
      <c r="AA262" s="60" t="n"/>
      <c r="AB262" s="60" t="n"/>
      <c r="AC262" s="60" t="n"/>
      <c r="AD262" s="60" t="n"/>
      <c r="AE262" s="60" t="n"/>
      <c r="AF262" s="60" t="n"/>
      <c r="AG262" s="60" t="n"/>
      <c r="AH262" s="60" t="n"/>
      <c r="AI262" s="60" t="n"/>
      <c r="AJ262" s="60" t="n"/>
      <c r="AK262" s="60" t="n"/>
      <c r="AL262" s="60" t="n"/>
      <c r="AM262" s="60" t="n"/>
      <c r="AN262" s="60" t="n"/>
      <c r="AO262" s="60" t="n"/>
      <c r="AP262" s="60" t="n"/>
      <c r="AQ262" s="60" t="n"/>
      <c r="AR262" s="60" t="n"/>
      <c r="AS262" s="60" t="n"/>
      <c r="AT262" s="60" t="n"/>
      <c r="AU262" s="60" t="n"/>
      <c r="AV262" s="60" t="n"/>
      <c r="AW262" s="60" t="n"/>
      <c r="AX262" s="60" t="n"/>
      <c r="AY262" s="60" t="n"/>
      <c r="AZ262" s="60" t="n"/>
      <c r="BA262" s="60" t="n"/>
      <c r="BB262" s="60" t="n"/>
      <c r="BC262" s="60" t="n"/>
      <c r="BD262" s="60" t="n"/>
      <c r="BE262" s="60" t="n"/>
      <c r="BF262" s="60" t="n"/>
      <c r="BG262" s="60" t="n"/>
      <c r="BH262" s="60" t="n"/>
      <c r="BI262" s="60" t="n"/>
      <c r="BJ262" s="60" t="n"/>
      <c r="BK262" s="60" t="n"/>
      <c r="BL262" s="60" t="n"/>
      <c r="BM262" s="60" t="n"/>
      <c r="BN262" s="60" t="n"/>
      <c r="BO262" s="60" t="n"/>
      <c r="BP262" s="60" t="n"/>
      <c r="BQ262" s="60" t="n"/>
      <c r="BR262" s="60" t="n"/>
      <c r="BS262" s="60" t="n"/>
      <c r="BT262" s="60" t="n"/>
      <c r="BU262" s="60" t="n"/>
      <c r="BV262" s="60" t="n"/>
      <c r="BW262" s="60" t="n"/>
      <c r="BX262" s="60" t="n"/>
      <c r="BY262" s="60" t="n"/>
      <c r="BZ262" s="60" t="n"/>
      <c r="CA262" s="60" t="n"/>
      <c r="CB262" s="60" t="n"/>
      <c r="CC262" s="60" t="n"/>
      <c r="CD262" s="60" t="n"/>
      <c r="CE262" s="60" t="n"/>
      <c r="CF262" s="60" t="n"/>
      <c r="CG262" s="60" t="n"/>
      <c r="CH262" s="60" t="n"/>
      <c r="CI262" s="60" t="n"/>
      <c r="CJ262" s="60" t="n"/>
      <c r="CK262" s="60" t="n"/>
      <c r="CL262" s="60" t="n"/>
      <c r="CM262" s="60" t="n"/>
      <c r="CN262" s="60" t="n"/>
      <c r="CO262" s="60" t="n"/>
      <c r="CP262" s="60" t="n"/>
      <c r="CQ262" s="60" t="n"/>
      <c r="CR262" s="60" t="n"/>
      <c r="CS262" s="60" t="n"/>
      <c r="CT262" s="60" t="n"/>
      <c r="CU262" s="60" t="n"/>
      <c r="CV262" s="60" t="n"/>
      <c r="CW262" s="60" t="n"/>
      <c r="CX262" s="60" t="n"/>
      <c r="CY262" s="60" t="n"/>
      <c r="CZ262" s="60" t="n"/>
      <c r="DA262" s="60" t="n"/>
      <c r="DB262" s="60" t="n"/>
      <c r="DC262" s="60" t="n"/>
      <c r="DD262" s="60" t="n"/>
      <c r="DE262" s="60" t="n"/>
    </row>
    <row r="263">
      <c r="A263" s="60" t="inlineStr">
        <is>
          <t>Referencia del revendido (no se compra)</t>
        </is>
      </c>
      <c r="B263" s="60" t="inlineStr">
        <is>
          <t>Caño de pesca (sifón) — Ø12 × 514,2 de largo</t>
        </is>
      </c>
      <c r="C263" s="60" t="inlineStr">
        <is>
          <t>u</t>
        </is>
      </c>
      <c r="D263" s="60" t="inlineStr">
        <is>
          <t>No</t>
        </is>
      </c>
      <c r="E263" s="60" t="n"/>
      <c r="F263" s="60" t="inlineStr">
        <is>
          <t>S4 - se compra terminado (tercerizado con sello IRAM)</t>
        </is>
      </c>
      <c r="G263" s="60" t="n"/>
      <c r="H263" s="60" t="n"/>
      <c r="I263" s="60" t="n"/>
      <c r="J263" s="60" t="n"/>
      <c r="K263" s="60" t="n">
        <v>1</v>
      </c>
      <c r="L263" s="60" t="n">
        <v>1</v>
      </c>
      <c r="M263" s="60" t="n"/>
      <c r="N263" s="60" t="n"/>
      <c r="O263" s="60" t="n"/>
      <c r="P263" s="60" t="n"/>
      <c r="Q263" s="60" t="n"/>
      <c r="R263" s="60" t="n"/>
      <c r="S263" s="60" t="n"/>
      <c r="T263" s="60" t="n"/>
      <c r="U263" s="60" t="n"/>
      <c r="V263" s="60" t="n"/>
      <c r="W263" s="60" t="n"/>
      <c r="X263" s="60" t="n"/>
      <c r="Y263" s="60" t="n"/>
      <c r="Z263" s="60" t="n"/>
      <c r="AA263" s="60" t="n"/>
      <c r="AB263" s="60" t="n"/>
      <c r="AC263" s="60" t="n"/>
      <c r="AD263" s="60" t="n"/>
      <c r="AE263" s="60" t="n"/>
      <c r="AF263" s="60" t="n"/>
      <c r="AG263" s="60" t="n"/>
      <c r="AH263" s="60" t="n"/>
      <c r="AI263" s="60" t="n"/>
      <c r="AJ263" s="60" t="n"/>
      <c r="AK263" s="60" t="n"/>
      <c r="AL263" s="60" t="n"/>
      <c r="AM263" s="60" t="n"/>
      <c r="AN263" s="60" t="n"/>
      <c r="AO263" s="60" t="n"/>
      <c r="AP263" s="60" t="n"/>
      <c r="AQ263" s="60" t="n"/>
      <c r="AR263" s="60" t="n"/>
      <c r="AS263" s="60" t="n"/>
      <c r="AT263" s="60" t="n"/>
      <c r="AU263" s="60" t="n"/>
      <c r="AV263" s="60" t="n"/>
      <c r="AW263" s="60" t="n"/>
      <c r="AX263" s="60" t="n"/>
      <c r="AY263" s="60" t="n"/>
      <c r="AZ263" s="60" t="n"/>
      <c r="BA263" s="60" t="n"/>
      <c r="BB263" s="60" t="n"/>
      <c r="BC263" s="60" t="n"/>
      <c r="BD263" s="60" t="n"/>
      <c r="BE263" s="60" t="n"/>
      <c r="BF263" s="60" t="n"/>
      <c r="BG263" s="60" t="n"/>
      <c r="BH263" s="60" t="n"/>
      <c r="BI263" s="60" t="n"/>
      <c r="BJ263" s="60" t="n"/>
      <c r="BK263" s="60" t="n"/>
      <c r="BL263" s="60" t="n"/>
      <c r="BM263" s="60" t="n"/>
      <c r="BN263" s="60" t="n"/>
      <c r="BO263" s="60" t="n"/>
      <c r="BP263" s="60" t="n"/>
      <c r="BQ263" s="60" t="n"/>
      <c r="BR263" s="60" t="n"/>
      <c r="BS263" s="60" t="n"/>
      <c r="BT263" s="60" t="n"/>
      <c r="BU263" s="60" t="n"/>
      <c r="BV263" s="60" t="n"/>
      <c r="BW263" s="60" t="n"/>
      <c r="BX263" s="60" t="n"/>
      <c r="BY263" s="60" t="n"/>
      <c r="BZ263" s="60" t="n"/>
      <c r="CA263" s="60" t="n"/>
      <c r="CB263" s="60" t="n"/>
      <c r="CC263" s="60" t="n"/>
      <c r="CD263" s="60" t="n"/>
      <c r="CE263" s="60" t="n"/>
      <c r="CF263" s="60" t="n"/>
      <c r="CG263" s="60" t="n"/>
      <c r="CH263" s="60" t="n"/>
      <c r="CI263" s="60" t="n"/>
      <c r="CJ263" s="60" t="n"/>
      <c r="CK263" s="60" t="n"/>
      <c r="CL263" s="60" t="n"/>
      <c r="CM263" s="60" t="n"/>
      <c r="CN263" s="60" t="n"/>
      <c r="CO263" s="60" t="n"/>
      <c r="CP263" s="60" t="n"/>
      <c r="CQ263" s="60" t="n"/>
      <c r="CR263" s="60" t="n"/>
      <c r="CS263" s="60" t="n"/>
      <c r="CT263" s="60" t="n"/>
      <c r="CU263" s="60" t="n"/>
      <c r="CV263" s="60" t="n"/>
      <c r="CW263" s="60" t="n"/>
      <c r="CX263" s="60" t="n"/>
      <c r="CY263" s="60" t="n"/>
      <c r="CZ263" s="60" t="n"/>
      <c r="DA263" s="60" t="n"/>
      <c r="DB263" s="60" t="n"/>
      <c r="DC263" s="60" t="n"/>
      <c r="DD263" s="60" t="n"/>
      <c r="DE263" s="60" t="n"/>
    </row>
    <row r="264">
      <c r="A264" s="60" t="inlineStr">
        <is>
          <t>Referencia del revendido (no se compra)</t>
        </is>
      </c>
      <c r="B264" s="60" t="inlineStr">
        <is>
          <t>Caño de pesca (sifón) — Ø24 × 734,3 de largo</t>
        </is>
      </c>
      <c r="C264" s="60" t="inlineStr">
        <is>
          <t>u</t>
        </is>
      </c>
      <c r="D264" s="60" t="inlineStr">
        <is>
          <t>No</t>
        </is>
      </c>
      <c r="E264" s="60" t="n"/>
      <c r="F264" s="60" t="inlineStr">
        <is>
          <t>S4 - se compra terminado (tercerizado con sello IRAM)</t>
        </is>
      </c>
      <c r="G264" s="60" t="n"/>
      <c r="H264" s="60" t="n"/>
      <c r="I264" s="60" t="n"/>
      <c r="J264" s="60" t="n"/>
      <c r="K264" s="60" t="n"/>
      <c r="L264" s="60" t="n"/>
      <c r="M264" s="60" t="n">
        <v>1</v>
      </c>
      <c r="N264" s="60" t="n"/>
      <c r="O264" s="60" t="n"/>
      <c r="P264" s="60" t="n"/>
      <c r="Q264" s="60" t="n"/>
      <c r="R264" s="60" t="n"/>
      <c r="S264" s="60" t="n"/>
      <c r="T264" s="60" t="n"/>
      <c r="U264" s="60" t="n">
        <v>1</v>
      </c>
      <c r="V264" s="60" t="n"/>
      <c r="W264" s="60" t="n"/>
      <c r="X264" s="60" t="n"/>
      <c r="Y264" s="60" t="n"/>
      <c r="Z264" s="60" t="n"/>
      <c r="AA264" s="60" t="n"/>
      <c r="AB264" s="60" t="n"/>
      <c r="AC264" s="60" t="n"/>
      <c r="AD264" s="60" t="n"/>
      <c r="AE264" s="60" t="n"/>
      <c r="AF264" s="60" t="n"/>
      <c r="AG264" s="60" t="n"/>
      <c r="AH264" s="60" t="n"/>
      <c r="AI264" s="60" t="n"/>
      <c r="AJ264" s="60" t="n"/>
      <c r="AK264" s="60" t="n"/>
      <c r="AL264" s="60" t="n"/>
      <c r="AM264" s="60" t="n"/>
      <c r="AN264" s="60" t="n"/>
      <c r="AO264" s="60" t="n"/>
      <c r="AP264" s="60" t="n"/>
      <c r="AQ264" s="60" t="n"/>
      <c r="AR264" s="60" t="n"/>
      <c r="AS264" s="60" t="n"/>
      <c r="AT264" s="60" t="n"/>
      <c r="AU264" s="60" t="n"/>
      <c r="AV264" s="60" t="n"/>
      <c r="AW264" s="60" t="n"/>
      <c r="AX264" s="60" t="n"/>
      <c r="AY264" s="60" t="n"/>
      <c r="AZ264" s="60" t="n"/>
      <c r="BA264" s="60" t="n"/>
      <c r="BB264" s="60" t="n"/>
      <c r="BC264" s="60" t="n"/>
      <c r="BD264" s="60" t="n"/>
      <c r="BE264" s="60" t="n"/>
      <c r="BF264" s="60" t="n"/>
      <c r="BG264" s="60" t="n"/>
      <c r="BH264" s="60" t="n"/>
      <c r="BI264" s="60" t="n"/>
      <c r="BJ264" s="60" t="n"/>
      <c r="BK264" s="60" t="n"/>
      <c r="BL264" s="60" t="n"/>
      <c r="BM264" s="60" t="n"/>
      <c r="BN264" s="60" t="n"/>
      <c r="BO264" s="60" t="n"/>
      <c r="BP264" s="60" t="n"/>
      <c r="BQ264" s="60" t="n"/>
      <c r="BR264" s="60" t="n"/>
      <c r="BS264" s="60" t="n"/>
      <c r="BT264" s="60" t="n"/>
      <c r="BU264" s="60" t="n"/>
      <c r="BV264" s="60" t="n"/>
      <c r="BW264" s="60" t="n"/>
      <c r="BX264" s="60" t="n"/>
      <c r="BY264" s="60" t="n"/>
      <c r="BZ264" s="60" t="n"/>
      <c r="CA264" s="60" t="n"/>
      <c r="CB264" s="60" t="n"/>
      <c r="CC264" s="60" t="n"/>
      <c r="CD264" s="60" t="n"/>
      <c r="CE264" s="60" t="n"/>
      <c r="CF264" s="60" t="n"/>
      <c r="CG264" s="60" t="n"/>
      <c r="CH264" s="60" t="n"/>
      <c r="CI264" s="60" t="n"/>
      <c r="CJ264" s="60" t="n"/>
      <c r="CK264" s="60" t="n"/>
      <c r="CL264" s="60" t="n"/>
      <c r="CM264" s="60" t="n"/>
      <c r="CN264" s="60" t="n"/>
      <c r="CO264" s="60" t="n"/>
      <c r="CP264" s="60" t="n"/>
      <c r="CQ264" s="60" t="n"/>
      <c r="CR264" s="60" t="n"/>
      <c r="CS264" s="60" t="n"/>
      <c r="CT264" s="60" t="n"/>
      <c r="CU264" s="60" t="n"/>
      <c r="CV264" s="60" t="n"/>
      <c r="CW264" s="60" t="n"/>
      <c r="CX264" s="60" t="n"/>
      <c r="CY264" s="60" t="n"/>
      <c r="CZ264" s="60" t="n"/>
      <c r="DA264" s="60" t="n"/>
      <c r="DB264" s="60" t="n"/>
      <c r="DC264" s="60" t="n"/>
      <c r="DD264" s="60" t="n"/>
      <c r="DE264" s="60" t="n"/>
    </row>
    <row r="265">
      <c r="A265" s="60" t="inlineStr">
        <is>
          <t>Referencia del revendido (no se compra)</t>
        </is>
      </c>
      <c r="B265" s="60" t="inlineStr">
        <is>
          <t>Cilindro sin costura — Cilindro sin costura Ø114 × e5,4 × 411,2 de alto (cuello integral)</t>
        </is>
      </c>
      <c r="C265" s="60" t="inlineStr">
        <is>
          <t>u</t>
        </is>
      </c>
      <c r="D265" s="60" t="inlineStr">
        <is>
          <t>No</t>
        </is>
      </c>
      <c r="E265" s="60" t="n"/>
      <c r="F265" s="60" t="inlineStr">
        <is>
          <t>S4 - se compra terminado (tercerizado con sello IRAM)</t>
        </is>
      </c>
      <c r="G265" s="60" t="n"/>
      <c r="H265" s="60" t="n"/>
      <c r="I265" s="60" t="n"/>
      <c r="J265" s="60" t="n"/>
      <c r="K265" s="60" t="n"/>
      <c r="L265" s="60" t="n"/>
      <c r="M265" s="60" t="n"/>
      <c r="N265" s="60" t="n"/>
      <c r="O265" s="60" t="n"/>
      <c r="P265" s="60" t="n">
        <v>1</v>
      </c>
      <c r="Q265" s="60" t="n"/>
      <c r="R265" s="60" t="n"/>
      <c r="S265" s="60" t="n"/>
      <c r="T265" s="60" t="n"/>
      <c r="U265" s="60" t="n"/>
      <c r="V265" s="60" t="n"/>
      <c r="W265" s="60" t="n"/>
      <c r="X265" s="60" t="n"/>
      <c r="Y265" s="60" t="n"/>
      <c r="Z265" s="60" t="n"/>
      <c r="AA265" s="60" t="n"/>
      <c r="AB265" s="60" t="n"/>
      <c r="AC265" s="60" t="n"/>
      <c r="AD265" s="60" t="n"/>
      <c r="AE265" s="60" t="n"/>
      <c r="AF265" s="60" t="n"/>
      <c r="AG265" s="60" t="n"/>
      <c r="AH265" s="60" t="n"/>
      <c r="AI265" s="60" t="n"/>
      <c r="AJ265" s="60" t="n"/>
      <c r="AK265" s="60" t="n"/>
      <c r="AL265" s="60" t="n"/>
      <c r="AM265" s="60" t="n"/>
      <c r="AN265" s="60" t="n"/>
      <c r="AO265" s="60" t="n"/>
      <c r="AP265" s="60" t="n"/>
      <c r="AQ265" s="60" t="n"/>
      <c r="AR265" s="60" t="n"/>
      <c r="AS265" s="60" t="n"/>
      <c r="AT265" s="60" t="n"/>
      <c r="AU265" s="60" t="n"/>
      <c r="AV265" s="60" t="n"/>
      <c r="AW265" s="60" t="n"/>
      <c r="AX265" s="60" t="n"/>
      <c r="AY265" s="60" t="n"/>
      <c r="AZ265" s="60" t="n"/>
      <c r="BA265" s="60" t="n"/>
      <c r="BB265" s="60" t="n"/>
      <c r="BC265" s="60" t="n"/>
      <c r="BD265" s="60" t="n"/>
      <c r="BE265" s="60" t="n"/>
      <c r="BF265" s="60" t="n"/>
      <c r="BG265" s="60" t="n"/>
      <c r="BH265" s="60" t="n"/>
      <c r="BI265" s="60" t="n"/>
      <c r="BJ265" s="60" t="n"/>
      <c r="BK265" s="60" t="n"/>
      <c r="BL265" s="60" t="n"/>
      <c r="BM265" s="60" t="n"/>
      <c r="BN265" s="60" t="n"/>
      <c r="BO265" s="60" t="n"/>
      <c r="BP265" s="60" t="n"/>
      <c r="BQ265" s="60" t="n"/>
      <c r="BR265" s="60" t="n"/>
      <c r="BS265" s="60" t="n"/>
      <c r="BT265" s="60" t="n"/>
      <c r="BU265" s="60" t="n"/>
      <c r="BV265" s="60" t="n"/>
      <c r="BW265" s="60" t="n"/>
      <c r="BX265" s="60" t="n"/>
      <c r="BY265" s="60" t="n"/>
      <c r="BZ265" s="60" t="n"/>
      <c r="CA265" s="60" t="n"/>
      <c r="CB265" s="60" t="n"/>
      <c r="CC265" s="60" t="n"/>
      <c r="CD265" s="60" t="n"/>
      <c r="CE265" s="60" t="n"/>
      <c r="CF265" s="60" t="n"/>
      <c r="CG265" s="60" t="n"/>
      <c r="CH265" s="60" t="n"/>
      <c r="CI265" s="60" t="n"/>
      <c r="CJ265" s="60" t="n"/>
      <c r="CK265" s="60" t="n"/>
      <c r="CL265" s="60" t="n"/>
      <c r="CM265" s="60" t="n"/>
      <c r="CN265" s="60" t="n"/>
      <c r="CO265" s="60" t="n"/>
      <c r="CP265" s="60" t="n"/>
      <c r="CQ265" s="60" t="n"/>
      <c r="CR265" s="60" t="n"/>
      <c r="CS265" s="60" t="n"/>
      <c r="CT265" s="60" t="n"/>
      <c r="CU265" s="60" t="n"/>
      <c r="CV265" s="60" t="n"/>
      <c r="CW265" s="60" t="n"/>
      <c r="CX265" s="60" t="n"/>
      <c r="CY265" s="60" t="n"/>
      <c r="CZ265" s="60" t="n"/>
      <c r="DA265" s="60" t="n"/>
      <c r="DB265" s="60" t="n"/>
      <c r="DC265" s="60" t="n"/>
      <c r="DD265" s="60" t="n"/>
      <c r="DE265" s="60" t="n"/>
    </row>
    <row r="266">
      <c r="A266" s="60" t="inlineStr">
        <is>
          <t>Referencia del revendido (no se compra)</t>
        </is>
      </c>
      <c r="B266" s="60" t="inlineStr">
        <is>
          <t>Cilindro sin costura — Cilindro sin costura Ø140 × e6 × 681,4 de alto (cuello integral)</t>
        </is>
      </c>
      <c r="C266" s="60" t="inlineStr">
        <is>
          <t>u</t>
        </is>
      </c>
      <c r="D266" s="60" t="inlineStr">
        <is>
          <t>No</t>
        </is>
      </c>
      <c r="E266" s="60" t="n"/>
      <c r="F266" s="60" t="inlineStr">
        <is>
          <t>S4 - se compra terminado (tercerizado con sello IRAM)</t>
        </is>
      </c>
      <c r="G266" s="60" t="n"/>
      <c r="H266" s="60" t="n"/>
      <c r="I266" s="60" t="n"/>
      <c r="J266" s="60" t="n"/>
      <c r="K266" s="60" t="n"/>
      <c r="L266" s="60" t="n"/>
      <c r="M266" s="60" t="n"/>
      <c r="N266" s="60" t="n"/>
      <c r="O266" s="60" t="n"/>
      <c r="P266" s="60" t="n"/>
      <c r="Q266" s="60" t="n">
        <v>1</v>
      </c>
      <c r="R266" s="60" t="n"/>
      <c r="S266" s="60" t="n"/>
      <c r="T266" s="60" t="n"/>
      <c r="U266" s="60" t="n"/>
      <c r="V266" s="60" t="n"/>
      <c r="W266" s="60" t="n"/>
      <c r="X266" s="60" t="n"/>
      <c r="Y266" s="60" t="n"/>
      <c r="Z266" s="60" t="n"/>
      <c r="AA266" s="60" t="n"/>
      <c r="AB266" s="60" t="n"/>
      <c r="AC266" s="60" t="n"/>
      <c r="AD266" s="60" t="n"/>
      <c r="AE266" s="60" t="n"/>
      <c r="AF266" s="60" t="n"/>
      <c r="AG266" s="60" t="n"/>
      <c r="AH266" s="60" t="n"/>
      <c r="AI266" s="60" t="n"/>
      <c r="AJ266" s="60" t="n"/>
      <c r="AK266" s="60" t="n"/>
      <c r="AL266" s="60" t="n"/>
      <c r="AM266" s="60" t="n"/>
      <c r="AN266" s="60" t="n"/>
      <c r="AO266" s="60" t="n"/>
      <c r="AP266" s="60" t="n"/>
      <c r="AQ266" s="60" t="n"/>
      <c r="AR266" s="60" t="n"/>
      <c r="AS266" s="60" t="n"/>
      <c r="AT266" s="60" t="n"/>
      <c r="AU266" s="60" t="n"/>
      <c r="AV266" s="60" t="n"/>
      <c r="AW266" s="60" t="n"/>
      <c r="AX266" s="60" t="n"/>
      <c r="AY266" s="60" t="n"/>
      <c r="AZ266" s="60" t="n"/>
      <c r="BA266" s="60" t="n"/>
      <c r="BB266" s="60" t="n"/>
      <c r="BC266" s="60" t="n"/>
      <c r="BD266" s="60" t="n"/>
      <c r="BE266" s="60" t="n"/>
      <c r="BF266" s="60" t="n"/>
      <c r="BG266" s="60" t="n"/>
      <c r="BH266" s="60" t="n"/>
      <c r="BI266" s="60" t="n"/>
      <c r="BJ266" s="60" t="n"/>
      <c r="BK266" s="60" t="n"/>
      <c r="BL266" s="60" t="n"/>
      <c r="BM266" s="60" t="n"/>
      <c r="BN266" s="60" t="n"/>
      <c r="BO266" s="60" t="n"/>
      <c r="BP266" s="60" t="n"/>
      <c r="BQ266" s="60" t="n"/>
      <c r="BR266" s="60" t="n"/>
      <c r="BS266" s="60" t="n"/>
      <c r="BT266" s="60" t="n"/>
      <c r="BU266" s="60" t="n"/>
      <c r="BV266" s="60" t="n"/>
      <c r="BW266" s="60" t="n"/>
      <c r="BX266" s="60" t="n"/>
      <c r="BY266" s="60" t="n"/>
      <c r="BZ266" s="60" t="n"/>
      <c r="CA266" s="60" t="n"/>
      <c r="CB266" s="60" t="n"/>
      <c r="CC266" s="60" t="n"/>
      <c r="CD266" s="60" t="n"/>
      <c r="CE266" s="60" t="n"/>
      <c r="CF266" s="60" t="n"/>
      <c r="CG266" s="60" t="n"/>
      <c r="CH266" s="60" t="n"/>
      <c r="CI266" s="60" t="n"/>
      <c r="CJ266" s="60" t="n"/>
      <c r="CK266" s="60" t="n"/>
      <c r="CL266" s="60" t="n"/>
      <c r="CM266" s="60" t="n"/>
      <c r="CN266" s="60" t="n"/>
      <c r="CO266" s="60" t="n"/>
      <c r="CP266" s="60" t="n"/>
      <c r="CQ266" s="60" t="n"/>
      <c r="CR266" s="60" t="n"/>
      <c r="CS266" s="60" t="n"/>
      <c r="CT266" s="60" t="n"/>
      <c r="CU266" s="60" t="n"/>
      <c r="CV266" s="60" t="n"/>
      <c r="CW266" s="60" t="n"/>
      <c r="CX266" s="60" t="n"/>
      <c r="CY266" s="60" t="n"/>
      <c r="CZ266" s="60" t="n"/>
      <c r="DA266" s="60" t="n"/>
      <c r="DB266" s="60" t="n"/>
      <c r="DC266" s="60" t="n"/>
      <c r="DD266" s="60" t="n"/>
      <c r="DE266" s="60" t="n"/>
    </row>
    <row r="267">
      <c r="A267" s="60" t="inlineStr">
        <is>
          <t>Referencia del revendido (no se compra)</t>
        </is>
      </c>
      <c r="B267" s="60" t="inlineStr">
        <is>
          <t>Cinta de embalaje PP 48 mm (cierre de la caja)</t>
        </is>
      </c>
      <c r="C267" s="60" t="inlineStr">
        <is>
          <t>m</t>
        </is>
      </c>
      <c r="D267" s="60" t="inlineStr">
        <is>
          <t>No</t>
        </is>
      </c>
      <c r="E267" s="60" t="n"/>
      <c r="F267" s="60" t="inlineStr">
        <is>
          <t>23 Embalaje</t>
        </is>
      </c>
      <c r="G267" s="60" t="n"/>
      <c r="H267" s="60" t="n"/>
      <c r="I267" s="60" t="n"/>
      <c r="J267" s="60" t="n"/>
      <c r="K267" s="60" t="n">
        <v>0.82</v>
      </c>
      <c r="L267" s="60" t="n">
        <v>0.82</v>
      </c>
      <c r="M267" s="60" t="n"/>
      <c r="N267" s="60" t="n">
        <v>0.79</v>
      </c>
      <c r="O267" s="60" t="n">
        <v>0.88</v>
      </c>
      <c r="P267" s="60" t="n">
        <v>0.848</v>
      </c>
      <c r="Q267" s="60" t="n">
        <v>0.96</v>
      </c>
      <c r="R267" s="60" t="n">
        <v>0.79</v>
      </c>
      <c r="S267" s="60" t="n">
        <v>0.8</v>
      </c>
      <c r="T267" s="60" t="n"/>
      <c r="U267" s="60" t="n"/>
      <c r="V267" s="60" t="n"/>
      <c r="W267" s="60" t="n"/>
      <c r="X267" s="60" t="n"/>
      <c r="Y267" s="60" t="n"/>
      <c r="Z267" s="60" t="n"/>
      <c r="AA267" s="60" t="n"/>
      <c r="AB267" s="60" t="n"/>
      <c r="AC267" s="60" t="n"/>
      <c r="AD267" s="60" t="n"/>
      <c r="AE267" s="60" t="n"/>
      <c r="AF267" s="60" t="n"/>
      <c r="AG267" s="60" t="n"/>
      <c r="AH267" s="60" t="n"/>
      <c r="AI267" s="60" t="n"/>
      <c r="AJ267" s="60" t="n"/>
      <c r="AK267" s="60" t="n"/>
      <c r="AL267" s="60" t="n"/>
      <c r="AM267" s="60" t="n"/>
      <c r="AN267" s="60" t="n"/>
      <c r="AO267" s="60" t="n"/>
      <c r="AP267" s="60" t="n"/>
      <c r="AQ267" s="60" t="n"/>
      <c r="AR267" s="60" t="n"/>
      <c r="AS267" s="60" t="n"/>
      <c r="AT267" s="60" t="n"/>
      <c r="AU267" s="60" t="n"/>
      <c r="AV267" s="60" t="n"/>
      <c r="AW267" s="60" t="n"/>
      <c r="AX267" s="60" t="n"/>
      <c r="AY267" s="60" t="n"/>
      <c r="AZ267" s="60" t="n"/>
      <c r="BA267" s="60" t="n"/>
      <c r="BB267" s="60" t="n"/>
      <c r="BC267" s="60" t="n"/>
      <c r="BD267" s="60" t="n"/>
      <c r="BE267" s="60" t="n"/>
      <c r="BF267" s="60" t="n"/>
      <c r="BG267" s="60" t="n"/>
      <c r="BH267" s="60" t="n"/>
      <c r="BI267" s="60" t="n"/>
      <c r="BJ267" s="60" t="n"/>
      <c r="BK267" s="60" t="n"/>
      <c r="BL267" s="60" t="n"/>
      <c r="BM267" s="60" t="n"/>
      <c r="BN267" s="60" t="n"/>
      <c r="BO267" s="60" t="n"/>
      <c r="BP267" s="60" t="n"/>
      <c r="BQ267" s="60" t="n"/>
      <c r="BR267" s="60" t="n"/>
      <c r="BS267" s="60" t="n"/>
      <c r="BT267" s="60" t="n"/>
      <c r="BU267" s="60" t="n"/>
      <c r="BV267" s="60" t="n"/>
      <c r="BW267" s="60" t="n"/>
      <c r="BX267" s="60" t="n"/>
      <c r="BY267" s="60" t="n"/>
      <c r="BZ267" s="60" t="n"/>
      <c r="CA267" s="60" t="n"/>
      <c r="CB267" s="60" t="n"/>
      <c r="CC267" s="60" t="n"/>
      <c r="CD267" s="60" t="n"/>
      <c r="CE267" s="60" t="n"/>
      <c r="CF267" s="60" t="n"/>
      <c r="CG267" s="60" t="n"/>
      <c r="CH267" s="60" t="n"/>
      <c r="CI267" s="60" t="n"/>
      <c r="CJ267" s="60" t="n"/>
      <c r="CK267" s="60" t="n"/>
      <c r="CL267" s="60" t="n"/>
      <c r="CM267" s="60" t="n"/>
      <c r="CN267" s="60" t="n"/>
      <c r="CO267" s="60" t="n"/>
      <c r="CP267" s="60" t="n"/>
      <c r="CQ267" s="60" t="n"/>
      <c r="CR267" s="60" t="n"/>
      <c r="CS267" s="60" t="n"/>
      <c r="CT267" s="60" t="n"/>
      <c r="CU267" s="60" t="n"/>
      <c r="CV267" s="60" t="n"/>
      <c r="CW267" s="60" t="n"/>
      <c r="CX267" s="60" t="n"/>
      <c r="CY267" s="60" t="n"/>
      <c r="CZ267" s="60" t="n"/>
      <c r="DA267" s="60" t="n"/>
      <c r="DB267" s="60" t="n"/>
      <c r="DC267" s="60" t="n"/>
      <c r="DD267" s="60" t="n"/>
      <c r="DE267" s="60" t="n"/>
    </row>
    <row r="268">
      <c r="A268" s="60" t="inlineStr">
        <is>
          <t>Referencia del revendido (no se compra)</t>
        </is>
      </c>
      <c r="B268" s="60" t="inlineStr">
        <is>
          <t>Collarín de válvula — 38 × 38 × 10</t>
        </is>
      </c>
      <c r="C268" s="60" t="inlineStr">
        <is>
          <t>u</t>
        </is>
      </c>
      <c r="D268" s="60" t="inlineStr">
        <is>
          <t>No</t>
        </is>
      </c>
      <c r="E268" s="60" t="n"/>
      <c r="F268" s="60" t="inlineStr">
        <is>
          <t>S4 - se compra terminado (tercerizado con sello IRAM)</t>
        </is>
      </c>
      <c r="G268" s="60" t="n"/>
      <c r="H268" s="60" t="n"/>
      <c r="I268" s="60" t="n"/>
      <c r="J268" s="60" t="n"/>
      <c r="K268" s="60" t="n"/>
      <c r="L268" s="60" t="n"/>
      <c r="M268" s="60" t="n"/>
      <c r="N268" s="60" t="n"/>
      <c r="O268" s="60" t="n"/>
      <c r="P268" s="60" t="n">
        <v>1</v>
      </c>
      <c r="Q268" s="60" t="n">
        <v>1</v>
      </c>
      <c r="R268" s="60" t="n"/>
      <c r="S268" s="60" t="n"/>
      <c r="T268" s="60" t="n"/>
      <c r="U268" s="60" t="n"/>
      <c r="V268" s="60" t="n"/>
      <c r="W268" s="60" t="n"/>
      <c r="X268" s="60" t="n"/>
      <c r="Y268" s="60" t="n"/>
      <c r="Z268" s="60" t="n"/>
      <c r="AA268" s="60" t="n"/>
      <c r="AB268" s="60" t="n"/>
      <c r="AC268" s="60" t="n"/>
      <c r="AD268" s="60" t="n"/>
      <c r="AE268" s="60" t="n"/>
      <c r="AF268" s="60" t="n"/>
      <c r="AG268" s="60" t="n"/>
      <c r="AH268" s="60" t="n"/>
      <c r="AI268" s="60" t="n"/>
      <c r="AJ268" s="60" t="n"/>
      <c r="AK268" s="60" t="n"/>
      <c r="AL268" s="60" t="n"/>
      <c r="AM268" s="60" t="n"/>
      <c r="AN268" s="60" t="n"/>
      <c r="AO268" s="60" t="n"/>
      <c r="AP268" s="60" t="n"/>
      <c r="AQ268" s="60" t="n"/>
      <c r="AR268" s="60" t="n"/>
      <c r="AS268" s="60" t="n"/>
      <c r="AT268" s="60" t="n"/>
      <c r="AU268" s="60" t="n"/>
      <c r="AV268" s="60" t="n"/>
      <c r="AW268" s="60" t="n"/>
      <c r="AX268" s="60" t="n"/>
      <c r="AY268" s="60" t="n"/>
      <c r="AZ268" s="60" t="n"/>
      <c r="BA268" s="60" t="n"/>
      <c r="BB268" s="60" t="n"/>
      <c r="BC268" s="60" t="n"/>
      <c r="BD268" s="60" t="n"/>
      <c r="BE268" s="60" t="n"/>
      <c r="BF268" s="60" t="n"/>
      <c r="BG268" s="60" t="n"/>
      <c r="BH268" s="60" t="n"/>
      <c r="BI268" s="60" t="n"/>
      <c r="BJ268" s="60" t="n"/>
      <c r="BK268" s="60" t="n"/>
      <c r="BL268" s="60" t="n"/>
      <c r="BM268" s="60" t="n"/>
      <c r="BN268" s="60" t="n"/>
      <c r="BO268" s="60" t="n"/>
      <c r="BP268" s="60" t="n"/>
      <c r="BQ268" s="60" t="n"/>
      <c r="BR268" s="60" t="n"/>
      <c r="BS268" s="60" t="n"/>
      <c r="BT268" s="60" t="n"/>
      <c r="BU268" s="60" t="n"/>
      <c r="BV268" s="60" t="n"/>
      <c r="BW268" s="60" t="n"/>
      <c r="BX268" s="60" t="n"/>
      <c r="BY268" s="60" t="n"/>
      <c r="BZ268" s="60" t="n"/>
      <c r="CA268" s="60" t="n"/>
      <c r="CB268" s="60" t="n"/>
      <c r="CC268" s="60" t="n"/>
      <c r="CD268" s="60" t="n"/>
      <c r="CE268" s="60" t="n"/>
      <c r="CF268" s="60" t="n"/>
      <c r="CG268" s="60" t="n"/>
      <c r="CH268" s="60" t="n"/>
      <c r="CI268" s="60" t="n"/>
      <c r="CJ268" s="60" t="n"/>
      <c r="CK268" s="60" t="n"/>
      <c r="CL268" s="60" t="n"/>
      <c r="CM268" s="60" t="n"/>
      <c r="CN268" s="60" t="n"/>
      <c r="CO268" s="60" t="n"/>
      <c r="CP268" s="60" t="n"/>
      <c r="CQ268" s="60" t="n"/>
      <c r="CR268" s="60" t="n"/>
      <c r="CS268" s="60" t="n"/>
      <c r="CT268" s="60" t="n"/>
      <c r="CU268" s="60" t="n"/>
      <c r="CV268" s="60" t="n"/>
      <c r="CW268" s="60" t="n"/>
      <c r="CX268" s="60" t="n"/>
      <c r="CY268" s="60" t="n"/>
      <c r="CZ268" s="60" t="n"/>
      <c r="DA268" s="60" t="n"/>
      <c r="DB268" s="60" t="n"/>
      <c r="DC268" s="60" t="n"/>
      <c r="DD268" s="60" t="n"/>
      <c r="DE268" s="60" t="n"/>
    </row>
    <row r="269">
      <c r="A269" s="60" t="inlineStr">
        <is>
          <t>Referencia del revendido (no se compra)</t>
        </is>
      </c>
      <c r="B269" s="60" t="inlineStr">
        <is>
          <t>Collarín de válvula — 96,1 × 96,1 × 13,5</t>
        </is>
      </c>
      <c r="C269" s="60" t="inlineStr">
        <is>
          <t>u</t>
        </is>
      </c>
      <c r="D269" s="60" t="inlineStr">
        <is>
          <t>No</t>
        </is>
      </c>
      <c r="E269" s="60" t="n"/>
      <c r="F269" s="60" t="inlineStr">
        <is>
          <t>S4 - se compra terminado (tercerizado con sello IRAM)</t>
        </is>
      </c>
      <c r="G269" s="60" t="n"/>
      <c r="H269" s="60" t="n"/>
      <c r="I269" s="60" t="n"/>
      <c r="J269" s="60" t="n"/>
      <c r="K269" s="60" t="n"/>
      <c r="L269" s="60" t="n"/>
      <c r="M269" s="60" t="n">
        <v>1</v>
      </c>
      <c r="N269" s="60" t="n"/>
      <c r="O269" s="60" t="n"/>
      <c r="P269" s="60" t="n"/>
      <c r="Q269" s="60" t="n"/>
      <c r="R269" s="60" t="n"/>
      <c r="S269" s="60" t="n"/>
      <c r="T269" s="60" t="n"/>
      <c r="U269" s="60" t="n">
        <v>1</v>
      </c>
      <c r="V269" s="60" t="n">
        <v>1</v>
      </c>
      <c r="W269" s="60" t="n">
        <v>1</v>
      </c>
      <c r="X269" s="60" t="n"/>
      <c r="Y269" s="60" t="n"/>
      <c r="Z269" s="60" t="n"/>
      <c r="AA269" s="60" t="n"/>
      <c r="AB269" s="60" t="n"/>
      <c r="AC269" s="60" t="n"/>
      <c r="AD269" s="60" t="n"/>
      <c r="AE269" s="60" t="n"/>
      <c r="AF269" s="60" t="n"/>
      <c r="AG269" s="60" t="n"/>
      <c r="AH269" s="60" t="n"/>
      <c r="AI269" s="60" t="n"/>
      <c r="AJ269" s="60" t="n"/>
      <c r="AK269" s="60" t="n"/>
      <c r="AL269" s="60" t="n"/>
      <c r="AM269" s="60" t="n"/>
      <c r="AN269" s="60" t="n"/>
      <c r="AO269" s="60" t="n"/>
      <c r="AP269" s="60" t="n"/>
      <c r="AQ269" s="60" t="n"/>
      <c r="AR269" s="60" t="n"/>
      <c r="AS269" s="60" t="n"/>
      <c r="AT269" s="60" t="n"/>
      <c r="AU269" s="60" t="n"/>
      <c r="AV269" s="60" t="n"/>
      <c r="AW269" s="60" t="n"/>
      <c r="AX269" s="60" t="n"/>
      <c r="AY269" s="60" t="n"/>
      <c r="AZ269" s="60" t="n"/>
      <c r="BA269" s="60" t="n"/>
      <c r="BB269" s="60" t="n"/>
      <c r="BC269" s="60" t="n"/>
      <c r="BD269" s="60" t="n"/>
      <c r="BE269" s="60" t="n"/>
      <c r="BF269" s="60" t="n"/>
      <c r="BG269" s="60" t="n"/>
      <c r="BH269" s="60" t="n"/>
      <c r="BI269" s="60" t="n"/>
      <c r="BJ269" s="60" t="n"/>
      <c r="BK269" s="60" t="n"/>
      <c r="BL269" s="60" t="n"/>
      <c r="BM269" s="60" t="n"/>
      <c r="BN269" s="60" t="n"/>
      <c r="BO269" s="60" t="n"/>
      <c r="BP269" s="60" t="n"/>
      <c r="BQ269" s="60" t="n"/>
      <c r="BR269" s="60" t="n"/>
      <c r="BS269" s="60" t="n"/>
      <c r="BT269" s="60" t="n"/>
      <c r="BU269" s="60" t="n"/>
      <c r="BV269" s="60" t="n"/>
      <c r="BW269" s="60" t="n"/>
      <c r="BX269" s="60" t="n"/>
      <c r="BY269" s="60" t="n"/>
      <c r="BZ269" s="60" t="n"/>
      <c r="CA269" s="60" t="n"/>
      <c r="CB269" s="60" t="n"/>
      <c r="CC269" s="60" t="n"/>
      <c r="CD269" s="60" t="n"/>
      <c r="CE269" s="60" t="n"/>
      <c r="CF269" s="60" t="n"/>
      <c r="CG269" s="60" t="n"/>
      <c r="CH269" s="60" t="n"/>
      <c r="CI269" s="60" t="n"/>
      <c r="CJ269" s="60" t="n"/>
      <c r="CK269" s="60" t="n"/>
      <c r="CL269" s="60" t="n"/>
      <c r="CM269" s="60" t="n"/>
      <c r="CN269" s="60" t="n"/>
      <c r="CO269" s="60" t="n"/>
      <c r="CP269" s="60" t="n"/>
      <c r="CQ269" s="60" t="n"/>
      <c r="CR269" s="60" t="n"/>
      <c r="CS269" s="60" t="n"/>
      <c r="CT269" s="60" t="n"/>
      <c r="CU269" s="60" t="n"/>
      <c r="CV269" s="60" t="n"/>
      <c r="CW269" s="60" t="n"/>
      <c r="CX269" s="60" t="n"/>
      <c r="CY269" s="60" t="n"/>
      <c r="CZ269" s="60" t="n"/>
      <c r="DA269" s="60" t="n"/>
      <c r="DB269" s="60" t="n"/>
      <c r="DC269" s="60" t="n"/>
      <c r="DD269" s="60" t="n"/>
      <c r="DE269" s="60" t="n"/>
    </row>
    <row r="270">
      <c r="A270" s="60" t="inlineStr">
        <is>
          <t>Referencia del revendido (no se compra)</t>
        </is>
      </c>
      <c r="B270" s="60" t="inlineStr">
        <is>
          <t>Concentrado espumígeno AFFF 3 % (IRAM 3515)</t>
        </is>
      </c>
      <c r="C270" s="60" t="inlineStr">
        <is>
          <t>L</t>
        </is>
      </c>
      <c r="D270" s="60" t="inlineStr">
        <is>
          <t>No</t>
        </is>
      </c>
      <c r="E270" s="60" t="n"/>
      <c r="F270" s="60" t="inlineStr">
        <is>
          <t>SP-1 almacén previo a la carga</t>
        </is>
      </c>
      <c r="G270" s="60" t="n"/>
      <c r="H270" s="60" t="n"/>
      <c r="I270" s="60" t="n"/>
      <c r="J270" s="60" t="n"/>
      <c r="K270" s="60" t="n"/>
      <c r="L270" s="60" t="n">
        <v>0.3</v>
      </c>
      <c r="M270" s="60" t="n">
        <v>1.5</v>
      </c>
      <c r="N270" s="60" t="n"/>
      <c r="O270" s="60" t="n"/>
      <c r="P270" s="60" t="n"/>
      <c r="Q270" s="60" t="n"/>
      <c r="R270" s="60" t="n"/>
      <c r="S270" s="60" t="n"/>
      <c r="T270" s="60" t="n"/>
      <c r="U270" s="60" t="n"/>
      <c r="V270" s="60" t="n"/>
      <c r="W270" s="60" t="n"/>
      <c r="X270" s="60" t="n"/>
      <c r="Y270" s="60" t="n"/>
      <c r="Z270" s="60" t="n"/>
      <c r="AA270" s="60" t="n"/>
      <c r="AB270" s="60" t="n"/>
      <c r="AC270" s="60" t="n"/>
      <c r="AD270" s="60" t="n"/>
      <c r="AE270" s="60" t="n"/>
      <c r="AF270" s="60" t="n"/>
      <c r="AG270" s="60" t="n"/>
      <c r="AH270" s="60" t="n"/>
      <c r="AI270" s="60" t="n"/>
      <c r="AJ270" s="60" t="n"/>
      <c r="AK270" s="60" t="n"/>
      <c r="AL270" s="60" t="n"/>
      <c r="AM270" s="60" t="n"/>
      <c r="AN270" s="60" t="n"/>
      <c r="AO270" s="60" t="n"/>
      <c r="AP270" s="60" t="n"/>
      <c r="AQ270" s="60" t="n"/>
      <c r="AR270" s="60" t="n"/>
      <c r="AS270" s="60" t="n"/>
      <c r="AT270" s="60" t="n"/>
      <c r="AU270" s="60" t="n"/>
      <c r="AV270" s="60" t="n"/>
      <c r="AW270" s="60" t="n"/>
      <c r="AX270" s="60" t="n"/>
      <c r="AY270" s="60" t="n"/>
      <c r="AZ270" s="60" t="n"/>
      <c r="BA270" s="60" t="n"/>
      <c r="BB270" s="60" t="n"/>
      <c r="BC270" s="60" t="n"/>
      <c r="BD270" s="60" t="n"/>
      <c r="BE270" s="60" t="n"/>
      <c r="BF270" s="60" t="n"/>
      <c r="BG270" s="60" t="n"/>
      <c r="BH270" s="60" t="n"/>
      <c r="BI270" s="60" t="n"/>
      <c r="BJ270" s="60" t="n"/>
      <c r="BK270" s="60" t="n"/>
      <c r="BL270" s="60" t="n"/>
      <c r="BM270" s="60" t="n"/>
      <c r="BN270" s="60" t="n"/>
      <c r="BO270" s="60" t="n"/>
      <c r="BP270" s="60" t="n"/>
      <c r="BQ270" s="60" t="n"/>
      <c r="BR270" s="60" t="n"/>
      <c r="BS270" s="60" t="n"/>
      <c r="BT270" s="60" t="n"/>
      <c r="BU270" s="60" t="n"/>
      <c r="BV270" s="60" t="n"/>
      <c r="BW270" s="60" t="n"/>
      <c r="BX270" s="60" t="n"/>
      <c r="BY270" s="60" t="n"/>
      <c r="BZ270" s="60" t="n"/>
      <c r="CA270" s="60" t="n"/>
      <c r="CB270" s="60" t="n"/>
      <c r="CC270" s="60" t="n"/>
      <c r="CD270" s="60" t="n"/>
      <c r="CE270" s="60" t="n"/>
      <c r="CF270" s="60" t="n"/>
      <c r="CG270" s="60" t="n"/>
      <c r="CH270" s="60" t="n"/>
      <c r="CI270" s="60" t="n"/>
      <c r="CJ270" s="60" t="n"/>
      <c r="CK270" s="60" t="n"/>
      <c r="CL270" s="60" t="n"/>
      <c r="CM270" s="60" t="n"/>
      <c r="CN270" s="60" t="n"/>
      <c r="CO270" s="60" t="n"/>
      <c r="CP270" s="60" t="n"/>
      <c r="CQ270" s="60" t="n"/>
      <c r="CR270" s="60" t="n"/>
      <c r="CS270" s="60" t="n"/>
      <c r="CT270" s="60" t="n"/>
      <c r="CU270" s="60" t="n"/>
      <c r="CV270" s="60" t="n"/>
      <c r="CW270" s="60" t="n"/>
      <c r="CX270" s="60" t="n"/>
      <c r="CY270" s="60" t="n"/>
      <c r="CZ270" s="60" t="n"/>
      <c r="DA270" s="60" t="n"/>
      <c r="DB270" s="60" t="n"/>
      <c r="DC270" s="60" t="n"/>
      <c r="DD270" s="60" t="n"/>
      <c r="DE270" s="60" t="n"/>
    </row>
    <row r="271">
      <c r="A271" s="60" t="inlineStr">
        <is>
          <t>Referencia del revendido (no se compra)</t>
        </is>
      </c>
      <c r="B271" s="60" t="inlineStr">
        <is>
          <t>Cuello roscado — Ø36,8 × 14 de alto, rosca M30x1,5, asiento Ø35</t>
        </is>
      </c>
      <c r="C271" s="60" t="inlineStr">
        <is>
          <t>u</t>
        </is>
      </c>
      <c r="D271" s="60" t="inlineStr">
        <is>
          <t>No</t>
        </is>
      </c>
      <c r="E271" s="60" t="n"/>
      <c r="F271" s="60" t="inlineStr">
        <is>
          <t>S4 - se compra terminado (tercerizado con sello IRAM)</t>
        </is>
      </c>
      <c r="G271" s="60" t="n"/>
      <c r="H271" s="60" t="n"/>
      <c r="I271" s="60" t="n"/>
      <c r="J271" s="60" t="n"/>
      <c r="K271" s="60" t="n"/>
      <c r="L271" s="60" t="n"/>
      <c r="M271" s="60" t="n"/>
      <c r="N271" s="60" t="n"/>
      <c r="O271" s="60" t="n"/>
      <c r="P271" s="60" t="n"/>
      <c r="Q271" s="60" t="n"/>
      <c r="R271" s="60" t="n"/>
      <c r="S271" s="60" t="n">
        <v>1</v>
      </c>
      <c r="T271" s="60" t="n"/>
      <c r="U271" s="60" t="n"/>
      <c r="V271" s="60" t="n"/>
      <c r="W271" s="60" t="n"/>
      <c r="X271" s="60" t="n"/>
      <c r="Y271" s="60" t="n"/>
      <c r="Z271" s="60" t="n"/>
      <c r="AA271" s="60" t="n"/>
      <c r="AB271" s="60" t="n"/>
      <c r="AC271" s="60" t="n"/>
      <c r="AD271" s="60" t="n"/>
      <c r="AE271" s="60" t="n"/>
      <c r="AF271" s="60" t="n"/>
      <c r="AG271" s="60" t="n"/>
      <c r="AH271" s="60" t="n"/>
      <c r="AI271" s="60" t="n"/>
      <c r="AJ271" s="60" t="n"/>
      <c r="AK271" s="60" t="n"/>
      <c r="AL271" s="60" t="n"/>
      <c r="AM271" s="60" t="n"/>
      <c r="AN271" s="60" t="n"/>
      <c r="AO271" s="60" t="n"/>
      <c r="AP271" s="60" t="n"/>
      <c r="AQ271" s="60" t="n"/>
      <c r="AR271" s="60" t="n"/>
      <c r="AS271" s="60" t="n"/>
      <c r="AT271" s="60" t="n"/>
      <c r="AU271" s="60" t="n"/>
      <c r="AV271" s="60" t="n"/>
      <c r="AW271" s="60" t="n"/>
      <c r="AX271" s="60" t="n"/>
      <c r="AY271" s="60" t="n"/>
      <c r="AZ271" s="60" t="n"/>
      <c r="BA271" s="60" t="n"/>
      <c r="BB271" s="60" t="n"/>
      <c r="BC271" s="60" t="n"/>
      <c r="BD271" s="60" t="n"/>
      <c r="BE271" s="60" t="n"/>
      <c r="BF271" s="60" t="n"/>
      <c r="BG271" s="60" t="n"/>
      <c r="BH271" s="60" t="n"/>
      <c r="BI271" s="60" t="n"/>
      <c r="BJ271" s="60" t="n"/>
      <c r="BK271" s="60" t="n"/>
      <c r="BL271" s="60" t="n"/>
      <c r="BM271" s="60" t="n"/>
      <c r="BN271" s="60" t="n"/>
      <c r="BO271" s="60" t="n"/>
      <c r="BP271" s="60" t="n"/>
      <c r="BQ271" s="60" t="n"/>
      <c r="BR271" s="60" t="n"/>
      <c r="BS271" s="60" t="n"/>
      <c r="BT271" s="60" t="n"/>
      <c r="BU271" s="60" t="n"/>
      <c r="BV271" s="60" t="n"/>
      <c r="BW271" s="60" t="n"/>
      <c r="BX271" s="60" t="n"/>
      <c r="BY271" s="60" t="n"/>
      <c r="BZ271" s="60" t="n"/>
      <c r="CA271" s="60" t="n"/>
      <c r="CB271" s="60" t="n"/>
      <c r="CC271" s="60" t="n"/>
      <c r="CD271" s="60" t="n"/>
      <c r="CE271" s="60" t="n"/>
      <c r="CF271" s="60" t="n"/>
      <c r="CG271" s="60" t="n"/>
      <c r="CH271" s="60" t="n"/>
      <c r="CI271" s="60" t="n"/>
      <c r="CJ271" s="60" t="n"/>
      <c r="CK271" s="60" t="n"/>
      <c r="CL271" s="60" t="n"/>
      <c r="CM271" s="60" t="n"/>
      <c r="CN271" s="60" t="n"/>
      <c r="CO271" s="60" t="n"/>
      <c r="CP271" s="60" t="n"/>
      <c r="CQ271" s="60" t="n"/>
      <c r="CR271" s="60" t="n"/>
      <c r="CS271" s="60" t="n"/>
      <c r="CT271" s="60" t="n"/>
      <c r="CU271" s="60" t="n"/>
      <c r="CV271" s="60" t="n"/>
      <c r="CW271" s="60" t="n"/>
      <c r="CX271" s="60" t="n"/>
      <c r="CY271" s="60" t="n"/>
      <c r="CZ271" s="60" t="n"/>
      <c r="DA271" s="60" t="n"/>
      <c r="DB271" s="60" t="n"/>
      <c r="DC271" s="60" t="n"/>
      <c r="DD271" s="60" t="n"/>
      <c r="DE271" s="60" t="n"/>
    </row>
    <row r="272">
      <c r="A272" s="60" t="inlineStr">
        <is>
          <t>Referencia del revendido (no se compra)</t>
        </is>
      </c>
      <c r="B272" s="60" t="inlineStr">
        <is>
          <t>Cuello roscado — Ø37 × 14 de alto, rosca M30x1,5, asiento Ø35</t>
        </is>
      </c>
      <c r="C272" s="60" t="inlineStr">
        <is>
          <t>u</t>
        </is>
      </c>
      <c r="D272" s="60" t="inlineStr">
        <is>
          <t>No</t>
        </is>
      </c>
      <c r="E272" s="60" t="n"/>
      <c r="F272" s="60" t="inlineStr">
        <is>
          <t>S4 - se compra terminado (tercerizado con sello IRAM)</t>
        </is>
      </c>
      <c r="G272" s="60" t="n"/>
      <c r="H272" s="60" t="n"/>
      <c r="I272" s="60" t="n"/>
      <c r="J272" s="60" t="n"/>
      <c r="K272" s="60" t="n">
        <v>1</v>
      </c>
      <c r="L272" s="60" t="n">
        <v>1</v>
      </c>
      <c r="M272" s="60" t="n"/>
      <c r="N272" s="60" t="n"/>
      <c r="O272" s="60" t="n">
        <v>1</v>
      </c>
      <c r="P272" s="60" t="n"/>
      <c r="Q272" s="60" t="n"/>
      <c r="R272" s="60" t="n"/>
      <c r="S272" s="60" t="n"/>
      <c r="T272" s="60" t="n"/>
      <c r="U272" s="60" t="n"/>
      <c r="V272" s="60" t="n"/>
      <c r="W272" s="60" t="n"/>
      <c r="X272" s="60" t="n"/>
      <c r="Y272" s="60" t="n"/>
      <c r="Z272" s="60" t="n"/>
      <c r="AA272" s="60" t="n"/>
      <c r="AB272" s="60" t="n"/>
      <c r="AC272" s="60" t="n"/>
      <c r="AD272" s="60" t="n"/>
      <c r="AE272" s="60" t="n"/>
      <c r="AF272" s="60" t="n"/>
      <c r="AG272" s="60" t="n"/>
      <c r="AH272" s="60" t="n"/>
      <c r="AI272" s="60" t="n"/>
      <c r="AJ272" s="60" t="n"/>
      <c r="AK272" s="60" t="n"/>
      <c r="AL272" s="60" t="n"/>
      <c r="AM272" s="60" t="n"/>
      <c r="AN272" s="60" t="n"/>
      <c r="AO272" s="60" t="n"/>
      <c r="AP272" s="60" t="n"/>
      <c r="AQ272" s="60" t="n"/>
      <c r="AR272" s="60" t="n"/>
      <c r="AS272" s="60" t="n"/>
      <c r="AT272" s="60" t="n"/>
      <c r="AU272" s="60" t="n"/>
      <c r="AV272" s="60" t="n"/>
      <c r="AW272" s="60" t="n"/>
      <c r="AX272" s="60" t="n"/>
      <c r="AY272" s="60" t="n"/>
      <c r="AZ272" s="60" t="n"/>
      <c r="BA272" s="60" t="n"/>
      <c r="BB272" s="60" t="n"/>
      <c r="BC272" s="60" t="n"/>
      <c r="BD272" s="60" t="n"/>
      <c r="BE272" s="60" t="n"/>
      <c r="BF272" s="60" t="n"/>
      <c r="BG272" s="60" t="n"/>
      <c r="BH272" s="60" t="n"/>
      <c r="BI272" s="60" t="n"/>
      <c r="BJ272" s="60" t="n"/>
      <c r="BK272" s="60" t="n"/>
      <c r="BL272" s="60" t="n"/>
      <c r="BM272" s="60" t="n"/>
      <c r="BN272" s="60" t="n"/>
      <c r="BO272" s="60" t="n"/>
      <c r="BP272" s="60" t="n"/>
      <c r="BQ272" s="60" t="n"/>
      <c r="BR272" s="60" t="n"/>
      <c r="BS272" s="60" t="n"/>
      <c r="BT272" s="60" t="n"/>
      <c r="BU272" s="60" t="n"/>
      <c r="BV272" s="60" t="n"/>
      <c r="BW272" s="60" t="n"/>
      <c r="BX272" s="60" t="n"/>
      <c r="BY272" s="60" t="n"/>
      <c r="BZ272" s="60" t="n"/>
      <c r="CA272" s="60" t="n"/>
      <c r="CB272" s="60" t="n"/>
      <c r="CC272" s="60" t="n"/>
      <c r="CD272" s="60" t="n"/>
      <c r="CE272" s="60" t="n"/>
      <c r="CF272" s="60" t="n"/>
      <c r="CG272" s="60" t="n"/>
      <c r="CH272" s="60" t="n"/>
      <c r="CI272" s="60" t="n"/>
      <c r="CJ272" s="60" t="n"/>
      <c r="CK272" s="60" t="n"/>
      <c r="CL272" s="60" t="n"/>
      <c r="CM272" s="60" t="n"/>
      <c r="CN272" s="60" t="n"/>
      <c r="CO272" s="60" t="n"/>
      <c r="CP272" s="60" t="n"/>
      <c r="CQ272" s="60" t="n"/>
      <c r="CR272" s="60" t="n"/>
      <c r="CS272" s="60" t="n"/>
      <c r="CT272" s="60" t="n"/>
      <c r="CU272" s="60" t="n"/>
      <c r="CV272" s="60" t="n"/>
      <c r="CW272" s="60" t="n"/>
      <c r="CX272" s="60" t="n"/>
      <c r="CY272" s="60" t="n"/>
      <c r="CZ272" s="60" t="n"/>
      <c r="DA272" s="60" t="n"/>
      <c r="DB272" s="60" t="n"/>
      <c r="DC272" s="60" t="n"/>
      <c r="DD272" s="60" t="n"/>
      <c r="DE272" s="60" t="n"/>
    </row>
    <row r="273">
      <c r="A273" s="60" t="inlineStr">
        <is>
          <t>Referencia del revendido (no se compra)</t>
        </is>
      </c>
      <c r="B273" s="60" t="inlineStr">
        <is>
          <t>Cuello roscado — Ø37 × 15 de alto, rosca M30x1,5, asiento Ø35</t>
        </is>
      </c>
      <c r="C273" s="60" t="inlineStr">
        <is>
          <t>u</t>
        </is>
      </c>
      <c r="D273" s="60" t="inlineStr">
        <is>
          <t>No</t>
        </is>
      </c>
      <c r="E273" s="60" t="n"/>
      <c r="F273" s="60" t="inlineStr">
        <is>
          <t>S4 - se compra terminado (tercerizado con sello IRAM)</t>
        </is>
      </c>
      <c r="G273" s="60" t="n"/>
      <c r="H273" s="60" t="n"/>
      <c r="I273" s="60" t="n"/>
      <c r="J273" s="60" t="n"/>
      <c r="K273" s="60" t="n"/>
      <c r="L273" s="60" t="n"/>
      <c r="M273" s="60" t="n"/>
      <c r="N273" s="60" t="n">
        <v>1</v>
      </c>
      <c r="O273" s="60" t="n"/>
      <c r="P273" s="60" t="n"/>
      <c r="Q273" s="60" t="n"/>
      <c r="R273" s="60" t="n">
        <v>1</v>
      </c>
      <c r="S273" s="60" t="n"/>
      <c r="T273" s="60" t="n"/>
      <c r="U273" s="60" t="n"/>
      <c r="V273" s="60" t="n"/>
      <c r="W273" s="60" t="n"/>
      <c r="X273" s="60" t="n"/>
      <c r="Y273" s="60" t="n"/>
      <c r="Z273" s="60" t="n"/>
      <c r="AA273" s="60" t="n"/>
      <c r="AB273" s="60" t="n"/>
      <c r="AC273" s="60" t="n"/>
      <c r="AD273" s="60" t="n"/>
      <c r="AE273" s="60" t="n"/>
      <c r="AF273" s="60" t="n"/>
      <c r="AG273" s="60" t="n"/>
      <c r="AH273" s="60" t="n"/>
      <c r="AI273" s="60" t="n"/>
      <c r="AJ273" s="60" t="n"/>
      <c r="AK273" s="60" t="n"/>
      <c r="AL273" s="60" t="n"/>
      <c r="AM273" s="60" t="n"/>
      <c r="AN273" s="60" t="n"/>
      <c r="AO273" s="60" t="n"/>
      <c r="AP273" s="60" t="n"/>
      <c r="AQ273" s="60" t="n"/>
      <c r="AR273" s="60" t="n"/>
      <c r="AS273" s="60" t="n"/>
      <c r="AT273" s="60" t="n"/>
      <c r="AU273" s="60" t="n"/>
      <c r="AV273" s="60" t="n"/>
      <c r="AW273" s="60" t="n"/>
      <c r="AX273" s="60" t="n"/>
      <c r="AY273" s="60" t="n"/>
      <c r="AZ273" s="60" t="n"/>
      <c r="BA273" s="60" t="n"/>
      <c r="BB273" s="60" t="n"/>
      <c r="BC273" s="60" t="n"/>
      <c r="BD273" s="60" t="n"/>
      <c r="BE273" s="60" t="n"/>
      <c r="BF273" s="60" t="n"/>
      <c r="BG273" s="60" t="n"/>
      <c r="BH273" s="60" t="n"/>
      <c r="BI273" s="60" t="n"/>
      <c r="BJ273" s="60" t="n"/>
      <c r="BK273" s="60" t="n"/>
      <c r="BL273" s="60" t="n"/>
      <c r="BM273" s="60" t="n"/>
      <c r="BN273" s="60" t="n"/>
      <c r="BO273" s="60" t="n"/>
      <c r="BP273" s="60" t="n"/>
      <c r="BQ273" s="60" t="n"/>
      <c r="BR273" s="60" t="n"/>
      <c r="BS273" s="60" t="n"/>
      <c r="BT273" s="60" t="n"/>
      <c r="BU273" s="60" t="n"/>
      <c r="BV273" s="60" t="n"/>
      <c r="BW273" s="60" t="n"/>
      <c r="BX273" s="60" t="n"/>
      <c r="BY273" s="60" t="n"/>
      <c r="BZ273" s="60" t="n"/>
      <c r="CA273" s="60" t="n"/>
      <c r="CB273" s="60" t="n"/>
      <c r="CC273" s="60" t="n"/>
      <c r="CD273" s="60" t="n"/>
      <c r="CE273" s="60" t="n"/>
      <c r="CF273" s="60" t="n"/>
      <c r="CG273" s="60" t="n"/>
      <c r="CH273" s="60" t="n"/>
      <c r="CI273" s="60" t="n"/>
      <c r="CJ273" s="60" t="n"/>
      <c r="CK273" s="60" t="n"/>
      <c r="CL273" s="60" t="n"/>
      <c r="CM273" s="60" t="n"/>
      <c r="CN273" s="60" t="n"/>
      <c r="CO273" s="60" t="n"/>
      <c r="CP273" s="60" t="n"/>
      <c r="CQ273" s="60" t="n"/>
      <c r="CR273" s="60" t="n"/>
      <c r="CS273" s="60" t="n"/>
      <c r="CT273" s="60" t="n"/>
      <c r="CU273" s="60" t="n"/>
      <c r="CV273" s="60" t="n"/>
      <c r="CW273" s="60" t="n"/>
      <c r="CX273" s="60" t="n"/>
      <c r="CY273" s="60" t="n"/>
      <c r="CZ273" s="60" t="n"/>
      <c r="DA273" s="60" t="n"/>
      <c r="DB273" s="60" t="n"/>
      <c r="DC273" s="60" t="n"/>
      <c r="DD273" s="60" t="n"/>
      <c r="DE273" s="60" t="n"/>
    </row>
    <row r="274">
      <c r="A274" s="60" t="inlineStr">
        <is>
          <t>Referencia del revendido (no se compra)</t>
        </is>
      </c>
      <c r="B274" s="60" t="inlineStr">
        <is>
          <t>Cuello roscado — Ø88 × 37 de alto, rosca RBSP 2 1/2"-11 h, asiento Ø80</t>
        </is>
      </c>
      <c r="C274" s="60" t="inlineStr">
        <is>
          <t>u</t>
        </is>
      </c>
      <c r="D274" s="60" t="inlineStr">
        <is>
          <t>No</t>
        </is>
      </c>
      <c r="E274" s="60" t="n"/>
      <c r="F274" s="60" t="inlineStr">
        <is>
          <t>S4 - se compra terminado (tercerizado con sello IRAM)</t>
        </is>
      </c>
      <c r="G274" s="60" t="n"/>
      <c r="H274" s="60" t="n"/>
      <c r="I274" s="60" t="n"/>
      <c r="J274" s="60" t="n"/>
      <c r="K274" s="60" t="n"/>
      <c r="L274" s="60" t="n"/>
      <c r="M274" s="60" t="n">
        <v>1</v>
      </c>
      <c r="N274" s="60" t="n"/>
      <c r="O274" s="60" t="n"/>
      <c r="P274" s="60" t="n"/>
      <c r="Q274" s="60" t="n"/>
      <c r="R274" s="60" t="n"/>
      <c r="S274" s="60" t="n"/>
      <c r="T274" s="60" t="n"/>
      <c r="U274" s="60" t="n"/>
      <c r="V274" s="60" t="n"/>
      <c r="W274" s="60" t="n"/>
      <c r="X274" s="60" t="n"/>
      <c r="Y274" s="60" t="n"/>
      <c r="Z274" s="60" t="n"/>
      <c r="AA274" s="60" t="n"/>
      <c r="AB274" s="60" t="n"/>
      <c r="AC274" s="60" t="n"/>
      <c r="AD274" s="60" t="n"/>
      <c r="AE274" s="60" t="n"/>
      <c r="AF274" s="60" t="n"/>
      <c r="AG274" s="60" t="n"/>
      <c r="AH274" s="60" t="n"/>
      <c r="AI274" s="60" t="n"/>
      <c r="AJ274" s="60" t="n"/>
      <c r="AK274" s="60" t="n"/>
      <c r="AL274" s="60" t="n"/>
      <c r="AM274" s="60" t="n"/>
      <c r="AN274" s="60" t="n"/>
      <c r="AO274" s="60" t="n"/>
      <c r="AP274" s="60" t="n"/>
      <c r="AQ274" s="60" t="n"/>
      <c r="AR274" s="60" t="n"/>
      <c r="AS274" s="60" t="n"/>
      <c r="AT274" s="60" t="n"/>
      <c r="AU274" s="60" t="n"/>
      <c r="AV274" s="60" t="n"/>
      <c r="AW274" s="60" t="n"/>
      <c r="AX274" s="60" t="n"/>
      <c r="AY274" s="60" t="n"/>
      <c r="AZ274" s="60" t="n"/>
      <c r="BA274" s="60" t="n"/>
      <c r="BB274" s="60" t="n"/>
      <c r="BC274" s="60" t="n"/>
      <c r="BD274" s="60" t="n"/>
      <c r="BE274" s="60" t="n"/>
      <c r="BF274" s="60" t="n"/>
      <c r="BG274" s="60" t="n"/>
      <c r="BH274" s="60" t="n"/>
      <c r="BI274" s="60" t="n"/>
      <c r="BJ274" s="60" t="n"/>
      <c r="BK274" s="60" t="n"/>
      <c r="BL274" s="60" t="n"/>
      <c r="BM274" s="60" t="n"/>
      <c r="BN274" s="60" t="n"/>
      <c r="BO274" s="60" t="n"/>
      <c r="BP274" s="60" t="n"/>
      <c r="BQ274" s="60" t="n"/>
      <c r="BR274" s="60" t="n"/>
      <c r="BS274" s="60" t="n"/>
      <c r="BT274" s="60" t="n"/>
      <c r="BU274" s="60" t="n"/>
      <c r="BV274" s="60" t="n"/>
      <c r="BW274" s="60" t="n"/>
      <c r="BX274" s="60" t="n"/>
      <c r="BY274" s="60" t="n"/>
      <c r="BZ274" s="60" t="n"/>
      <c r="CA274" s="60" t="n"/>
      <c r="CB274" s="60" t="n"/>
      <c r="CC274" s="60" t="n"/>
      <c r="CD274" s="60" t="n"/>
      <c r="CE274" s="60" t="n"/>
      <c r="CF274" s="60" t="n"/>
      <c r="CG274" s="60" t="n"/>
      <c r="CH274" s="60" t="n"/>
      <c r="CI274" s="60" t="n"/>
      <c r="CJ274" s="60" t="n"/>
      <c r="CK274" s="60" t="n"/>
      <c r="CL274" s="60" t="n"/>
      <c r="CM274" s="60" t="n"/>
      <c r="CN274" s="60" t="n"/>
      <c r="CO274" s="60" t="n"/>
      <c r="CP274" s="60" t="n"/>
      <c r="CQ274" s="60" t="n"/>
      <c r="CR274" s="60" t="n"/>
      <c r="CS274" s="60" t="n"/>
      <c r="CT274" s="60" t="n"/>
      <c r="CU274" s="60" t="n"/>
      <c r="CV274" s="60" t="n"/>
      <c r="CW274" s="60" t="n"/>
      <c r="CX274" s="60" t="n"/>
      <c r="CY274" s="60" t="n"/>
      <c r="CZ274" s="60" t="n"/>
      <c r="DA274" s="60" t="n"/>
      <c r="DB274" s="60" t="n"/>
      <c r="DC274" s="60" t="n"/>
      <c r="DD274" s="60" t="n"/>
      <c r="DE274" s="60" t="n"/>
    </row>
    <row r="275">
      <c r="A275" s="60" t="inlineStr">
        <is>
          <t>Referencia del revendido (no se compra)</t>
        </is>
      </c>
      <c r="B275" s="60" t="inlineStr">
        <is>
          <t>Cuerpo (virola) — Ø190 × e0,8 × 296 de alto; desarrollo 594,4 × 296</t>
        </is>
      </c>
      <c r="C275" s="60" t="inlineStr">
        <is>
          <t>u</t>
        </is>
      </c>
      <c r="D275" s="60" t="inlineStr">
        <is>
          <t>No</t>
        </is>
      </c>
      <c r="E275" s="60" t="n"/>
      <c r="F275" s="60" t="inlineStr">
        <is>
          <t>S4 - se compra terminado (tercerizado con sello IRAM)</t>
        </is>
      </c>
      <c r="G275" s="60" t="n"/>
      <c r="H275" s="60" t="n"/>
      <c r="I275" s="60" t="n"/>
      <c r="J275" s="60" t="n"/>
      <c r="K275" s="60" t="n"/>
      <c r="L275" s="60" t="n"/>
      <c r="M275" s="60" t="n"/>
      <c r="N275" s="60" t="n"/>
      <c r="O275" s="60" t="n">
        <v>1</v>
      </c>
      <c r="P275" s="60" t="n"/>
      <c r="Q275" s="60" t="n"/>
      <c r="R275" s="60" t="n"/>
      <c r="S275" s="60" t="n"/>
      <c r="T275" s="60" t="n"/>
      <c r="U275" s="60" t="n"/>
      <c r="V275" s="60" t="n"/>
      <c r="W275" s="60" t="n"/>
      <c r="X275" s="60" t="n"/>
      <c r="Y275" s="60" t="n"/>
      <c r="Z275" s="60" t="n"/>
      <c r="AA275" s="60" t="n"/>
      <c r="AB275" s="60" t="n"/>
      <c r="AC275" s="60" t="n"/>
      <c r="AD275" s="60" t="n"/>
      <c r="AE275" s="60" t="n"/>
      <c r="AF275" s="60" t="n"/>
      <c r="AG275" s="60" t="n"/>
      <c r="AH275" s="60" t="n"/>
      <c r="AI275" s="60" t="n"/>
      <c r="AJ275" s="60" t="n"/>
      <c r="AK275" s="60" t="n"/>
      <c r="AL275" s="60" t="n"/>
      <c r="AM275" s="60" t="n"/>
      <c r="AN275" s="60" t="n"/>
      <c r="AO275" s="60" t="n"/>
      <c r="AP275" s="60" t="n"/>
      <c r="AQ275" s="60" t="n"/>
      <c r="AR275" s="60" t="n"/>
      <c r="AS275" s="60" t="n"/>
      <c r="AT275" s="60" t="n"/>
      <c r="AU275" s="60" t="n"/>
      <c r="AV275" s="60" t="n"/>
      <c r="AW275" s="60" t="n"/>
      <c r="AX275" s="60" t="n"/>
      <c r="AY275" s="60" t="n"/>
      <c r="AZ275" s="60" t="n"/>
      <c r="BA275" s="60" t="n"/>
      <c r="BB275" s="60" t="n"/>
      <c r="BC275" s="60" t="n"/>
      <c r="BD275" s="60" t="n"/>
      <c r="BE275" s="60" t="n"/>
      <c r="BF275" s="60" t="n"/>
      <c r="BG275" s="60" t="n"/>
      <c r="BH275" s="60" t="n"/>
      <c r="BI275" s="60" t="n"/>
      <c r="BJ275" s="60" t="n"/>
      <c r="BK275" s="60" t="n"/>
      <c r="BL275" s="60" t="n"/>
      <c r="BM275" s="60" t="n"/>
      <c r="BN275" s="60" t="n"/>
      <c r="BO275" s="60" t="n"/>
      <c r="BP275" s="60" t="n"/>
      <c r="BQ275" s="60" t="n"/>
      <c r="BR275" s="60" t="n"/>
      <c r="BS275" s="60" t="n"/>
      <c r="BT275" s="60" t="n"/>
      <c r="BU275" s="60" t="n"/>
      <c r="BV275" s="60" t="n"/>
      <c r="BW275" s="60" t="n"/>
      <c r="BX275" s="60" t="n"/>
      <c r="BY275" s="60" t="n"/>
      <c r="BZ275" s="60" t="n"/>
      <c r="CA275" s="60" t="n"/>
      <c r="CB275" s="60" t="n"/>
      <c r="CC275" s="60" t="n"/>
      <c r="CD275" s="60" t="n"/>
      <c r="CE275" s="60" t="n"/>
      <c r="CF275" s="60" t="n"/>
      <c r="CG275" s="60" t="n"/>
      <c r="CH275" s="60" t="n"/>
      <c r="CI275" s="60" t="n"/>
      <c r="CJ275" s="60" t="n"/>
      <c r="CK275" s="60" t="n"/>
      <c r="CL275" s="60" t="n"/>
      <c r="CM275" s="60" t="n"/>
      <c r="CN275" s="60" t="n"/>
      <c r="CO275" s="60" t="n"/>
      <c r="CP275" s="60" t="n"/>
      <c r="CQ275" s="60" t="n"/>
      <c r="CR275" s="60" t="n"/>
      <c r="CS275" s="60" t="n"/>
      <c r="CT275" s="60" t="n"/>
      <c r="CU275" s="60" t="n"/>
      <c r="CV275" s="60" t="n"/>
      <c r="CW275" s="60" t="n"/>
      <c r="CX275" s="60" t="n"/>
      <c r="CY275" s="60" t="n"/>
      <c r="CZ275" s="60" t="n"/>
      <c r="DA275" s="60" t="n"/>
      <c r="DB275" s="60" t="n"/>
      <c r="DC275" s="60" t="n"/>
      <c r="DD275" s="60" t="n"/>
      <c r="DE275" s="60" t="n"/>
    </row>
    <row r="276">
      <c r="A276" s="60" t="inlineStr">
        <is>
          <t>Referencia del revendido (no se compra)</t>
        </is>
      </c>
      <c r="B276" s="60" t="inlineStr">
        <is>
          <t>Cuerpo (virola) — Ø190 × e0,8 × 476 de alto; desarrollo 594,4 × 476</t>
        </is>
      </c>
      <c r="C276" s="60" t="inlineStr">
        <is>
          <t>u</t>
        </is>
      </c>
      <c r="D276" s="60" t="inlineStr">
        <is>
          <t>No</t>
        </is>
      </c>
      <c r="E276" s="60" t="n"/>
      <c r="F276" s="60" t="inlineStr">
        <is>
          <t>S4 - se compra terminado (tercerizado con sello IRAM)</t>
        </is>
      </c>
      <c r="G276" s="60" t="n"/>
      <c r="H276" s="60" t="n"/>
      <c r="I276" s="60" t="n"/>
      <c r="J276" s="60" t="n"/>
      <c r="K276" s="60" t="n">
        <v>1</v>
      </c>
      <c r="L276" s="60" t="n">
        <v>1</v>
      </c>
      <c r="M276" s="60" t="n"/>
      <c r="N276" s="60" t="n"/>
      <c r="O276" s="60" t="n"/>
      <c r="P276" s="60" t="n"/>
      <c r="Q276" s="60" t="n"/>
      <c r="R276" s="60" t="n"/>
      <c r="S276" s="60" t="n"/>
      <c r="T276" s="60" t="n"/>
      <c r="U276" s="60" t="n"/>
      <c r="V276" s="60" t="n"/>
      <c r="W276" s="60" t="n"/>
      <c r="X276" s="60" t="n"/>
      <c r="Y276" s="60" t="n"/>
      <c r="Z276" s="60" t="n"/>
      <c r="AA276" s="60" t="n"/>
      <c r="AB276" s="60" t="n"/>
      <c r="AC276" s="60" t="n"/>
      <c r="AD276" s="60" t="n"/>
      <c r="AE276" s="60" t="n"/>
      <c r="AF276" s="60" t="n"/>
      <c r="AG276" s="60" t="n"/>
      <c r="AH276" s="60" t="n"/>
      <c r="AI276" s="60" t="n"/>
      <c r="AJ276" s="60" t="n"/>
      <c r="AK276" s="60" t="n"/>
      <c r="AL276" s="60" t="n"/>
      <c r="AM276" s="60" t="n"/>
      <c r="AN276" s="60" t="n"/>
      <c r="AO276" s="60" t="n"/>
      <c r="AP276" s="60" t="n"/>
      <c r="AQ276" s="60" t="n"/>
      <c r="AR276" s="60" t="n"/>
      <c r="AS276" s="60" t="n"/>
      <c r="AT276" s="60" t="n"/>
      <c r="AU276" s="60" t="n"/>
      <c r="AV276" s="60" t="n"/>
      <c r="AW276" s="60" t="n"/>
      <c r="AX276" s="60" t="n"/>
      <c r="AY276" s="60" t="n"/>
      <c r="AZ276" s="60" t="n"/>
      <c r="BA276" s="60" t="n"/>
      <c r="BB276" s="60" t="n"/>
      <c r="BC276" s="60" t="n"/>
      <c r="BD276" s="60" t="n"/>
      <c r="BE276" s="60" t="n"/>
      <c r="BF276" s="60" t="n"/>
      <c r="BG276" s="60" t="n"/>
      <c r="BH276" s="60" t="n"/>
      <c r="BI276" s="60" t="n"/>
      <c r="BJ276" s="60" t="n"/>
      <c r="BK276" s="60" t="n"/>
      <c r="BL276" s="60" t="n"/>
      <c r="BM276" s="60" t="n"/>
      <c r="BN276" s="60" t="n"/>
      <c r="BO276" s="60" t="n"/>
      <c r="BP276" s="60" t="n"/>
      <c r="BQ276" s="60" t="n"/>
      <c r="BR276" s="60" t="n"/>
      <c r="BS276" s="60" t="n"/>
      <c r="BT276" s="60" t="n"/>
      <c r="BU276" s="60" t="n"/>
      <c r="BV276" s="60" t="n"/>
      <c r="BW276" s="60" t="n"/>
      <c r="BX276" s="60" t="n"/>
      <c r="BY276" s="60" t="n"/>
      <c r="BZ276" s="60" t="n"/>
      <c r="CA276" s="60" t="n"/>
      <c r="CB276" s="60" t="n"/>
      <c r="CC276" s="60" t="n"/>
      <c r="CD276" s="60" t="n"/>
      <c r="CE276" s="60" t="n"/>
      <c r="CF276" s="60" t="n"/>
      <c r="CG276" s="60" t="n"/>
      <c r="CH276" s="60" t="n"/>
      <c r="CI276" s="60" t="n"/>
      <c r="CJ276" s="60" t="n"/>
      <c r="CK276" s="60" t="n"/>
      <c r="CL276" s="60" t="n"/>
      <c r="CM276" s="60" t="n"/>
      <c r="CN276" s="60" t="n"/>
      <c r="CO276" s="60" t="n"/>
      <c r="CP276" s="60" t="n"/>
      <c r="CQ276" s="60" t="n"/>
      <c r="CR276" s="60" t="n"/>
      <c r="CS276" s="60" t="n"/>
      <c r="CT276" s="60" t="n"/>
      <c r="CU276" s="60" t="n"/>
      <c r="CV276" s="60" t="n"/>
      <c r="CW276" s="60" t="n"/>
      <c r="CX276" s="60" t="n"/>
      <c r="CY276" s="60" t="n"/>
      <c r="CZ276" s="60" t="n"/>
      <c r="DA276" s="60" t="n"/>
      <c r="DB276" s="60" t="n"/>
      <c r="DC276" s="60" t="n"/>
      <c r="DD276" s="60" t="n"/>
      <c r="DE276" s="60" t="n"/>
    </row>
    <row r="277">
      <c r="A277" s="60" t="inlineStr">
        <is>
          <t>Referencia del revendido (no se compra)</t>
        </is>
      </c>
      <c r="B277" s="60" t="inlineStr">
        <is>
          <t>Cuerpo (virola) — Ø320 × e3,2 × 535 de alto; desarrollo 995,3 × 535</t>
        </is>
      </c>
      <c r="C277" s="60" t="inlineStr">
        <is>
          <t>u</t>
        </is>
      </c>
      <c r="D277" s="60" t="inlineStr">
        <is>
          <t>No</t>
        </is>
      </c>
      <c r="E277" s="60" t="n"/>
      <c r="F277" s="60" t="inlineStr">
        <is>
          <t>S4 - se compra terminado (tercerizado con sello IRAM)</t>
        </is>
      </c>
      <c r="G277" s="60" t="n"/>
      <c r="H277" s="60" t="n"/>
      <c r="I277" s="60" t="n"/>
      <c r="J277" s="60" t="n"/>
      <c r="K277" s="60" t="n"/>
      <c r="L277" s="60" t="n"/>
      <c r="M277" s="60" t="n">
        <v>1</v>
      </c>
      <c r="N277" s="60" t="n"/>
      <c r="O277" s="60" t="n"/>
      <c r="P277" s="60" t="n"/>
      <c r="Q277" s="60" t="n"/>
      <c r="R277" s="60" t="n"/>
      <c r="S277" s="60" t="n"/>
      <c r="T277" s="60" t="n"/>
      <c r="U277" s="60" t="n">
        <v>1</v>
      </c>
      <c r="V277" s="60" t="n"/>
      <c r="W277" s="60" t="n"/>
      <c r="X277" s="60" t="n"/>
      <c r="Y277" s="60" t="n"/>
      <c r="Z277" s="60" t="n"/>
      <c r="AA277" s="60" t="n"/>
      <c r="AB277" s="60" t="n"/>
      <c r="AC277" s="60" t="n">
        <v>1</v>
      </c>
      <c r="AD277" s="60" t="n"/>
      <c r="AE277" s="60" t="n"/>
      <c r="AF277" s="60" t="n"/>
      <c r="AG277" s="60" t="n"/>
      <c r="AH277" s="60" t="n"/>
      <c r="AI277" s="60" t="n"/>
      <c r="AJ277" s="60" t="n"/>
      <c r="AK277" s="60" t="n"/>
      <c r="AL277" s="60" t="n"/>
      <c r="AM277" s="60" t="n"/>
      <c r="AN277" s="60" t="n"/>
      <c r="AO277" s="60" t="n"/>
      <c r="AP277" s="60" t="n"/>
      <c r="AQ277" s="60" t="n"/>
      <c r="AR277" s="60" t="n"/>
      <c r="AS277" s="60" t="n"/>
      <c r="AT277" s="60" t="n"/>
      <c r="AU277" s="60" t="n"/>
      <c r="AV277" s="60" t="n"/>
      <c r="AW277" s="60" t="n"/>
      <c r="AX277" s="60" t="n"/>
      <c r="AY277" s="60" t="n"/>
      <c r="AZ277" s="60" t="n"/>
      <c r="BA277" s="60" t="n"/>
      <c r="BB277" s="60" t="n"/>
      <c r="BC277" s="60" t="n"/>
      <c r="BD277" s="60" t="n"/>
      <c r="BE277" s="60" t="n"/>
      <c r="BF277" s="60" t="n"/>
      <c r="BG277" s="60" t="n"/>
      <c r="BH277" s="60" t="n"/>
      <c r="BI277" s="60" t="n"/>
      <c r="BJ277" s="60" t="n"/>
      <c r="BK277" s="60" t="n"/>
      <c r="BL277" s="60" t="n"/>
      <c r="BM277" s="60" t="n"/>
      <c r="BN277" s="60" t="n"/>
      <c r="BO277" s="60" t="n"/>
      <c r="BP277" s="60" t="n"/>
      <c r="BQ277" s="60" t="n"/>
      <c r="BR277" s="60" t="n"/>
      <c r="BS277" s="60" t="n"/>
      <c r="BT277" s="60" t="n"/>
      <c r="BU277" s="60" t="n"/>
      <c r="BV277" s="60" t="n"/>
      <c r="BW277" s="60" t="n"/>
      <c r="BX277" s="60" t="n"/>
      <c r="BY277" s="60" t="n"/>
      <c r="BZ277" s="60" t="n"/>
      <c r="CA277" s="60" t="n"/>
      <c r="CB277" s="60" t="n"/>
      <c r="CC277" s="60" t="n"/>
      <c r="CD277" s="60" t="n"/>
      <c r="CE277" s="60" t="n"/>
      <c r="CF277" s="60" t="n"/>
      <c r="CG277" s="60" t="n"/>
      <c r="CH277" s="60" t="n"/>
      <c r="CI277" s="60" t="n"/>
      <c r="CJ277" s="60" t="n"/>
      <c r="CK277" s="60" t="n"/>
      <c r="CL277" s="60" t="n"/>
      <c r="CM277" s="60" t="n"/>
      <c r="CN277" s="60" t="n"/>
      <c r="CO277" s="60" t="n"/>
      <c r="CP277" s="60" t="n"/>
      <c r="CQ277" s="60" t="n"/>
      <c r="CR277" s="60" t="n"/>
      <c r="CS277" s="60" t="n"/>
      <c r="CT277" s="60" t="n"/>
      <c r="CU277" s="60" t="n"/>
      <c r="CV277" s="60" t="n"/>
      <c r="CW277" s="60" t="n"/>
      <c r="CX277" s="60" t="n"/>
      <c r="CY277" s="60" t="n"/>
      <c r="CZ277" s="60" t="n"/>
      <c r="DA277" s="60" t="n"/>
      <c r="DB277" s="60" t="n"/>
      <c r="DC277" s="60" t="n"/>
      <c r="DD277" s="60" t="n"/>
      <c r="DE277" s="60" t="n"/>
    </row>
    <row r="278">
      <c r="A278" s="60" t="inlineStr">
        <is>
          <t>Referencia del revendido (no se compra)</t>
        </is>
      </c>
      <c r="B278" s="60" t="inlineStr">
        <is>
          <t>Cuerpo de válvula — 58,4 × 54 × 46,3</t>
        </is>
      </c>
      <c r="C278" s="60" t="inlineStr">
        <is>
          <t>u</t>
        </is>
      </c>
      <c r="D278" s="60" t="inlineStr">
        <is>
          <t>No</t>
        </is>
      </c>
      <c r="E278" s="60" t="n"/>
      <c r="F278" s="60" t="inlineStr">
        <is>
          <t>S4 - se compra terminado (tercerizado con sello IRAM)</t>
        </is>
      </c>
      <c r="G278" s="60" t="n"/>
      <c r="H278" s="60" t="n"/>
      <c r="I278" s="60" t="n"/>
      <c r="J278" s="60" t="n"/>
      <c r="K278" s="60" t="n"/>
      <c r="L278" s="60" t="n"/>
      <c r="M278" s="60" t="n">
        <v>1</v>
      </c>
      <c r="N278" s="60" t="n"/>
      <c r="O278" s="60" t="n"/>
      <c r="P278" s="60" t="n"/>
      <c r="Q278" s="60" t="n"/>
      <c r="R278" s="60" t="n"/>
      <c r="S278" s="60" t="n"/>
      <c r="T278" s="60" t="n">
        <v>1</v>
      </c>
      <c r="U278" s="60" t="n">
        <v>1</v>
      </c>
      <c r="V278" s="60" t="n">
        <v>1</v>
      </c>
      <c r="W278" s="60" t="n">
        <v>1</v>
      </c>
      <c r="X278" s="60" t="n"/>
      <c r="Y278" s="60" t="n"/>
      <c r="Z278" s="60" t="n"/>
      <c r="AA278" s="60" t="n"/>
      <c r="AB278" s="60" t="n"/>
      <c r="AC278" s="60" t="n"/>
      <c r="AD278" s="60" t="n"/>
      <c r="AE278" s="60" t="n"/>
      <c r="AF278" s="60" t="n"/>
      <c r="AG278" s="60" t="n"/>
      <c r="AH278" s="60" t="n"/>
      <c r="AI278" s="60" t="n"/>
      <c r="AJ278" s="60" t="n"/>
      <c r="AK278" s="60" t="n"/>
      <c r="AL278" s="60" t="n"/>
      <c r="AM278" s="60" t="n"/>
      <c r="AN278" s="60" t="n"/>
      <c r="AO278" s="60" t="n"/>
      <c r="AP278" s="60" t="n"/>
      <c r="AQ278" s="60" t="n"/>
      <c r="AR278" s="60" t="n"/>
      <c r="AS278" s="60" t="n"/>
      <c r="AT278" s="60" t="n"/>
      <c r="AU278" s="60" t="n"/>
      <c r="AV278" s="60" t="n"/>
      <c r="AW278" s="60" t="n"/>
      <c r="AX278" s="60" t="n"/>
      <c r="AY278" s="60" t="n"/>
      <c r="AZ278" s="60" t="n"/>
      <c r="BA278" s="60" t="n"/>
      <c r="BB278" s="60" t="n"/>
      <c r="BC278" s="60" t="n"/>
      <c r="BD278" s="60" t="n"/>
      <c r="BE278" s="60" t="n"/>
      <c r="BF278" s="60" t="n"/>
      <c r="BG278" s="60" t="n"/>
      <c r="BH278" s="60" t="n"/>
      <c r="BI278" s="60" t="n"/>
      <c r="BJ278" s="60" t="n"/>
      <c r="BK278" s="60" t="n"/>
      <c r="BL278" s="60" t="n"/>
      <c r="BM278" s="60" t="n"/>
      <c r="BN278" s="60" t="n"/>
      <c r="BO278" s="60" t="n"/>
      <c r="BP278" s="60" t="n"/>
      <c r="BQ278" s="60" t="n"/>
      <c r="BR278" s="60" t="n"/>
      <c r="BS278" s="60" t="n"/>
      <c r="BT278" s="60" t="n"/>
      <c r="BU278" s="60" t="n"/>
      <c r="BV278" s="60" t="n"/>
      <c r="BW278" s="60" t="n"/>
      <c r="BX278" s="60" t="n"/>
      <c r="BY278" s="60" t="n"/>
      <c r="BZ278" s="60" t="n"/>
      <c r="CA278" s="60" t="n"/>
      <c r="CB278" s="60" t="n"/>
      <c r="CC278" s="60" t="n"/>
      <c r="CD278" s="60" t="n"/>
      <c r="CE278" s="60" t="n"/>
      <c r="CF278" s="60" t="n"/>
      <c r="CG278" s="60" t="n"/>
      <c r="CH278" s="60" t="n"/>
      <c r="CI278" s="60" t="n"/>
      <c r="CJ278" s="60" t="n"/>
      <c r="CK278" s="60" t="n"/>
      <c r="CL278" s="60" t="n"/>
      <c r="CM278" s="60" t="n"/>
      <c r="CN278" s="60" t="n"/>
      <c r="CO278" s="60" t="n"/>
      <c r="CP278" s="60" t="n"/>
      <c r="CQ278" s="60" t="n"/>
      <c r="CR278" s="60" t="n"/>
      <c r="CS278" s="60" t="n"/>
      <c r="CT278" s="60" t="n"/>
      <c r="CU278" s="60" t="n"/>
      <c r="CV278" s="60" t="n"/>
      <c r="CW278" s="60" t="n"/>
      <c r="CX278" s="60" t="n"/>
      <c r="CY278" s="60" t="n"/>
      <c r="CZ278" s="60" t="n"/>
      <c r="DA278" s="60" t="n"/>
      <c r="DB278" s="60" t="n"/>
      <c r="DC278" s="60" t="n"/>
      <c r="DD278" s="60" t="n"/>
      <c r="DE278" s="60" t="n"/>
    </row>
    <row r="279">
      <c r="A279" s="60" t="inlineStr">
        <is>
          <t>Referencia del revendido (no se compra)</t>
        </is>
      </c>
      <c r="B279" s="60" t="inlineStr">
        <is>
          <t>Cuerpo de válvula — 61,4 × 43 × 34</t>
        </is>
      </c>
      <c r="C279" s="60" t="inlineStr">
        <is>
          <t>u</t>
        </is>
      </c>
      <c r="D279" s="60" t="inlineStr">
        <is>
          <t>No</t>
        </is>
      </c>
      <c r="E279" s="60" t="n"/>
      <c r="F279" s="60" t="inlineStr">
        <is>
          <t>S4 - se compra terminado (tercerizado con sello IRAM)</t>
        </is>
      </c>
      <c r="G279" s="60" t="n"/>
      <c r="H279" s="60" t="n"/>
      <c r="I279" s="60" t="n"/>
      <c r="J279" s="60" t="n"/>
      <c r="K279" s="60" t="n"/>
      <c r="L279" s="60" t="n"/>
      <c r="M279" s="60" t="n"/>
      <c r="N279" s="60" t="n"/>
      <c r="O279" s="60" t="n"/>
      <c r="P279" s="60" t="n"/>
      <c r="Q279" s="60" t="n"/>
      <c r="R279" s="60" t="n"/>
      <c r="S279" s="60" t="n">
        <v>1</v>
      </c>
      <c r="T279" s="60" t="n"/>
      <c r="U279" s="60" t="n"/>
      <c r="V279" s="60" t="n"/>
      <c r="W279" s="60" t="n"/>
      <c r="X279" s="60" t="n"/>
      <c r="Y279" s="60" t="n"/>
      <c r="Z279" s="60" t="n"/>
      <c r="AA279" s="60" t="n"/>
      <c r="AB279" s="60" t="n"/>
      <c r="AC279" s="60" t="n"/>
      <c r="AD279" s="60" t="n"/>
      <c r="AE279" s="60" t="n"/>
      <c r="AF279" s="60" t="n"/>
      <c r="AG279" s="60" t="n"/>
      <c r="AH279" s="60" t="n"/>
      <c r="AI279" s="60" t="n"/>
      <c r="AJ279" s="60" t="n"/>
      <c r="AK279" s="60" t="n"/>
      <c r="AL279" s="60" t="n"/>
      <c r="AM279" s="60" t="n"/>
      <c r="AN279" s="60" t="n"/>
      <c r="AO279" s="60" t="n"/>
      <c r="AP279" s="60" t="n"/>
      <c r="AQ279" s="60" t="n"/>
      <c r="AR279" s="60" t="n"/>
      <c r="AS279" s="60" t="n"/>
      <c r="AT279" s="60" t="n"/>
      <c r="AU279" s="60" t="n"/>
      <c r="AV279" s="60" t="n"/>
      <c r="AW279" s="60" t="n"/>
      <c r="AX279" s="60" t="n"/>
      <c r="AY279" s="60" t="n"/>
      <c r="AZ279" s="60" t="n"/>
      <c r="BA279" s="60" t="n"/>
      <c r="BB279" s="60" t="n"/>
      <c r="BC279" s="60" t="n"/>
      <c r="BD279" s="60" t="n"/>
      <c r="BE279" s="60" t="n"/>
      <c r="BF279" s="60" t="n"/>
      <c r="BG279" s="60" t="n"/>
      <c r="BH279" s="60" t="n"/>
      <c r="BI279" s="60" t="n"/>
      <c r="BJ279" s="60" t="n"/>
      <c r="BK279" s="60" t="n"/>
      <c r="BL279" s="60" t="n"/>
      <c r="BM279" s="60" t="n"/>
      <c r="BN279" s="60" t="n"/>
      <c r="BO279" s="60" t="n"/>
      <c r="BP279" s="60" t="n"/>
      <c r="BQ279" s="60" t="n"/>
      <c r="BR279" s="60" t="n"/>
      <c r="BS279" s="60" t="n"/>
      <c r="BT279" s="60" t="n"/>
      <c r="BU279" s="60" t="n"/>
      <c r="BV279" s="60" t="n"/>
      <c r="BW279" s="60" t="n"/>
      <c r="BX279" s="60" t="n"/>
      <c r="BY279" s="60" t="n"/>
      <c r="BZ279" s="60" t="n"/>
      <c r="CA279" s="60" t="n"/>
      <c r="CB279" s="60" t="n"/>
      <c r="CC279" s="60" t="n"/>
      <c r="CD279" s="60" t="n"/>
      <c r="CE279" s="60" t="n"/>
      <c r="CF279" s="60" t="n"/>
      <c r="CG279" s="60" t="n"/>
      <c r="CH279" s="60" t="n"/>
      <c r="CI279" s="60" t="n"/>
      <c r="CJ279" s="60" t="n"/>
      <c r="CK279" s="60" t="n"/>
      <c r="CL279" s="60" t="n"/>
      <c r="CM279" s="60" t="n"/>
      <c r="CN279" s="60" t="n"/>
      <c r="CO279" s="60" t="n"/>
      <c r="CP279" s="60" t="n"/>
      <c r="CQ279" s="60" t="n"/>
      <c r="CR279" s="60" t="n"/>
      <c r="CS279" s="60" t="n"/>
      <c r="CT279" s="60" t="n"/>
      <c r="CU279" s="60" t="n"/>
      <c r="CV279" s="60" t="n"/>
      <c r="CW279" s="60" t="n"/>
      <c r="CX279" s="60" t="n"/>
      <c r="CY279" s="60" t="n"/>
      <c r="CZ279" s="60" t="n"/>
      <c r="DA279" s="60" t="n"/>
      <c r="DB279" s="60" t="n"/>
      <c r="DC279" s="60" t="n"/>
      <c r="DD279" s="60" t="n"/>
      <c r="DE279" s="60" t="n"/>
    </row>
    <row r="280">
      <c r="A280" s="60" t="inlineStr">
        <is>
          <t>Referencia del revendido (no se compra)</t>
        </is>
      </c>
      <c r="B280" s="60" t="inlineStr">
        <is>
          <t>Cuerpo de válvula — 63,3 × 43 × 34</t>
        </is>
      </c>
      <c r="C280" s="60" t="inlineStr">
        <is>
          <t>u</t>
        </is>
      </c>
      <c r="D280" s="60" t="inlineStr">
        <is>
          <t>No</t>
        </is>
      </c>
      <c r="E280" s="60" t="n"/>
      <c r="F280" s="60" t="inlineStr">
        <is>
          <t>S4 - se compra terminado (tercerizado con sello IRAM)</t>
        </is>
      </c>
      <c r="G280" s="60" t="n"/>
      <c r="H280" s="60" t="n"/>
      <c r="I280" s="60" t="n"/>
      <c r="J280" s="60" t="n"/>
      <c r="K280" s="60" t="n"/>
      <c r="L280" s="60" t="n"/>
      <c r="M280" s="60" t="n"/>
      <c r="N280" s="60" t="n"/>
      <c r="O280" s="60" t="n"/>
      <c r="P280" s="60" t="n"/>
      <c r="Q280" s="60" t="n">
        <v>1</v>
      </c>
      <c r="R280" s="60" t="n"/>
      <c r="S280" s="60" t="n"/>
      <c r="T280" s="60" t="n"/>
      <c r="U280" s="60" t="n"/>
      <c r="V280" s="60" t="n"/>
      <c r="W280" s="60" t="n"/>
      <c r="X280" s="60" t="n"/>
      <c r="Y280" s="60" t="n"/>
      <c r="Z280" s="60" t="n"/>
      <c r="AA280" s="60" t="n"/>
      <c r="AB280" s="60" t="n"/>
      <c r="AC280" s="60" t="n"/>
      <c r="AD280" s="60" t="n"/>
      <c r="AE280" s="60" t="n"/>
      <c r="AF280" s="60" t="n"/>
      <c r="AG280" s="60" t="n"/>
      <c r="AH280" s="60" t="n"/>
      <c r="AI280" s="60" t="n"/>
      <c r="AJ280" s="60" t="n"/>
      <c r="AK280" s="60" t="n"/>
      <c r="AL280" s="60" t="n"/>
      <c r="AM280" s="60" t="n"/>
      <c r="AN280" s="60" t="n"/>
      <c r="AO280" s="60" t="n"/>
      <c r="AP280" s="60" t="n"/>
      <c r="AQ280" s="60" t="n"/>
      <c r="AR280" s="60" t="n"/>
      <c r="AS280" s="60" t="n"/>
      <c r="AT280" s="60" t="n"/>
      <c r="AU280" s="60" t="n"/>
      <c r="AV280" s="60" t="n"/>
      <c r="AW280" s="60" t="n"/>
      <c r="AX280" s="60" t="n"/>
      <c r="AY280" s="60" t="n"/>
      <c r="AZ280" s="60" t="n"/>
      <c r="BA280" s="60" t="n"/>
      <c r="BB280" s="60" t="n"/>
      <c r="BC280" s="60" t="n"/>
      <c r="BD280" s="60" t="n"/>
      <c r="BE280" s="60" t="n"/>
      <c r="BF280" s="60" t="n"/>
      <c r="BG280" s="60" t="n"/>
      <c r="BH280" s="60" t="n"/>
      <c r="BI280" s="60" t="n"/>
      <c r="BJ280" s="60" t="n"/>
      <c r="BK280" s="60" t="n"/>
      <c r="BL280" s="60" t="n"/>
      <c r="BM280" s="60" t="n"/>
      <c r="BN280" s="60" t="n"/>
      <c r="BO280" s="60" t="n"/>
      <c r="BP280" s="60" t="n"/>
      <c r="BQ280" s="60" t="n"/>
      <c r="BR280" s="60" t="n"/>
      <c r="BS280" s="60" t="n"/>
      <c r="BT280" s="60" t="n"/>
      <c r="BU280" s="60" t="n"/>
      <c r="BV280" s="60" t="n"/>
      <c r="BW280" s="60" t="n"/>
      <c r="BX280" s="60" t="n"/>
      <c r="BY280" s="60" t="n"/>
      <c r="BZ280" s="60" t="n"/>
      <c r="CA280" s="60" t="n"/>
      <c r="CB280" s="60" t="n"/>
      <c r="CC280" s="60" t="n"/>
      <c r="CD280" s="60" t="n"/>
      <c r="CE280" s="60" t="n"/>
      <c r="CF280" s="60" t="n"/>
      <c r="CG280" s="60" t="n"/>
      <c r="CH280" s="60" t="n"/>
      <c r="CI280" s="60" t="n"/>
      <c r="CJ280" s="60" t="n"/>
      <c r="CK280" s="60" t="n"/>
      <c r="CL280" s="60" t="n"/>
      <c r="CM280" s="60" t="n"/>
      <c r="CN280" s="60" t="n"/>
      <c r="CO280" s="60" t="n"/>
      <c r="CP280" s="60" t="n"/>
      <c r="CQ280" s="60" t="n"/>
      <c r="CR280" s="60" t="n"/>
      <c r="CS280" s="60" t="n"/>
      <c r="CT280" s="60" t="n"/>
      <c r="CU280" s="60" t="n"/>
      <c r="CV280" s="60" t="n"/>
      <c r="CW280" s="60" t="n"/>
      <c r="CX280" s="60" t="n"/>
      <c r="CY280" s="60" t="n"/>
      <c r="CZ280" s="60" t="n"/>
      <c r="DA280" s="60" t="n"/>
      <c r="DB280" s="60" t="n"/>
      <c r="DC280" s="60" t="n"/>
      <c r="DD280" s="60" t="n"/>
      <c r="DE280" s="60" t="n"/>
    </row>
    <row r="281">
      <c r="A281" s="60" t="inlineStr">
        <is>
          <t>Referencia del revendido (no se compra)</t>
        </is>
      </c>
      <c r="B281" s="60" t="inlineStr">
        <is>
          <t>Cuerpo de válvula — 63,4 × 43 × 34</t>
        </is>
      </c>
      <c r="C281" s="60" t="inlineStr">
        <is>
          <t>u</t>
        </is>
      </c>
      <c r="D281" s="60" t="inlineStr">
        <is>
          <t>No</t>
        </is>
      </c>
      <c r="E281" s="60" t="n"/>
      <c r="F281" s="60" t="inlineStr">
        <is>
          <t>S4 - se compra terminado (tercerizado con sello IRAM)</t>
        </is>
      </c>
      <c r="G281" s="60" t="n"/>
      <c r="H281" s="60" t="n"/>
      <c r="I281" s="60" t="n"/>
      <c r="J281" s="60" t="n"/>
      <c r="K281" s="60" t="n"/>
      <c r="L281" s="60" t="n"/>
      <c r="M281" s="60" t="n"/>
      <c r="N281" s="60" t="n"/>
      <c r="O281" s="60" t="n">
        <v>1</v>
      </c>
      <c r="P281" s="60" t="n"/>
      <c r="Q281" s="60" t="n"/>
      <c r="R281" s="60" t="n"/>
      <c r="S281" s="60" t="n"/>
      <c r="T281" s="60" t="n"/>
      <c r="U281" s="60" t="n"/>
      <c r="V281" s="60" t="n"/>
      <c r="W281" s="60" t="n"/>
      <c r="X281" s="60" t="n"/>
      <c r="Y281" s="60" t="n"/>
      <c r="Z281" s="60" t="n"/>
      <c r="AA281" s="60" t="n"/>
      <c r="AB281" s="60" t="n"/>
      <c r="AC281" s="60" t="n"/>
      <c r="AD281" s="60" t="n"/>
      <c r="AE281" s="60" t="n"/>
      <c r="AF281" s="60" t="n"/>
      <c r="AG281" s="60" t="n"/>
      <c r="AH281" s="60" t="n"/>
      <c r="AI281" s="60" t="n"/>
      <c r="AJ281" s="60" t="n"/>
      <c r="AK281" s="60" t="n"/>
      <c r="AL281" s="60" t="n"/>
      <c r="AM281" s="60" t="n"/>
      <c r="AN281" s="60" t="n"/>
      <c r="AO281" s="60" t="n"/>
      <c r="AP281" s="60" t="n"/>
      <c r="AQ281" s="60" t="n"/>
      <c r="AR281" s="60" t="n"/>
      <c r="AS281" s="60" t="n"/>
      <c r="AT281" s="60" t="n"/>
      <c r="AU281" s="60" t="n"/>
      <c r="AV281" s="60" t="n"/>
      <c r="AW281" s="60" t="n"/>
      <c r="AX281" s="60" t="n"/>
      <c r="AY281" s="60" t="n"/>
      <c r="AZ281" s="60" t="n"/>
      <c r="BA281" s="60" t="n"/>
      <c r="BB281" s="60" t="n"/>
      <c r="BC281" s="60" t="n"/>
      <c r="BD281" s="60" t="n"/>
      <c r="BE281" s="60" t="n"/>
      <c r="BF281" s="60" t="n"/>
      <c r="BG281" s="60" t="n"/>
      <c r="BH281" s="60" t="n"/>
      <c r="BI281" s="60" t="n"/>
      <c r="BJ281" s="60" t="n"/>
      <c r="BK281" s="60" t="n"/>
      <c r="BL281" s="60" t="n"/>
      <c r="BM281" s="60" t="n"/>
      <c r="BN281" s="60" t="n"/>
      <c r="BO281" s="60" t="n"/>
      <c r="BP281" s="60" t="n"/>
      <c r="BQ281" s="60" t="n"/>
      <c r="BR281" s="60" t="n"/>
      <c r="BS281" s="60" t="n"/>
      <c r="BT281" s="60" t="n"/>
      <c r="BU281" s="60" t="n"/>
      <c r="BV281" s="60" t="n"/>
      <c r="BW281" s="60" t="n"/>
      <c r="BX281" s="60" t="n"/>
      <c r="BY281" s="60" t="n"/>
      <c r="BZ281" s="60" t="n"/>
      <c r="CA281" s="60" t="n"/>
      <c r="CB281" s="60" t="n"/>
      <c r="CC281" s="60" t="n"/>
      <c r="CD281" s="60" t="n"/>
      <c r="CE281" s="60" t="n"/>
      <c r="CF281" s="60" t="n"/>
      <c r="CG281" s="60" t="n"/>
      <c r="CH281" s="60" t="n"/>
      <c r="CI281" s="60" t="n"/>
      <c r="CJ281" s="60" t="n"/>
      <c r="CK281" s="60" t="n"/>
      <c r="CL281" s="60" t="n"/>
      <c r="CM281" s="60" t="n"/>
      <c r="CN281" s="60" t="n"/>
      <c r="CO281" s="60" t="n"/>
      <c r="CP281" s="60" t="n"/>
      <c r="CQ281" s="60" t="n"/>
      <c r="CR281" s="60" t="n"/>
      <c r="CS281" s="60" t="n"/>
      <c r="CT281" s="60" t="n"/>
      <c r="CU281" s="60" t="n"/>
      <c r="CV281" s="60" t="n"/>
      <c r="CW281" s="60" t="n"/>
      <c r="CX281" s="60" t="n"/>
      <c r="CY281" s="60" t="n"/>
      <c r="CZ281" s="60" t="n"/>
      <c r="DA281" s="60" t="n"/>
      <c r="DB281" s="60" t="n"/>
      <c r="DC281" s="60" t="n"/>
      <c r="DD281" s="60" t="n"/>
      <c r="DE281" s="60" t="n"/>
    </row>
    <row r="282">
      <c r="A282" s="60" t="inlineStr">
        <is>
          <t>Referencia del revendido (no se compra)</t>
        </is>
      </c>
      <c r="B282" s="60" t="inlineStr">
        <is>
          <t>Cuerpo de válvula — 66,2 × 43 × 34</t>
        </is>
      </c>
      <c r="C282" s="60" t="inlineStr">
        <is>
          <t>u</t>
        </is>
      </c>
      <c r="D282" s="60" t="inlineStr">
        <is>
          <t>No</t>
        </is>
      </c>
      <c r="E282" s="60" t="n"/>
      <c r="F282" s="60" t="inlineStr">
        <is>
          <t>S4 - se compra terminado (tercerizado con sello IRAM)</t>
        </is>
      </c>
      <c r="G282" s="60" t="n"/>
      <c r="H282" s="60" t="n"/>
      <c r="I282" s="60" t="n"/>
      <c r="J282" s="60" t="n"/>
      <c r="K282" s="60" t="n"/>
      <c r="L282" s="60" t="n"/>
      <c r="M282" s="60" t="n"/>
      <c r="N282" s="60" t="n"/>
      <c r="O282" s="60" t="n"/>
      <c r="P282" s="60" t="n">
        <v>1</v>
      </c>
      <c r="Q282" s="60" t="n"/>
      <c r="R282" s="60" t="n"/>
      <c r="S282" s="60" t="n"/>
      <c r="T282" s="60" t="n"/>
      <c r="U282" s="60" t="n"/>
      <c r="V282" s="60" t="n"/>
      <c r="W282" s="60" t="n"/>
      <c r="X282" s="60" t="n"/>
      <c r="Y282" s="60" t="n"/>
      <c r="Z282" s="60" t="n"/>
      <c r="AA282" s="60" t="n"/>
      <c r="AB282" s="60" t="n"/>
      <c r="AC282" s="60" t="n"/>
      <c r="AD282" s="60" t="n"/>
      <c r="AE282" s="60" t="n"/>
      <c r="AF282" s="60" t="n"/>
      <c r="AG282" s="60" t="n"/>
      <c r="AH282" s="60" t="n"/>
      <c r="AI282" s="60" t="n"/>
      <c r="AJ282" s="60" t="n"/>
      <c r="AK282" s="60" t="n"/>
      <c r="AL282" s="60" t="n"/>
      <c r="AM282" s="60" t="n"/>
      <c r="AN282" s="60" t="n"/>
      <c r="AO282" s="60" t="n"/>
      <c r="AP282" s="60" t="n"/>
      <c r="AQ282" s="60" t="n"/>
      <c r="AR282" s="60" t="n"/>
      <c r="AS282" s="60" t="n"/>
      <c r="AT282" s="60" t="n"/>
      <c r="AU282" s="60" t="n"/>
      <c r="AV282" s="60" t="n"/>
      <c r="AW282" s="60" t="n"/>
      <c r="AX282" s="60" t="n"/>
      <c r="AY282" s="60" t="n"/>
      <c r="AZ282" s="60" t="n"/>
      <c r="BA282" s="60" t="n"/>
      <c r="BB282" s="60" t="n"/>
      <c r="BC282" s="60" t="n"/>
      <c r="BD282" s="60" t="n"/>
      <c r="BE282" s="60" t="n"/>
      <c r="BF282" s="60" t="n"/>
      <c r="BG282" s="60" t="n"/>
      <c r="BH282" s="60" t="n"/>
      <c r="BI282" s="60" t="n"/>
      <c r="BJ282" s="60" t="n"/>
      <c r="BK282" s="60" t="n"/>
      <c r="BL282" s="60" t="n"/>
      <c r="BM282" s="60" t="n"/>
      <c r="BN282" s="60" t="n"/>
      <c r="BO282" s="60" t="n"/>
      <c r="BP282" s="60" t="n"/>
      <c r="BQ282" s="60" t="n"/>
      <c r="BR282" s="60" t="n"/>
      <c r="BS282" s="60" t="n"/>
      <c r="BT282" s="60" t="n"/>
      <c r="BU282" s="60" t="n"/>
      <c r="BV282" s="60" t="n"/>
      <c r="BW282" s="60" t="n"/>
      <c r="BX282" s="60" t="n"/>
      <c r="BY282" s="60" t="n"/>
      <c r="BZ282" s="60" t="n"/>
      <c r="CA282" s="60" t="n"/>
      <c r="CB282" s="60" t="n"/>
      <c r="CC282" s="60" t="n"/>
      <c r="CD282" s="60" t="n"/>
      <c r="CE282" s="60" t="n"/>
      <c r="CF282" s="60" t="n"/>
      <c r="CG282" s="60" t="n"/>
      <c r="CH282" s="60" t="n"/>
      <c r="CI282" s="60" t="n"/>
      <c r="CJ282" s="60" t="n"/>
      <c r="CK282" s="60" t="n"/>
      <c r="CL282" s="60" t="n"/>
      <c r="CM282" s="60" t="n"/>
      <c r="CN282" s="60" t="n"/>
      <c r="CO282" s="60" t="n"/>
      <c r="CP282" s="60" t="n"/>
      <c r="CQ282" s="60" t="n"/>
      <c r="CR282" s="60" t="n"/>
      <c r="CS282" s="60" t="n"/>
      <c r="CT282" s="60" t="n"/>
      <c r="CU282" s="60" t="n"/>
      <c r="CV282" s="60" t="n"/>
      <c r="CW282" s="60" t="n"/>
      <c r="CX282" s="60" t="n"/>
      <c r="CY282" s="60" t="n"/>
      <c r="CZ282" s="60" t="n"/>
      <c r="DA282" s="60" t="n"/>
      <c r="DB282" s="60" t="n"/>
      <c r="DC282" s="60" t="n"/>
      <c r="DD282" s="60" t="n"/>
      <c r="DE282" s="60" t="n"/>
    </row>
    <row r="283">
      <c r="A283" s="60" t="inlineStr">
        <is>
          <t>Referencia del revendido (no se compra)</t>
        </is>
      </c>
      <c r="B283" s="60" t="inlineStr">
        <is>
          <t>Cuerpo de válvula — 67 × 43 × 34</t>
        </is>
      </c>
      <c r="C283" s="60" t="inlineStr">
        <is>
          <t>u</t>
        </is>
      </c>
      <c r="D283" s="60" t="inlineStr">
        <is>
          <t>No</t>
        </is>
      </c>
      <c r="E283" s="60" t="n"/>
      <c r="F283" s="60" t="inlineStr">
        <is>
          <t>S4 - se compra terminado (tercerizado con sello IRAM)</t>
        </is>
      </c>
      <c r="G283" s="60" t="n"/>
      <c r="H283" s="60" t="n"/>
      <c r="I283" s="60" t="n"/>
      <c r="J283" s="60" t="n"/>
      <c r="K283" s="60" t="n">
        <v>1</v>
      </c>
      <c r="L283" s="60" t="n"/>
      <c r="M283" s="60" t="n"/>
      <c r="N283" s="60" t="n"/>
      <c r="O283" s="60" t="n"/>
      <c r="P283" s="60" t="n"/>
      <c r="Q283" s="60" t="n"/>
      <c r="R283" s="60" t="n"/>
      <c r="S283" s="60" t="n"/>
      <c r="T283" s="60" t="n"/>
      <c r="U283" s="60" t="n"/>
      <c r="V283" s="60" t="n"/>
      <c r="W283" s="60" t="n"/>
      <c r="X283" s="60" t="n"/>
      <c r="Y283" s="60" t="n"/>
      <c r="Z283" s="60" t="n"/>
      <c r="AA283" s="60" t="n"/>
      <c r="AB283" s="60" t="n"/>
      <c r="AC283" s="60" t="n"/>
      <c r="AD283" s="60" t="n"/>
      <c r="AE283" s="60" t="n"/>
      <c r="AF283" s="60" t="n"/>
      <c r="AG283" s="60" t="n"/>
      <c r="AH283" s="60" t="n"/>
      <c r="AI283" s="60" t="n"/>
      <c r="AJ283" s="60" t="n"/>
      <c r="AK283" s="60" t="n"/>
      <c r="AL283" s="60" t="n"/>
      <c r="AM283" s="60" t="n"/>
      <c r="AN283" s="60" t="n"/>
      <c r="AO283" s="60" t="n"/>
      <c r="AP283" s="60" t="n"/>
      <c r="AQ283" s="60" t="n"/>
      <c r="AR283" s="60" t="n"/>
      <c r="AS283" s="60" t="n"/>
      <c r="AT283" s="60" t="n"/>
      <c r="AU283" s="60" t="n"/>
      <c r="AV283" s="60" t="n"/>
      <c r="AW283" s="60" t="n"/>
      <c r="AX283" s="60" t="n"/>
      <c r="AY283" s="60" t="n"/>
      <c r="AZ283" s="60" t="n"/>
      <c r="BA283" s="60" t="n"/>
      <c r="BB283" s="60" t="n"/>
      <c r="BC283" s="60" t="n"/>
      <c r="BD283" s="60" t="n"/>
      <c r="BE283" s="60" t="n"/>
      <c r="BF283" s="60" t="n"/>
      <c r="BG283" s="60" t="n"/>
      <c r="BH283" s="60" t="n"/>
      <c r="BI283" s="60" t="n"/>
      <c r="BJ283" s="60" t="n"/>
      <c r="BK283" s="60" t="n"/>
      <c r="BL283" s="60" t="n"/>
      <c r="BM283" s="60" t="n"/>
      <c r="BN283" s="60" t="n"/>
      <c r="BO283" s="60" t="n"/>
      <c r="BP283" s="60" t="n"/>
      <c r="BQ283" s="60" t="n"/>
      <c r="BR283" s="60" t="n"/>
      <c r="BS283" s="60" t="n"/>
      <c r="BT283" s="60" t="n"/>
      <c r="BU283" s="60" t="n"/>
      <c r="BV283" s="60" t="n"/>
      <c r="BW283" s="60" t="n"/>
      <c r="BX283" s="60" t="n"/>
      <c r="BY283" s="60" t="n"/>
      <c r="BZ283" s="60" t="n"/>
      <c r="CA283" s="60" t="n"/>
      <c r="CB283" s="60" t="n"/>
      <c r="CC283" s="60" t="n"/>
      <c r="CD283" s="60" t="n"/>
      <c r="CE283" s="60" t="n"/>
      <c r="CF283" s="60" t="n"/>
      <c r="CG283" s="60" t="n"/>
      <c r="CH283" s="60" t="n"/>
      <c r="CI283" s="60" t="n"/>
      <c r="CJ283" s="60" t="n"/>
      <c r="CK283" s="60" t="n"/>
      <c r="CL283" s="60" t="n"/>
      <c r="CM283" s="60" t="n"/>
      <c r="CN283" s="60" t="n"/>
      <c r="CO283" s="60" t="n"/>
      <c r="CP283" s="60" t="n"/>
      <c r="CQ283" s="60" t="n"/>
      <c r="CR283" s="60" t="n"/>
      <c r="CS283" s="60" t="n"/>
      <c r="CT283" s="60" t="n"/>
      <c r="CU283" s="60" t="n"/>
      <c r="CV283" s="60" t="n"/>
      <c r="CW283" s="60" t="n"/>
      <c r="CX283" s="60" t="n"/>
      <c r="CY283" s="60" t="n"/>
      <c r="CZ283" s="60" t="n"/>
      <c r="DA283" s="60" t="n"/>
      <c r="DB283" s="60" t="n"/>
      <c r="DC283" s="60" t="n"/>
      <c r="DD283" s="60" t="n"/>
      <c r="DE283" s="60" t="n"/>
    </row>
    <row r="284">
      <c r="A284" s="60" t="inlineStr">
        <is>
          <t>Referencia del revendido (no se compra)</t>
        </is>
      </c>
      <c r="B284" s="60" t="inlineStr">
        <is>
          <t>Cuerpo de válvula — 68,2 × 43 × 34</t>
        </is>
      </c>
      <c r="C284" s="60" t="inlineStr">
        <is>
          <t>u</t>
        </is>
      </c>
      <c r="D284" s="60" t="inlineStr">
        <is>
          <t>No</t>
        </is>
      </c>
      <c r="E284" s="60" t="n"/>
      <c r="F284" s="60" t="inlineStr">
        <is>
          <t>S4 - se compra terminado (tercerizado con sello IRAM)</t>
        </is>
      </c>
      <c r="G284" s="60" t="n"/>
      <c r="H284" s="60" t="n"/>
      <c r="I284" s="60" t="n"/>
      <c r="J284" s="60" t="n"/>
      <c r="K284" s="60" t="n"/>
      <c r="L284" s="60" t="n">
        <v>1</v>
      </c>
      <c r="M284" s="60" t="n"/>
      <c r="N284" s="60" t="n"/>
      <c r="O284" s="60" t="n"/>
      <c r="P284" s="60" t="n"/>
      <c r="Q284" s="60" t="n"/>
      <c r="R284" s="60" t="n"/>
      <c r="S284" s="60" t="n"/>
      <c r="T284" s="60" t="n"/>
      <c r="U284" s="60" t="n"/>
      <c r="V284" s="60" t="n"/>
      <c r="W284" s="60" t="n"/>
      <c r="X284" s="60" t="n"/>
      <c r="Y284" s="60" t="n"/>
      <c r="Z284" s="60" t="n"/>
      <c r="AA284" s="60" t="n"/>
      <c r="AB284" s="60" t="n"/>
      <c r="AC284" s="60" t="n"/>
      <c r="AD284" s="60" t="n"/>
      <c r="AE284" s="60" t="n"/>
      <c r="AF284" s="60" t="n"/>
      <c r="AG284" s="60" t="n"/>
      <c r="AH284" s="60" t="n"/>
      <c r="AI284" s="60" t="n"/>
      <c r="AJ284" s="60" t="n"/>
      <c r="AK284" s="60" t="n"/>
      <c r="AL284" s="60" t="n"/>
      <c r="AM284" s="60" t="n"/>
      <c r="AN284" s="60" t="n"/>
      <c r="AO284" s="60" t="n"/>
      <c r="AP284" s="60" t="n"/>
      <c r="AQ284" s="60" t="n"/>
      <c r="AR284" s="60" t="n"/>
      <c r="AS284" s="60" t="n"/>
      <c r="AT284" s="60" t="n"/>
      <c r="AU284" s="60" t="n"/>
      <c r="AV284" s="60" t="n"/>
      <c r="AW284" s="60" t="n"/>
      <c r="AX284" s="60" t="n"/>
      <c r="AY284" s="60" t="n"/>
      <c r="AZ284" s="60" t="n"/>
      <c r="BA284" s="60" t="n"/>
      <c r="BB284" s="60" t="n"/>
      <c r="BC284" s="60" t="n"/>
      <c r="BD284" s="60" t="n"/>
      <c r="BE284" s="60" t="n"/>
      <c r="BF284" s="60" t="n"/>
      <c r="BG284" s="60" t="n"/>
      <c r="BH284" s="60" t="n"/>
      <c r="BI284" s="60" t="n"/>
      <c r="BJ284" s="60" t="n"/>
      <c r="BK284" s="60" t="n"/>
      <c r="BL284" s="60" t="n"/>
      <c r="BM284" s="60" t="n"/>
      <c r="BN284" s="60" t="n"/>
      <c r="BO284" s="60" t="n"/>
      <c r="BP284" s="60" t="n"/>
      <c r="BQ284" s="60" t="n"/>
      <c r="BR284" s="60" t="n"/>
      <c r="BS284" s="60" t="n"/>
      <c r="BT284" s="60" t="n"/>
      <c r="BU284" s="60" t="n"/>
      <c r="BV284" s="60" t="n"/>
      <c r="BW284" s="60" t="n"/>
      <c r="BX284" s="60" t="n"/>
      <c r="BY284" s="60" t="n"/>
      <c r="BZ284" s="60" t="n"/>
      <c r="CA284" s="60" t="n"/>
      <c r="CB284" s="60" t="n"/>
      <c r="CC284" s="60" t="n"/>
      <c r="CD284" s="60" t="n"/>
      <c r="CE284" s="60" t="n"/>
      <c r="CF284" s="60" t="n"/>
      <c r="CG284" s="60" t="n"/>
      <c r="CH284" s="60" t="n"/>
      <c r="CI284" s="60" t="n"/>
      <c r="CJ284" s="60" t="n"/>
      <c r="CK284" s="60" t="n"/>
      <c r="CL284" s="60" t="n"/>
      <c r="CM284" s="60" t="n"/>
      <c r="CN284" s="60" t="n"/>
      <c r="CO284" s="60" t="n"/>
      <c r="CP284" s="60" t="n"/>
      <c r="CQ284" s="60" t="n"/>
      <c r="CR284" s="60" t="n"/>
      <c r="CS284" s="60" t="n"/>
      <c r="CT284" s="60" t="n"/>
      <c r="CU284" s="60" t="n"/>
      <c r="CV284" s="60" t="n"/>
      <c r="CW284" s="60" t="n"/>
      <c r="CX284" s="60" t="n"/>
      <c r="CY284" s="60" t="n"/>
      <c r="CZ284" s="60" t="n"/>
      <c r="DA284" s="60" t="n"/>
      <c r="DB284" s="60" t="n"/>
      <c r="DC284" s="60" t="n"/>
      <c r="DD284" s="60" t="n"/>
      <c r="DE284" s="60" t="n"/>
    </row>
    <row r="285">
      <c r="A285" s="60" t="inlineStr">
        <is>
          <t>Referencia del revendido (no se compra)</t>
        </is>
      </c>
      <c r="B285" s="60" t="inlineStr">
        <is>
          <t>Cúpula — Ø181,5 × e1,6 × 61,3 de alto; disco Ø228,9</t>
        </is>
      </c>
      <c r="C285" s="60" t="inlineStr">
        <is>
          <t>u</t>
        </is>
      </c>
      <c r="D285" s="60" t="inlineStr">
        <is>
          <t>No</t>
        </is>
      </c>
      <c r="E285" s="60" t="n"/>
      <c r="F285" s="60" t="inlineStr">
        <is>
          <t>S4 - se compra terminado (tercerizado con sello IRAM)</t>
        </is>
      </c>
      <c r="G285" s="60" t="n"/>
      <c r="H285" s="60" t="n"/>
      <c r="I285" s="60" t="n"/>
      <c r="J285" s="60" t="n"/>
      <c r="K285" s="60" t="n"/>
      <c r="L285" s="60" t="n"/>
      <c r="M285" s="60" t="n"/>
      <c r="N285" s="60" t="n"/>
      <c r="O285" s="60" t="n"/>
      <c r="P285" s="60" t="n"/>
      <c r="Q285" s="60" t="n"/>
      <c r="R285" s="60" t="n"/>
      <c r="S285" s="60" t="n">
        <v>1</v>
      </c>
      <c r="T285" s="60" t="n"/>
      <c r="U285" s="60" t="n"/>
      <c r="V285" s="60" t="n"/>
      <c r="W285" s="60" t="n"/>
      <c r="X285" s="60" t="n"/>
      <c r="Y285" s="60" t="n"/>
      <c r="Z285" s="60" t="n"/>
      <c r="AA285" s="60" t="n"/>
      <c r="AB285" s="60" t="n"/>
      <c r="AC285" s="60" t="n"/>
      <c r="AD285" s="60" t="n"/>
      <c r="AE285" s="60" t="n"/>
      <c r="AF285" s="60" t="n"/>
      <c r="AG285" s="60" t="n"/>
      <c r="AH285" s="60" t="n"/>
      <c r="AI285" s="60" t="n"/>
      <c r="AJ285" s="60" t="n"/>
      <c r="AK285" s="60" t="n"/>
      <c r="AL285" s="60" t="n"/>
      <c r="AM285" s="60" t="n"/>
      <c r="AN285" s="60" t="n"/>
      <c r="AO285" s="60" t="n"/>
      <c r="AP285" s="60" t="n"/>
      <c r="AQ285" s="60" t="n"/>
      <c r="AR285" s="60" t="n"/>
      <c r="AS285" s="60" t="n"/>
      <c r="AT285" s="60" t="n"/>
      <c r="AU285" s="60" t="n"/>
      <c r="AV285" s="60" t="n"/>
      <c r="AW285" s="60" t="n"/>
      <c r="AX285" s="60" t="n"/>
      <c r="AY285" s="60" t="n"/>
      <c r="AZ285" s="60" t="n"/>
      <c r="BA285" s="60" t="n"/>
      <c r="BB285" s="60" t="n"/>
      <c r="BC285" s="60" t="n"/>
      <c r="BD285" s="60" t="n"/>
      <c r="BE285" s="60" t="n"/>
      <c r="BF285" s="60" t="n"/>
      <c r="BG285" s="60" t="n"/>
      <c r="BH285" s="60" t="n"/>
      <c r="BI285" s="60" t="n"/>
      <c r="BJ285" s="60" t="n"/>
      <c r="BK285" s="60" t="n"/>
      <c r="BL285" s="60" t="n"/>
      <c r="BM285" s="60" t="n"/>
      <c r="BN285" s="60" t="n"/>
      <c r="BO285" s="60" t="n"/>
      <c r="BP285" s="60" t="n"/>
      <c r="BQ285" s="60" t="n"/>
      <c r="BR285" s="60" t="n"/>
      <c r="BS285" s="60" t="n"/>
      <c r="BT285" s="60" t="n"/>
      <c r="BU285" s="60" t="n"/>
      <c r="BV285" s="60" t="n"/>
      <c r="BW285" s="60" t="n"/>
      <c r="BX285" s="60" t="n"/>
      <c r="BY285" s="60" t="n"/>
      <c r="BZ285" s="60" t="n"/>
      <c r="CA285" s="60" t="n"/>
      <c r="CB285" s="60" t="n"/>
      <c r="CC285" s="60" t="n"/>
      <c r="CD285" s="60" t="n"/>
      <c r="CE285" s="60" t="n"/>
      <c r="CF285" s="60" t="n"/>
      <c r="CG285" s="60" t="n"/>
      <c r="CH285" s="60" t="n"/>
      <c r="CI285" s="60" t="n"/>
      <c r="CJ285" s="60" t="n"/>
      <c r="CK285" s="60" t="n"/>
      <c r="CL285" s="60" t="n"/>
      <c r="CM285" s="60" t="n"/>
      <c r="CN285" s="60" t="n"/>
      <c r="CO285" s="60" t="n"/>
      <c r="CP285" s="60" t="n"/>
      <c r="CQ285" s="60" t="n"/>
      <c r="CR285" s="60" t="n"/>
      <c r="CS285" s="60" t="n"/>
      <c r="CT285" s="60" t="n"/>
      <c r="CU285" s="60" t="n"/>
      <c r="CV285" s="60" t="n"/>
      <c r="CW285" s="60" t="n"/>
      <c r="CX285" s="60" t="n"/>
      <c r="CY285" s="60" t="n"/>
      <c r="CZ285" s="60" t="n"/>
      <c r="DA285" s="60" t="n"/>
      <c r="DB285" s="60" t="n"/>
      <c r="DC285" s="60" t="n"/>
      <c r="DD285" s="60" t="n"/>
      <c r="DE285" s="60" t="n"/>
    </row>
    <row r="286">
      <c r="A286" s="60" t="inlineStr">
        <is>
          <t>Referencia del revendido (no se compra)</t>
        </is>
      </c>
      <c r="B286" s="60" t="inlineStr">
        <is>
          <t>Cúpula — Ø190 × e0,8 × 59 de alto; disco Ø232,7</t>
        </is>
      </c>
      <c r="C286" s="60" t="inlineStr">
        <is>
          <t>u</t>
        </is>
      </c>
      <c r="D286" s="60" t="inlineStr">
        <is>
          <t>No</t>
        </is>
      </c>
      <c r="E286" s="60" t="n"/>
      <c r="F286" s="60" t="inlineStr">
        <is>
          <t>S4 - se compra terminado (tercerizado con sello IRAM)</t>
        </is>
      </c>
      <c r="G286" s="60" t="n"/>
      <c r="H286" s="60" t="n"/>
      <c r="I286" s="60" t="n"/>
      <c r="J286" s="60" t="n"/>
      <c r="K286" s="60" t="n">
        <v>1</v>
      </c>
      <c r="L286" s="60" t="n">
        <v>1</v>
      </c>
      <c r="M286" s="60" t="n"/>
      <c r="N286" s="60" t="n"/>
      <c r="O286" s="60" t="n">
        <v>1</v>
      </c>
      <c r="P286" s="60" t="n"/>
      <c r="Q286" s="60" t="n"/>
      <c r="R286" s="60" t="n"/>
      <c r="S286" s="60" t="n"/>
      <c r="T286" s="60" t="n"/>
      <c r="U286" s="60" t="n"/>
      <c r="V286" s="60" t="n"/>
      <c r="W286" s="60" t="n"/>
      <c r="X286" s="60" t="n"/>
      <c r="Y286" s="60" t="n"/>
      <c r="Z286" s="60" t="n"/>
      <c r="AA286" s="60" t="n"/>
      <c r="AB286" s="60" t="n"/>
      <c r="AC286" s="60" t="n"/>
      <c r="AD286" s="60" t="n"/>
      <c r="AE286" s="60" t="n"/>
      <c r="AF286" s="60" t="n"/>
      <c r="AG286" s="60" t="n"/>
      <c r="AH286" s="60" t="n"/>
      <c r="AI286" s="60" t="n"/>
      <c r="AJ286" s="60" t="n"/>
      <c r="AK286" s="60" t="n"/>
      <c r="AL286" s="60" t="n"/>
      <c r="AM286" s="60" t="n"/>
      <c r="AN286" s="60" t="n"/>
      <c r="AO286" s="60" t="n"/>
      <c r="AP286" s="60" t="n"/>
      <c r="AQ286" s="60" t="n"/>
      <c r="AR286" s="60" t="n"/>
      <c r="AS286" s="60" t="n"/>
      <c r="AT286" s="60" t="n"/>
      <c r="AU286" s="60" t="n"/>
      <c r="AV286" s="60" t="n"/>
      <c r="AW286" s="60" t="n"/>
      <c r="AX286" s="60" t="n"/>
      <c r="AY286" s="60" t="n"/>
      <c r="AZ286" s="60" t="n"/>
      <c r="BA286" s="60" t="n"/>
      <c r="BB286" s="60" t="n"/>
      <c r="BC286" s="60" t="n"/>
      <c r="BD286" s="60" t="n"/>
      <c r="BE286" s="60" t="n"/>
      <c r="BF286" s="60" t="n"/>
      <c r="BG286" s="60" t="n"/>
      <c r="BH286" s="60" t="n"/>
      <c r="BI286" s="60" t="n"/>
      <c r="BJ286" s="60" t="n"/>
      <c r="BK286" s="60" t="n"/>
      <c r="BL286" s="60" t="n"/>
      <c r="BM286" s="60" t="n"/>
      <c r="BN286" s="60" t="n"/>
      <c r="BO286" s="60" t="n"/>
      <c r="BP286" s="60" t="n"/>
      <c r="BQ286" s="60" t="n"/>
      <c r="BR286" s="60" t="n"/>
      <c r="BS286" s="60" t="n"/>
      <c r="BT286" s="60" t="n"/>
      <c r="BU286" s="60" t="n"/>
      <c r="BV286" s="60" t="n"/>
      <c r="BW286" s="60" t="n"/>
      <c r="BX286" s="60" t="n"/>
      <c r="BY286" s="60" t="n"/>
      <c r="BZ286" s="60" t="n"/>
      <c r="CA286" s="60" t="n"/>
      <c r="CB286" s="60" t="n"/>
      <c r="CC286" s="60" t="n"/>
      <c r="CD286" s="60" t="n"/>
      <c r="CE286" s="60" t="n"/>
      <c r="CF286" s="60" t="n"/>
      <c r="CG286" s="60" t="n"/>
      <c r="CH286" s="60" t="n"/>
      <c r="CI286" s="60" t="n"/>
      <c r="CJ286" s="60" t="n"/>
      <c r="CK286" s="60" t="n"/>
      <c r="CL286" s="60" t="n"/>
      <c r="CM286" s="60" t="n"/>
      <c r="CN286" s="60" t="n"/>
      <c r="CO286" s="60" t="n"/>
      <c r="CP286" s="60" t="n"/>
      <c r="CQ286" s="60" t="n"/>
      <c r="CR286" s="60" t="n"/>
      <c r="CS286" s="60" t="n"/>
      <c r="CT286" s="60" t="n"/>
      <c r="CU286" s="60" t="n"/>
      <c r="CV286" s="60" t="n"/>
      <c r="CW286" s="60" t="n"/>
      <c r="CX286" s="60" t="n"/>
      <c r="CY286" s="60" t="n"/>
      <c r="CZ286" s="60" t="n"/>
      <c r="DA286" s="60" t="n"/>
      <c r="DB286" s="60" t="n"/>
      <c r="DC286" s="60" t="n"/>
      <c r="DD286" s="60" t="n"/>
      <c r="DE286" s="60" t="n"/>
    </row>
    <row r="287">
      <c r="A287" s="60" t="inlineStr">
        <is>
          <t>Referencia del revendido (no se compra)</t>
        </is>
      </c>
      <c r="B287" s="60" t="inlineStr">
        <is>
          <t>Cúpula — Ø320 × e3,2 × 101,7 de alto; disco Ø393,8</t>
        </is>
      </c>
      <c r="C287" s="60" t="inlineStr">
        <is>
          <t>u</t>
        </is>
      </c>
      <c r="D287" s="60" t="inlineStr">
        <is>
          <t>No</t>
        </is>
      </c>
      <c r="E287" s="60" t="n"/>
      <c r="F287" s="60" t="inlineStr">
        <is>
          <t>S4 - se compra terminado (tercerizado con sello IRAM)</t>
        </is>
      </c>
      <c r="G287" s="60" t="n"/>
      <c r="H287" s="60" t="n"/>
      <c r="I287" s="60" t="n"/>
      <c r="J287" s="60" t="n"/>
      <c r="K287" s="60" t="n"/>
      <c r="L287" s="60" t="n"/>
      <c r="M287" s="60" t="n">
        <v>1</v>
      </c>
      <c r="N287" s="60" t="n"/>
      <c r="O287" s="60" t="n"/>
      <c r="P287" s="60" t="n"/>
      <c r="Q287" s="60" t="n"/>
      <c r="R287" s="60" t="n"/>
      <c r="S287" s="60" t="n"/>
      <c r="T287" s="60" t="n"/>
      <c r="U287" s="60" t="n"/>
      <c r="V287" s="60" t="n"/>
      <c r="W287" s="60" t="n"/>
      <c r="X287" s="60" t="n"/>
      <c r="Y287" s="60" t="n"/>
      <c r="Z287" s="60" t="n"/>
      <c r="AA287" s="60" t="n"/>
      <c r="AB287" s="60" t="n"/>
      <c r="AC287" s="60" t="n"/>
      <c r="AD287" s="60" t="n"/>
      <c r="AE287" s="60" t="n"/>
      <c r="AF287" s="60" t="n"/>
      <c r="AG287" s="60" t="n"/>
      <c r="AH287" s="60" t="n"/>
      <c r="AI287" s="60" t="n"/>
      <c r="AJ287" s="60" t="n"/>
      <c r="AK287" s="60" t="n"/>
      <c r="AL287" s="60" t="n"/>
      <c r="AM287" s="60" t="n"/>
      <c r="AN287" s="60" t="n"/>
      <c r="AO287" s="60" t="n"/>
      <c r="AP287" s="60" t="n"/>
      <c r="AQ287" s="60" t="n"/>
      <c r="AR287" s="60" t="n"/>
      <c r="AS287" s="60" t="n"/>
      <c r="AT287" s="60" t="n"/>
      <c r="AU287" s="60" t="n"/>
      <c r="AV287" s="60" t="n"/>
      <c r="AW287" s="60" t="n"/>
      <c r="AX287" s="60" t="n"/>
      <c r="AY287" s="60" t="n"/>
      <c r="AZ287" s="60" t="n"/>
      <c r="BA287" s="60" t="n"/>
      <c r="BB287" s="60" t="n"/>
      <c r="BC287" s="60" t="n"/>
      <c r="BD287" s="60" t="n"/>
      <c r="BE287" s="60" t="n"/>
      <c r="BF287" s="60" t="n"/>
      <c r="BG287" s="60" t="n"/>
      <c r="BH287" s="60" t="n"/>
      <c r="BI287" s="60" t="n"/>
      <c r="BJ287" s="60" t="n"/>
      <c r="BK287" s="60" t="n"/>
      <c r="BL287" s="60" t="n"/>
      <c r="BM287" s="60" t="n"/>
      <c r="BN287" s="60" t="n"/>
      <c r="BO287" s="60" t="n"/>
      <c r="BP287" s="60" t="n"/>
      <c r="BQ287" s="60" t="n"/>
      <c r="BR287" s="60" t="n"/>
      <c r="BS287" s="60" t="n"/>
      <c r="BT287" s="60" t="n"/>
      <c r="BU287" s="60" t="n"/>
      <c r="BV287" s="60" t="n"/>
      <c r="BW287" s="60" t="n"/>
      <c r="BX287" s="60" t="n"/>
      <c r="BY287" s="60" t="n"/>
      <c r="BZ287" s="60" t="n"/>
      <c r="CA287" s="60" t="n"/>
      <c r="CB287" s="60" t="n"/>
      <c r="CC287" s="60" t="n"/>
      <c r="CD287" s="60" t="n"/>
      <c r="CE287" s="60" t="n"/>
      <c r="CF287" s="60" t="n"/>
      <c r="CG287" s="60" t="n"/>
      <c r="CH287" s="60" t="n"/>
      <c r="CI287" s="60" t="n"/>
      <c r="CJ287" s="60" t="n"/>
      <c r="CK287" s="60" t="n"/>
      <c r="CL287" s="60" t="n"/>
      <c r="CM287" s="60" t="n"/>
      <c r="CN287" s="60" t="n"/>
      <c r="CO287" s="60" t="n"/>
      <c r="CP287" s="60" t="n"/>
      <c r="CQ287" s="60" t="n"/>
      <c r="CR287" s="60" t="n"/>
      <c r="CS287" s="60" t="n"/>
      <c r="CT287" s="60" t="n"/>
      <c r="CU287" s="60" t="n"/>
      <c r="CV287" s="60" t="n"/>
      <c r="CW287" s="60" t="n"/>
      <c r="CX287" s="60" t="n"/>
      <c r="CY287" s="60" t="n"/>
      <c r="CZ287" s="60" t="n"/>
      <c r="DA287" s="60" t="n"/>
      <c r="DB287" s="60" t="n"/>
      <c r="DC287" s="60" t="n"/>
      <c r="DD287" s="60" t="n"/>
      <c r="DE287" s="60" t="n"/>
    </row>
    <row r="288">
      <c r="A288" s="60" t="inlineStr">
        <is>
          <t>Referencia del revendido (no se compra)</t>
        </is>
      </c>
      <c r="B288" s="60" t="inlineStr">
        <is>
          <t>Difusor (bocina) — 170 × 70 × 70</t>
        </is>
      </c>
      <c r="C288" s="60" t="inlineStr">
        <is>
          <t>u</t>
        </is>
      </c>
      <c r="D288" s="60" t="inlineStr">
        <is>
          <t>No</t>
        </is>
      </c>
      <c r="E288" s="60" t="n"/>
      <c r="F288" s="60" t="inlineStr">
        <is>
          <t>S4 - se compra terminado (tercerizado con sello IRAM)</t>
        </is>
      </c>
      <c r="G288" s="60" t="n"/>
      <c r="H288" s="60" t="n"/>
      <c r="I288" s="60" t="n"/>
      <c r="J288" s="60" t="n"/>
      <c r="K288" s="60" t="n"/>
      <c r="L288" s="60" t="n"/>
      <c r="M288" s="60" t="n"/>
      <c r="N288" s="60" t="n"/>
      <c r="O288" s="60" t="n"/>
      <c r="P288" s="60" t="n">
        <v>1</v>
      </c>
      <c r="Q288" s="60" t="n"/>
      <c r="R288" s="60" t="n"/>
      <c r="S288" s="60" t="n"/>
      <c r="T288" s="60" t="n"/>
      <c r="U288" s="60" t="n"/>
      <c r="V288" s="60" t="n"/>
      <c r="W288" s="60" t="n"/>
      <c r="X288" s="60" t="n"/>
      <c r="Y288" s="60" t="n"/>
      <c r="Z288" s="60" t="n"/>
      <c r="AA288" s="60" t="n"/>
      <c r="AB288" s="60" t="n"/>
      <c r="AC288" s="60" t="n"/>
      <c r="AD288" s="60" t="n"/>
      <c r="AE288" s="60" t="n"/>
      <c r="AF288" s="60" t="n"/>
      <c r="AG288" s="60" t="n"/>
      <c r="AH288" s="60" t="n"/>
      <c r="AI288" s="60" t="n"/>
      <c r="AJ288" s="60" t="n"/>
      <c r="AK288" s="60" t="n"/>
      <c r="AL288" s="60" t="n"/>
      <c r="AM288" s="60" t="n"/>
      <c r="AN288" s="60" t="n"/>
      <c r="AO288" s="60" t="n"/>
      <c r="AP288" s="60" t="n"/>
      <c r="AQ288" s="60" t="n"/>
      <c r="AR288" s="60" t="n"/>
      <c r="AS288" s="60" t="n"/>
      <c r="AT288" s="60" t="n"/>
      <c r="AU288" s="60" t="n"/>
      <c r="AV288" s="60" t="n"/>
      <c r="AW288" s="60" t="n"/>
      <c r="AX288" s="60" t="n"/>
      <c r="AY288" s="60" t="n"/>
      <c r="AZ288" s="60" t="n"/>
      <c r="BA288" s="60" t="n"/>
      <c r="BB288" s="60" t="n"/>
      <c r="BC288" s="60" t="n"/>
      <c r="BD288" s="60" t="n"/>
      <c r="BE288" s="60" t="n"/>
      <c r="BF288" s="60" t="n"/>
      <c r="BG288" s="60" t="n"/>
      <c r="BH288" s="60" t="n"/>
      <c r="BI288" s="60" t="n"/>
      <c r="BJ288" s="60" t="n"/>
      <c r="BK288" s="60" t="n"/>
      <c r="BL288" s="60" t="n"/>
      <c r="BM288" s="60" t="n"/>
      <c r="BN288" s="60" t="n"/>
      <c r="BO288" s="60" t="n"/>
      <c r="BP288" s="60" t="n"/>
      <c r="BQ288" s="60" t="n"/>
      <c r="BR288" s="60" t="n"/>
      <c r="BS288" s="60" t="n"/>
      <c r="BT288" s="60" t="n"/>
      <c r="BU288" s="60" t="n"/>
      <c r="BV288" s="60" t="n"/>
      <c r="BW288" s="60" t="n"/>
      <c r="BX288" s="60" t="n"/>
      <c r="BY288" s="60" t="n"/>
      <c r="BZ288" s="60" t="n"/>
      <c r="CA288" s="60" t="n"/>
      <c r="CB288" s="60" t="n"/>
      <c r="CC288" s="60" t="n"/>
      <c r="CD288" s="60" t="n"/>
      <c r="CE288" s="60" t="n"/>
      <c r="CF288" s="60" t="n"/>
      <c r="CG288" s="60" t="n"/>
      <c r="CH288" s="60" t="n"/>
      <c r="CI288" s="60" t="n"/>
      <c r="CJ288" s="60" t="n"/>
      <c r="CK288" s="60" t="n"/>
      <c r="CL288" s="60" t="n"/>
      <c r="CM288" s="60" t="n"/>
      <c r="CN288" s="60" t="n"/>
      <c r="CO288" s="60" t="n"/>
      <c r="CP288" s="60" t="n"/>
      <c r="CQ288" s="60" t="n"/>
      <c r="CR288" s="60" t="n"/>
      <c r="CS288" s="60" t="n"/>
      <c r="CT288" s="60" t="n"/>
      <c r="CU288" s="60" t="n"/>
      <c r="CV288" s="60" t="n"/>
      <c r="CW288" s="60" t="n"/>
      <c r="CX288" s="60" t="n"/>
      <c r="CY288" s="60" t="n"/>
      <c r="CZ288" s="60" t="n"/>
      <c r="DA288" s="60" t="n"/>
      <c r="DB288" s="60" t="n"/>
      <c r="DC288" s="60" t="n"/>
      <c r="DD288" s="60" t="n"/>
      <c r="DE288" s="60" t="n"/>
    </row>
    <row r="289">
      <c r="A289" s="60" t="inlineStr">
        <is>
          <t>Referencia del revendido (no se compra)</t>
        </is>
      </c>
      <c r="B289" s="60" t="inlineStr">
        <is>
          <t>Difusor (bocina) — 260 × 90 × 90</t>
        </is>
      </c>
      <c r="C289" s="60" t="inlineStr">
        <is>
          <t>u</t>
        </is>
      </c>
      <c r="D289" s="60" t="inlineStr">
        <is>
          <t>No</t>
        </is>
      </c>
      <c r="E289" s="60" t="n"/>
      <c r="F289" s="60" t="inlineStr">
        <is>
          <t>S4 - se compra terminado (tercerizado con sello IRAM)</t>
        </is>
      </c>
      <c r="G289" s="60" t="n"/>
      <c r="H289" s="60" t="n"/>
      <c r="I289" s="60" t="n"/>
      <c r="J289" s="60" t="n"/>
      <c r="K289" s="60" t="n"/>
      <c r="L289" s="60" t="n"/>
      <c r="M289" s="60" t="n"/>
      <c r="N289" s="60" t="n"/>
      <c r="O289" s="60" t="n"/>
      <c r="P289" s="60" t="n"/>
      <c r="Q289" s="60" t="n">
        <v>1</v>
      </c>
      <c r="R289" s="60" t="n"/>
      <c r="S289" s="60" t="n"/>
      <c r="T289" s="60" t="n"/>
      <c r="U289" s="60" t="n"/>
      <c r="V289" s="60" t="n"/>
      <c r="W289" s="60" t="n"/>
      <c r="X289" s="60" t="n"/>
      <c r="Y289" s="60" t="n"/>
      <c r="Z289" s="60" t="n"/>
      <c r="AA289" s="60" t="n"/>
      <c r="AB289" s="60" t="n"/>
      <c r="AC289" s="60" t="n"/>
      <c r="AD289" s="60" t="n"/>
      <c r="AE289" s="60" t="n"/>
      <c r="AF289" s="60" t="n"/>
      <c r="AG289" s="60" t="n"/>
      <c r="AH289" s="60" t="n"/>
      <c r="AI289" s="60" t="n"/>
      <c r="AJ289" s="60" t="n"/>
      <c r="AK289" s="60" t="n"/>
      <c r="AL289" s="60" t="n"/>
      <c r="AM289" s="60" t="n"/>
      <c r="AN289" s="60" t="n"/>
      <c r="AO289" s="60" t="n"/>
      <c r="AP289" s="60" t="n"/>
      <c r="AQ289" s="60" t="n"/>
      <c r="AR289" s="60" t="n"/>
      <c r="AS289" s="60" t="n"/>
      <c r="AT289" s="60" t="n"/>
      <c r="AU289" s="60" t="n"/>
      <c r="AV289" s="60" t="n"/>
      <c r="AW289" s="60" t="n"/>
      <c r="AX289" s="60" t="n"/>
      <c r="AY289" s="60" t="n"/>
      <c r="AZ289" s="60" t="n"/>
      <c r="BA289" s="60" t="n"/>
      <c r="BB289" s="60" t="n"/>
      <c r="BC289" s="60" t="n"/>
      <c r="BD289" s="60" t="n"/>
      <c r="BE289" s="60" t="n"/>
      <c r="BF289" s="60" t="n"/>
      <c r="BG289" s="60" t="n"/>
      <c r="BH289" s="60" t="n"/>
      <c r="BI289" s="60" t="n"/>
      <c r="BJ289" s="60" t="n"/>
      <c r="BK289" s="60" t="n"/>
      <c r="BL289" s="60" t="n"/>
      <c r="BM289" s="60" t="n"/>
      <c r="BN289" s="60" t="n"/>
      <c r="BO289" s="60" t="n"/>
      <c r="BP289" s="60" t="n"/>
      <c r="BQ289" s="60" t="n"/>
      <c r="BR289" s="60" t="n"/>
      <c r="BS289" s="60" t="n"/>
      <c r="BT289" s="60" t="n"/>
      <c r="BU289" s="60" t="n"/>
      <c r="BV289" s="60" t="n"/>
      <c r="BW289" s="60" t="n"/>
      <c r="BX289" s="60" t="n"/>
      <c r="BY289" s="60" t="n"/>
      <c r="BZ289" s="60" t="n"/>
      <c r="CA289" s="60" t="n"/>
      <c r="CB289" s="60" t="n"/>
      <c r="CC289" s="60" t="n"/>
      <c r="CD289" s="60" t="n"/>
      <c r="CE289" s="60" t="n"/>
      <c r="CF289" s="60" t="n"/>
      <c r="CG289" s="60" t="n"/>
      <c r="CH289" s="60" t="n"/>
      <c r="CI289" s="60" t="n"/>
      <c r="CJ289" s="60" t="n"/>
      <c r="CK289" s="60" t="n"/>
      <c r="CL289" s="60" t="n"/>
      <c r="CM289" s="60" t="n"/>
      <c r="CN289" s="60" t="n"/>
      <c r="CO289" s="60" t="n"/>
      <c r="CP289" s="60" t="n"/>
      <c r="CQ289" s="60" t="n"/>
      <c r="CR289" s="60" t="n"/>
      <c r="CS289" s="60" t="n"/>
      <c r="CT289" s="60" t="n"/>
      <c r="CU289" s="60" t="n"/>
      <c r="CV289" s="60" t="n"/>
      <c r="CW289" s="60" t="n"/>
      <c r="CX289" s="60" t="n"/>
      <c r="CY289" s="60" t="n"/>
      <c r="CZ289" s="60" t="n"/>
      <c r="DA289" s="60" t="n"/>
      <c r="DB289" s="60" t="n"/>
      <c r="DC289" s="60" t="n"/>
      <c r="DD289" s="60" t="n"/>
      <c r="DE289" s="60" t="n"/>
    </row>
    <row r="290">
      <c r="A290" s="60" t="inlineStr">
        <is>
          <t>Referencia del revendido (no se compra)</t>
        </is>
      </c>
      <c r="B290" s="60" t="inlineStr">
        <is>
          <t>Disco de seguridad — 14 × 12,1 × 9</t>
        </is>
      </c>
      <c r="C290" s="60" t="inlineStr">
        <is>
          <t>u</t>
        </is>
      </c>
      <c r="D290" s="60" t="inlineStr">
        <is>
          <t>No</t>
        </is>
      </c>
      <c r="E290" s="60" t="n"/>
      <c r="F290" s="60" t="inlineStr">
        <is>
          <t>S4 - se compra terminado (tercerizado con sello IRAM)</t>
        </is>
      </c>
      <c r="G290" s="60" t="n"/>
      <c r="H290" s="60" t="n"/>
      <c r="I290" s="60" t="n"/>
      <c r="J290" s="60" t="n"/>
      <c r="K290" s="60" t="n"/>
      <c r="L290" s="60" t="n"/>
      <c r="M290" s="60" t="n"/>
      <c r="N290" s="60" t="n"/>
      <c r="O290" s="60" t="n"/>
      <c r="P290" s="60" t="n">
        <v>1</v>
      </c>
      <c r="Q290" s="60" t="n">
        <v>1</v>
      </c>
      <c r="R290" s="60" t="n"/>
      <c r="S290" s="60" t="n"/>
      <c r="T290" s="60" t="n"/>
      <c r="U290" s="60" t="n"/>
      <c r="V290" s="60" t="n"/>
      <c r="W290" s="60" t="n"/>
      <c r="X290" s="60" t="n"/>
      <c r="Y290" s="60" t="n"/>
      <c r="Z290" s="60" t="n"/>
      <c r="AA290" s="60" t="n"/>
      <c r="AB290" s="60" t="n"/>
      <c r="AC290" s="60" t="n"/>
      <c r="AD290" s="60" t="n"/>
      <c r="AE290" s="60" t="n"/>
      <c r="AF290" s="60" t="n"/>
      <c r="AG290" s="60" t="n"/>
      <c r="AH290" s="60" t="n"/>
      <c r="AI290" s="60" t="n"/>
      <c r="AJ290" s="60" t="n"/>
      <c r="AK290" s="60" t="n"/>
      <c r="AL290" s="60" t="n"/>
      <c r="AM290" s="60" t="n"/>
      <c r="AN290" s="60" t="n"/>
      <c r="AO290" s="60" t="n"/>
      <c r="AP290" s="60" t="n"/>
      <c r="AQ290" s="60" t="n"/>
      <c r="AR290" s="60" t="n"/>
      <c r="AS290" s="60" t="n"/>
      <c r="AT290" s="60" t="n"/>
      <c r="AU290" s="60" t="n"/>
      <c r="AV290" s="60" t="n"/>
      <c r="AW290" s="60" t="n"/>
      <c r="AX290" s="60" t="n"/>
      <c r="AY290" s="60" t="n"/>
      <c r="AZ290" s="60" t="n"/>
      <c r="BA290" s="60" t="n"/>
      <c r="BB290" s="60" t="n"/>
      <c r="BC290" s="60" t="n"/>
      <c r="BD290" s="60" t="n"/>
      <c r="BE290" s="60" t="n"/>
      <c r="BF290" s="60" t="n"/>
      <c r="BG290" s="60" t="n"/>
      <c r="BH290" s="60" t="n"/>
      <c r="BI290" s="60" t="n"/>
      <c r="BJ290" s="60" t="n"/>
      <c r="BK290" s="60" t="n"/>
      <c r="BL290" s="60" t="n"/>
      <c r="BM290" s="60" t="n"/>
      <c r="BN290" s="60" t="n"/>
      <c r="BO290" s="60" t="n"/>
      <c r="BP290" s="60" t="n"/>
      <c r="BQ290" s="60" t="n"/>
      <c r="BR290" s="60" t="n"/>
      <c r="BS290" s="60" t="n"/>
      <c r="BT290" s="60" t="n"/>
      <c r="BU290" s="60" t="n"/>
      <c r="BV290" s="60" t="n"/>
      <c r="BW290" s="60" t="n"/>
      <c r="BX290" s="60" t="n"/>
      <c r="BY290" s="60" t="n"/>
      <c r="BZ290" s="60" t="n"/>
      <c r="CA290" s="60" t="n"/>
      <c r="CB290" s="60" t="n"/>
      <c r="CC290" s="60" t="n"/>
      <c r="CD290" s="60" t="n"/>
      <c r="CE290" s="60" t="n"/>
      <c r="CF290" s="60" t="n"/>
      <c r="CG290" s="60" t="n"/>
      <c r="CH290" s="60" t="n"/>
      <c r="CI290" s="60" t="n"/>
      <c r="CJ290" s="60" t="n"/>
      <c r="CK290" s="60" t="n"/>
      <c r="CL290" s="60" t="n"/>
      <c r="CM290" s="60" t="n"/>
      <c r="CN290" s="60" t="n"/>
      <c r="CO290" s="60" t="n"/>
      <c r="CP290" s="60" t="n"/>
      <c r="CQ290" s="60" t="n"/>
      <c r="CR290" s="60" t="n"/>
      <c r="CS290" s="60" t="n"/>
      <c r="CT290" s="60" t="n"/>
      <c r="CU290" s="60" t="n"/>
      <c r="CV290" s="60" t="n"/>
      <c r="CW290" s="60" t="n"/>
      <c r="CX290" s="60" t="n"/>
      <c r="CY290" s="60" t="n"/>
      <c r="CZ290" s="60" t="n"/>
      <c r="DA290" s="60" t="n"/>
      <c r="DB290" s="60" t="n"/>
      <c r="DC290" s="60" t="n"/>
      <c r="DD290" s="60" t="n"/>
      <c r="DE290" s="60" t="n"/>
    </row>
    <row r="291">
      <c r="A291" s="60" t="inlineStr">
        <is>
          <t>Referencia del revendido (no se compra)</t>
        </is>
      </c>
      <c r="B291" s="60" t="inlineStr">
        <is>
          <t>Dióxido de carbono (IRAM 41170)</t>
        </is>
      </c>
      <c r="C291" s="60" t="inlineStr">
        <is>
          <t>kg</t>
        </is>
      </c>
      <c r="D291" s="60" t="inlineStr">
        <is>
          <t>No</t>
        </is>
      </c>
      <c r="E291" s="60" t="n"/>
      <c r="F291" s="60" t="inlineStr">
        <is>
          <t>SP-1 almacén previo a la carga</t>
        </is>
      </c>
      <c r="G291" s="60" t="n"/>
      <c r="H291" s="60" t="n"/>
      <c r="I291" s="60" t="n"/>
      <c r="J291" s="60" t="n"/>
      <c r="K291" s="60" t="n"/>
      <c r="L291" s="60" t="n"/>
      <c r="M291" s="60" t="n"/>
      <c r="N291" s="60" t="n"/>
      <c r="O291" s="60" t="n"/>
      <c r="P291" s="60" t="n">
        <v>2</v>
      </c>
      <c r="Q291" s="60" t="n">
        <v>5</v>
      </c>
      <c r="R291" s="60" t="n"/>
      <c r="S291" s="60" t="n"/>
      <c r="T291" s="60" t="n"/>
      <c r="U291" s="60" t="n"/>
      <c r="V291" s="60" t="n"/>
      <c r="W291" s="60" t="n"/>
      <c r="X291" s="60" t="n"/>
      <c r="Y291" s="60" t="n"/>
      <c r="Z291" s="60" t="n"/>
      <c r="AA291" s="60" t="n"/>
      <c r="AB291" s="60" t="n"/>
      <c r="AC291" s="60" t="n"/>
      <c r="AD291" s="60" t="n"/>
      <c r="AE291" s="60" t="n"/>
      <c r="AF291" s="60" t="n"/>
      <c r="AG291" s="60" t="n"/>
      <c r="AH291" s="60" t="n"/>
      <c r="AI291" s="60" t="n"/>
      <c r="AJ291" s="60" t="n"/>
      <c r="AK291" s="60" t="n"/>
      <c r="AL291" s="60" t="n"/>
      <c r="AM291" s="60" t="n"/>
      <c r="AN291" s="60" t="n"/>
      <c r="AO291" s="60" t="n"/>
      <c r="AP291" s="60" t="n"/>
      <c r="AQ291" s="60" t="n"/>
      <c r="AR291" s="60" t="n"/>
      <c r="AS291" s="60" t="n"/>
      <c r="AT291" s="60" t="n"/>
      <c r="AU291" s="60" t="n"/>
      <c r="AV291" s="60" t="n"/>
      <c r="AW291" s="60" t="n"/>
      <c r="AX291" s="60" t="n"/>
      <c r="AY291" s="60" t="n"/>
      <c r="AZ291" s="60" t="n"/>
      <c r="BA291" s="60" t="n"/>
      <c r="BB291" s="60" t="n"/>
      <c r="BC291" s="60" t="n"/>
      <c r="BD291" s="60" t="n"/>
      <c r="BE291" s="60" t="n"/>
      <c r="BF291" s="60" t="n"/>
      <c r="BG291" s="60" t="n"/>
      <c r="BH291" s="60" t="n"/>
      <c r="BI291" s="60" t="n"/>
      <c r="BJ291" s="60" t="n"/>
      <c r="BK291" s="60" t="n"/>
      <c r="BL291" s="60" t="n"/>
      <c r="BM291" s="60" t="n"/>
      <c r="BN291" s="60" t="n"/>
      <c r="BO291" s="60" t="n"/>
      <c r="BP291" s="60" t="n"/>
      <c r="BQ291" s="60" t="n"/>
      <c r="BR291" s="60" t="n"/>
      <c r="BS291" s="60" t="n"/>
      <c r="BT291" s="60" t="n"/>
      <c r="BU291" s="60" t="n"/>
      <c r="BV291" s="60" t="n"/>
      <c r="BW291" s="60" t="n"/>
      <c r="BX291" s="60" t="n"/>
      <c r="BY291" s="60" t="n"/>
      <c r="BZ291" s="60" t="n"/>
      <c r="CA291" s="60" t="n"/>
      <c r="CB291" s="60" t="n"/>
      <c r="CC291" s="60" t="n"/>
      <c r="CD291" s="60" t="n"/>
      <c r="CE291" s="60" t="n"/>
      <c r="CF291" s="60" t="n"/>
      <c r="CG291" s="60" t="n"/>
      <c r="CH291" s="60" t="n"/>
      <c r="CI291" s="60" t="n"/>
      <c r="CJ291" s="60" t="n"/>
      <c r="CK291" s="60" t="n"/>
      <c r="CL291" s="60" t="n"/>
      <c r="CM291" s="60" t="n"/>
      <c r="CN291" s="60" t="n"/>
      <c r="CO291" s="60" t="n"/>
      <c r="CP291" s="60" t="n"/>
      <c r="CQ291" s="60" t="n"/>
      <c r="CR291" s="60" t="n"/>
      <c r="CS291" s="60" t="n"/>
      <c r="CT291" s="60" t="n"/>
      <c r="CU291" s="60" t="n"/>
      <c r="CV291" s="60" t="n"/>
      <c r="CW291" s="60" t="n"/>
      <c r="CX291" s="60" t="n"/>
      <c r="CY291" s="60" t="n"/>
      <c r="CZ291" s="60" t="n"/>
      <c r="DA291" s="60" t="n"/>
      <c r="DB291" s="60" t="n"/>
      <c r="DC291" s="60" t="n"/>
      <c r="DD291" s="60" t="n"/>
      <c r="DE291" s="60" t="n"/>
    </row>
    <row r="292">
      <c r="A292" s="60" t="inlineStr">
        <is>
          <t>Referencia del revendido (no se compra)</t>
        </is>
      </c>
      <c r="B292" s="60" t="inlineStr">
        <is>
          <t>Eje de palanca — 48,6 × 8,1 × 8,1</t>
        </is>
      </c>
      <c r="C292" s="60" t="inlineStr">
        <is>
          <t>u</t>
        </is>
      </c>
      <c r="D292" s="60" t="inlineStr">
        <is>
          <t>No</t>
        </is>
      </c>
      <c r="E292" s="60" t="n"/>
      <c r="F292" s="60" t="inlineStr">
        <is>
          <t>S4 - se compra terminado (tercerizado con sello IRAM)</t>
        </is>
      </c>
      <c r="G292" s="60" t="n"/>
      <c r="H292" s="60" t="n"/>
      <c r="I292" s="60" t="n"/>
      <c r="J292" s="60" t="n"/>
      <c r="K292" s="60" t="n"/>
      <c r="L292" s="60" t="n"/>
      <c r="M292" s="60" t="n">
        <v>1</v>
      </c>
      <c r="N292" s="60" t="n"/>
      <c r="O292" s="60" t="n"/>
      <c r="P292" s="60" t="n"/>
      <c r="Q292" s="60" t="n"/>
      <c r="R292" s="60" t="n"/>
      <c r="S292" s="60" t="n"/>
      <c r="T292" s="60" t="n">
        <v>1</v>
      </c>
      <c r="U292" s="60" t="n">
        <v>1</v>
      </c>
      <c r="V292" s="60" t="n">
        <v>1</v>
      </c>
      <c r="W292" s="60" t="n">
        <v>1</v>
      </c>
      <c r="X292" s="60" t="n"/>
      <c r="Y292" s="60" t="n"/>
      <c r="Z292" s="60" t="n"/>
      <c r="AA292" s="60" t="n"/>
      <c r="AB292" s="60" t="n"/>
      <c r="AC292" s="60" t="n"/>
      <c r="AD292" s="60" t="n"/>
      <c r="AE292" s="60" t="n"/>
      <c r="AF292" s="60" t="n"/>
      <c r="AG292" s="60" t="n"/>
      <c r="AH292" s="60" t="n"/>
      <c r="AI292" s="60" t="n"/>
      <c r="AJ292" s="60" t="n"/>
      <c r="AK292" s="60" t="n"/>
      <c r="AL292" s="60" t="n"/>
      <c r="AM292" s="60" t="n"/>
      <c r="AN292" s="60" t="n"/>
      <c r="AO292" s="60" t="n"/>
      <c r="AP292" s="60" t="n"/>
      <c r="AQ292" s="60" t="n"/>
      <c r="AR292" s="60" t="n"/>
      <c r="AS292" s="60" t="n"/>
      <c r="AT292" s="60" t="n"/>
      <c r="AU292" s="60" t="n"/>
      <c r="AV292" s="60" t="n"/>
      <c r="AW292" s="60" t="n"/>
      <c r="AX292" s="60" t="n"/>
      <c r="AY292" s="60" t="n"/>
      <c r="AZ292" s="60" t="n"/>
      <c r="BA292" s="60" t="n"/>
      <c r="BB292" s="60" t="n"/>
      <c r="BC292" s="60" t="n"/>
      <c r="BD292" s="60" t="n"/>
      <c r="BE292" s="60" t="n"/>
      <c r="BF292" s="60" t="n"/>
      <c r="BG292" s="60" t="n"/>
      <c r="BH292" s="60" t="n"/>
      <c r="BI292" s="60" t="n"/>
      <c r="BJ292" s="60" t="n"/>
      <c r="BK292" s="60" t="n"/>
      <c r="BL292" s="60" t="n"/>
      <c r="BM292" s="60" t="n"/>
      <c r="BN292" s="60" t="n"/>
      <c r="BO292" s="60" t="n"/>
      <c r="BP292" s="60" t="n"/>
      <c r="BQ292" s="60" t="n"/>
      <c r="BR292" s="60" t="n"/>
      <c r="BS292" s="60" t="n"/>
      <c r="BT292" s="60" t="n"/>
      <c r="BU292" s="60" t="n"/>
      <c r="BV292" s="60" t="n"/>
      <c r="BW292" s="60" t="n"/>
      <c r="BX292" s="60" t="n"/>
      <c r="BY292" s="60" t="n"/>
      <c r="BZ292" s="60" t="n"/>
      <c r="CA292" s="60" t="n"/>
      <c r="CB292" s="60" t="n"/>
      <c r="CC292" s="60" t="n"/>
      <c r="CD292" s="60" t="n"/>
      <c r="CE292" s="60" t="n"/>
      <c r="CF292" s="60" t="n"/>
      <c r="CG292" s="60" t="n"/>
      <c r="CH292" s="60" t="n"/>
      <c r="CI292" s="60" t="n"/>
      <c r="CJ292" s="60" t="n"/>
      <c r="CK292" s="60" t="n"/>
      <c r="CL292" s="60" t="n"/>
      <c r="CM292" s="60" t="n"/>
      <c r="CN292" s="60" t="n"/>
      <c r="CO292" s="60" t="n"/>
      <c r="CP292" s="60" t="n"/>
      <c r="CQ292" s="60" t="n"/>
      <c r="CR292" s="60" t="n"/>
      <c r="CS292" s="60" t="n"/>
      <c r="CT292" s="60" t="n"/>
      <c r="CU292" s="60" t="n"/>
      <c r="CV292" s="60" t="n"/>
      <c r="CW292" s="60" t="n"/>
      <c r="CX292" s="60" t="n"/>
      <c r="CY292" s="60" t="n"/>
      <c r="CZ292" s="60" t="n"/>
      <c r="DA292" s="60" t="n"/>
      <c r="DB292" s="60" t="n"/>
      <c r="DC292" s="60" t="n"/>
      <c r="DD292" s="60" t="n"/>
      <c r="DE292" s="60" t="n"/>
    </row>
    <row r="293">
      <c r="A293" s="60" t="inlineStr">
        <is>
          <t>Referencia del revendido (no se compra)</t>
        </is>
      </c>
      <c r="B293" s="60" t="inlineStr">
        <is>
          <t>Eje de ruedas — Ø25 × 346 de largo</t>
        </is>
      </c>
      <c r="C293" s="60" t="inlineStr">
        <is>
          <t>u</t>
        </is>
      </c>
      <c r="D293" s="60" t="inlineStr">
        <is>
          <t>No</t>
        </is>
      </c>
      <c r="E293" s="60" t="n"/>
      <c r="F293" s="60" t="inlineStr">
        <is>
          <t>S4 - se compra terminado (tercerizado con sello IRAM)</t>
        </is>
      </c>
      <c r="G293" s="60" t="n"/>
      <c r="H293" s="60" t="n"/>
      <c r="I293" s="60" t="n"/>
      <c r="J293" s="60" t="n"/>
      <c r="K293" s="60" t="n"/>
      <c r="L293" s="60" t="n"/>
      <c r="M293" s="60" t="n">
        <v>1</v>
      </c>
      <c r="N293" s="60" t="n"/>
      <c r="O293" s="60" t="n"/>
      <c r="P293" s="60" t="n"/>
      <c r="Q293" s="60" t="n"/>
      <c r="R293" s="60" t="n"/>
      <c r="S293" s="60" t="n"/>
      <c r="T293" s="60" t="n"/>
      <c r="U293" s="60" t="n">
        <v>1</v>
      </c>
      <c r="V293" s="60" t="n"/>
      <c r="W293" s="60" t="n"/>
      <c r="X293" s="60" t="n"/>
      <c r="Y293" s="60" t="n"/>
      <c r="Z293" s="60" t="n"/>
      <c r="AA293" s="60" t="n"/>
      <c r="AB293" s="60" t="n"/>
      <c r="AC293" s="60" t="n"/>
      <c r="AD293" s="60" t="n"/>
      <c r="AE293" s="60" t="n"/>
      <c r="AF293" s="60" t="n"/>
      <c r="AG293" s="60" t="n"/>
      <c r="AH293" s="60" t="n"/>
      <c r="AI293" s="60" t="n"/>
      <c r="AJ293" s="60" t="n"/>
      <c r="AK293" s="60" t="n"/>
      <c r="AL293" s="60" t="n"/>
      <c r="AM293" s="60" t="n"/>
      <c r="AN293" s="60" t="n"/>
      <c r="AO293" s="60" t="n"/>
      <c r="AP293" s="60" t="n"/>
      <c r="AQ293" s="60" t="n"/>
      <c r="AR293" s="60" t="n"/>
      <c r="AS293" s="60" t="n"/>
      <c r="AT293" s="60" t="n"/>
      <c r="AU293" s="60" t="n"/>
      <c r="AV293" s="60" t="n"/>
      <c r="AW293" s="60" t="n"/>
      <c r="AX293" s="60" t="n"/>
      <c r="AY293" s="60" t="n"/>
      <c r="AZ293" s="60" t="n"/>
      <c r="BA293" s="60" t="n"/>
      <c r="BB293" s="60" t="n"/>
      <c r="BC293" s="60" t="n"/>
      <c r="BD293" s="60" t="n"/>
      <c r="BE293" s="60" t="n"/>
      <c r="BF293" s="60" t="n"/>
      <c r="BG293" s="60" t="n"/>
      <c r="BH293" s="60" t="n"/>
      <c r="BI293" s="60" t="n"/>
      <c r="BJ293" s="60" t="n"/>
      <c r="BK293" s="60" t="n"/>
      <c r="BL293" s="60" t="n"/>
      <c r="BM293" s="60" t="n"/>
      <c r="BN293" s="60" t="n"/>
      <c r="BO293" s="60" t="n"/>
      <c r="BP293" s="60" t="n"/>
      <c r="BQ293" s="60" t="n"/>
      <c r="BR293" s="60" t="n"/>
      <c r="BS293" s="60" t="n"/>
      <c r="BT293" s="60" t="n"/>
      <c r="BU293" s="60" t="n"/>
      <c r="BV293" s="60" t="n"/>
      <c r="BW293" s="60" t="n"/>
      <c r="BX293" s="60" t="n"/>
      <c r="BY293" s="60" t="n"/>
      <c r="BZ293" s="60" t="n"/>
      <c r="CA293" s="60" t="n"/>
      <c r="CB293" s="60" t="n"/>
      <c r="CC293" s="60" t="n"/>
      <c r="CD293" s="60" t="n"/>
      <c r="CE293" s="60" t="n"/>
      <c r="CF293" s="60" t="n"/>
      <c r="CG293" s="60" t="n"/>
      <c r="CH293" s="60" t="n"/>
      <c r="CI293" s="60" t="n"/>
      <c r="CJ293" s="60" t="n"/>
      <c r="CK293" s="60" t="n"/>
      <c r="CL293" s="60" t="n"/>
      <c r="CM293" s="60" t="n"/>
      <c r="CN293" s="60" t="n"/>
      <c r="CO293" s="60" t="n"/>
      <c r="CP293" s="60" t="n"/>
      <c r="CQ293" s="60" t="n"/>
      <c r="CR293" s="60" t="n"/>
      <c r="CS293" s="60" t="n"/>
      <c r="CT293" s="60" t="n"/>
      <c r="CU293" s="60" t="n"/>
      <c r="CV293" s="60" t="n"/>
      <c r="CW293" s="60" t="n"/>
      <c r="CX293" s="60" t="n"/>
      <c r="CY293" s="60" t="n"/>
      <c r="CZ293" s="60" t="n"/>
      <c r="DA293" s="60" t="n"/>
      <c r="DB293" s="60" t="n"/>
      <c r="DC293" s="60" t="n"/>
      <c r="DD293" s="60" t="n"/>
      <c r="DE293" s="60" t="n"/>
    </row>
    <row r="294">
      <c r="A294" s="60" t="inlineStr">
        <is>
          <t>Referencia del revendido (no se compra)</t>
        </is>
      </c>
      <c r="B294" s="60" t="inlineStr">
        <is>
          <t>Empuñadura — 34 × 34 × 30</t>
        </is>
      </c>
      <c r="C294" s="60" t="inlineStr">
        <is>
          <t>u</t>
        </is>
      </c>
      <c r="D294" s="60" t="inlineStr">
        <is>
          <t>No</t>
        </is>
      </c>
      <c r="E294" s="60" t="n"/>
      <c r="F294" s="60" t="inlineStr">
        <is>
          <t>S4 - se compra terminado (tercerizado con sello IRAM)</t>
        </is>
      </c>
      <c r="G294" s="60" t="n"/>
      <c r="H294" s="60" t="n"/>
      <c r="I294" s="60" t="n"/>
      <c r="J294" s="60" t="n"/>
      <c r="K294" s="60" t="n"/>
      <c r="L294" s="60" t="n"/>
      <c r="M294" s="60" t="n"/>
      <c r="N294" s="60" t="n"/>
      <c r="O294" s="60" t="n"/>
      <c r="P294" s="60" t="n">
        <v>1</v>
      </c>
      <c r="Q294" s="60" t="n"/>
      <c r="R294" s="60" t="n"/>
      <c r="S294" s="60" t="n"/>
      <c r="T294" s="60" t="n"/>
      <c r="U294" s="60" t="n"/>
      <c r="V294" s="60" t="n"/>
      <c r="W294" s="60" t="n"/>
      <c r="X294" s="60" t="n"/>
      <c r="Y294" s="60" t="n"/>
      <c r="Z294" s="60" t="n"/>
      <c r="AA294" s="60" t="n"/>
      <c r="AB294" s="60" t="n"/>
      <c r="AC294" s="60" t="n"/>
      <c r="AD294" s="60" t="n"/>
      <c r="AE294" s="60" t="n"/>
      <c r="AF294" s="60" t="n"/>
      <c r="AG294" s="60" t="n"/>
      <c r="AH294" s="60" t="n"/>
      <c r="AI294" s="60" t="n"/>
      <c r="AJ294" s="60" t="n"/>
      <c r="AK294" s="60" t="n"/>
      <c r="AL294" s="60" t="n"/>
      <c r="AM294" s="60" t="n"/>
      <c r="AN294" s="60" t="n"/>
      <c r="AO294" s="60" t="n"/>
      <c r="AP294" s="60" t="n"/>
      <c r="AQ294" s="60" t="n"/>
      <c r="AR294" s="60" t="n"/>
      <c r="AS294" s="60" t="n"/>
      <c r="AT294" s="60" t="n"/>
      <c r="AU294" s="60" t="n"/>
      <c r="AV294" s="60" t="n"/>
      <c r="AW294" s="60" t="n"/>
      <c r="AX294" s="60" t="n"/>
      <c r="AY294" s="60" t="n"/>
      <c r="AZ294" s="60" t="n"/>
      <c r="BA294" s="60" t="n"/>
      <c r="BB294" s="60" t="n"/>
      <c r="BC294" s="60" t="n"/>
      <c r="BD294" s="60" t="n"/>
      <c r="BE294" s="60" t="n"/>
      <c r="BF294" s="60" t="n"/>
      <c r="BG294" s="60" t="n"/>
      <c r="BH294" s="60" t="n"/>
      <c r="BI294" s="60" t="n"/>
      <c r="BJ294" s="60" t="n"/>
      <c r="BK294" s="60" t="n"/>
      <c r="BL294" s="60" t="n"/>
      <c r="BM294" s="60" t="n"/>
      <c r="BN294" s="60" t="n"/>
      <c r="BO294" s="60" t="n"/>
      <c r="BP294" s="60" t="n"/>
      <c r="BQ294" s="60" t="n"/>
      <c r="BR294" s="60" t="n"/>
      <c r="BS294" s="60" t="n"/>
      <c r="BT294" s="60" t="n"/>
      <c r="BU294" s="60" t="n"/>
      <c r="BV294" s="60" t="n"/>
      <c r="BW294" s="60" t="n"/>
      <c r="BX294" s="60" t="n"/>
      <c r="BY294" s="60" t="n"/>
      <c r="BZ294" s="60" t="n"/>
      <c r="CA294" s="60" t="n"/>
      <c r="CB294" s="60" t="n"/>
      <c r="CC294" s="60" t="n"/>
      <c r="CD294" s="60" t="n"/>
      <c r="CE294" s="60" t="n"/>
      <c r="CF294" s="60" t="n"/>
      <c r="CG294" s="60" t="n"/>
      <c r="CH294" s="60" t="n"/>
      <c r="CI294" s="60" t="n"/>
      <c r="CJ294" s="60" t="n"/>
      <c r="CK294" s="60" t="n"/>
      <c r="CL294" s="60" t="n"/>
      <c r="CM294" s="60" t="n"/>
      <c r="CN294" s="60" t="n"/>
      <c r="CO294" s="60" t="n"/>
      <c r="CP294" s="60" t="n"/>
      <c r="CQ294" s="60" t="n"/>
      <c r="CR294" s="60" t="n"/>
      <c r="CS294" s="60" t="n"/>
      <c r="CT294" s="60" t="n"/>
      <c r="CU294" s="60" t="n"/>
      <c r="CV294" s="60" t="n"/>
      <c r="CW294" s="60" t="n"/>
      <c r="CX294" s="60" t="n"/>
      <c r="CY294" s="60" t="n"/>
      <c r="CZ294" s="60" t="n"/>
      <c r="DA294" s="60" t="n"/>
      <c r="DB294" s="60" t="n"/>
      <c r="DC294" s="60" t="n"/>
      <c r="DD294" s="60" t="n"/>
      <c r="DE294" s="60" t="n"/>
    </row>
    <row r="295">
      <c r="A295" s="60" t="inlineStr">
        <is>
          <t>Referencia del revendido (no se compra)</t>
        </is>
      </c>
      <c r="B295" s="60" t="inlineStr">
        <is>
          <t>Empuñadura — 40 × 36 × 36</t>
        </is>
      </c>
      <c r="C295" s="60" t="inlineStr">
        <is>
          <t>u</t>
        </is>
      </c>
      <c r="D295" s="60" t="inlineStr">
        <is>
          <t>No</t>
        </is>
      </c>
      <c r="E295" s="60" t="n"/>
      <c r="F295" s="60" t="inlineStr">
        <is>
          <t>S4 - se compra terminado (tercerizado con sello IRAM)</t>
        </is>
      </c>
      <c r="G295" s="60" t="n"/>
      <c r="H295" s="60" t="n"/>
      <c r="I295" s="60" t="n"/>
      <c r="J295" s="60" t="n"/>
      <c r="K295" s="60" t="n"/>
      <c r="L295" s="60" t="n"/>
      <c r="M295" s="60" t="n"/>
      <c r="N295" s="60" t="n"/>
      <c r="O295" s="60" t="n"/>
      <c r="P295" s="60" t="n"/>
      <c r="Q295" s="60" t="n">
        <v>1</v>
      </c>
      <c r="R295" s="60" t="n"/>
      <c r="S295" s="60" t="n"/>
      <c r="T295" s="60" t="n"/>
      <c r="U295" s="60" t="n"/>
      <c r="V295" s="60" t="n"/>
      <c r="W295" s="60" t="n"/>
      <c r="X295" s="60" t="n"/>
      <c r="Y295" s="60" t="n"/>
      <c r="Z295" s="60" t="n"/>
      <c r="AA295" s="60" t="n"/>
      <c r="AB295" s="60" t="n"/>
      <c r="AC295" s="60" t="n"/>
      <c r="AD295" s="60" t="n"/>
      <c r="AE295" s="60" t="n"/>
      <c r="AF295" s="60" t="n"/>
      <c r="AG295" s="60" t="n"/>
      <c r="AH295" s="60" t="n"/>
      <c r="AI295" s="60" t="n"/>
      <c r="AJ295" s="60" t="n"/>
      <c r="AK295" s="60" t="n"/>
      <c r="AL295" s="60" t="n"/>
      <c r="AM295" s="60" t="n"/>
      <c r="AN295" s="60" t="n"/>
      <c r="AO295" s="60" t="n"/>
      <c r="AP295" s="60" t="n"/>
      <c r="AQ295" s="60" t="n"/>
      <c r="AR295" s="60" t="n"/>
      <c r="AS295" s="60" t="n"/>
      <c r="AT295" s="60" t="n"/>
      <c r="AU295" s="60" t="n"/>
      <c r="AV295" s="60" t="n"/>
      <c r="AW295" s="60" t="n"/>
      <c r="AX295" s="60" t="n"/>
      <c r="AY295" s="60" t="n"/>
      <c r="AZ295" s="60" t="n"/>
      <c r="BA295" s="60" t="n"/>
      <c r="BB295" s="60" t="n"/>
      <c r="BC295" s="60" t="n"/>
      <c r="BD295" s="60" t="n"/>
      <c r="BE295" s="60" t="n"/>
      <c r="BF295" s="60" t="n"/>
      <c r="BG295" s="60" t="n"/>
      <c r="BH295" s="60" t="n"/>
      <c r="BI295" s="60" t="n"/>
      <c r="BJ295" s="60" t="n"/>
      <c r="BK295" s="60" t="n"/>
      <c r="BL295" s="60" t="n"/>
      <c r="BM295" s="60" t="n"/>
      <c r="BN295" s="60" t="n"/>
      <c r="BO295" s="60" t="n"/>
      <c r="BP295" s="60" t="n"/>
      <c r="BQ295" s="60" t="n"/>
      <c r="BR295" s="60" t="n"/>
      <c r="BS295" s="60" t="n"/>
      <c r="BT295" s="60" t="n"/>
      <c r="BU295" s="60" t="n"/>
      <c r="BV295" s="60" t="n"/>
      <c r="BW295" s="60" t="n"/>
      <c r="BX295" s="60" t="n"/>
      <c r="BY295" s="60" t="n"/>
      <c r="BZ295" s="60" t="n"/>
      <c r="CA295" s="60" t="n"/>
      <c r="CB295" s="60" t="n"/>
      <c r="CC295" s="60" t="n"/>
      <c r="CD295" s="60" t="n"/>
      <c r="CE295" s="60" t="n"/>
      <c r="CF295" s="60" t="n"/>
      <c r="CG295" s="60" t="n"/>
      <c r="CH295" s="60" t="n"/>
      <c r="CI295" s="60" t="n"/>
      <c r="CJ295" s="60" t="n"/>
      <c r="CK295" s="60" t="n"/>
      <c r="CL295" s="60" t="n"/>
      <c r="CM295" s="60" t="n"/>
      <c r="CN295" s="60" t="n"/>
      <c r="CO295" s="60" t="n"/>
      <c r="CP295" s="60" t="n"/>
      <c r="CQ295" s="60" t="n"/>
      <c r="CR295" s="60" t="n"/>
      <c r="CS295" s="60" t="n"/>
      <c r="CT295" s="60" t="n"/>
      <c r="CU295" s="60" t="n"/>
      <c r="CV295" s="60" t="n"/>
      <c r="CW295" s="60" t="n"/>
      <c r="CX295" s="60" t="n"/>
      <c r="CY295" s="60" t="n"/>
      <c r="CZ295" s="60" t="n"/>
      <c r="DA295" s="60" t="n"/>
      <c r="DB295" s="60" t="n"/>
      <c r="DC295" s="60" t="n"/>
      <c r="DD295" s="60" t="n"/>
      <c r="DE295" s="60" t="n"/>
    </row>
    <row r="296">
      <c r="A296" s="60" t="inlineStr">
        <is>
          <t>Referencia del revendido (no se compra)</t>
        </is>
      </c>
      <c r="B296" s="60" t="inlineStr">
        <is>
          <t>Empuñadura — 90 × 28 × 28</t>
        </is>
      </c>
      <c r="C296" s="60" t="inlineStr">
        <is>
          <t>u</t>
        </is>
      </c>
      <c r="D296" s="60" t="inlineStr">
        <is>
          <t>No</t>
        </is>
      </c>
      <c r="E296" s="60" t="n"/>
      <c r="F296" s="60" t="inlineStr">
        <is>
          <t>S4 - se compra terminado (tercerizado con sello IRAM)</t>
        </is>
      </c>
      <c r="G296" s="60" t="n"/>
      <c r="H296" s="60" t="n"/>
      <c r="I296" s="60" t="n"/>
      <c r="J296" s="60" t="n"/>
      <c r="K296" s="60" t="n"/>
      <c r="L296" s="60" t="n"/>
      <c r="M296" s="60" t="n"/>
      <c r="N296" s="60" t="n"/>
      <c r="O296" s="60" t="n"/>
      <c r="P296" s="60" t="n"/>
      <c r="Q296" s="60" t="n"/>
      <c r="R296" s="60" t="n"/>
      <c r="S296" s="60" t="n">
        <v>1</v>
      </c>
      <c r="T296" s="60" t="n"/>
      <c r="U296" s="60" t="n"/>
      <c r="V296" s="60" t="n"/>
      <c r="W296" s="60" t="n"/>
      <c r="X296" s="60" t="n"/>
      <c r="Y296" s="60" t="n"/>
      <c r="Z296" s="60" t="n"/>
      <c r="AA296" s="60" t="n"/>
      <c r="AB296" s="60" t="n"/>
      <c r="AC296" s="60" t="n"/>
      <c r="AD296" s="60" t="n"/>
      <c r="AE296" s="60" t="n"/>
      <c r="AF296" s="60" t="n"/>
      <c r="AG296" s="60" t="n"/>
      <c r="AH296" s="60" t="n"/>
      <c r="AI296" s="60" t="n"/>
      <c r="AJ296" s="60" t="n"/>
      <c r="AK296" s="60" t="n"/>
      <c r="AL296" s="60" t="n"/>
      <c r="AM296" s="60" t="n"/>
      <c r="AN296" s="60" t="n"/>
      <c r="AO296" s="60" t="n"/>
      <c r="AP296" s="60" t="n"/>
      <c r="AQ296" s="60" t="n"/>
      <c r="AR296" s="60" t="n"/>
      <c r="AS296" s="60" t="n"/>
      <c r="AT296" s="60" t="n"/>
      <c r="AU296" s="60" t="n"/>
      <c r="AV296" s="60" t="n"/>
      <c r="AW296" s="60" t="n"/>
      <c r="AX296" s="60" t="n"/>
      <c r="AY296" s="60" t="n"/>
      <c r="AZ296" s="60" t="n"/>
      <c r="BA296" s="60" t="n"/>
      <c r="BB296" s="60" t="n"/>
      <c r="BC296" s="60" t="n"/>
      <c r="BD296" s="60" t="n"/>
      <c r="BE296" s="60" t="n"/>
      <c r="BF296" s="60" t="n"/>
      <c r="BG296" s="60" t="n"/>
      <c r="BH296" s="60" t="n"/>
      <c r="BI296" s="60" t="n"/>
      <c r="BJ296" s="60" t="n"/>
      <c r="BK296" s="60" t="n"/>
      <c r="BL296" s="60" t="n"/>
      <c r="BM296" s="60" t="n"/>
      <c r="BN296" s="60" t="n"/>
      <c r="BO296" s="60" t="n"/>
      <c r="BP296" s="60" t="n"/>
      <c r="BQ296" s="60" t="n"/>
      <c r="BR296" s="60" t="n"/>
      <c r="BS296" s="60" t="n"/>
      <c r="BT296" s="60" t="n"/>
      <c r="BU296" s="60" t="n"/>
      <c r="BV296" s="60" t="n"/>
      <c r="BW296" s="60" t="n"/>
      <c r="BX296" s="60" t="n"/>
      <c r="BY296" s="60" t="n"/>
      <c r="BZ296" s="60" t="n"/>
      <c r="CA296" s="60" t="n"/>
      <c r="CB296" s="60" t="n"/>
      <c r="CC296" s="60" t="n"/>
      <c r="CD296" s="60" t="n"/>
      <c r="CE296" s="60" t="n"/>
      <c r="CF296" s="60" t="n"/>
      <c r="CG296" s="60" t="n"/>
      <c r="CH296" s="60" t="n"/>
      <c r="CI296" s="60" t="n"/>
      <c r="CJ296" s="60" t="n"/>
      <c r="CK296" s="60" t="n"/>
      <c r="CL296" s="60" t="n"/>
      <c r="CM296" s="60" t="n"/>
      <c r="CN296" s="60" t="n"/>
      <c r="CO296" s="60" t="n"/>
      <c r="CP296" s="60" t="n"/>
      <c r="CQ296" s="60" t="n"/>
      <c r="CR296" s="60" t="n"/>
      <c r="CS296" s="60" t="n"/>
      <c r="CT296" s="60" t="n"/>
      <c r="CU296" s="60" t="n"/>
      <c r="CV296" s="60" t="n"/>
      <c r="CW296" s="60" t="n"/>
      <c r="CX296" s="60" t="n"/>
      <c r="CY296" s="60" t="n"/>
      <c r="CZ296" s="60" t="n"/>
      <c r="DA296" s="60" t="n"/>
      <c r="DB296" s="60" t="n"/>
      <c r="DC296" s="60" t="n"/>
      <c r="DD296" s="60" t="n"/>
      <c r="DE296" s="60" t="n"/>
    </row>
    <row r="297">
      <c r="A297" s="60" t="inlineStr">
        <is>
          <t>Referencia del revendido (no se compra)</t>
        </is>
      </c>
      <c r="B297" s="60" t="inlineStr">
        <is>
          <t>Espiga roscada — 19 × 19 × 12</t>
        </is>
      </c>
      <c r="C297" s="60" t="inlineStr">
        <is>
          <t>u</t>
        </is>
      </c>
      <c r="D297" s="60" t="inlineStr">
        <is>
          <t>No</t>
        </is>
      </c>
      <c r="E297" s="60" t="n"/>
      <c r="F297" s="60" t="inlineStr">
        <is>
          <t>S4 - se compra terminado (tercerizado con sello IRAM)</t>
        </is>
      </c>
      <c r="G297" s="60" t="n"/>
      <c r="H297" s="60" t="n"/>
      <c r="I297" s="60" t="n"/>
      <c r="J297" s="60" t="n"/>
      <c r="K297" s="60" t="n"/>
      <c r="L297" s="60" t="n"/>
      <c r="M297" s="60" t="n"/>
      <c r="N297" s="60" t="n"/>
      <c r="O297" s="60" t="n"/>
      <c r="P297" s="60" t="n">
        <v>1</v>
      </c>
      <c r="Q297" s="60" t="n">
        <v>1</v>
      </c>
      <c r="R297" s="60" t="n"/>
      <c r="S297" s="60" t="n"/>
      <c r="T297" s="60" t="n"/>
      <c r="U297" s="60" t="n"/>
      <c r="V297" s="60" t="n"/>
      <c r="W297" s="60" t="n"/>
      <c r="X297" s="60" t="n"/>
      <c r="Y297" s="60" t="n"/>
      <c r="Z297" s="60" t="n"/>
      <c r="AA297" s="60" t="n"/>
      <c r="AB297" s="60" t="n"/>
      <c r="AC297" s="60" t="n"/>
      <c r="AD297" s="60" t="n"/>
      <c r="AE297" s="60" t="n"/>
      <c r="AF297" s="60" t="n"/>
      <c r="AG297" s="60" t="n"/>
      <c r="AH297" s="60" t="n"/>
      <c r="AI297" s="60" t="n"/>
      <c r="AJ297" s="60" t="n"/>
      <c r="AK297" s="60" t="n"/>
      <c r="AL297" s="60" t="n"/>
      <c r="AM297" s="60" t="n"/>
      <c r="AN297" s="60" t="n"/>
      <c r="AO297" s="60" t="n"/>
      <c r="AP297" s="60" t="n"/>
      <c r="AQ297" s="60" t="n"/>
      <c r="AR297" s="60" t="n"/>
      <c r="AS297" s="60" t="n"/>
      <c r="AT297" s="60" t="n"/>
      <c r="AU297" s="60" t="n"/>
      <c r="AV297" s="60" t="n"/>
      <c r="AW297" s="60" t="n"/>
      <c r="AX297" s="60" t="n"/>
      <c r="AY297" s="60" t="n"/>
      <c r="AZ297" s="60" t="n"/>
      <c r="BA297" s="60" t="n"/>
      <c r="BB297" s="60" t="n"/>
      <c r="BC297" s="60" t="n"/>
      <c r="BD297" s="60" t="n"/>
      <c r="BE297" s="60" t="n"/>
      <c r="BF297" s="60" t="n"/>
      <c r="BG297" s="60" t="n"/>
      <c r="BH297" s="60" t="n"/>
      <c r="BI297" s="60" t="n"/>
      <c r="BJ297" s="60" t="n"/>
      <c r="BK297" s="60" t="n"/>
      <c r="BL297" s="60" t="n"/>
      <c r="BM297" s="60" t="n"/>
      <c r="BN297" s="60" t="n"/>
      <c r="BO297" s="60" t="n"/>
      <c r="BP297" s="60" t="n"/>
      <c r="BQ297" s="60" t="n"/>
      <c r="BR297" s="60" t="n"/>
      <c r="BS297" s="60" t="n"/>
      <c r="BT297" s="60" t="n"/>
      <c r="BU297" s="60" t="n"/>
      <c r="BV297" s="60" t="n"/>
      <c r="BW297" s="60" t="n"/>
      <c r="BX297" s="60" t="n"/>
      <c r="BY297" s="60" t="n"/>
      <c r="BZ297" s="60" t="n"/>
      <c r="CA297" s="60" t="n"/>
      <c r="CB297" s="60" t="n"/>
      <c r="CC297" s="60" t="n"/>
      <c r="CD297" s="60" t="n"/>
      <c r="CE297" s="60" t="n"/>
      <c r="CF297" s="60" t="n"/>
      <c r="CG297" s="60" t="n"/>
      <c r="CH297" s="60" t="n"/>
      <c r="CI297" s="60" t="n"/>
      <c r="CJ297" s="60" t="n"/>
      <c r="CK297" s="60" t="n"/>
      <c r="CL297" s="60" t="n"/>
      <c r="CM297" s="60" t="n"/>
      <c r="CN297" s="60" t="n"/>
      <c r="CO297" s="60" t="n"/>
      <c r="CP297" s="60" t="n"/>
      <c r="CQ297" s="60" t="n"/>
      <c r="CR297" s="60" t="n"/>
      <c r="CS297" s="60" t="n"/>
      <c r="CT297" s="60" t="n"/>
      <c r="CU297" s="60" t="n"/>
      <c r="CV297" s="60" t="n"/>
      <c r="CW297" s="60" t="n"/>
      <c r="CX297" s="60" t="n"/>
      <c r="CY297" s="60" t="n"/>
      <c r="CZ297" s="60" t="n"/>
      <c r="DA297" s="60" t="n"/>
      <c r="DB297" s="60" t="n"/>
      <c r="DC297" s="60" t="n"/>
      <c r="DD297" s="60" t="n"/>
      <c r="DE297" s="60" t="n"/>
    </row>
    <row r="298">
      <c r="A298" s="60" t="inlineStr">
        <is>
          <t>Referencia del revendido (no se compra)</t>
        </is>
      </c>
      <c r="B298" s="60" t="inlineStr">
        <is>
          <t>Espiga roscada — 72,2 × 72,2 × 16,2</t>
        </is>
      </c>
      <c r="C298" s="60" t="inlineStr">
        <is>
          <t>u</t>
        </is>
      </c>
      <c r="D298" s="60" t="inlineStr">
        <is>
          <t>No</t>
        </is>
      </c>
      <c r="E298" s="60" t="n"/>
      <c r="F298" s="60" t="inlineStr">
        <is>
          <t>S4 - se compra terminado (tercerizado con sello IRAM)</t>
        </is>
      </c>
      <c r="G298" s="60" t="n"/>
      <c r="H298" s="60" t="n"/>
      <c r="I298" s="60" t="n"/>
      <c r="J298" s="60" t="n"/>
      <c r="K298" s="60" t="n"/>
      <c r="L298" s="60" t="n"/>
      <c r="M298" s="60" t="n">
        <v>1</v>
      </c>
      <c r="N298" s="60" t="n"/>
      <c r="O298" s="60" t="n"/>
      <c r="P298" s="60" t="n"/>
      <c r="Q298" s="60" t="n"/>
      <c r="R298" s="60" t="n"/>
      <c r="S298" s="60" t="n"/>
      <c r="T298" s="60" t="n"/>
      <c r="U298" s="60" t="n">
        <v>1</v>
      </c>
      <c r="V298" s="60" t="n">
        <v>1</v>
      </c>
      <c r="W298" s="60" t="n">
        <v>1</v>
      </c>
      <c r="X298" s="60" t="n"/>
      <c r="Y298" s="60" t="n"/>
      <c r="Z298" s="60" t="n"/>
      <c r="AA298" s="60" t="n"/>
      <c r="AB298" s="60" t="n"/>
      <c r="AC298" s="60" t="n"/>
      <c r="AD298" s="60" t="n"/>
      <c r="AE298" s="60" t="n"/>
      <c r="AF298" s="60" t="n"/>
      <c r="AG298" s="60" t="n"/>
      <c r="AH298" s="60" t="n"/>
      <c r="AI298" s="60" t="n"/>
      <c r="AJ298" s="60" t="n"/>
      <c r="AK298" s="60" t="n"/>
      <c r="AL298" s="60" t="n"/>
      <c r="AM298" s="60" t="n"/>
      <c r="AN298" s="60" t="n"/>
      <c r="AO298" s="60" t="n"/>
      <c r="AP298" s="60" t="n"/>
      <c r="AQ298" s="60" t="n"/>
      <c r="AR298" s="60" t="n"/>
      <c r="AS298" s="60" t="n"/>
      <c r="AT298" s="60" t="n"/>
      <c r="AU298" s="60" t="n"/>
      <c r="AV298" s="60" t="n"/>
      <c r="AW298" s="60" t="n"/>
      <c r="AX298" s="60" t="n"/>
      <c r="AY298" s="60" t="n"/>
      <c r="AZ298" s="60" t="n"/>
      <c r="BA298" s="60" t="n"/>
      <c r="BB298" s="60" t="n"/>
      <c r="BC298" s="60" t="n"/>
      <c r="BD298" s="60" t="n"/>
      <c r="BE298" s="60" t="n"/>
      <c r="BF298" s="60" t="n"/>
      <c r="BG298" s="60" t="n"/>
      <c r="BH298" s="60" t="n"/>
      <c r="BI298" s="60" t="n"/>
      <c r="BJ298" s="60" t="n"/>
      <c r="BK298" s="60" t="n"/>
      <c r="BL298" s="60" t="n"/>
      <c r="BM298" s="60" t="n"/>
      <c r="BN298" s="60" t="n"/>
      <c r="BO298" s="60" t="n"/>
      <c r="BP298" s="60" t="n"/>
      <c r="BQ298" s="60" t="n"/>
      <c r="BR298" s="60" t="n"/>
      <c r="BS298" s="60" t="n"/>
      <c r="BT298" s="60" t="n"/>
      <c r="BU298" s="60" t="n"/>
      <c r="BV298" s="60" t="n"/>
      <c r="BW298" s="60" t="n"/>
      <c r="BX298" s="60" t="n"/>
      <c r="BY298" s="60" t="n"/>
      <c r="BZ298" s="60" t="n"/>
      <c r="CA298" s="60" t="n"/>
      <c r="CB298" s="60" t="n"/>
      <c r="CC298" s="60" t="n"/>
      <c r="CD298" s="60" t="n"/>
      <c r="CE298" s="60" t="n"/>
      <c r="CF298" s="60" t="n"/>
      <c r="CG298" s="60" t="n"/>
      <c r="CH298" s="60" t="n"/>
      <c r="CI298" s="60" t="n"/>
      <c r="CJ298" s="60" t="n"/>
      <c r="CK298" s="60" t="n"/>
      <c r="CL298" s="60" t="n"/>
      <c r="CM298" s="60" t="n"/>
      <c r="CN298" s="60" t="n"/>
      <c r="CO298" s="60" t="n"/>
      <c r="CP298" s="60" t="n"/>
      <c r="CQ298" s="60" t="n"/>
      <c r="CR298" s="60" t="n"/>
      <c r="CS298" s="60" t="n"/>
      <c r="CT298" s="60" t="n"/>
      <c r="CU298" s="60" t="n"/>
      <c r="CV298" s="60" t="n"/>
      <c r="CW298" s="60" t="n"/>
      <c r="CX298" s="60" t="n"/>
      <c r="CY298" s="60" t="n"/>
      <c r="CZ298" s="60" t="n"/>
      <c r="DA298" s="60" t="n"/>
      <c r="DB298" s="60" t="n"/>
      <c r="DC298" s="60" t="n"/>
      <c r="DD298" s="60" t="n"/>
      <c r="DE298" s="60" t="n"/>
    </row>
    <row r="299">
      <c r="A299" s="60" t="inlineStr">
        <is>
          <t>Referencia del revendido (no se compra)</t>
        </is>
      </c>
      <c r="B299" s="60" t="inlineStr">
        <is>
          <t>Esquineros de cartón 50 × 50 × 1200 (fracción del pallet)</t>
        </is>
      </c>
      <c r="C299" s="60" t="inlineStr">
        <is>
          <t>u</t>
        </is>
      </c>
      <c r="D299" s="60" t="inlineStr">
        <is>
          <t>No</t>
        </is>
      </c>
      <c r="E299" s="60" t="n"/>
      <c r="F299" s="60" t="inlineStr">
        <is>
          <t>24 Envolvedora (T11)</t>
        </is>
      </c>
      <c r="G299" s="60" t="n"/>
      <c r="H299" s="60" t="n"/>
      <c r="I299" s="60" t="n"/>
      <c r="J299" s="60" t="n"/>
      <c r="K299" s="60" t="n">
        <v>0.125</v>
      </c>
      <c r="L299" s="60" t="n">
        <v>0.125</v>
      </c>
      <c r="M299" s="60" t="n"/>
      <c r="N299" s="60" t="n">
        <v>0.1</v>
      </c>
      <c r="O299" s="60" t="n">
        <v>0.1333</v>
      </c>
      <c r="P299" s="60" t="n">
        <v>0.0833</v>
      </c>
      <c r="Q299" s="60" t="n">
        <v>0.2667</v>
      </c>
      <c r="R299" s="60" t="n">
        <v>0.1</v>
      </c>
      <c r="S299" s="60" t="n">
        <v>0.125</v>
      </c>
      <c r="T299" s="60" t="n"/>
      <c r="U299" s="60" t="n"/>
      <c r="V299" s="60" t="n"/>
      <c r="W299" s="60" t="n"/>
      <c r="X299" s="60" t="n"/>
      <c r="Y299" s="60" t="n"/>
      <c r="Z299" s="60" t="n"/>
      <c r="AA299" s="60" t="n"/>
      <c r="AB299" s="60" t="n"/>
      <c r="AC299" s="60" t="n"/>
      <c r="AD299" s="60" t="n"/>
      <c r="AE299" s="60" t="n"/>
      <c r="AF299" s="60" t="n"/>
      <c r="AG299" s="60" t="n"/>
      <c r="AH299" s="60" t="n"/>
      <c r="AI299" s="60" t="n"/>
      <c r="AJ299" s="60" t="n"/>
      <c r="AK299" s="60" t="n"/>
      <c r="AL299" s="60" t="n"/>
      <c r="AM299" s="60" t="n"/>
      <c r="AN299" s="60" t="n"/>
      <c r="AO299" s="60" t="n"/>
      <c r="AP299" s="60" t="n"/>
      <c r="AQ299" s="60" t="n"/>
      <c r="AR299" s="60" t="n"/>
      <c r="AS299" s="60" t="n"/>
      <c r="AT299" s="60" t="n"/>
      <c r="AU299" s="60" t="n"/>
      <c r="AV299" s="60" t="n"/>
      <c r="AW299" s="60" t="n"/>
      <c r="AX299" s="60" t="n"/>
      <c r="AY299" s="60" t="n"/>
      <c r="AZ299" s="60" t="n"/>
      <c r="BA299" s="60" t="n"/>
      <c r="BB299" s="60" t="n"/>
      <c r="BC299" s="60" t="n"/>
      <c r="BD299" s="60" t="n"/>
      <c r="BE299" s="60" t="n"/>
      <c r="BF299" s="60" t="n"/>
      <c r="BG299" s="60" t="n"/>
      <c r="BH299" s="60" t="n"/>
      <c r="BI299" s="60" t="n"/>
      <c r="BJ299" s="60" t="n"/>
      <c r="BK299" s="60" t="n"/>
      <c r="BL299" s="60" t="n"/>
      <c r="BM299" s="60" t="n"/>
      <c r="BN299" s="60" t="n"/>
      <c r="BO299" s="60" t="n"/>
      <c r="BP299" s="60" t="n"/>
      <c r="BQ299" s="60" t="n"/>
      <c r="BR299" s="60" t="n"/>
      <c r="BS299" s="60" t="n"/>
      <c r="BT299" s="60" t="n"/>
      <c r="BU299" s="60" t="n"/>
      <c r="BV299" s="60" t="n"/>
      <c r="BW299" s="60" t="n"/>
      <c r="BX299" s="60" t="n"/>
      <c r="BY299" s="60" t="n"/>
      <c r="BZ299" s="60" t="n"/>
      <c r="CA299" s="60" t="n"/>
      <c r="CB299" s="60" t="n"/>
      <c r="CC299" s="60" t="n"/>
      <c r="CD299" s="60" t="n"/>
      <c r="CE299" s="60" t="n"/>
      <c r="CF299" s="60" t="n"/>
      <c r="CG299" s="60" t="n"/>
      <c r="CH299" s="60" t="n"/>
      <c r="CI299" s="60" t="n"/>
      <c r="CJ299" s="60" t="n"/>
      <c r="CK299" s="60" t="n"/>
      <c r="CL299" s="60" t="n"/>
      <c r="CM299" s="60" t="n"/>
      <c r="CN299" s="60" t="n"/>
      <c r="CO299" s="60" t="n"/>
      <c r="CP299" s="60" t="n"/>
      <c r="CQ299" s="60" t="n"/>
      <c r="CR299" s="60" t="n"/>
      <c r="CS299" s="60" t="n"/>
      <c r="CT299" s="60" t="n"/>
      <c r="CU299" s="60" t="n"/>
      <c r="CV299" s="60" t="n"/>
      <c r="CW299" s="60" t="n"/>
      <c r="CX299" s="60" t="n"/>
      <c r="CY299" s="60" t="n"/>
      <c r="CZ299" s="60" t="n"/>
      <c r="DA299" s="60" t="n"/>
      <c r="DB299" s="60" t="n"/>
      <c r="DC299" s="60" t="n"/>
      <c r="DD299" s="60" t="n"/>
      <c r="DE299" s="60" t="n"/>
    </row>
    <row r="300">
      <c r="A300" s="60" t="inlineStr">
        <is>
          <t>Referencia del revendido (no se compra)</t>
        </is>
      </c>
      <c r="B300" s="60" t="inlineStr">
        <is>
          <t>Esquineros y funda de polietileno — a medida de la envolvente del plano</t>
        </is>
      </c>
      <c r="C300" s="60" t="inlineStr">
        <is>
          <t>jgo</t>
        </is>
      </c>
      <c r="D300" s="60" t="inlineStr">
        <is>
          <t>No</t>
        </is>
      </c>
      <c r="E300" s="60" t="n"/>
      <c r="F300" s="60" t="inlineStr">
        <is>
          <t>23 Embalaje</t>
        </is>
      </c>
      <c r="G300" s="60" t="n"/>
      <c r="H300" s="60" t="n"/>
      <c r="I300" s="60" t="n"/>
      <c r="J300" s="60" t="n"/>
      <c r="K300" s="60" t="n"/>
      <c r="L300" s="60" t="n"/>
      <c r="M300" s="60" t="n">
        <v>1</v>
      </c>
      <c r="N300" s="60" t="n"/>
      <c r="O300" s="60" t="n"/>
      <c r="P300" s="60" t="n"/>
      <c r="Q300" s="60" t="n"/>
      <c r="R300" s="60" t="n"/>
      <c r="S300" s="60" t="n"/>
      <c r="T300" s="60" t="n"/>
      <c r="U300" s="60" t="n"/>
      <c r="V300" s="60" t="n"/>
      <c r="W300" s="60" t="n"/>
      <c r="X300" s="60" t="n"/>
      <c r="Y300" s="60" t="n"/>
      <c r="Z300" s="60" t="n"/>
      <c r="AA300" s="60" t="n"/>
      <c r="AB300" s="60" t="n"/>
      <c r="AC300" s="60" t="n"/>
      <c r="AD300" s="60" t="n"/>
      <c r="AE300" s="60" t="n"/>
      <c r="AF300" s="60" t="n"/>
      <c r="AG300" s="60" t="n"/>
      <c r="AH300" s="60" t="n"/>
      <c r="AI300" s="60" t="n"/>
      <c r="AJ300" s="60" t="n"/>
      <c r="AK300" s="60" t="n"/>
      <c r="AL300" s="60" t="n"/>
      <c r="AM300" s="60" t="n"/>
      <c r="AN300" s="60" t="n"/>
      <c r="AO300" s="60" t="n"/>
      <c r="AP300" s="60" t="n"/>
      <c r="AQ300" s="60" t="n"/>
      <c r="AR300" s="60" t="n"/>
      <c r="AS300" s="60" t="n"/>
      <c r="AT300" s="60" t="n"/>
      <c r="AU300" s="60" t="n"/>
      <c r="AV300" s="60" t="n"/>
      <c r="AW300" s="60" t="n"/>
      <c r="AX300" s="60" t="n"/>
      <c r="AY300" s="60" t="n"/>
      <c r="AZ300" s="60" t="n"/>
      <c r="BA300" s="60" t="n"/>
      <c r="BB300" s="60" t="n"/>
      <c r="BC300" s="60" t="n"/>
      <c r="BD300" s="60" t="n"/>
      <c r="BE300" s="60" t="n"/>
      <c r="BF300" s="60" t="n"/>
      <c r="BG300" s="60" t="n"/>
      <c r="BH300" s="60" t="n"/>
      <c r="BI300" s="60" t="n"/>
      <c r="BJ300" s="60" t="n"/>
      <c r="BK300" s="60" t="n"/>
      <c r="BL300" s="60" t="n"/>
      <c r="BM300" s="60" t="n"/>
      <c r="BN300" s="60" t="n"/>
      <c r="BO300" s="60" t="n"/>
      <c r="BP300" s="60" t="n"/>
      <c r="BQ300" s="60" t="n"/>
      <c r="BR300" s="60" t="n"/>
      <c r="BS300" s="60" t="n"/>
      <c r="BT300" s="60" t="n"/>
      <c r="BU300" s="60" t="n"/>
      <c r="BV300" s="60" t="n"/>
      <c r="BW300" s="60" t="n"/>
      <c r="BX300" s="60" t="n"/>
      <c r="BY300" s="60" t="n"/>
      <c r="BZ300" s="60" t="n"/>
      <c r="CA300" s="60" t="n"/>
      <c r="CB300" s="60" t="n"/>
      <c r="CC300" s="60" t="n"/>
      <c r="CD300" s="60" t="n"/>
      <c r="CE300" s="60" t="n"/>
      <c r="CF300" s="60" t="n"/>
      <c r="CG300" s="60" t="n"/>
      <c r="CH300" s="60" t="n"/>
      <c r="CI300" s="60" t="n"/>
      <c r="CJ300" s="60" t="n"/>
      <c r="CK300" s="60" t="n"/>
      <c r="CL300" s="60" t="n"/>
      <c r="CM300" s="60" t="n"/>
      <c r="CN300" s="60" t="n"/>
      <c r="CO300" s="60" t="n"/>
      <c r="CP300" s="60" t="n"/>
      <c r="CQ300" s="60" t="n"/>
      <c r="CR300" s="60" t="n"/>
      <c r="CS300" s="60" t="n"/>
      <c r="CT300" s="60" t="n"/>
      <c r="CU300" s="60" t="n"/>
      <c r="CV300" s="60" t="n"/>
      <c r="CW300" s="60" t="n"/>
      <c r="CX300" s="60" t="n"/>
      <c r="CY300" s="60" t="n"/>
      <c r="CZ300" s="60" t="n"/>
      <c r="DA300" s="60" t="n"/>
      <c r="DB300" s="60" t="n"/>
      <c r="DC300" s="60" t="n"/>
      <c r="DD300" s="60" t="n"/>
      <c r="DE300" s="60" t="n"/>
    </row>
    <row r="301">
      <c r="A301" s="60" t="inlineStr">
        <is>
          <t>Referencia del revendido (no se compra)</t>
        </is>
      </c>
      <c r="B301" s="60" t="inlineStr">
        <is>
          <t>Estampilla IRAM de conformidad — 60 × 40</t>
        </is>
      </c>
      <c r="C301" s="60" t="inlineStr">
        <is>
          <t>u</t>
        </is>
      </c>
      <c r="D301" s="60" t="inlineStr">
        <is>
          <t>No</t>
        </is>
      </c>
      <c r="E301" s="60" t="n"/>
      <c r="F301" s="60" t="inlineStr">
        <is>
          <t>22 Etiquetado (T07)</t>
        </is>
      </c>
      <c r="G301" s="60" t="n"/>
      <c r="H301" s="60" t="n"/>
      <c r="I301" s="60" t="n"/>
      <c r="J301" s="60" t="n"/>
      <c r="K301" s="60" t="n">
        <v>1</v>
      </c>
      <c r="L301" s="60" t="n">
        <v>1</v>
      </c>
      <c r="M301" s="60" t="n">
        <v>1</v>
      </c>
      <c r="N301" s="60" t="n">
        <v>1</v>
      </c>
      <c r="O301" s="60" t="n">
        <v>1</v>
      </c>
      <c r="P301" s="60" t="n">
        <v>1</v>
      </c>
      <c r="Q301" s="60" t="n">
        <v>1</v>
      </c>
      <c r="R301" s="60" t="n">
        <v>1</v>
      </c>
      <c r="S301" s="60" t="n">
        <v>1</v>
      </c>
      <c r="T301" s="60" t="n"/>
      <c r="U301" s="60" t="n"/>
      <c r="V301" s="60" t="n"/>
      <c r="W301" s="60" t="n"/>
      <c r="X301" s="60" t="n"/>
      <c r="Y301" s="60" t="n"/>
      <c r="Z301" s="60" t="n"/>
      <c r="AA301" s="60" t="n"/>
      <c r="AB301" s="60" t="n"/>
      <c r="AC301" s="60" t="n"/>
      <c r="AD301" s="60" t="n"/>
      <c r="AE301" s="60" t="n"/>
      <c r="AF301" s="60" t="n"/>
      <c r="AG301" s="60" t="n"/>
      <c r="AH301" s="60" t="n"/>
      <c r="AI301" s="60" t="n"/>
      <c r="AJ301" s="60" t="n"/>
      <c r="AK301" s="60" t="n"/>
      <c r="AL301" s="60" t="n"/>
      <c r="AM301" s="60" t="n"/>
      <c r="AN301" s="60" t="n"/>
      <c r="AO301" s="60" t="n"/>
      <c r="AP301" s="60" t="n"/>
      <c r="AQ301" s="60" t="n"/>
      <c r="AR301" s="60" t="n"/>
      <c r="AS301" s="60" t="n"/>
      <c r="AT301" s="60" t="n"/>
      <c r="AU301" s="60" t="n"/>
      <c r="AV301" s="60" t="n"/>
      <c r="AW301" s="60" t="n"/>
      <c r="AX301" s="60" t="n"/>
      <c r="AY301" s="60" t="n"/>
      <c r="AZ301" s="60" t="n"/>
      <c r="BA301" s="60" t="n"/>
      <c r="BB301" s="60" t="n"/>
      <c r="BC301" s="60" t="n"/>
      <c r="BD301" s="60" t="n"/>
      <c r="BE301" s="60" t="n"/>
      <c r="BF301" s="60" t="n"/>
      <c r="BG301" s="60" t="n"/>
      <c r="BH301" s="60" t="n"/>
      <c r="BI301" s="60" t="n"/>
      <c r="BJ301" s="60" t="n"/>
      <c r="BK301" s="60" t="n"/>
      <c r="BL301" s="60" t="n"/>
      <c r="BM301" s="60" t="n"/>
      <c r="BN301" s="60" t="n"/>
      <c r="BO301" s="60" t="n"/>
      <c r="BP301" s="60" t="n"/>
      <c r="BQ301" s="60" t="n"/>
      <c r="BR301" s="60" t="n"/>
      <c r="BS301" s="60" t="n"/>
      <c r="BT301" s="60" t="n"/>
      <c r="BU301" s="60" t="n"/>
      <c r="BV301" s="60" t="n"/>
      <c r="BW301" s="60" t="n"/>
      <c r="BX301" s="60" t="n"/>
      <c r="BY301" s="60" t="n"/>
      <c r="BZ301" s="60" t="n"/>
      <c r="CA301" s="60" t="n"/>
      <c r="CB301" s="60" t="n"/>
      <c r="CC301" s="60" t="n"/>
      <c r="CD301" s="60" t="n"/>
      <c r="CE301" s="60" t="n"/>
      <c r="CF301" s="60" t="n"/>
      <c r="CG301" s="60" t="n"/>
      <c r="CH301" s="60" t="n"/>
      <c r="CI301" s="60" t="n"/>
      <c r="CJ301" s="60" t="n"/>
      <c r="CK301" s="60" t="n"/>
      <c r="CL301" s="60" t="n"/>
      <c r="CM301" s="60" t="n"/>
      <c r="CN301" s="60" t="n"/>
      <c r="CO301" s="60" t="n"/>
      <c r="CP301" s="60" t="n"/>
      <c r="CQ301" s="60" t="n"/>
      <c r="CR301" s="60" t="n"/>
      <c r="CS301" s="60" t="n"/>
      <c r="CT301" s="60" t="n"/>
      <c r="CU301" s="60" t="n"/>
      <c r="CV301" s="60" t="n"/>
      <c r="CW301" s="60" t="n"/>
      <c r="CX301" s="60" t="n"/>
      <c r="CY301" s="60" t="n"/>
      <c r="CZ301" s="60" t="n"/>
      <c r="DA301" s="60" t="n"/>
      <c r="DB301" s="60" t="n"/>
      <c r="DC301" s="60" t="n"/>
      <c r="DD301" s="60" t="n"/>
      <c r="DE301" s="60" t="n"/>
    </row>
    <row r="302">
      <c r="A302" s="60" t="inlineStr">
        <is>
          <t>Referencia del revendido (no se compra)</t>
        </is>
      </c>
      <c r="B302" s="60" t="inlineStr">
        <is>
          <t>Etiqueta / placa de características — 215 × 288 (desarrollo × alto: panel central 108° + 2 alas laterales), e ≈ 0,3, laminado UV</t>
        </is>
      </c>
      <c r="C302" s="60" t="inlineStr">
        <is>
          <t>u</t>
        </is>
      </c>
      <c r="D302" s="60" t="inlineStr">
        <is>
          <t>No</t>
        </is>
      </c>
      <c r="E302" s="60" t="n"/>
      <c r="F302" s="60" t="inlineStr">
        <is>
          <t>22 Etiquetado (T07)</t>
        </is>
      </c>
      <c r="G302" s="60" t="n"/>
      <c r="H302" s="60" t="n"/>
      <c r="I302" s="60" t="n"/>
      <c r="J302" s="60" t="n"/>
      <c r="K302" s="60" t="n"/>
      <c r="L302" s="60" t="n"/>
      <c r="M302" s="60" t="n"/>
      <c r="N302" s="60" t="n"/>
      <c r="O302" s="60" t="n"/>
      <c r="P302" s="60" t="n">
        <v>1</v>
      </c>
      <c r="Q302" s="60" t="n"/>
      <c r="R302" s="60" t="n"/>
      <c r="S302" s="60" t="n"/>
      <c r="T302" s="60" t="n"/>
      <c r="U302" s="60" t="n"/>
      <c r="V302" s="60" t="n"/>
      <c r="W302" s="60" t="n"/>
      <c r="X302" s="60" t="n"/>
      <c r="Y302" s="60" t="n"/>
      <c r="Z302" s="60" t="n"/>
      <c r="AA302" s="60" t="n"/>
      <c r="AB302" s="60" t="n"/>
      <c r="AC302" s="60" t="n"/>
      <c r="AD302" s="60" t="n"/>
      <c r="AE302" s="60" t="n"/>
      <c r="AF302" s="60" t="n"/>
      <c r="AG302" s="60" t="n"/>
      <c r="AH302" s="60" t="n"/>
      <c r="AI302" s="60" t="n"/>
      <c r="AJ302" s="60" t="n"/>
      <c r="AK302" s="60" t="n"/>
      <c r="AL302" s="60" t="n"/>
      <c r="AM302" s="60" t="n"/>
      <c r="AN302" s="60" t="n"/>
      <c r="AO302" s="60" t="n"/>
      <c r="AP302" s="60" t="n"/>
      <c r="AQ302" s="60" t="n"/>
      <c r="AR302" s="60" t="n"/>
      <c r="AS302" s="60" t="n"/>
      <c r="AT302" s="60" t="n"/>
      <c r="AU302" s="60" t="n"/>
      <c r="AV302" s="60" t="n"/>
      <c r="AW302" s="60" t="n"/>
      <c r="AX302" s="60" t="n"/>
      <c r="AY302" s="60" t="n"/>
      <c r="AZ302" s="60" t="n"/>
      <c r="BA302" s="60" t="n"/>
      <c r="BB302" s="60" t="n"/>
      <c r="BC302" s="60" t="n"/>
      <c r="BD302" s="60" t="n"/>
      <c r="BE302" s="60" t="n"/>
      <c r="BF302" s="60" t="n"/>
      <c r="BG302" s="60" t="n"/>
      <c r="BH302" s="60" t="n"/>
      <c r="BI302" s="60" t="n"/>
      <c r="BJ302" s="60" t="n"/>
      <c r="BK302" s="60" t="n"/>
      <c r="BL302" s="60" t="n"/>
      <c r="BM302" s="60" t="n"/>
      <c r="BN302" s="60" t="n"/>
      <c r="BO302" s="60" t="n"/>
      <c r="BP302" s="60" t="n"/>
      <c r="BQ302" s="60" t="n"/>
      <c r="BR302" s="60" t="n"/>
      <c r="BS302" s="60" t="n"/>
      <c r="BT302" s="60" t="n"/>
      <c r="BU302" s="60" t="n"/>
      <c r="BV302" s="60" t="n"/>
      <c r="BW302" s="60" t="n"/>
      <c r="BX302" s="60" t="n"/>
      <c r="BY302" s="60" t="n"/>
      <c r="BZ302" s="60" t="n"/>
      <c r="CA302" s="60" t="n"/>
      <c r="CB302" s="60" t="n"/>
      <c r="CC302" s="60" t="n"/>
      <c r="CD302" s="60" t="n"/>
      <c r="CE302" s="60" t="n"/>
      <c r="CF302" s="60" t="n"/>
      <c r="CG302" s="60" t="n"/>
      <c r="CH302" s="60" t="n"/>
      <c r="CI302" s="60" t="n"/>
      <c r="CJ302" s="60" t="n"/>
      <c r="CK302" s="60" t="n"/>
      <c r="CL302" s="60" t="n"/>
      <c r="CM302" s="60" t="n"/>
      <c r="CN302" s="60" t="n"/>
      <c r="CO302" s="60" t="n"/>
      <c r="CP302" s="60" t="n"/>
      <c r="CQ302" s="60" t="n"/>
      <c r="CR302" s="60" t="n"/>
      <c r="CS302" s="60" t="n"/>
      <c r="CT302" s="60" t="n"/>
      <c r="CU302" s="60" t="n"/>
      <c r="CV302" s="60" t="n"/>
      <c r="CW302" s="60" t="n"/>
      <c r="CX302" s="60" t="n"/>
      <c r="CY302" s="60" t="n"/>
      <c r="CZ302" s="60" t="n"/>
      <c r="DA302" s="60" t="n"/>
      <c r="DB302" s="60" t="n"/>
      <c r="DC302" s="60" t="n"/>
      <c r="DD302" s="60" t="n"/>
      <c r="DE302" s="60" t="n"/>
    </row>
    <row r="303">
      <c r="A303" s="60" t="inlineStr">
        <is>
          <t>Referencia del revendido (no se compra)</t>
        </is>
      </c>
      <c r="B303" s="60" t="inlineStr">
        <is>
          <t>Etiqueta / placa de características — 264 × 232 (desarrollo × alto: panel central 108° + 2 alas laterales), e ≈ 0,3, laminado UV</t>
        </is>
      </c>
      <c r="C303" s="60" t="inlineStr">
        <is>
          <t>u</t>
        </is>
      </c>
      <c r="D303" s="60" t="inlineStr">
        <is>
          <t>No</t>
        </is>
      </c>
      <c r="E303" s="60" t="n"/>
      <c r="F303" s="60" t="inlineStr">
        <is>
          <t>22 Etiquetado (T07)</t>
        </is>
      </c>
      <c r="G303" s="60" t="n"/>
      <c r="H303" s="60" t="n"/>
      <c r="I303" s="60" t="n"/>
      <c r="J303" s="60" t="n"/>
      <c r="K303" s="60" t="n"/>
      <c r="L303" s="60" t="n"/>
      <c r="M303" s="60" t="n"/>
      <c r="N303" s="60" t="n"/>
      <c r="O303" s="60" t="n"/>
      <c r="P303" s="60" t="n"/>
      <c r="Q303" s="60" t="n">
        <v>1</v>
      </c>
      <c r="R303" s="60" t="n"/>
      <c r="S303" s="60" t="n"/>
      <c r="T303" s="60" t="n"/>
      <c r="U303" s="60" t="n"/>
      <c r="V303" s="60" t="n"/>
      <c r="W303" s="60" t="n"/>
      <c r="X303" s="60" t="n"/>
      <c r="Y303" s="60" t="n"/>
      <c r="Z303" s="60" t="n"/>
      <c r="AA303" s="60" t="n"/>
      <c r="AB303" s="60" t="n"/>
      <c r="AC303" s="60" t="n"/>
      <c r="AD303" s="60" t="n"/>
      <c r="AE303" s="60" t="n"/>
      <c r="AF303" s="60" t="n"/>
      <c r="AG303" s="60" t="n"/>
      <c r="AH303" s="60" t="n"/>
      <c r="AI303" s="60" t="n"/>
      <c r="AJ303" s="60" t="n"/>
      <c r="AK303" s="60" t="n"/>
      <c r="AL303" s="60" t="n"/>
      <c r="AM303" s="60" t="n"/>
      <c r="AN303" s="60" t="n"/>
      <c r="AO303" s="60" t="n"/>
      <c r="AP303" s="60" t="n"/>
      <c r="AQ303" s="60" t="n"/>
      <c r="AR303" s="60" t="n"/>
      <c r="AS303" s="60" t="n"/>
      <c r="AT303" s="60" t="n"/>
      <c r="AU303" s="60" t="n"/>
      <c r="AV303" s="60" t="n"/>
      <c r="AW303" s="60" t="n"/>
      <c r="AX303" s="60" t="n"/>
      <c r="AY303" s="60" t="n"/>
      <c r="AZ303" s="60" t="n"/>
      <c r="BA303" s="60" t="n"/>
      <c r="BB303" s="60" t="n"/>
      <c r="BC303" s="60" t="n"/>
      <c r="BD303" s="60" t="n"/>
      <c r="BE303" s="60" t="n"/>
      <c r="BF303" s="60" t="n"/>
      <c r="BG303" s="60" t="n"/>
      <c r="BH303" s="60" t="n"/>
      <c r="BI303" s="60" t="n"/>
      <c r="BJ303" s="60" t="n"/>
      <c r="BK303" s="60" t="n"/>
      <c r="BL303" s="60" t="n"/>
      <c r="BM303" s="60" t="n"/>
      <c r="BN303" s="60" t="n"/>
      <c r="BO303" s="60" t="n"/>
      <c r="BP303" s="60" t="n"/>
      <c r="BQ303" s="60" t="n"/>
      <c r="BR303" s="60" t="n"/>
      <c r="BS303" s="60" t="n"/>
      <c r="BT303" s="60" t="n"/>
      <c r="BU303" s="60" t="n"/>
      <c r="BV303" s="60" t="n"/>
      <c r="BW303" s="60" t="n"/>
      <c r="BX303" s="60" t="n"/>
      <c r="BY303" s="60" t="n"/>
      <c r="BZ303" s="60" t="n"/>
      <c r="CA303" s="60" t="n"/>
      <c r="CB303" s="60" t="n"/>
      <c r="CC303" s="60" t="n"/>
      <c r="CD303" s="60" t="n"/>
      <c r="CE303" s="60" t="n"/>
      <c r="CF303" s="60" t="n"/>
      <c r="CG303" s="60" t="n"/>
      <c r="CH303" s="60" t="n"/>
      <c r="CI303" s="60" t="n"/>
      <c r="CJ303" s="60" t="n"/>
      <c r="CK303" s="60" t="n"/>
      <c r="CL303" s="60" t="n"/>
      <c r="CM303" s="60" t="n"/>
      <c r="CN303" s="60" t="n"/>
      <c r="CO303" s="60" t="n"/>
      <c r="CP303" s="60" t="n"/>
      <c r="CQ303" s="60" t="n"/>
      <c r="CR303" s="60" t="n"/>
      <c r="CS303" s="60" t="n"/>
      <c r="CT303" s="60" t="n"/>
      <c r="CU303" s="60" t="n"/>
      <c r="CV303" s="60" t="n"/>
      <c r="CW303" s="60" t="n"/>
      <c r="CX303" s="60" t="n"/>
      <c r="CY303" s="60" t="n"/>
      <c r="CZ303" s="60" t="n"/>
      <c r="DA303" s="60" t="n"/>
      <c r="DB303" s="60" t="n"/>
      <c r="DC303" s="60" t="n"/>
      <c r="DD303" s="60" t="n"/>
      <c r="DE303" s="60" t="n"/>
    </row>
    <row r="304">
      <c r="A304" s="60" t="inlineStr">
        <is>
          <t>Referencia del revendido (no se compra)</t>
        </is>
      </c>
      <c r="B304" s="60" t="inlineStr">
        <is>
          <t>Etiqueta / placa de características — 289 × 142 (desarrollo × alto: panel central 108° + 2 alas laterales), e ≈ 0,3, laminado UV</t>
        </is>
      </c>
      <c r="C304" s="60" t="inlineStr">
        <is>
          <t>u</t>
        </is>
      </c>
      <c r="D304" s="60" t="inlineStr">
        <is>
          <t>No</t>
        </is>
      </c>
      <c r="E304" s="60" t="n"/>
      <c r="F304" s="60" t="inlineStr">
        <is>
          <t>22 Etiquetado (T07)</t>
        </is>
      </c>
      <c r="G304" s="60" t="n"/>
      <c r="H304" s="60" t="n"/>
      <c r="I304" s="60" t="n"/>
      <c r="J304" s="60" t="n"/>
      <c r="K304" s="60" t="n"/>
      <c r="L304" s="60" t="n"/>
      <c r="M304" s="60" t="n"/>
      <c r="N304" s="60" t="n">
        <v>1</v>
      </c>
      <c r="O304" s="60" t="n"/>
      <c r="P304" s="60" t="n"/>
      <c r="Q304" s="60" t="n"/>
      <c r="R304" s="60" t="n"/>
      <c r="S304" s="60" t="n"/>
      <c r="T304" s="60" t="n"/>
      <c r="U304" s="60" t="n"/>
      <c r="V304" s="60" t="n"/>
      <c r="W304" s="60" t="n"/>
      <c r="X304" s="60" t="n"/>
      <c r="Y304" s="60" t="n"/>
      <c r="Z304" s="60" t="n"/>
      <c r="AA304" s="60" t="n"/>
      <c r="AB304" s="60" t="n"/>
      <c r="AC304" s="60" t="n"/>
      <c r="AD304" s="60" t="n"/>
      <c r="AE304" s="60" t="n"/>
      <c r="AF304" s="60" t="n"/>
      <c r="AG304" s="60" t="n"/>
      <c r="AH304" s="60" t="n"/>
      <c r="AI304" s="60" t="n"/>
      <c r="AJ304" s="60" t="n"/>
      <c r="AK304" s="60" t="n"/>
      <c r="AL304" s="60" t="n"/>
      <c r="AM304" s="60" t="n"/>
      <c r="AN304" s="60" t="n"/>
      <c r="AO304" s="60" t="n"/>
      <c r="AP304" s="60" t="n"/>
      <c r="AQ304" s="60" t="n"/>
      <c r="AR304" s="60" t="n"/>
      <c r="AS304" s="60" t="n"/>
      <c r="AT304" s="60" t="n"/>
      <c r="AU304" s="60" t="n"/>
      <c r="AV304" s="60" t="n"/>
      <c r="AW304" s="60" t="n"/>
      <c r="AX304" s="60" t="n"/>
      <c r="AY304" s="60" t="n"/>
      <c r="AZ304" s="60" t="n"/>
      <c r="BA304" s="60" t="n"/>
      <c r="BB304" s="60" t="n"/>
      <c r="BC304" s="60" t="n"/>
      <c r="BD304" s="60" t="n"/>
      <c r="BE304" s="60" t="n"/>
      <c r="BF304" s="60" t="n"/>
      <c r="BG304" s="60" t="n"/>
      <c r="BH304" s="60" t="n"/>
      <c r="BI304" s="60" t="n"/>
      <c r="BJ304" s="60" t="n"/>
      <c r="BK304" s="60" t="n"/>
      <c r="BL304" s="60" t="n"/>
      <c r="BM304" s="60" t="n"/>
      <c r="BN304" s="60" t="n"/>
      <c r="BO304" s="60" t="n"/>
      <c r="BP304" s="60" t="n"/>
      <c r="BQ304" s="60" t="n"/>
      <c r="BR304" s="60" t="n"/>
      <c r="BS304" s="60" t="n"/>
      <c r="BT304" s="60" t="n"/>
      <c r="BU304" s="60" t="n"/>
      <c r="BV304" s="60" t="n"/>
      <c r="BW304" s="60" t="n"/>
      <c r="BX304" s="60" t="n"/>
      <c r="BY304" s="60" t="n"/>
      <c r="BZ304" s="60" t="n"/>
      <c r="CA304" s="60" t="n"/>
      <c r="CB304" s="60" t="n"/>
      <c r="CC304" s="60" t="n"/>
      <c r="CD304" s="60" t="n"/>
      <c r="CE304" s="60" t="n"/>
      <c r="CF304" s="60" t="n"/>
      <c r="CG304" s="60" t="n"/>
      <c r="CH304" s="60" t="n"/>
      <c r="CI304" s="60" t="n"/>
      <c r="CJ304" s="60" t="n"/>
      <c r="CK304" s="60" t="n"/>
      <c r="CL304" s="60" t="n"/>
      <c r="CM304" s="60" t="n"/>
      <c r="CN304" s="60" t="n"/>
      <c r="CO304" s="60" t="n"/>
      <c r="CP304" s="60" t="n"/>
      <c r="CQ304" s="60" t="n"/>
      <c r="CR304" s="60" t="n"/>
      <c r="CS304" s="60" t="n"/>
      <c r="CT304" s="60" t="n"/>
      <c r="CU304" s="60" t="n"/>
      <c r="CV304" s="60" t="n"/>
      <c r="CW304" s="60" t="n"/>
      <c r="CX304" s="60" t="n"/>
      <c r="CY304" s="60" t="n"/>
      <c r="CZ304" s="60" t="n"/>
      <c r="DA304" s="60" t="n"/>
      <c r="DB304" s="60" t="n"/>
      <c r="DC304" s="60" t="n"/>
      <c r="DD304" s="60" t="n"/>
      <c r="DE304" s="60" t="n"/>
    </row>
    <row r="305">
      <c r="A305" s="60" t="inlineStr">
        <is>
          <t>Referencia del revendido (no se compra)</t>
        </is>
      </c>
      <c r="B305" s="60" t="inlineStr">
        <is>
          <t>Etiqueta / placa de características — 289 × 150 (desarrollo × alto: panel central 108° + 2 alas laterales), e ≈ 0,3, laminado UV</t>
        </is>
      </c>
      <c r="C305" s="60" t="inlineStr">
        <is>
          <t>u</t>
        </is>
      </c>
      <c r="D305" s="60" t="inlineStr">
        <is>
          <t>No</t>
        </is>
      </c>
      <c r="E305" s="60" t="n"/>
      <c r="F305" s="60" t="inlineStr">
        <is>
          <t>22 Etiquetado (T07)</t>
        </is>
      </c>
      <c r="G305" s="60" t="n"/>
      <c r="H305" s="60" t="n"/>
      <c r="I305" s="60" t="n"/>
      <c r="J305" s="60" t="n"/>
      <c r="K305" s="60" t="n"/>
      <c r="L305" s="60" t="n"/>
      <c r="M305" s="60" t="n"/>
      <c r="N305" s="60" t="n"/>
      <c r="O305" s="60" t="n"/>
      <c r="P305" s="60" t="n"/>
      <c r="Q305" s="60" t="n"/>
      <c r="R305" s="60" t="n">
        <v>1</v>
      </c>
      <c r="S305" s="60" t="n"/>
      <c r="T305" s="60" t="n"/>
      <c r="U305" s="60" t="n"/>
      <c r="V305" s="60" t="n"/>
      <c r="W305" s="60" t="n"/>
      <c r="X305" s="60" t="n"/>
      <c r="Y305" s="60" t="n"/>
      <c r="Z305" s="60" t="n"/>
      <c r="AA305" s="60" t="n"/>
      <c r="AB305" s="60" t="n"/>
      <c r="AC305" s="60" t="n"/>
      <c r="AD305" s="60" t="n"/>
      <c r="AE305" s="60" t="n"/>
      <c r="AF305" s="60" t="n"/>
      <c r="AG305" s="60" t="n"/>
      <c r="AH305" s="60" t="n"/>
      <c r="AI305" s="60" t="n"/>
      <c r="AJ305" s="60" t="n"/>
      <c r="AK305" s="60" t="n"/>
      <c r="AL305" s="60" t="n"/>
      <c r="AM305" s="60" t="n"/>
      <c r="AN305" s="60" t="n"/>
      <c r="AO305" s="60" t="n"/>
      <c r="AP305" s="60" t="n"/>
      <c r="AQ305" s="60" t="n"/>
      <c r="AR305" s="60" t="n"/>
      <c r="AS305" s="60" t="n"/>
      <c r="AT305" s="60" t="n"/>
      <c r="AU305" s="60" t="n"/>
      <c r="AV305" s="60" t="n"/>
      <c r="AW305" s="60" t="n"/>
      <c r="AX305" s="60" t="n"/>
      <c r="AY305" s="60" t="n"/>
      <c r="AZ305" s="60" t="n"/>
      <c r="BA305" s="60" t="n"/>
      <c r="BB305" s="60" t="n"/>
      <c r="BC305" s="60" t="n"/>
      <c r="BD305" s="60" t="n"/>
      <c r="BE305" s="60" t="n"/>
      <c r="BF305" s="60" t="n"/>
      <c r="BG305" s="60" t="n"/>
      <c r="BH305" s="60" t="n"/>
      <c r="BI305" s="60" t="n"/>
      <c r="BJ305" s="60" t="n"/>
      <c r="BK305" s="60" t="n"/>
      <c r="BL305" s="60" t="n"/>
      <c r="BM305" s="60" t="n"/>
      <c r="BN305" s="60" t="n"/>
      <c r="BO305" s="60" t="n"/>
      <c r="BP305" s="60" t="n"/>
      <c r="BQ305" s="60" t="n"/>
      <c r="BR305" s="60" t="n"/>
      <c r="BS305" s="60" t="n"/>
      <c r="BT305" s="60" t="n"/>
      <c r="BU305" s="60" t="n"/>
      <c r="BV305" s="60" t="n"/>
      <c r="BW305" s="60" t="n"/>
      <c r="BX305" s="60" t="n"/>
      <c r="BY305" s="60" t="n"/>
      <c r="BZ305" s="60" t="n"/>
      <c r="CA305" s="60" t="n"/>
      <c r="CB305" s="60" t="n"/>
      <c r="CC305" s="60" t="n"/>
      <c r="CD305" s="60" t="n"/>
      <c r="CE305" s="60" t="n"/>
      <c r="CF305" s="60" t="n"/>
      <c r="CG305" s="60" t="n"/>
      <c r="CH305" s="60" t="n"/>
      <c r="CI305" s="60" t="n"/>
      <c r="CJ305" s="60" t="n"/>
      <c r="CK305" s="60" t="n"/>
      <c r="CL305" s="60" t="n"/>
      <c r="CM305" s="60" t="n"/>
      <c r="CN305" s="60" t="n"/>
      <c r="CO305" s="60" t="n"/>
      <c r="CP305" s="60" t="n"/>
      <c r="CQ305" s="60" t="n"/>
      <c r="CR305" s="60" t="n"/>
      <c r="CS305" s="60" t="n"/>
      <c r="CT305" s="60" t="n"/>
      <c r="CU305" s="60" t="n"/>
      <c r="CV305" s="60" t="n"/>
      <c r="CW305" s="60" t="n"/>
      <c r="CX305" s="60" t="n"/>
      <c r="CY305" s="60" t="n"/>
      <c r="CZ305" s="60" t="n"/>
      <c r="DA305" s="60" t="n"/>
      <c r="DB305" s="60" t="n"/>
      <c r="DC305" s="60" t="n"/>
      <c r="DD305" s="60" t="n"/>
      <c r="DE305" s="60" t="n"/>
    </row>
    <row r="306">
      <c r="A306" s="60" t="inlineStr">
        <is>
          <t>Referencia del revendido (no se compra)</t>
        </is>
      </c>
      <c r="B306" s="60" t="inlineStr">
        <is>
          <t>Etiqueta / placa de características — 343 × 232 (desarrollo × alto: panel central 108° + 2 alas laterales), e ≈ 0,3, laminado UV</t>
        </is>
      </c>
      <c r="C306" s="60" t="inlineStr">
        <is>
          <t>u</t>
        </is>
      </c>
      <c r="D306" s="60" t="inlineStr">
        <is>
          <t>No</t>
        </is>
      </c>
      <c r="E306" s="60" t="n"/>
      <c r="F306" s="60" t="inlineStr">
        <is>
          <t>22 Etiquetado (T07)</t>
        </is>
      </c>
      <c r="G306" s="60" t="n"/>
      <c r="H306" s="60" t="n"/>
      <c r="I306" s="60" t="n"/>
      <c r="J306" s="60" t="n"/>
      <c r="K306" s="60" t="n"/>
      <c r="L306" s="60" t="n"/>
      <c r="M306" s="60" t="n"/>
      <c r="N306" s="60" t="n"/>
      <c r="O306" s="60" t="n"/>
      <c r="P306" s="60" t="n"/>
      <c r="Q306" s="60" t="n"/>
      <c r="R306" s="60" t="n"/>
      <c r="S306" s="60" t="n">
        <v>1</v>
      </c>
      <c r="T306" s="60" t="n"/>
      <c r="U306" s="60" t="n"/>
      <c r="V306" s="60" t="n"/>
      <c r="W306" s="60" t="n"/>
      <c r="X306" s="60" t="n"/>
      <c r="Y306" s="60" t="n"/>
      <c r="Z306" s="60" t="n"/>
      <c r="AA306" s="60" t="n"/>
      <c r="AB306" s="60" t="n"/>
      <c r="AC306" s="60" t="n"/>
      <c r="AD306" s="60" t="n"/>
      <c r="AE306" s="60" t="n"/>
      <c r="AF306" s="60" t="n"/>
      <c r="AG306" s="60" t="n"/>
      <c r="AH306" s="60" t="n"/>
      <c r="AI306" s="60" t="n"/>
      <c r="AJ306" s="60" t="n"/>
      <c r="AK306" s="60" t="n"/>
      <c r="AL306" s="60" t="n"/>
      <c r="AM306" s="60" t="n"/>
      <c r="AN306" s="60" t="n"/>
      <c r="AO306" s="60" t="n"/>
      <c r="AP306" s="60" t="n"/>
      <c r="AQ306" s="60" t="n"/>
      <c r="AR306" s="60" t="n"/>
      <c r="AS306" s="60" t="n"/>
      <c r="AT306" s="60" t="n"/>
      <c r="AU306" s="60" t="n"/>
      <c r="AV306" s="60" t="n"/>
      <c r="AW306" s="60" t="n"/>
      <c r="AX306" s="60" t="n"/>
      <c r="AY306" s="60" t="n"/>
      <c r="AZ306" s="60" t="n"/>
      <c r="BA306" s="60" t="n"/>
      <c r="BB306" s="60" t="n"/>
      <c r="BC306" s="60" t="n"/>
      <c r="BD306" s="60" t="n"/>
      <c r="BE306" s="60" t="n"/>
      <c r="BF306" s="60" t="n"/>
      <c r="BG306" s="60" t="n"/>
      <c r="BH306" s="60" t="n"/>
      <c r="BI306" s="60" t="n"/>
      <c r="BJ306" s="60" t="n"/>
      <c r="BK306" s="60" t="n"/>
      <c r="BL306" s="60" t="n"/>
      <c r="BM306" s="60" t="n"/>
      <c r="BN306" s="60" t="n"/>
      <c r="BO306" s="60" t="n"/>
      <c r="BP306" s="60" t="n"/>
      <c r="BQ306" s="60" t="n"/>
      <c r="BR306" s="60" t="n"/>
      <c r="BS306" s="60" t="n"/>
      <c r="BT306" s="60" t="n"/>
      <c r="BU306" s="60" t="n"/>
      <c r="BV306" s="60" t="n"/>
      <c r="BW306" s="60" t="n"/>
      <c r="BX306" s="60" t="n"/>
      <c r="BY306" s="60" t="n"/>
      <c r="BZ306" s="60" t="n"/>
      <c r="CA306" s="60" t="n"/>
      <c r="CB306" s="60" t="n"/>
      <c r="CC306" s="60" t="n"/>
      <c r="CD306" s="60" t="n"/>
      <c r="CE306" s="60" t="n"/>
      <c r="CF306" s="60" t="n"/>
      <c r="CG306" s="60" t="n"/>
      <c r="CH306" s="60" t="n"/>
      <c r="CI306" s="60" t="n"/>
      <c r="CJ306" s="60" t="n"/>
      <c r="CK306" s="60" t="n"/>
      <c r="CL306" s="60" t="n"/>
      <c r="CM306" s="60" t="n"/>
      <c r="CN306" s="60" t="n"/>
      <c r="CO306" s="60" t="n"/>
      <c r="CP306" s="60" t="n"/>
      <c r="CQ306" s="60" t="n"/>
      <c r="CR306" s="60" t="n"/>
      <c r="CS306" s="60" t="n"/>
      <c r="CT306" s="60" t="n"/>
      <c r="CU306" s="60" t="n"/>
      <c r="CV306" s="60" t="n"/>
      <c r="CW306" s="60" t="n"/>
      <c r="CX306" s="60" t="n"/>
      <c r="CY306" s="60" t="n"/>
      <c r="CZ306" s="60" t="n"/>
      <c r="DA306" s="60" t="n"/>
      <c r="DB306" s="60" t="n"/>
      <c r="DC306" s="60" t="n"/>
      <c r="DD306" s="60" t="n"/>
      <c r="DE306" s="60" t="n"/>
    </row>
    <row r="307">
      <c r="A307" s="60" t="inlineStr">
        <is>
          <t>Referencia del revendido (no se compra)</t>
        </is>
      </c>
      <c r="B307" s="60" t="inlineStr">
        <is>
          <t>Etiqueta / placa de características — 359 × 140 (desarrollo × alto: panel central 108° + 2 alas laterales), e ≈ 0,3, laminado UV</t>
        </is>
      </c>
      <c r="C307" s="60" t="inlineStr">
        <is>
          <t>u</t>
        </is>
      </c>
      <c r="D307" s="60" t="inlineStr">
        <is>
          <t>No</t>
        </is>
      </c>
      <c r="E307" s="60" t="n"/>
      <c r="F307" s="60" t="inlineStr">
        <is>
          <t>22 Etiquetado (T07)</t>
        </is>
      </c>
      <c r="G307" s="60" t="n"/>
      <c r="H307" s="60" t="n"/>
      <c r="I307" s="60" t="n"/>
      <c r="J307" s="60" t="n"/>
      <c r="K307" s="60" t="n"/>
      <c r="L307" s="60" t="n"/>
      <c r="M307" s="60" t="n"/>
      <c r="N307" s="60" t="n"/>
      <c r="O307" s="60" t="n">
        <v>1</v>
      </c>
      <c r="P307" s="60" t="n"/>
      <c r="Q307" s="60" t="n"/>
      <c r="R307" s="60" t="n"/>
      <c r="S307" s="60" t="n"/>
      <c r="T307" s="60" t="n"/>
      <c r="U307" s="60" t="n"/>
      <c r="V307" s="60" t="n"/>
      <c r="W307" s="60" t="n"/>
      <c r="X307" s="60" t="n"/>
      <c r="Y307" s="60" t="n"/>
      <c r="Z307" s="60" t="n"/>
      <c r="AA307" s="60" t="n"/>
      <c r="AB307" s="60" t="n"/>
      <c r="AC307" s="60" t="n"/>
      <c r="AD307" s="60" t="n"/>
      <c r="AE307" s="60" t="n"/>
      <c r="AF307" s="60" t="n"/>
      <c r="AG307" s="60" t="n"/>
      <c r="AH307" s="60" t="n"/>
      <c r="AI307" s="60" t="n"/>
      <c r="AJ307" s="60" t="n"/>
      <c r="AK307" s="60" t="n"/>
      <c r="AL307" s="60" t="n"/>
      <c r="AM307" s="60" t="n"/>
      <c r="AN307" s="60" t="n"/>
      <c r="AO307" s="60" t="n"/>
      <c r="AP307" s="60" t="n"/>
      <c r="AQ307" s="60" t="n"/>
      <c r="AR307" s="60" t="n"/>
      <c r="AS307" s="60" t="n"/>
      <c r="AT307" s="60" t="n"/>
      <c r="AU307" s="60" t="n"/>
      <c r="AV307" s="60" t="n"/>
      <c r="AW307" s="60" t="n"/>
      <c r="AX307" s="60" t="n"/>
      <c r="AY307" s="60" t="n"/>
      <c r="AZ307" s="60" t="n"/>
      <c r="BA307" s="60" t="n"/>
      <c r="BB307" s="60" t="n"/>
      <c r="BC307" s="60" t="n"/>
      <c r="BD307" s="60" t="n"/>
      <c r="BE307" s="60" t="n"/>
      <c r="BF307" s="60" t="n"/>
      <c r="BG307" s="60" t="n"/>
      <c r="BH307" s="60" t="n"/>
      <c r="BI307" s="60" t="n"/>
      <c r="BJ307" s="60" t="n"/>
      <c r="BK307" s="60" t="n"/>
      <c r="BL307" s="60" t="n"/>
      <c r="BM307" s="60" t="n"/>
      <c r="BN307" s="60" t="n"/>
      <c r="BO307" s="60" t="n"/>
      <c r="BP307" s="60" t="n"/>
      <c r="BQ307" s="60" t="n"/>
      <c r="BR307" s="60" t="n"/>
      <c r="BS307" s="60" t="n"/>
      <c r="BT307" s="60" t="n"/>
      <c r="BU307" s="60" t="n"/>
      <c r="BV307" s="60" t="n"/>
      <c r="BW307" s="60" t="n"/>
      <c r="BX307" s="60" t="n"/>
      <c r="BY307" s="60" t="n"/>
      <c r="BZ307" s="60" t="n"/>
      <c r="CA307" s="60" t="n"/>
      <c r="CB307" s="60" t="n"/>
      <c r="CC307" s="60" t="n"/>
      <c r="CD307" s="60" t="n"/>
      <c r="CE307" s="60" t="n"/>
      <c r="CF307" s="60" t="n"/>
      <c r="CG307" s="60" t="n"/>
      <c r="CH307" s="60" t="n"/>
      <c r="CI307" s="60" t="n"/>
      <c r="CJ307" s="60" t="n"/>
      <c r="CK307" s="60" t="n"/>
      <c r="CL307" s="60" t="n"/>
      <c r="CM307" s="60" t="n"/>
      <c r="CN307" s="60" t="n"/>
      <c r="CO307" s="60" t="n"/>
      <c r="CP307" s="60" t="n"/>
      <c r="CQ307" s="60" t="n"/>
      <c r="CR307" s="60" t="n"/>
      <c r="CS307" s="60" t="n"/>
      <c r="CT307" s="60" t="n"/>
      <c r="CU307" s="60" t="n"/>
      <c r="CV307" s="60" t="n"/>
      <c r="CW307" s="60" t="n"/>
      <c r="CX307" s="60" t="n"/>
      <c r="CY307" s="60" t="n"/>
      <c r="CZ307" s="60" t="n"/>
      <c r="DA307" s="60" t="n"/>
      <c r="DB307" s="60" t="n"/>
      <c r="DC307" s="60" t="n"/>
      <c r="DD307" s="60" t="n"/>
      <c r="DE307" s="60" t="n"/>
    </row>
    <row r="308">
      <c r="A308" s="60" t="inlineStr">
        <is>
          <t>Referencia del revendido (no se compra)</t>
        </is>
      </c>
      <c r="B308" s="60" t="inlineStr">
        <is>
          <t>Etiqueta / placa de características — 359 × 189 (desarrollo × alto: panel central 108° + 2 alas laterales), e ≈ 0,3, laminado UV</t>
        </is>
      </c>
      <c r="C308" s="60" t="inlineStr">
        <is>
          <t>u</t>
        </is>
      </c>
      <c r="D308" s="60" t="inlineStr">
        <is>
          <t>No</t>
        </is>
      </c>
      <c r="E308" s="60" t="n"/>
      <c r="F308" s="60" t="inlineStr">
        <is>
          <t>22 Etiquetado (T07)</t>
        </is>
      </c>
      <c r="G308" s="60" t="n"/>
      <c r="H308" s="60" t="n"/>
      <c r="I308" s="60" t="n"/>
      <c r="J308" s="60" t="n"/>
      <c r="K308" s="60" t="n">
        <v>1</v>
      </c>
      <c r="L308" s="60" t="n"/>
      <c r="M308" s="60" t="n"/>
      <c r="N308" s="60" t="n"/>
      <c r="O308" s="60" t="n"/>
      <c r="P308" s="60" t="n"/>
      <c r="Q308" s="60" t="n"/>
      <c r="R308" s="60" t="n"/>
      <c r="S308" s="60" t="n"/>
      <c r="T308" s="60" t="n"/>
      <c r="U308" s="60" t="n"/>
      <c r="V308" s="60" t="n"/>
      <c r="W308" s="60" t="n"/>
      <c r="X308" s="60" t="n"/>
      <c r="Y308" s="60" t="n"/>
      <c r="Z308" s="60" t="n"/>
      <c r="AA308" s="60" t="n"/>
      <c r="AB308" s="60" t="n"/>
      <c r="AC308" s="60" t="n"/>
      <c r="AD308" s="60" t="n"/>
      <c r="AE308" s="60" t="n"/>
      <c r="AF308" s="60" t="n"/>
      <c r="AG308" s="60" t="n"/>
      <c r="AH308" s="60" t="n"/>
      <c r="AI308" s="60" t="n"/>
      <c r="AJ308" s="60" t="n"/>
      <c r="AK308" s="60" t="n"/>
      <c r="AL308" s="60" t="n"/>
      <c r="AM308" s="60" t="n"/>
      <c r="AN308" s="60" t="n"/>
      <c r="AO308" s="60" t="n"/>
      <c r="AP308" s="60" t="n"/>
      <c r="AQ308" s="60" t="n"/>
      <c r="AR308" s="60" t="n"/>
      <c r="AS308" s="60" t="n"/>
      <c r="AT308" s="60" t="n"/>
      <c r="AU308" s="60" t="n"/>
      <c r="AV308" s="60" t="n"/>
      <c r="AW308" s="60" t="n"/>
      <c r="AX308" s="60" t="n"/>
      <c r="AY308" s="60" t="n"/>
      <c r="AZ308" s="60" t="n"/>
      <c r="BA308" s="60" t="n"/>
      <c r="BB308" s="60" t="n"/>
      <c r="BC308" s="60" t="n"/>
      <c r="BD308" s="60" t="n"/>
      <c r="BE308" s="60" t="n"/>
      <c r="BF308" s="60" t="n"/>
      <c r="BG308" s="60" t="n"/>
      <c r="BH308" s="60" t="n"/>
      <c r="BI308" s="60" t="n"/>
      <c r="BJ308" s="60" t="n"/>
      <c r="BK308" s="60" t="n"/>
      <c r="BL308" s="60" t="n"/>
      <c r="BM308" s="60" t="n"/>
      <c r="BN308" s="60" t="n"/>
      <c r="BO308" s="60" t="n"/>
      <c r="BP308" s="60" t="n"/>
      <c r="BQ308" s="60" t="n"/>
      <c r="BR308" s="60" t="n"/>
      <c r="BS308" s="60" t="n"/>
      <c r="BT308" s="60" t="n"/>
      <c r="BU308" s="60" t="n"/>
      <c r="BV308" s="60" t="n"/>
      <c r="BW308" s="60" t="n"/>
      <c r="BX308" s="60" t="n"/>
      <c r="BY308" s="60" t="n"/>
      <c r="BZ308" s="60" t="n"/>
      <c r="CA308" s="60" t="n"/>
      <c r="CB308" s="60" t="n"/>
      <c r="CC308" s="60" t="n"/>
      <c r="CD308" s="60" t="n"/>
      <c r="CE308" s="60" t="n"/>
      <c r="CF308" s="60" t="n"/>
      <c r="CG308" s="60" t="n"/>
      <c r="CH308" s="60" t="n"/>
      <c r="CI308" s="60" t="n"/>
      <c r="CJ308" s="60" t="n"/>
      <c r="CK308" s="60" t="n"/>
      <c r="CL308" s="60" t="n"/>
      <c r="CM308" s="60" t="n"/>
      <c r="CN308" s="60" t="n"/>
      <c r="CO308" s="60" t="n"/>
      <c r="CP308" s="60" t="n"/>
      <c r="CQ308" s="60" t="n"/>
      <c r="CR308" s="60" t="n"/>
      <c r="CS308" s="60" t="n"/>
      <c r="CT308" s="60" t="n"/>
      <c r="CU308" s="60" t="n"/>
      <c r="CV308" s="60" t="n"/>
      <c r="CW308" s="60" t="n"/>
      <c r="CX308" s="60" t="n"/>
      <c r="CY308" s="60" t="n"/>
      <c r="CZ308" s="60" t="n"/>
      <c r="DA308" s="60" t="n"/>
      <c r="DB308" s="60" t="n"/>
      <c r="DC308" s="60" t="n"/>
      <c r="DD308" s="60" t="n"/>
      <c r="DE308" s="60" t="n"/>
    </row>
    <row r="309">
      <c r="A309" s="60" t="inlineStr">
        <is>
          <t>Referencia del revendido (no se compra)</t>
        </is>
      </c>
      <c r="B309" s="60" t="inlineStr">
        <is>
          <t>Etiqueta / placa de características — 359 × 215 (desarrollo × alto: panel central 108° + 2 alas laterales), e ≈ 0,3, laminado UV</t>
        </is>
      </c>
      <c r="C309" s="60" t="inlineStr">
        <is>
          <t>u</t>
        </is>
      </c>
      <c r="D309" s="60" t="inlineStr">
        <is>
          <t>No</t>
        </is>
      </c>
      <c r="E309" s="60" t="n"/>
      <c r="F309" s="60" t="inlineStr">
        <is>
          <t>22 Etiquetado (T07)</t>
        </is>
      </c>
      <c r="G309" s="60" t="n"/>
      <c r="H309" s="60" t="n"/>
      <c r="I309" s="60" t="n"/>
      <c r="J309" s="60" t="n"/>
      <c r="K309" s="60" t="n"/>
      <c r="L309" s="60" t="n">
        <v>1</v>
      </c>
      <c r="M309" s="60" t="n"/>
      <c r="N309" s="60" t="n"/>
      <c r="O309" s="60" t="n"/>
      <c r="P309" s="60" t="n"/>
      <c r="Q309" s="60" t="n"/>
      <c r="R309" s="60" t="n"/>
      <c r="S309" s="60" t="n"/>
      <c r="T309" s="60" t="n"/>
      <c r="U309" s="60" t="n"/>
      <c r="V309" s="60" t="n"/>
      <c r="W309" s="60" t="n"/>
      <c r="X309" s="60" t="n"/>
      <c r="Y309" s="60" t="n"/>
      <c r="Z309" s="60" t="n"/>
      <c r="AA309" s="60" t="n"/>
      <c r="AB309" s="60" t="n"/>
      <c r="AC309" s="60" t="n"/>
      <c r="AD309" s="60" t="n"/>
      <c r="AE309" s="60" t="n"/>
      <c r="AF309" s="60" t="n"/>
      <c r="AG309" s="60" t="n"/>
      <c r="AH309" s="60" t="n"/>
      <c r="AI309" s="60" t="n"/>
      <c r="AJ309" s="60" t="n"/>
      <c r="AK309" s="60" t="n"/>
      <c r="AL309" s="60" t="n"/>
      <c r="AM309" s="60" t="n"/>
      <c r="AN309" s="60" t="n"/>
      <c r="AO309" s="60" t="n"/>
      <c r="AP309" s="60" t="n"/>
      <c r="AQ309" s="60" t="n"/>
      <c r="AR309" s="60" t="n"/>
      <c r="AS309" s="60" t="n"/>
      <c r="AT309" s="60" t="n"/>
      <c r="AU309" s="60" t="n"/>
      <c r="AV309" s="60" t="n"/>
      <c r="AW309" s="60" t="n"/>
      <c r="AX309" s="60" t="n"/>
      <c r="AY309" s="60" t="n"/>
      <c r="AZ309" s="60" t="n"/>
      <c r="BA309" s="60" t="n"/>
      <c r="BB309" s="60" t="n"/>
      <c r="BC309" s="60" t="n"/>
      <c r="BD309" s="60" t="n"/>
      <c r="BE309" s="60" t="n"/>
      <c r="BF309" s="60" t="n"/>
      <c r="BG309" s="60" t="n"/>
      <c r="BH309" s="60" t="n"/>
      <c r="BI309" s="60" t="n"/>
      <c r="BJ309" s="60" t="n"/>
      <c r="BK309" s="60" t="n"/>
      <c r="BL309" s="60" t="n"/>
      <c r="BM309" s="60" t="n"/>
      <c r="BN309" s="60" t="n"/>
      <c r="BO309" s="60" t="n"/>
      <c r="BP309" s="60" t="n"/>
      <c r="BQ309" s="60" t="n"/>
      <c r="BR309" s="60" t="n"/>
      <c r="BS309" s="60" t="n"/>
      <c r="BT309" s="60" t="n"/>
      <c r="BU309" s="60" t="n"/>
      <c r="BV309" s="60" t="n"/>
      <c r="BW309" s="60" t="n"/>
      <c r="BX309" s="60" t="n"/>
      <c r="BY309" s="60" t="n"/>
      <c r="BZ309" s="60" t="n"/>
      <c r="CA309" s="60" t="n"/>
      <c r="CB309" s="60" t="n"/>
      <c r="CC309" s="60" t="n"/>
      <c r="CD309" s="60" t="n"/>
      <c r="CE309" s="60" t="n"/>
      <c r="CF309" s="60" t="n"/>
      <c r="CG309" s="60" t="n"/>
      <c r="CH309" s="60" t="n"/>
      <c r="CI309" s="60" t="n"/>
      <c r="CJ309" s="60" t="n"/>
      <c r="CK309" s="60" t="n"/>
      <c r="CL309" s="60" t="n"/>
      <c r="CM309" s="60" t="n"/>
      <c r="CN309" s="60" t="n"/>
      <c r="CO309" s="60" t="n"/>
      <c r="CP309" s="60" t="n"/>
      <c r="CQ309" s="60" t="n"/>
      <c r="CR309" s="60" t="n"/>
      <c r="CS309" s="60" t="n"/>
      <c r="CT309" s="60" t="n"/>
      <c r="CU309" s="60" t="n"/>
      <c r="CV309" s="60" t="n"/>
      <c r="CW309" s="60" t="n"/>
      <c r="CX309" s="60" t="n"/>
      <c r="CY309" s="60" t="n"/>
      <c r="CZ309" s="60" t="n"/>
      <c r="DA309" s="60" t="n"/>
      <c r="DB309" s="60" t="n"/>
      <c r="DC309" s="60" t="n"/>
      <c r="DD309" s="60" t="n"/>
      <c r="DE309" s="60" t="n"/>
    </row>
    <row r="310">
      <c r="A310" s="60" t="inlineStr">
        <is>
          <t>Referencia del revendido (no se compra)</t>
        </is>
      </c>
      <c r="B310" s="60" t="inlineStr">
        <is>
          <t>Etiqueta / placa de características — 604 × 214 (desarrollo × alto: panel central 108° + 2 alas laterales), e ≈ 0,3, laminado UV</t>
        </is>
      </c>
      <c r="C310" s="60" t="inlineStr">
        <is>
          <t>u</t>
        </is>
      </c>
      <c r="D310" s="60" t="inlineStr">
        <is>
          <t>No</t>
        </is>
      </c>
      <c r="E310" s="60" t="n"/>
      <c r="F310" s="60" t="inlineStr">
        <is>
          <t>22 Etiquetado (T07)</t>
        </is>
      </c>
      <c r="G310" s="60" t="n"/>
      <c r="H310" s="60" t="n"/>
      <c r="I310" s="60" t="n"/>
      <c r="J310" s="60" t="n"/>
      <c r="K310" s="60" t="n"/>
      <c r="L310" s="60" t="n"/>
      <c r="M310" s="60" t="n">
        <v>1</v>
      </c>
      <c r="N310" s="60" t="n"/>
      <c r="O310" s="60" t="n"/>
      <c r="P310" s="60" t="n"/>
      <c r="Q310" s="60" t="n"/>
      <c r="R310" s="60" t="n"/>
      <c r="S310" s="60" t="n"/>
      <c r="T310" s="60" t="n"/>
      <c r="U310" s="60" t="n"/>
      <c r="V310" s="60" t="n"/>
      <c r="W310" s="60" t="n"/>
      <c r="X310" s="60" t="n"/>
      <c r="Y310" s="60" t="n"/>
      <c r="Z310" s="60" t="n"/>
      <c r="AA310" s="60" t="n"/>
      <c r="AB310" s="60" t="n"/>
      <c r="AC310" s="60" t="n"/>
      <c r="AD310" s="60" t="n"/>
      <c r="AE310" s="60" t="n"/>
      <c r="AF310" s="60" t="n"/>
      <c r="AG310" s="60" t="n"/>
      <c r="AH310" s="60" t="n"/>
      <c r="AI310" s="60" t="n"/>
      <c r="AJ310" s="60" t="n"/>
      <c r="AK310" s="60" t="n"/>
      <c r="AL310" s="60" t="n"/>
      <c r="AM310" s="60" t="n"/>
      <c r="AN310" s="60" t="n"/>
      <c r="AO310" s="60" t="n"/>
      <c r="AP310" s="60" t="n"/>
      <c r="AQ310" s="60" t="n"/>
      <c r="AR310" s="60" t="n"/>
      <c r="AS310" s="60" t="n"/>
      <c r="AT310" s="60" t="n"/>
      <c r="AU310" s="60" t="n"/>
      <c r="AV310" s="60" t="n"/>
      <c r="AW310" s="60" t="n"/>
      <c r="AX310" s="60" t="n"/>
      <c r="AY310" s="60" t="n"/>
      <c r="AZ310" s="60" t="n"/>
      <c r="BA310" s="60" t="n"/>
      <c r="BB310" s="60" t="n"/>
      <c r="BC310" s="60" t="n"/>
      <c r="BD310" s="60" t="n"/>
      <c r="BE310" s="60" t="n"/>
      <c r="BF310" s="60" t="n"/>
      <c r="BG310" s="60" t="n"/>
      <c r="BH310" s="60" t="n"/>
      <c r="BI310" s="60" t="n"/>
      <c r="BJ310" s="60" t="n"/>
      <c r="BK310" s="60" t="n"/>
      <c r="BL310" s="60" t="n"/>
      <c r="BM310" s="60" t="n"/>
      <c r="BN310" s="60" t="n"/>
      <c r="BO310" s="60" t="n"/>
      <c r="BP310" s="60" t="n"/>
      <c r="BQ310" s="60" t="n"/>
      <c r="BR310" s="60" t="n"/>
      <c r="BS310" s="60" t="n"/>
      <c r="BT310" s="60" t="n"/>
      <c r="BU310" s="60" t="n"/>
      <c r="BV310" s="60" t="n"/>
      <c r="BW310" s="60" t="n"/>
      <c r="BX310" s="60" t="n"/>
      <c r="BY310" s="60" t="n"/>
      <c r="BZ310" s="60" t="n"/>
      <c r="CA310" s="60" t="n"/>
      <c r="CB310" s="60" t="n"/>
      <c r="CC310" s="60" t="n"/>
      <c r="CD310" s="60" t="n"/>
      <c r="CE310" s="60" t="n"/>
      <c r="CF310" s="60" t="n"/>
      <c r="CG310" s="60" t="n"/>
      <c r="CH310" s="60" t="n"/>
      <c r="CI310" s="60" t="n"/>
      <c r="CJ310" s="60" t="n"/>
      <c r="CK310" s="60" t="n"/>
      <c r="CL310" s="60" t="n"/>
      <c r="CM310" s="60" t="n"/>
      <c r="CN310" s="60" t="n"/>
      <c r="CO310" s="60" t="n"/>
      <c r="CP310" s="60" t="n"/>
      <c r="CQ310" s="60" t="n"/>
      <c r="CR310" s="60" t="n"/>
      <c r="CS310" s="60" t="n"/>
      <c r="CT310" s="60" t="n"/>
      <c r="CU310" s="60" t="n"/>
      <c r="CV310" s="60" t="n"/>
      <c r="CW310" s="60" t="n"/>
      <c r="CX310" s="60" t="n"/>
      <c r="CY310" s="60" t="n"/>
      <c r="CZ310" s="60" t="n"/>
      <c r="DA310" s="60" t="n"/>
      <c r="DB310" s="60" t="n"/>
      <c r="DC310" s="60" t="n"/>
      <c r="DD310" s="60" t="n"/>
      <c r="DE310" s="60" t="n"/>
    </row>
    <row r="311">
      <c r="A311" s="60" t="inlineStr">
        <is>
          <t>Referencia del revendido (no se compra)</t>
        </is>
      </c>
      <c r="B311" s="60" t="inlineStr">
        <is>
          <t>Etiqueta de n° de serie GS1 — 45 × 25</t>
        </is>
      </c>
      <c r="C311" s="60" t="inlineStr">
        <is>
          <t>u</t>
        </is>
      </c>
      <c r="D311" s="60" t="inlineStr">
        <is>
          <t>No</t>
        </is>
      </c>
      <c r="E311" s="60" t="n"/>
      <c r="F311" s="60" t="inlineStr">
        <is>
          <t>22 Etiquetado (T07)</t>
        </is>
      </c>
      <c r="G311" s="60" t="n"/>
      <c r="H311" s="60" t="n"/>
      <c r="I311" s="60" t="n"/>
      <c r="J311" s="60" t="n"/>
      <c r="K311" s="60" t="n">
        <v>1</v>
      </c>
      <c r="L311" s="60" t="n">
        <v>1</v>
      </c>
      <c r="M311" s="60" t="n">
        <v>1</v>
      </c>
      <c r="N311" s="60" t="n">
        <v>1</v>
      </c>
      <c r="O311" s="60" t="n">
        <v>1</v>
      </c>
      <c r="P311" s="60" t="n">
        <v>1</v>
      </c>
      <c r="Q311" s="60" t="n">
        <v>1</v>
      </c>
      <c r="R311" s="60" t="n">
        <v>1</v>
      </c>
      <c r="S311" s="60" t="n">
        <v>1</v>
      </c>
      <c r="T311" s="60" t="n"/>
      <c r="U311" s="60" t="n"/>
      <c r="V311" s="60" t="n"/>
      <c r="W311" s="60" t="n"/>
      <c r="X311" s="60" t="n"/>
      <c r="Y311" s="60" t="n"/>
      <c r="Z311" s="60" t="n"/>
      <c r="AA311" s="60" t="n"/>
      <c r="AB311" s="60" t="n"/>
      <c r="AC311" s="60" t="n"/>
      <c r="AD311" s="60" t="n"/>
      <c r="AE311" s="60" t="n"/>
      <c r="AF311" s="60" t="n"/>
      <c r="AG311" s="60" t="n"/>
      <c r="AH311" s="60" t="n"/>
      <c r="AI311" s="60" t="n"/>
      <c r="AJ311" s="60" t="n"/>
      <c r="AK311" s="60" t="n"/>
      <c r="AL311" s="60" t="n"/>
      <c r="AM311" s="60" t="n"/>
      <c r="AN311" s="60" t="n"/>
      <c r="AO311" s="60" t="n"/>
      <c r="AP311" s="60" t="n"/>
      <c r="AQ311" s="60" t="n"/>
      <c r="AR311" s="60" t="n"/>
      <c r="AS311" s="60" t="n"/>
      <c r="AT311" s="60" t="n"/>
      <c r="AU311" s="60" t="n"/>
      <c r="AV311" s="60" t="n"/>
      <c r="AW311" s="60" t="n"/>
      <c r="AX311" s="60" t="n"/>
      <c r="AY311" s="60" t="n"/>
      <c r="AZ311" s="60" t="n"/>
      <c r="BA311" s="60" t="n"/>
      <c r="BB311" s="60" t="n"/>
      <c r="BC311" s="60" t="n"/>
      <c r="BD311" s="60" t="n"/>
      <c r="BE311" s="60" t="n"/>
      <c r="BF311" s="60" t="n"/>
      <c r="BG311" s="60" t="n"/>
      <c r="BH311" s="60" t="n"/>
      <c r="BI311" s="60" t="n"/>
      <c r="BJ311" s="60" t="n"/>
      <c r="BK311" s="60" t="n"/>
      <c r="BL311" s="60" t="n"/>
      <c r="BM311" s="60" t="n"/>
      <c r="BN311" s="60" t="n"/>
      <c r="BO311" s="60" t="n"/>
      <c r="BP311" s="60" t="n"/>
      <c r="BQ311" s="60" t="n"/>
      <c r="BR311" s="60" t="n"/>
      <c r="BS311" s="60" t="n"/>
      <c r="BT311" s="60" t="n"/>
      <c r="BU311" s="60" t="n"/>
      <c r="BV311" s="60" t="n"/>
      <c r="BW311" s="60" t="n"/>
      <c r="BX311" s="60" t="n"/>
      <c r="BY311" s="60" t="n"/>
      <c r="BZ311" s="60" t="n"/>
      <c r="CA311" s="60" t="n"/>
      <c r="CB311" s="60" t="n"/>
      <c r="CC311" s="60" t="n"/>
      <c r="CD311" s="60" t="n"/>
      <c r="CE311" s="60" t="n"/>
      <c r="CF311" s="60" t="n"/>
      <c r="CG311" s="60" t="n"/>
      <c r="CH311" s="60" t="n"/>
      <c r="CI311" s="60" t="n"/>
      <c r="CJ311" s="60" t="n"/>
      <c r="CK311" s="60" t="n"/>
      <c r="CL311" s="60" t="n"/>
      <c r="CM311" s="60" t="n"/>
      <c r="CN311" s="60" t="n"/>
      <c r="CO311" s="60" t="n"/>
      <c r="CP311" s="60" t="n"/>
      <c r="CQ311" s="60" t="n"/>
      <c r="CR311" s="60" t="n"/>
      <c r="CS311" s="60" t="n"/>
      <c r="CT311" s="60" t="n"/>
      <c r="CU311" s="60" t="n"/>
      <c r="CV311" s="60" t="n"/>
      <c r="CW311" s="60" t="n"/>
      <c r="CX311" s="60" t="n"/>
      <c r="CY311" s="60" t="n"/>
      <c r="CZ311" s="60" t="n"/>
      <c r="DA311" s="60" t="n"/>
      <c r="DB311" s="60" t="n"/>
      <c r="DC311" s="60" t="n"/>
      <c r="DD311" s="60" t="n"/>
      <c r="DE311" s="60" t="n"/>
    </row>
    <row r="312">
      <c r="A312" s="60" t="inlineStr">
        <is>
          <t>Referencia del revendido (no se compra)</t>
        </is>
      </c>
      <c r="B312" s="60" t="inlineStr">
        <is>
          <t>Etiqueta de pallet (lote y destino, fracción)</t>
        </is>
      </c>
      <c r="C312" s="60" t="inlineStr">
        <is>
          <t>u</t>
        </is>
      </c>
      <c r="D312" s="60" t="inlineStr">
        <is>
          <t>No</t>
        </is>
      </c>
      <c r="E312" s="60" t="n"/>
      <c r="F312" s="60" t="inlineStr">
        <is>
          <t>24 Envolvedora</t>
        </is>
      </c>
      <c r="G312" s="60" t="n"/>
      <c r="H312" s="60" t="n"/>
      <c r="I312" s="60" t="n"/>
      <c r="J312" s="60" t="n"/>
      <c r="K312" s="60" t="n">
        <v>0.0312</v>
      </c>
      <c r="L312" s="60" t="n">
        <v>0.0312</v>
      </c>
      <c r="M312" s="60" t="n">
        <v>0.5</v>
      </c>
      <c r="N312" s="60" t="n">
        <v>0.025</v>
      </c>
      <c r="O312" s="60" t="n">
        <v>0.0333</v>
      </c>
      <c r="P312" s="60" t="n">
        <v>0.0208</v>
      </c>
      <c r="Q312" s="60" t="n">
        <v>0.0667</v>
      </c>
      <c r="R312" s="60" t="n">
        <v>0.025</v>
      </c>
      <c r="S312" s="60" t="n">
        <v>0.0312</v>
      </c>
      <c r="T312" s="60" t="n"/>
      <c r="U312" s="60" t="n"/>
      <c r="V312" s="60" t="n"/>
      <c r="W312" s="60" t="n"/>
      <c r="X312" s="60" t="n"/>
      <c r="Y312" s="60" t="n"/>
      <c r="Z312" s="60" t="n"/>
      <c r="AA312" s="60" t="n"/>
      <c r="AB312" s="60" t="n"/>
      <c r="AC312" s="60" t="n"/>
      <c r="AD312" s="60" t="n"/>
      <c r="AE312" s="60" t="n"/>
      <c r="AF312" s="60" t="n"/>
      <c r="AG312" s="60" t="n"/>
      <c r="AH312" s="60" t="n"/>
      <c r="AI312" s="60" t="n"/>
      <c r="AJ312" s="60" t="n"/>
      <c r="AK312" s="60" t="n"/>
      <c r="AL312" s="60" t="n"/>
      <c r="AM312" s="60" t="n"/>
      <c r="AN312" s="60" t="n"/>
      <c r="AO312" s="60" t="n"/>
      <c r="AP312" s="60" t="n"/>
      <c r="AQ312" s="60" t="n"/>
      <c r="AR312" s="60" t="n"/>
      <c r="AS312" s="60" t="n"/>
      <c r="AT312" s="60" t="n"/>
      <c r="AU312" s="60" t="n"/>
      <c r="AV312" s="60" t="n"/>
      <c r="AW312" s="60" t="n"/>
      <c r="AX312" s="60" t="n"/>
      <c r="AY312" s="60" t="n"/>
      <c r="AZ312" s="60" t="n"/>
      <c r="BA312" s="60" t="n"/>
      <c r="BB312" s="60" t="n"/>
      <c r="BC312" s="60" t="n"/>
      <c r="BD312" s="60" t="n"/>
      <c r="BE312" s="60" t="n"/>
      <c r="BF312" s="60" t="n"/>
      <c r="BG312" s="60" t="n"/>
      <c r="BH312" s="60" t="n"/>
      <c r="BI312" s="60" t="n"/>
      <c r="BJ312" s="60" t="n"/>
      <c r="BK312" s="60" t="n"/>
      <c r="BL312" s="60" t="n"/>
      <c r="BM312" s="60" t="n"/>
      <c r="BN312" s="60" t="n"/>
      <c r="BO312" s="60" t="n"/>
      <c r="BP312" s="60" t="n"/>
      <c r="BQ312" s="60" t="n"/>
      <c r="BR312" s="60" t="n"/>
      <c r="BS312" s="60" t="n"/>
      <c r="BT312" s="60" t="n"/>
      <c r="BU312" s="60" t="n"/>
      <c r="BV312" s="60" t="n"/>
      <c r="BW312" s="60" t="n"/>
      <c r="BX312" s="60" t="n"/>
      <c r="BY312" s="60" t="n"/>
      <c r="BZ312" s="60" t="n"/>
      <c r="CA312" s="60" t="n"/>
      <c r="CB312" s="60" t="n"/>
      <c r="CC312" s="60" t="n"/>
      <c r="CD312" s="60" t="n"/>
      <c r="CE312" s="60" t="n"/>
      <c r="CF312" s="60" t="n"/>
      <c r="CG312" s="60" t="n"/>
      <c r="CH312" s="60" t="n"/>
      <c r="CI312" s="60" t="n"/>
      <c r="CJ312" s="60" t="n"/>
      <c r="CK312" s="60" t="n"/>
      <c r="CL312" s="60" t="n"/>
      <c r="CM312" s="60" t="n"/>
      <c r="CN312" s="60" t="n"/>
      <c r="CO312" s="60" t="n"/>
      <c r="CP312" s="60" t="n"/>
      <c r="CQ312" s="60" t="n"/>
      <c r="CR312" s="60" t="n"/>
      <c r="CS312" s="60" t="n"/>
      <c r="CT312" s="60" t="n"/>
      <c r="CU312" s="60" t="n"/>
      <c r="CV312" s="60" t="n"/>
      <c r="CW312" s="60" t="n"/>
      <c r="CX312" s="60" t="n"/>
      <c r="CY312" s="60" t="n"/>
      <c r="CZ312" s="60" t="n"/>
      <c r="DA312" s="60" t="n"/>
      <c r="DB312" s="60" t="n"/>
      <c r="DC312" s="60" t="n"/>
      <c r="DD312" s="60" t="n"/>
      <c r="DE312" s="60" t="n"/>
    </row>
    <row r="313">
      <c r="A313" s="60" t="inlineStr">
        <is>
          <t>Referencia del revendido (no se compra)</t>
        </is>
      </c>
      <c r="B313" s="60" t="inlineStr">
        <is>
          <t>Faja de garantía válvula-cuello — 30 × 40</t>
        </is>
      </c>
      <c r="C313" s="60" t="inlineStr">
        <is>
          <t>u</t>
        </is>
      </c>
      <c r="D313" s="60" t="inlineStr">
        <is>
          <t>No</t>
        </is>
      </c>
      <c r="E313" s="60" t="n"/>
      <c r="F313" s="60" t="inlineStr">
        <is>
          <t>22 Etiquetado (T07)</t>
        </is>
      </c>
      <c r="G313" s="60" t="n"/>
      <c r="H313" s="60" t="n"/>
      <c r="I313" s="60" t="n"/>
      <c r="J313" s="60" t="n"/>
      <c r="K313" s="60" t="n">
        <v>1</v>
      </c>
      <c r="L313" s="60" t="n">
        <v>1</v>
      </c>
      <c r="M313" s="60" t="n">
        <v>1</v>
      </c>
      <c r="N313" s="60" t="n">
        <v>1</v>
      </c>
      <c r="O313" s="60" t="n">
        <v>1</v>
      </c>
      <c r="P313" s="60" t="n">
        <v>1</v>
      </c>
      <c r="Q313" s="60" t="n">
        <v>1</v>
      </c>
      <c r="R313" s="60" t="n">
        <v>1</v>
      </c>
      <c r="S313" s="60" t="n">
        <v>1</v>
      </c>
      <c r="T313" s="60" t="n"/>
      <c r="U313" s="60" t="n"/>
      <c r="V313" s="60" t="n"/>
      <c r="W313" s="60" t="n"/>
      <c r="X313" s="60" t="n"/>
      <c r="Y313" s="60" t="n"/>
      <c r="Z313" s="60" t="n"/>
      <c r="AA313" s="60" t="n"/>
      <c r="AB313" s="60" t="n"/>
      <c r="AC313" s="60" t="n"/>
      <c r="AD313" s="60" t="n"/>
      <c r="AE313" s="60" t="n"/>
      <c r="AF313" s="60" t="n"/>
      <c r="AG313" s="60" t="n"/>
      <c r="AH313" s="60" t="n"/>
      <c r="AI313" s="60" t="n"/>
      <c r="AJ313" s="60" t="n"/>
      <c r="AK313" s="60" t="n"/>
      <c r="AL313" s="60" t="n"/>
      <c r="AM313" s="60" t="n"/>
      <c r="AN313" s="60" t="n"/>
      <c r="AO313" s="60" t="n"/>
      <c r="AP313" s="60" t="n"/>
      <c r="AQ313" s="60" t="n"/>
      <c r="AR313" s="60" t="n"/>
      <c r="AS313" s="60" t="n"/>
      <c r="AT313" s="60" t="n"/>
      <c r="AU313" s="60" t="n"/>
      <c r="AV313" s="60" t="n"/>
      <c r="AW313" s="60" t="n"/>
      <c r="AX313" s="60" t="n"/>
      <c r="AY313" s="60" t="n"/>
      <c r="AZ313" s="60" t="n"/>
      <c r="BA313" s="60" t="n"/>
      <c r="BB313" s="60" t="n"/>
      <c r="BC313" s="60" t="n"/>
      <c r="BD313" s="60" t="n"/>
      <c r="BE313" s="60" t="n"/>
      <c r="BF313" s="60" t="n"/>
      <c r="BG313" s="60" t="n"/>
      <c r="BH313" s="60" t="n"/>
      <c r="BI313" s="60" t="n"/>
      <c r="BJ313" s="60" t="n"/>
      <c r="BK313" s="60" t="n"/>
      <c r="BL313" s="60" t="n"/>
      <c r="BM313" s="60" t="n"/>
      <c r="BN313" s="60" t="n"/>
      <c r="BO313" s="60" t="n"/>
      <c r="BP313" s="60" t="n"/>
      <c r="BQ313" s="60" t="n"/>
      <c r="BR313" s="60" t="n"/>
      <c r="BS313" s="60" t="n"/>
      <c r="BT313" s="60" t="n"/>
      <c r="BU313" s="60" t="n"/>
      <c r="BV313" s="60" t="n"/>
      <c r="BW313" s="60" t="n"/>
      <c r="BX313" s="60" t="n"/>
      <c r="BY313" s="60" t="n"/>
      <c r="BZ313" s="60" t="n"/>
      <c r="CA313" s="60" t="n"/>
      <c r="CB313" s="60" t="n"/>
      <c r="CC313" s="60" t="n"/>
      <c r="CD313" s="60" t="n"/>
      <c r="CE313" s="60" t="n"/>
      <c r="CF313" s="60" t="n"/>
      <c r="CG313" s="60" t="n"/>
      <c r="CH313" s="60" t="n"/>
      <c r="CI313" s="60" t="n"/>
      <c r="CJ313" s="60" t="n"/>
      <c r="CK313" s="60" t="n"/>
      <c r="CL313" s="60" t="n"/>
      <c r="CM313" s="60" t="n"/>
      <c r="CN313" s="60" t="n"/>
      <c r="CO313" s="60" t="n"/>
      <c r="CP313" s="60" t="n"/>
      <c r="CQ313" s="60" t="n"/>
      <c r="CR313" s="60" t="n"/>
      <c r="CS313" s="60" t="n"/>
      <c r="CT313" s="60" t="n"/>
      <c r="CU313" s="60" t="n"/>
      <c r="CV313" s="60" t="n"/>
      <c r="CW313" s="60" t="n"/>
      <c r="CX313" s="60" t="n"/>
      <c r="CY313" s="60" t="n"/>
      <c r="CZ313" s="60" t="n"/>
      <c r="DA313" s="60" t="n"/>
      <c r="DB313" s="60" t="n"/>
      <c r="DC313" s="60" t="n"/>
      <c r="DD313" s="60" t="n"/>
      <c r="DE313" s="60" t="n"/>
    </row>
    <row r="314">
      <c r="A314" s="60" t="inlineStr">
        <is>
          <t>Referencia del revendido (no se compra)</t>
        </is>
      </c>
      <c r="B314" s="60" t="inlineStr">
        <is>
          <t>Film stretch (fracción del pallet)</t>
        </is>
      </c>
      <c r="C314" s="60" t="inlineStr">
        <is>
          <t>kg</t>
        </is>
      </c>
      <c r="D314" s="60" t="inlineStr">
        <is>
          <t>No</t>
        </is>
      </c>
      <c r="E314" s="60" t="n"/>
      <c r="F314" s="60" t="inlineStr">
        <is>
          <t>24 Envolvedora (T11)</t>
        </is>
      </c>
      <c r="G314" s="60" t="n"/>
      <c r="H314" s="60" t="n"/>
      <c r="I314" s="60" t="n"/>
      <c r="J314" s="60" t="n"/>
      <c r="K314" s="60" t="n">
        <v>0.0037</v>
      </c>
      <c r="L314" s="60" t="n">
        <v>0.0037</v>
      </c>
      <c r="M314" s="60" t="n">
        <v>0.06</v>
      </c>
      <c r="N314" s="60" t="n">
        <v>0.003</v>
      </c>
      <c r="O314" s="60" t="n">
        <v>0.004</v>
      </c>
      <c r="P314" s="60" t="n">
        <v>0.0025</v>
      </c>
      <c r="Q314" s="60" t="n">
        <v>0.008</v>
      </c>
      <c r="R314" s="60" t="n">
        <v>0.003</v>
      </c>
      <c r="S314" s="60" t="n">
        <v>0.0037</v>
      </c>
      <c r="T314" s="60" t="n"/>
      <c r="U314" s="60" t="n"/>
      <c r="V314" s="60" t="n"/>
      <c r="W314" s="60" t="n"/>
      <c r="X314" s="60" t="n"/>
      <c r="Y314" s="60" t="n"/>
      <c r="Z314" s="60" t="n"/>
      <c r="AA314" s="60" t="n"/>
      <c r="AB314" s="60" t="n"/>
      <c r="AC314" s="60" t="n"/>
      <c r="AD314" s="60" t="n"/>
      <c r="AE314" s="60" t="n"/>
      <c r="AF314" s="60" t="n"/>
      <c r="AG314" s="60" t="n"/>
      <c r="AH314" s="60" t="n"/>
      <c r="AI314" s="60" t="n"/>
      <c r="AJ314" s="60" t="n"/>
      <c r="AK314" s="60" t="n"/>
      <c r="AL314" s="60" t="n"/>
      <c r="AM314" s="60" t="n"/>
      <c r="AN314" s="60" t="n"/>
      <c r="AO314" s="60" t="n"/>
      <c r="AP314" s="60" t="n"/>
      <c r="AQ314" s="60" t="n"/>
      <c r="AR314" s="60" t="n"/>
      <c r="AS314" s="60" t="n"/>
      <c r="AT314" s="60" t="n"/>
      <c r="AU314" s="60" t="n"/>
      <c r="AV314" s="60" t="n"/>
      <c r="AW314" s="60" t="n"/>
      <c r="AX314" s="60" t="n"/>
      <c r="AY314" s="60" t="n"/>
      <c r="AZ314" s="60" t="n"/>
      <c r="BA314" s="60" t="n"/>
      <c r="BB314" s="60" t="n"/>
      <c r="BC314" s="60" t="n"/>
      <c r="BD314" s="60" t="n"/>
      <c r="BE314" s="60" t="n"/>
      <c r="BF314" s="60" t="n"/>
      <c r="BG314" s="60" t="n"/>
      <c r="BH314" s="60" t="n"/>
      <c r="BI314" s="60" t="n"/>
      <c r="BJ314" s="60" t="n"/>
      <c r="BK314" s="60" t="n"/>
      <c r="BL314" s="60" t="n"/>
      <c r="BM314" s="60" t="n"/>
      <c r="BN314" s="60" t="n"/>
      <c r="BO314" s="60" t="n"/>
      <c r="BP314" s="60" t="n"/>
      <c r="BQ314" s="60" t="n"/>
      <c r="BR314" s="60" t="n"/>
      <c r="BS314" s="60" t="n"/>
      <c r="BT314" s="60" t="n"/>
      <c r="BU314" s="60" t="n"/>
      <c r="BV314" s="60" t="n"/>
      <c r="BW314" s="60" t="n"/>
      <c r="BX314" s="60" t="n"/>
      <c r="BY314" s="60" t="n"/>
      <c r="BZ314" s="60" t="n"/>
      <c r="CA314" s="60" t="n"/>
      <c r="CB314" s="60" t="n"/>
      <c r="CC314" s="60" t="n"/>
      <c r="CD314" s="60" t="n"/>
      <c r="CE314" s="60" t="n"/>
      <c r="CF314" s="60" t="n"/>
      <c r="CG314" s="60" t="n"/>
      <c r="CH314" s="60" t="n"/>
      <c r="CI314" s="60" t="n"/>
      <c r="CJ314" s="60" t="n"/>
      <c r="CK314" s="60" t="n"/>
      <c r="CL314" s="60" t="n"/>
      <c r="CM314" s="60" t="n"/>
      <c r="CN314" s="60" t="n"/>
      <c r="CO314" s="60" t="n"/>
      <c r="CP314" s="60" t="n"/>
      <c r="CQ314" s="60" t="n"/>
      <c r="CR314" s="60" t="n"/>
      <c r="CS314" s="60" t="n"/>
      <c r="CT314" s="60" t="n"/>
      <c r="CU314" s="60" t="n"/>
      <c r="CV314" s="60" t="n"/>
      <c r="CW314" s="60" t="n"/>
      <c r="CX314" s="60" t="n"/>
      <c r="CY314" s="60" t="n"/>
      <c r="CZ314" s="60" t="n"/>
      <c r="DA314" s="60" t="n"/>
      <c r="DB314" s="60" t="n"/>
      <c r="DC314" s="60" t="n"/>
      <c r="DD314" s="60" t="n"/>
      <c r="DE314" s="60" t="n"/>
    </row>
    <row r="315">
      <c r="A315" s="60" t="inlineStr">
        <is>
          <t>Referencia del revendido (no se compra)</t>
        </is>
      </c>
      <c r="B315" s="60" t="inlineStr">
        <is>
          <t>Fondo — Ø181,5 × e2 × 13,7 de alto; disco Ø182,8</t>
        </is>
      </c>
      <c r="C315" s="60" t="inlineStr">
        <is>
          <t>u</t>
        </is>
      </c>
      <c r="D315" s="60" t="inlineStr">
        <is>
          <t>No</t>
        </is>
      </c>
      <c r="E315" s="60" t="n"/>
      <c r="F315" s="60" t="inlineStr">
        <is>
          <t>S4 - se compra terminado (tercerizado con sello IRAM)</t>
        </is>
      </c>
      <c r="G315" s="60" t="n"/>
      <c r="H315" s="60" t="n"/>
      <c r="I315" s="60" t="n"/>
      <c r="J315" s="60" t="n"/>
      <c r="K315" s="60" t="n"/>
      <c r="L315" s="60" t="n"/>
      <c r="M315" s="60" t="n"/>
      <c r="N315" s="60" t="n"/>
      <c r="O315" s="60" t="n"/>
      <c r="P315" s="60" t="n"/>
      <c r="Q315" s="60" t="n"/>
      <c r="R315" s="60" t="n"/>
      <c r="S315" s="60" t="n">
        <v>1</v>
      </c>
      <c r="T315" s="60" t="n"/>
      <c r="U315" s="60" t="n"/>
      <c r="V315" s="60" t="n"/>
      <c r="W315" s="60" t="n"/>
      <c r="X315" s="60" t="n"/>
      <c r="Y315" s="60" t="n"/>
      <c r="Z315" s="60" t="n"/>
      <c r="AA315" s="60" t="n"/>
      <c r="AB315" s="60" t="n"/>
      <c r="AC315" s="60" t="n"/>
      <c r="AD315" s="60" t="n"/>
      <c r="AE315" s="60" t="n"/>
      <c r="AF315" s="60" t="n"/>
      <c r="AG315" s="60" t="n"/>
      <c r="AH315" s="60" t="n"/>
      <c r="AI315" s="60" t="n"/>
      <c r="AJ315" s="60" t="n"/>
      <c r="AK315" s="60" t="n"/>
      <c r="AL315" s="60" t="n"/>
      <c r="AM315" s="60" t="n"/>
      <c r="AN315" s="60" t="n"/>
      <c r="AO315" s="60" t="n"/>
      <c r="AP315" s="60" t="n"/>
      <c r="AQ315" s="60" t="n"/>
      <c r="AR315" s="60" t="n"/>
      <c r="AS315" s="60" t="n"/>
      <c r="AT315" s="60" t="n"/>
      <c r="AU315" s="60" t="n"/>
      <c r="AV315" s="60" t="n"/>
      <c r="AW315" s="60" t="n"/>
      <c r="AX315" s="60" t="n"/>
      <c r="AY315" s="60" t="n"/>
      <c r="AZ315" s="60" t="n"/>
      <c r="BA315" s="60" t="n"/>
      <c r="BB315" s="60" t="n"/>
      <c r="BC315" s="60" t="n"/>
      <c r="BD315" s="60" t="n"/>
      <c r="BE315" s="60" t="n"/>
      <c r="BF315" s="60" t="n"/>
      <c r="BG315" s="60" t="n"/>
      <c r="BH315" s="60" t="n"/>
      <c r="BI315" s="60" t="n"/>
      <c r="BJ315" s="60" t="n"/>
      <c r="BK315" s="60" t="n"/>
      <c r="BL315" s="60" t="n"/>
      <c r="BM315" s="60" t="n"/>
      <c r="BN315" s="60" t="n"/>
      <c r="BO315" s="60" t="n"/>
      <c r="BP315" s="60" t="n"/>
      <c r="BQ315" s="60" t="n"/>
      <c r="BR315" s="60" t="n"/>
      <c r="BS315" s="60" t="n"/>
      <c r="BT315" s="60" t="n"/>
      <c r="BU315" s="60" t="n"/>
      <c r="BV315" s="60" t="n"/>
      <c r="BW315" s="60" t="n"/>
      <c r="BX315" s="60" t="n"/>
      <c r="BY315" s="60" t="n"/>
      <c r="BZ315" s="60" t="n"/>
      <c r="CA315" s="60" t="n"/>
      <c r="CB315" s="60" t="n"/>
      <c r="CC315" s="60" t="n"/>
      <c r="CD315" s="60" t="n"/>
      <c r="CE315" s="60" t="n"/>
      <c r="CF315" s="60" t="n"/>
      <c r="CG315" s="60" t="n"/>
      <c r="CH315" s="60" t="n"/>
      <c r="CI315" s="60" t="n"/>
      <c r="CJ315" s="60" t="n"/>
      <c r="CK315" s="60" t="n"/>
      <c r="CL315" s="60" t="n"/>
      <c r="CM315" s="60" t="n"/>
      <c r="CN315" s="60" t="n"/>
      <c r="CO315" s="60" t="n"/>
      <c r="CP315" s="60" t="n"/>
      <c r="CQ315" s="60" t="n"/>
      <c r="CR315" s="60" t="n"/>
      <c r="CS315" s="60" t="n"/>
      <c r="CT315" s="60" t="n"/>
      <c r="CU315" s="60" t="n"/>
      <c r="CV315" s="60" t="n"/>
      <c r="CW315" s="60" t="n"/>
      <c r="CX315" s="60" t="n"/>
      <c r="CY315" s="60" t="n"/>
      <c r="CZ315" s="60" t="n"/>
      <c r="DA315" s="60" t="n"/>
      <c r="DB315" s="60" t="n"/>
      <c r="DC315" s="60" t="n"/>
      <c r="DD315" s="60" t="n"/>
      <c r="DE315" s="60" t="n"/>
    </row>
    <row r="316">
      <c r="A316" s="60" t="inlineStr">
        <is>
          <t>Referencia del revendido (no se compra)</t>
        </is>
      </c>
      <c r="B316" s="60" t="inlineStr">
        <is>
          <t>Fondo — Ø190 × e0,8 × 10,8 de alto; disco Ø194,1</t>
        </is>
      </c>
      <c r="C316" s="60" t="inlineStr">
        <is>
          <t>u</t>
        </is>
      </c>
      <c r="D316" s="60" t="inlineStr">
        <is>
          <t>No</t>
        </is>
      </c>
      <c r="E316" s="60" t="n"/>
      <c r="F316" s="60" t="inlineStr">
        <is>
          <t>S4 - se compra terminado (tercerizado con sello IRAM)</t>
        </is>
      </c>
      <c r="G316" s="60" t="n"/>
      <c r="H316" s="60" t="n"/>
      <c r="I316" s="60" t="n"/>
      <c r="J316" s="60" t="n"/>
      <c r="K316" s="60" t="n">
        <v>1</v>
      </c>
      <c r="L316" s="60" t="n">
        <v>1</v>
      </c>
      <c r="M316" s="60" t="n"/>
      <c r="N316" s="60" t="n"/>
      <c r="O316" s="60" t="n">
        <v>1</v>
      </c>
      <c r="P316" s="60" t="n"/>
      <c r="Q316" s="60" t="n"/>
      <c r="R316" s="60" t="n"/>
      <c r="S316" s="60" t="n"/>
      <c r="T316" s="60" t="n"/>
      <c r="U316" s="60" t="n"/>
      <c r="V316" s="60" t="n"/>
      <c r="W316" s="60" t="n"/>
      <c r="X316" s="60" t="n"/>
      <c r="Y316" s="60" t="n"/>
      <c r="Z316" s="60" t="n"/>
      <c r="AA316" s="60" t="n"/>
      <c r="AB316" s="60" t="n"/>
      <c r="AC316" s="60" t="n"/>
      <c r="AD316" s="60" t="n"/>
      <c r="AE316" s="60" t="n"/>
      <c r="AF316" s="60" t="n"/>
      <c r="AG316" s="60" t="n"/>
      <c r="AH316" s="60" t="n"/>
      <c r="AI316" s="60" t="n"/>
      <c r="AJ316" s="60" t="n"/>
      <c r="AK316" s="60" t="n"/>
      <c r="AL316" s="60" t="n"/>
      <c r="AM316" s="60" t="n"/>
      <c r="AN316" s="60" t="n"/>
      <c r="AO316" s="60" t="n"/>
      <c r="AP316" s="60" t="n"/>
      <c r="AQ316" s="60" t="n"/>
      <c r="AR316" s="60" t="n"/>
      <c r="AS316" s="60" t="n"/>
      <c r="AT316" s="60" t="n"/>
      <c r="AU316" s="60" t="n"/>
      <c r="AV316" s="60" t="n"/>
      <c r="AW316" s="60" t="n"/>
      <c r="AX316" s="60" t="n"/>
      <c r="AY316" s="60" t="n"/>
      <c r="AZ316" s="60" t="n"/>
      <c r="BA316" s="60" t="n"/>
      <c r="BB316" s="60" t="n"/>
      <c r="BC316" s="60" t="n"/>
      <c r="BD316" s="60" t="n"/>
      <c r="BE316" s="60" t="n"/>
      <c r="BF316" s="60" t="n"/>
      <c r="BG316" s="60" t="n"/>
      <c r="BH316" s="60" t="n"/>
      <c r="BI316" s="60" t="n"/>
      <c r="BJ316" s="60" t="n"/>
      <c r="BK316" s="60" t="n"/>
      <c r="BL316" s="60" t="n"/>
      <c r="BM316" s="60" t="n"/>
      <c r="BN316" s="60" t="n"/>
      <c r="BO316" s="60" t="n"/>
      <c r="BP316" s="60" t="n"/>
      <c r="BQ316" s="60" t="n"/>
      <c r="BR316" s="60" t="n"/>
      <c r="BS316" s="60" t="n"/>
      <c r="BT316" s="60" t="n"/>
      <c r="BU316" s="60" t="n"/>
      <c r="BV316" s="60" t="n"/>
      <c r="BW316" s="60" t="n"/>
      <c r="BX316" s="60" t="n"/>
      <c r="BY316" s="60" t="n"/>
      <c r="BZ316" s="60" t="n"/>
      <c r="CA316" s="60" t="n"/>
      <c r="CB316" s="60" t="n"/>
      <c r="CC316" s="60" t="n"/>
      <c r="CD316" s="60" t="n"/>
      <c r="CE316" s="60" t="n"/>
      <c r="CF316" s="60" t="n"/>
      <c r="CG316" s="60" t="n"/>
      <c r="CH316" s="60" t="n"/>
      <c r="CI316" s="60" t="n"/>
      <c r="CJ316" s="60" t="n"/>
      <c r="CK316" s="60" t="n"/>
      <c r="CL316" s="60" t="n"/>
      <c r="CM316" s="60" t="n"/>
      <c r="CN316" s="60" t="n"/>
      <c r="CO316" s="60" t="n"/>
      <c r="CP316" s="60" t="n"/>
      <c r="CQ316" s="60" t="n"/>
      <c r="CR316" s="60" t="n"/>
      <c r="CS316" s="60" t="n"/>
      <c r="CT316" s="60" t="n"/>
      <c r="CU316" s="60" t="n"/>
      <c r="CV316" s="60" t="n"/>
      <c r="CW316" s="60" t="n"/>
      <c r="CX316" s="60" t="n"/>
      <c r="CY316" s="60" t="n"/>
      <c r="CZ316" s="60" t="n"/>
      <c r="DA316" s="60" t="n"/>
      <c r="DB316" s="60" t="n"/>
      <c r="DC316" s="60" t="n"/>
      <c r="DD316" s="60" t="n"/>
      <c r="DE316" s="60" t="n"/>
    </row>
    <row r="317">
      <c r="A317" s="60" t="inlineStr">
        <is>
          <t>Referencia del revendido (no se compra)</t>
        </is>
      </c>
      <c r="B317" s="60" t="inlineStr">
        <is>
          <t>Fondo — Ø320 × e3,2 × 105 de alto; disco Ø408,5</t>
        </is>
      </c>
      <c r="C317" s="60" t="inlineStr">
        <is>
          <t>u</t>
        </is>
      </c>
      <c r="D317" s="60" t="inlineStr">
        <is>
          <t>No</t>
        </is>
      </c>
      <c r="E317" s="60" t="n"/>
      <c r="F317" s="60" t="inlineStr">
        <is>
          <t>S4 - se compra terminado (tercerizado con sello IRAM)</t>
        </is>
      </c>
      <c r="G317" s="60" t="n"/>
      <c r="H317" s="60" t="n"/>
      <c r="I317" s="60" t="n"/>
      <c r="J317" s="60" t="n"/>
      <c r="K317" s="60" t="n"/>
      <c r="L317" s="60" t="n"/>
      <c r="M317" s="60" t="n">
        <v>1</v>
      </c>
      <c r="N317" s="60" t="n"/>
      <c r="O317" s="60" t="n"/>
      <c r="P317" s="60" t="n"/>
      <c r="Q317" s="60" t="n"/>
      <c r="R317" s="60" t="n"/>
      <c r="S317" s="60" t="n"/>
      <c r="T317" s="60" t="n"/>
      <c r="U317" s="60" t="n"/>
      <c r="V317" s="60" t="n"/>
      <c r="W317" s="60" t="n"/>
      <c r="X317" s="60" t="n"/>
      <c r="Y317" s="60" t="n"/>
      <c r="Z317" s="60" t="n"/>
      <c r="AA317" s="60" t="n"/>
      <c r="AB317" s="60" t="n"/>
      <c r="AC317" s="60" t="n"/>
      <c r="AD317" s="60" t="n"/>
      <c r="AE317" s="60" t="n"/>
      <c r="AF317" s="60" t="n"/>
      <c r="AG317" s="60" t="n"/>
      <c r="AH317" s="60" t="n"/>
      <c r="AI317" s="60" t="n"/>
      <c r="AJ317" s="60" t="n"/>
      <c r="AK317" s="60" t="n"/>
      <c r="AL317" s="60" t="n"/>
      <c r="AM317" s="60" t="n"/>
      <c r="AN317" s="60" t="n"/>
      <c r="AO317" s="60" t="n"/>
      <c r="AP317" s="60" t="n"/>
      <c r="AQ317" s="60" t="n"/>
      <c r="AR317" s="60" t="n"/>
      <c r="AS317" s="60" t="n"/>
      <c r="AT317" s="60" t="n"/>
      <c r="AU317" s="60" t="n"/>
      <c r="AV317" s="60" t="n"/>
      <c r="AW317" s="60" t="n"/>
      <c r="AX317" s="60" t="n"/>
      <c r="AY317" s="60" t="n"/>
      <c r="AZ317" s="60" t="n"/>
      <c r="BA317" s="60" t="n"/>
      <c r="BB317" s="60" t="n"/>
      <c r="BC317" s="60" t="n"/>
      <c r="BD317" s="60" t="n"/>
      <c r="BE317" s="60" t="n"/>
      <c r="BF317" s="60" t="n"/>
      <c r="BG317" s="60" t="n"/>
      <c r="BH317" s="60" t="n"/>
      <c r="BI317" s="60" t="n"/>
      <c r="BJ317" s="60" t="n"/>
      <c r="BK317" s="60" t="n"/>
      <c r="BL317" s="60" t="n"/>
      <c r="BM317" s="60" t="n"/>
      <c r="BN317" s="60" t="n"/>
      <c r="BO317" s="60" t="n"/>
      <c r="BP317" s="60" t="n"/>
      <c r="BQ317" s="60" t="n"/>
      <c r="BR317" s="60" t="n"/>
      <c r="BS317" s="60" t="n"/>
      <c r="BT317" s="60" t="n"/>
      <c r="BU317" s="60" t="n"/>
      <c r="BV317" s="60" t="n"/>
      <c r="BW317" s="60" t="n"/>
      <c r="BX317" s="60" t="n"/>
      <c r="BY317" s="60" t="n"/>
      <c r="BZ317" s="60" t="n"/>
      <c r="CA317" s="60" t="n"/>
      <c r="CB317" s="60" t="n"/>
      <c r="CC317" s="60" t="n"/>
      <c r="CD317" s="60" t="n"/>
      <c r="CE317" s="60" t="n"/>
      <c r="CF317" s="60" t="n"/>
      <c r="CG317" s="60" t="n"/>
      <c r="CH317" s="60" t="n"/>
      <c r="CI317" s="60" t="n"/>
      <c r="CJ317" s="60" t="n"/>
      <c r="CK317" s="60" t="n"/>
      <c r="CL317" s="60" t="n"/>
      <c r="CM317" s="60" t="n"/>
      <c r="CN317" s="60" t="n"/>
      <c r="CO317" s="60" t="n"/>
      <c r="CP317" s="60" t="n"/>
      <c r="CQ317" s="60" t="n"/>
      <c r="CR317" s="60" t="n"/>
      <c r="CS317" s="60" t="n"/>
      <c r="CT317" s="60" t="n"/>
      <c r="CU317" s="60" t="n"/>
      <c r="CV317" s="60" t="n"/>
      <c r="CW317" s="60" t="n"/>
      <c r="CX317" s="60" t="n"/>
      <c r="CY317" s="60" t="n"/>
      <c r="CZ317" s="60" t="n"/>
      <c r="DA317" s="60" t="n"/>
      <c r="DB317" s="60" t="n"/>
      <c r="DC317" s="60" t="n"/>
      <c r="DD317" s="60" t="n"/>
      <c r="DE317" s="60" t="n"/>
    </row>
    <row r="318">
      <c r="A318" s="60" t="inlineStr">
        <is>
          <t>Referencia del revendido (no se compra)</t>
        </is>
      </c>
      <c r="B318" s="60" t="inlineStr">
        <is>
          <t>Gas impulsor: Aire comprimido</t>
        </is>
      </c>
      <c r="C318" s="60" t="inlineStr">
        <is>
          <t>kg</t>
        </is>
      </c>
      <c r="D318" s="60" t="inlineStr">
        <is>
          <t>No</t>
        </is>
      </c>
      <c r="E318" s="60" t="n"/>
      <c r="F318" s="60" t="inlineStr">
        <is>
          <t>20 Presurización (T05) / C10</t>
        </is>
      </c>
      <c r="G318" s="60" t="n"/>
      <c r="H318" s="60" t="n"/>
      <c r="I318" s="60" t="n"/>
      <c r="J318" s="60" t="n"/>
      <c r="K318" s="60" t="n">
        <v>0.0427</v>
      </c>
      <c r="L318" s="60" t="n">
        <v>0.0427</v>
      </c>
      <c r="M318" s="60" t="n">
        <v>0.1265</v>
      </c>
      <c r="N318" s="60" t="n"/>
      <c r="O318" s="60" t="n"/>
      <c r="P318" s="60" t="n"/>
      <c r="Q318" s="60" t="n"/>
      <c r="R318" s="60" t="n"/>
      <c r="S318" s="60" t="n"/>
      <c r="T318" s="60" t="n"/>
      <c r="U318" s="60" t="n"/>
      <c r="V318" s="60" t="n"/>
      <c r="W318" s="60" t="n"/>
      <c r="X318" s="60" t="n"/>
      <c r="Y318" s="60" t="n"/>
      <c r="Z318" s="60" t="n"/>
      <c r="AA318" s="60" t="n"/>
      <c r="AB318" s="60" t="n"/>
      <c r="AC318" s="60" t="n"/>
      <c r="AD318" s="60" t="n"/>
      <c r="AE318" s="60" t="n"/>
      <c r="AF318" s="60" t="n"/>
      <c r="AG318" s="60" t="n"/>
      <c r="AH318" s="60" t="n"/>
      <c r="AI318" s="60" t="n"/>
      <c r="AJ318" s="60" t="n"/>
      <c r="AK318" s="60" t="n"/>
      <c r="AL318" s="60" t="n"/>
      <c r="AM318" s="60" t="n"/>
      <c r="AN318" s="60" t="n"/>
      <c r="AO318" s="60" t="n"/>
      <c r="AP318" s="60" t="n"/>
      <c r="AQ318" s="60" t="n"/>
      <c r="AR318" s="60" t="n"/>
      <c r="AS318" s="60" t="n"/>
      <c r="AT318" s="60" t="n"/>
      <c r="AU318" s="60" t="n"/>
      <c r="AV318" s="60" t="n"/>
      <c r="AW318" s="60" t="n"/>
      <c r="AX318" s="60" t="n"/>
      <c r="AY318" s="60" t="n"/>
      <c r="AZ318" s="60" t="n"/>
      <c r="BA318" s="60" t="n"/>
      <c r="BB318" s="60" t="n"/>
      <c r="BC318" s="60" t="n"/>
      <c r="BD318" s="60" t="n"/>
      <c r="BE318" s="60" t="n"/>
      <c r="BF318" s="60" t="n"/>
      <c r="BG318" s="60" t="n"/>
      <c r="BH318" s="60" t="n"/>
      <c r="BI318" s="60" t="n"/>
      <c r="BJ318" s="60" t="n"/>
      <c r="BK318" s="60" t="n"/>
      <c r="BL318" s="60" t="n"/>
      <c r="BM318" s="60" t="n"/>
      <c r="BN318" s="60" t="n"/>
      <c r="BO318" s="60" t="n"/>
      <c r="BP318" s="60" t="n"/>
      <c r="BQ318" s="60" t="n"/>
      <c r="BR318" s="60" t="n"/>
      <c r="BS318" s="60" t="n"/>
      <c r="BT318" s="60" t="n"/>
      <c r="BU318" s="60" t="n"/>
      <c r="BV318" s="60" t="n"/>
      <c r="BW318" s="60" t="n"/>
      <c r="BX318" s="60" t="n"/>
      <c r="BY318" s="60" t="n"/>
      <c r="BZ318" s="60" t="n"/>
      <c r="CA318" s="60" t="n"/>
      <c r="CB318" s="60" t="n"/>
      <c r="CC318" s="60" t="n"/>
      <c r="CD318" s="60" t="n"/>
      <c r="CE318" s="60" t="n"/>
      <c r="CF318" s="60" t="n"/>
      <c r="CG318" s="60" t="n"/>
      <c r="CH318" s="60" t="n"/>
      <c r="CI318" s="60" t="n"/>
      <c r="CJ318" s="60" t="n"/>
      <c r="CK318" s="60" t="n"/>
      <c r="CL318" s="60" t="n"/>
      <c r="CM318" s="60" t="n"/>
      <c r="CN318" s="60" t="n"/>
      <c r="CO318" s="60" t="n"/>
      <c r="CP318" s="60" t="n"/>
      <c r="CQ318" s="60" t="n"/>
      <c r="CR318" s="60" t="n"/>
      <c r="CS318" s="60" t="n"/>
      <c r="CT318" s="60" t="n"/>
      <c r="CU318" s="60" t="n"/>
      <c r="CV318" s="60" t="n"/>
      <c r="CW318" s="60" t="n"/>
      <c r="CX318" s="60" t="n"/>
      <c r="CY318" s="60" t="n"/>
      <c r="CZ318" s="60" t="n"/>
      <c r="DA318" s="60" t="n"/>
      <c r="DB318" s="60" t="n"/>
      <c r="DC318" s="60" t="n"/>
      <c r="DD318" s="60" t="n"/>
      <c r="DE318" s="60" t="n"/>
    </row>
    <row r="319">
      <c r="A319" s="60" t="inlineStr">
        <is>
          <t>Referencia del revendido (no se compra)</t>
        </is>
      </c>
      <c r="B319" s="60" t="inlineStr">
        <is>
          <t>Gas impulsor: Argón</t>
        </is>
      </c>
      <c r="C319" s="60" t="inlineStr">
        <is>
          <t>kg</t>
        </is>
      </c>
      <c r="D319" s="60" t="inlineStr">
        <is>
          <t>No</t>
        </is>
      </c>
      <c r="E319" s="60" t="n"/>
      <c r="F319" s="60" t="inlineStr">
        <is>
          <t>20 Presurización (T05) / C10</t>
        </is>
      </c>
      <c r="G319" s="60" t="n"/>
      <c r="H319" s="60" t="n"/>
      <c r="I319" s="60" t="n"/>
      <c r="J319" s="60" t="n"/>
      <c r="K319" s="60" t="n"/>
      <c r="L319" s="60" t="n"/>
      <c r="M319" s="60" t="n"/>
      <c r="N319" s="60" t="n"/>
      <c r="O319" s="60" t="n"/>
      <c r="P319" s="60" t="n"/>
      <c r="Q319" s="60" t="n"/>
      <c r="R319" s="60" t="n">
        <v>0.0388</v>
      </c>
      <c r="S319" s="60" t="n"/>
      <c r="T319" s="60" t="n"/>
      <c r="U319" s="60" t="n"/>
      <c r="V319" s="60" t="n"/>
      <c r="W319" s="60" t="n"/>
      <c r="X319" s="60" t="n"/>
      <c r="Y319" s="60" t="n"/>
      <c r="Z319" s="60" t="n"/>
      <c r="AA319" s="60" t="n"/>
      <c r="AB319" s="60" t="n"/>
      <c r="AC319" s="60" t="n"/>
      <c r="AD319" s="60" t="n"/>
      <c r="AE319" s="60" t="n"/>
      <c r="AF319" s="60" t="n"/>
      <c r="AG319" s="60" t="n"/>
      <c r="AH319" s="60" t="n"/>
      <c r="AI319" s="60" t="n"/>
      <c r="AJ319" s="60" t="n"/>
      <c r="AK319" s="60" t="n"/>
      <c r="AL319" s="60" t="n"/>
      <c r="AM319" s="60" t="n"/>
      <c r="AN319" s="60" t="n"/>
      <c r="AO319" s="60" t="n"/>
      <c r="AP319" s="60" t="n"/>
      <c r="AQ319" s="60" t="n"/>
      <c r="AR319" s="60" t="n"/>
      <c r="AS319" s="60" t="n"/>
      <c r="AT319" s="60" t="n"/>
      <c r="AU319" s="60" t="n"/>
      <c r="AV319" s="60" t="n"/>
      <c r="AW319" s="60" t="n"/>
      <c r="AX319" s="60" t="n"/>
      <c r="AY319" s="60" t="n"/>
      <c r="AZ319" s="60" t="n"/>
      <c r="BA319" s="60" t="n"/>
      <c r="BB319" s="60" t="n"/>
      <c r="BC319" s="60" t="n"/>
      <c r="BD319" s="60" t="n"/>
      <c r="BE319" s="60" t="n"/>
      <c r="BF319" s="60" t="n"/>
      <c r="BG319" s="60" t="n"/>
      <c r="BH319" s="60" t="n"/>
      <c r="BI319" s="60" t="n"/>
      <c r="BJ319" s="60" t="n"/>
      <c r="BK319" s="60" t="n"/>
      <c r="BL319" s="60" t="n"/>
      <c r="BM319" s="60" t="n"/>
      <c r="BN319" s="60" t="n"/>
      <c r="BO319" s="60" t="n"/>
      <c r="BP319" s="60" t="n"/>
      <c r="BQ319" s="60" t="n"/>
      <c r="BR319" s="60" t="n"/>
      <c r="BS319" s="60" t="n"/>
      <c r="BT319" s="60" t="n"/>
      <c r="BU319" s="60" t="n"/>
      <c r="BV319" s="60" t="n"/>
      <c r="BW319" s="60" t="n"/>
      <c r="BX319" s="60" t="n"/>
      <c r="BY319" s="60" t="n"/>
      <c r="BZ319" s="60" t="n"/>
      <c r="CA319" s="60" t="n"/>
      <c r="CB319" s="60" t="n"/>
      <c r="CC319" s="60" t="n"/>
      <c r="CD319" s="60" t="n"/>
      <c r="CE319" s="60" t="n"/>
      <c r="CF319" s="60" t="n"/>
      <c r="CG319" s="60" t="n"/>
      <c r="CH319" s="60" t="n"/>
      <c r="CI319" s="60" t="n"/>
      <c r="CJ319" s="60" t="n"/>
      <c r="CK319" s="60" t="n"/>
      <c r="CL319" s="60" t="n"/>
      <c r="CM319" s="60" t="n"/>
      <c r="CN319" s="60" t="n"/>
      <c r="CO319" s="60" t="n"/>
      <c r="CP319" s="60" t="n"/>
      <c r="CQ319" s="60" t="n"/>
      <c r="CR319" s="60" t="n"/>
      <c r="CS319" s="60" t="n"/>
      <c r="CT319" s="60" t="n"/>
      <c r="CU319" s="60" t="n"/>
      <c r="CV319" s="60" t="n"/>
      <c r="CW319" s="60" t="n"/>
      <c r="CX319" s="60" t="n"/>
      <c r="CY319" s="60" t="n"/>
      <c r="CZ319" s="60" t="n"/>
      <c r="DA319" s="60" t="n"/>
      <c r="DB319" s="60" t="n"/>
      <c r="DC319" s="60" t="n"/>
      <c r="DD319" s="60" t="n"/>
      <c r="DE319" s="60" t="n"/>
    </row>
    <row r="320">
      <c r="A320" s="60" t="inlineStr">
        <is>
          <t>Referencia del revendido (no se compra)</t>
        </is>
      </c>
      <c r="B320" s="60" t="inlineStr">
        <is>
          <t>Gas impulsor: N₂</t>
        </is>
      </c>
      <c r="C320" s="60" t="inlineStr">
        <is>
          <t>kg</t>
        </is>
      </c>
      <c r="D320" s="60" t="inlineStr">
        <is>
          <t>No</t>
        </is>
      </c>
      <c r="E320" s="60" t="n"/>
      <c r="F320" s="60" t="inlineStr">
        <is>
          <t>20 Presurización (T05) / C10</t>
        </is>
      </c>
      <c r="G320" s="60" t="n"/>
      <c r="H320" s="60" t="n"/>
      <c r="I320" s="60" t="n"/>
      <c r="J320" s="60" t="n"/>
      <c r="K320" s="60" t="n"/>
      <c r="L320" s="60" t="n"/>
      <c r="M320" s="60" t="n"/>
      <c r="N320" s="60" t="n">
        <v>0.0077</v>
      </c>
      <c r="O320" s="60" t="n">
        <v>0.0306</v>
      </c>
      <c r="P320" s="60" t="n"/>
      <c r="Q320" s="60" t="n"/>
      <c r="R320" s="60" t="n"/>
      <c r="S320" s="60" t="n">
        <v>0.0604</v>
      </c>
      <c r="T320" s="60" t="n"/>
      <c r="U320" s="60" t="n"/>
      <c r="V320" s="60" t="n"/>
      <c r="W320" s="60" t="n"/>
      <c r="X320" s="60" t="n"/>
      <c r="Y320" s="60" t="n"/>
      <c r="Z320" s="60" t="n"/>
      <c r="AA320" s="60" t="n"/>
      <c r="AB320" s="60" t="n"/>
      <c r="AC320" s="60" t="n"/>
      <c r="AD320" s="60" t="n"/>
      <c r="AE320" s="60" t="n"/>
      <c r="AF320" s="60" t="n"/>
      <c r="AG320" s="60" t="n"/>
      <c r="AH320" s="60" t="n"/>
      <c r="AI320" s="60" t="n"/>
      <c r="AJ320" s="60" t="n"/>
      <c r="AK320" s="60" t="n"/>
      <c r="AL320" s="60" t="n"/>
      <c r="AM320" s="60" t="n"/>
      <c r="AN320" s="60" t="n"/>
      <c r="AO320" s="60" t="n"/>
      <c r="AP320" s="60" t="n"/>
      <c r="AQ320" s="60" t="n"/>
      <c r="AR320" s="60" t="n"/>
      <c r="AS320" s="60" t="n"/>
      <c r="AT320" s="60" t="n"/>
      <c r="AU320" s="60" t="n"/>
      <c r="AV320" s="60" t="n"/>
      <c r="AW320" s="60" t="n"/>
      <c r="AX320" s="60" t="n"/>
      <c r="AY320" s="60" t="n"/>
      <c r="AZ320" s="60" t="n"/>
      <c r="BA320" s="60" t="n"/>
      <c r="BB320" s="60" t="n"/>
      <c r="BC320" s="60" t="n"/>
      <c r="BD320" s="60" t="n"/>
      <c r="BE320" s="60" t="n"/>
      <c r="BF320" s="60" t="n"/>
      <c r="BG320" s="60" t="n"/>
      <c r="BH320" s="60" t="n"/>
      <c r="BI320" s="60" t="n"/>
      <c r="BJ320" s="60" t="n"/>
      <c r="BK320" s="60" t="n"/>
      <c r="BL320" s="60" t="n"/>
      <c r="BM320" s="60" t="n"/>
      <c r="BN320" s="60" t="n"/>
      <c r="BO320" s="60" t="n"/>
      <c r="BP320" s="60" t="n"/>
      <c r="BQ320" s="60" t="n"/>
      <c r="BR320" s="60" t="n"/>
      <c r="BS320" s="60" t="n"/>
      <c r="BT320" s="60" t="n"/>
      <c r="BU320" s="60" t="n"/>
      <c r="BV320" s="60" t="n"/>
      <c r="BW320" s="60" t="n"/>
      <c r="BX320" s="60" t="n"/>
      <c r="BY320" s="60" t="n"/>
      <c r="BZ320" s="60" t="n"/>
      <c r="CA320" s="60" t="n"/>
      <c r="CB320" s="60" t="n"/>
      <c r="CC320" s="60" t="n"/>
      <c r="CD320" s="60" t="n"/>
      <c r="CE320" s="60" t="n"/>
      <c r="CF320" s="60" t="n"/>
      <c r="CG320" s="60" t="n"/>
      <c r="CH320" s="60" t="n"/>
      <c r="CI320" s="60" t="n"/>
      <c r="CJ320" s="60" t="n"/>
      <c r="CK320" s="60" t="n"/>
      <c r="CL320" s="60" t="n"/>
      <c r="CM320" s="60" t="n"/>
      <c r="CN320" s="60" t="n"/>
      <c r="CO320" s="60" t="n"/>
      <c r="CP320" s="60" t="n"/>
      <c r="CQ320" s="60" t="n"/>
      <c r="CR320" s="60" t="n"/>
      <c r="CS320" s="60" t="n"/>
      <c r="CT320" s="60" t="n"/>
      <c r="CU320" s="60" t="n"/>
      <c r="CV320" s="60" t="n"/>
      <c r="CW320" s="60" t="n"/>
      <c r="CX320" s="60" t="n"/>
      <c r="CY320" s="60" t="n"/>
      <c r="CZ320" s="60" t="n"/>
      <c r="DA320" s="60" t="n"/>
      <c r="DB320" s="60" t="n"/>
      <c r="DC320" s="60" t="n"/>
      <c r="DD320" s="60" t="n"/>
      <c r="DE320" s="60" t="n"/>
    </row>
    <row r="321">
      <c r="A321" s="60" t="inlineStr">
        <is>
          <t>Referencia del revendido (no se compra)</t>
        </is>
      </c>
      <c r="B321" s="60" t="inlineStr">
        <is>
          <t>HCFC 123 / HFC 236fa - HCFC-123 (Mezcla B) &gt; 93 %</t>
        </is>
      </c>
      <c r="C321" s="60" t="inlineStr">
        <is>
          <t>kg</t>
        </is>
      </c>
      <c r="D321" s="60" t="inlineStr">
        <is>
          <t>No</t>
        </is>
      </c>
      <c r="E321" s="60" t="n"/>
      <c r="F321" s="60" t="inlineStr">
        <is>
          <t>SP-1 almacén previo a la carga</t>
        </is>
      </c>
      <c r="G321" s="60" t="n"/>
      <c r="H321" s="60" t="n"/>
      <c r="I321" s="60" t="n"/>
      <c r="J321" s="60" t="n"/>
      <c r="K321" s="60" t="n"/>
      <c r="L321" s="60" t="n"/>
      <c r="M321" s="60" t="n"/>
      <c r="N321" s="60" t="n"/>
      <c r="O321" s="60" t="n"/>
      <c r="P321" s="60" t="n"/>
      <c r="Q321" s="60" t="n"/>
      <c r="R321" s="60" t="n">
        <v>5</v>
      </c>
      <c r="S321" s="60" t="n"/>
      <c r="T321" s="60" t="n"/>
      <c r="U321" s="60" t="n"/>
      <c r="V321" s="60" t="n"/>
      <c r="W321" s="60" t="n"/>
      <c r="X321" s="60" t="n"/>
      <c r="Y321" s="60" t="n"/>
      <c r="Z321" s="60" t="n"/>
      <c r="AA321" s="60" t="n"/>
      <c r="AB321" s="60" t="n"/>
      <c r="AC321" s="60" t="n"/>
      <c r="AD321" s="60" t="n"/>
      <c r="AE321" s="60" t="n"/>
      <c r="AF321" s="60" t="n"/>
      <c r="AG321" s="60" t="n"/>
      <c r="AH321" s="60" t="n"/>
      <c r="AI321" s="60" t="n"/>
      <c r="AJ321" s="60" t="n"/>
      <c r="AK321" s="60" t="n"/>
      <c r="AL321" s="60" t="n"/>
      <c r="AM321" s="60" t="n"/>
      <c r="AN321" s="60" t="n"/>
      <c r="AO321" s="60" t="n"/>
      <c r="AP321" s="60" t="n"/>
      <c r="AQ321" s="60" t="n"/>
      <c r="AR321" s="60" t="n"/>
      <c r="AS321" s="60" t="n"/>
      <c r="AT321" s="60" t="n"/>
      <c r="AU321" s="60" t="n"/>
      <c r="AV321" s="60" t="n"/>
      <c r="AW321" s="60" t="n"/>
      <c r="AX321" s="60" t="n"/>
      <c r="AY321" s="60" t="n"/>
      <c r="AZ321" s="60" t="n"/>
      <c r="BA321" s="60" t="n"/>
      <c r="BB321" s="60" t="n"/>
      <c r="BC321" s="60" t="n"/>
      <c r="BD321" s="60" t="n"/>
      <c r="BE321" s="60" t="n"/>
      <c r="BF321" s="60" t="n"/>
      <c r="BG321" s="60" t="n"/>
      <c r="BH321" s="60" t="n"/>
      <c r="BI321" s="60" t="n"/>
      <c r="BJ321" s="60" t="n"/>
      <c r="BK321" s="60" t="n"/>
      <c r="BL321" s="60" t="n"/>
      <c r="BM321" s="60" t="n"/>
      <c r="BN321" s="60" t="n"/>
      <c r="BO321" s="60" t="n"/>
      <c r="BP321" s="60" t="n"/>
      <c r="BQ321" s="60" t="n"/>
      <c r="BR321" s="60" t="n"/>
      <c r="BS321" s="60" t="n"/>
      <c r="BT321" s="60" t="n"/>
      <c r="BU321" s="60" t="n"/>
      <c r="BV321" s="60" t="n"/>
      <c r="BW321" s="60" t="n"/>
      <c r="BX321" s="60" t="n"/>
      <c r="BY321" s="60" t="n"/>
      <c r="BZ321" s="60" t="n"/>
      <c r="CA321" s="60" t="n"/>
      <c r="CB321" s="60" t="n"/>
      <c r="CC321" s="60" t="n"/>
      <c r="CD321" s="60" t="n"/>
      <c r="CE321" s="60" t="n"/>
      <c r="CF321" s="60" t="n"/>
      <c r="CG321" s="60" t="n"/>
      <c r="CH321" s="60" t="n"/>
      <c r="CI321" s="60" t="n"/>
      <c r="CJ321" s="60" t="n"/>
      <c r="CK321" s="60" t="n"/>
      <c r="CL321" s="60" t="n"/>
      <c r="CM321" s="60" t="n"/>
      <c r="CN321" s="60" t="n"/>
      <c r="CO321" s="60" t="n"/>
      <c r="CP321" s="60" t="n"/>
      <c r="CQ321" s="60" t="n"/>
      <c r="CR321" s="60" t="n"/>
      <c r="CS321" s="60" t="n"/>
      <c r="CT321" s="60" t="n"/>
      <c r="CU321" s="60" t="n"/>
      <c r="CV321" s="60" t="n"/>
      <c r="CW321" s="60" t="n"/>
      <c r="CX321" s="60" t="n"/>
      <c r="CY321" s="60" t="n"/>
      <c r="CZ321" s="60" t="n"/>
      <c r="DA321" s="60" t="n"/>
      <c r="DB321" s="60" t="n"/>
      <c r="DC321" s="60" t="n"/>
      <c r="DD321" s="60" t="n"/>
      <c r="DE321" s="60" t="n"/>
    </row>
    <row r="322">
      <c r="A322" s="60" t="inlineStr">
        <is>
          <t>Referencia del revendido (no se compra)</t>
        </is>
      </c>
      <c r="B322" s="60" t="inlineStr">
        <is>
          <t>Instructivo de uso y mantenimiento</t>
        </is>
      </c>
      <c r="C322" s="60" t="inlineStr">
        <is>
          <t>u</t>
        </is>
      </c>
      <c r="D322" s="60" t="inlineStr">
        <is>
          <t>No</t>
        </is>
      </c>
      <c r="E322" s="60" t="n"/>
      <c r="F322" s="60" t="inlineStr">
        <is>
          <t>23 Embalaje</t>
        </is>
      </c>
      <c r="G322" s="60" t="n"/>
      <c r="H322" s="60" t="n"/>
      <c r="I322" s="60" t="n"/>
      <c r="J322" s="60" t="n"/>
      <c r="K322" s="60" t="n">
        <v>1</v>
      </c>
      <c r="L322" s="60" t="n">
        <v>1</v>
      </c>
      <c r="M322" s="60" t="n"/>
      <c r="N322" s="60" t="n">
        <v>1</v>
      </c>
      <c r="O322" s="60" t="n">
        <v>1</v>
      </c>
      <c r="P322" s="60" t="n">
        <v>1</v>
      </c>
      <c r="Q322" s="60" t="n">
        <v>1</v>
      </c>
      <c r="R322" s="60" t="n">
        <v>1</v>
      </c>
      <c r="S322" s="60" t="n">
        <v>1</v>
      </c>
      <c r="T322" s="60" t="n"/>
      <c r="U322" s="60" t="n"/>
      <c r="V322" s="60" t="n"/>
      <c r="W322" s="60" t="n"/>
      <c r="X322" s="60" t="n"/>
      <c r="Y322" s="60" t="n"/>
      <c r="Z322" s="60" t="n"/>
      <c r="AA322" s="60" t="n"/>
      <c r="AB322" s="60" t="n"/>
      <c r="AC322" s="60" t="n"/>
      <c r="AD322" s="60" t="n"/>
      <c r="AE322" s="60" t="n"/>
      <c r="AF322" s="60" t="n"/>
      <c r="AG322" s="60" t="n"/>
      <c r="AH322" s="60" t="n"/>
      <c r="AI322" s="60" t="n"/>
      <c r="AJ322" s="60" t="n"/>
      <c r="AK322" s="60" t="n"/>
      <c r="AL322" s="60" t="n"/>
      <c r="AM322" s="60" t="n"/>
      <c r="AN322" s="60" t="n"/>
      <c r="AO322" s="60" t="n"/>
      <c r="AP322" s="60" t="n"/>
      <c r="AQ322" s="60" t="n"/>
      <c r="AR322" s="60" t="n"/>
      <c r="AS322" s="60" t="n"/>
      <c r="AT322" s="60" t="n"/>
      <c r="AU322" s="60" t="n"/>
      <c r="AV322" s="60" t="n"/>
      <c r="AW322" s="60" t="n"/>
      <c r="AX322" s="60" t="n"/>
      <c r="AY322" s="60" t="n"/>
      <c r="AZ322" s="60" t="n"/>
      <c r="BA322" s="60" t="n"/>
      <c r="BB322" s="60" t="n"/>
      <c r="BC322" s="60" t="n"/>
      <c r="BD322" s="60" t="n"/>
      <c r="BE322" s="60" t="n"/>
      <c r="BF322" s="60" t="n"/>
      <c r="BG322" s="60" t="n"/>
      <c r="BH322" s="60" t="n"/>
      <c r="BI322" s="60" t="n"/>
      <c r="BJ322" s="60" t="n"/>
      <c r="BK322" s="60" t="n"/>
      <c r="BL322" s="60" t="n"/>
      <c r="BM322" s="60" t="n"/>
      <c r="BN322" s="60" t="n"/>
      <c r="BO322" s="60" t="n"/>
      <c r="BP322" s="60" t="n"/>
      <c r="BQ322" s="60" t="n"/>
      <c r="BR322" s="60" t="n"/>
      <c r="BS322" s="60" t="n"/>
      <c r="BT322" s="60" t="n"/>
      <c r="BU322" s="60" t="n"/>
      <c r="BV322" s="60" t="n"/>
      <c r="BW322" s="60" t="n"/>
      <c r="BX322" s="60" t="n"/>
      <c r="BY322" s="60" t="n"/>
      <c r="BZ322" s="60" t="n"/>
      <c r="CA322" s="60" t="n"/>
      <c r="CB322" s="60" t="n"/>
      <c r="CC322" s="60" t="n"/>
      <c r="CD322" s="60" t="n"/>
      <c r="CE322" s="60" t="n"/>
      <c r="CF322" s="60" t="n"/>
      <c r="CG322" s="60" t="n"/>
      <c r="CH322" s="60" t="n"/>
      <c r="CI322" s="60" t="n"/>
      <c r="CJ322" s="60" t="n"/>
      <c r="CK322" s="60" t="n"/>
      <c r="CL322" s="60" t="n"/>
      <c r="CM322" s="60" t="n"/>
      <c r="CN322" s="60" t="n"/>
      <c r="CO322" s="60" t="n"/>
      <c r="CP322" s="60" t="n"/>
      <c r="CQ322" s="60" t="n"/>
      <c r="CR322" s="60" t="n"/>
      <c r="CS322" s="60" t="n"/>
      <c r="CT322" s="60" t="n"/>
      <c r="CU322" s="60" t="n"/>
      <c r="CV322" s="60" t="n"/>
      <c r="CW322" s="60" t="n"/>
      <c r="CX322" s="60" t="n"/>
      <c r="CY322" s="60" t="n"/>
      <c r="CZ322" s="60" t="n"/>
      <c r="DA322" s="60" t="n"/>
      <c r="DB322" s="60" t="n"/>
      <c r="DC322" s="60" t="n"/>
      <c r="DD322" s="60" t="n"/>
      <c r="DE322" s="60" t="n"/>
    </row>
    <row r="323">
      <c r="A323" s="60" t="inlineStr">
        <is>
          <t>Referencia del revendido (no se compra)</t>
        </is>
      </c>
      <c r="B323" s="60" t="inlineStr">
        <is>
          <t>Junta tórica de asiento — Ø22 ext. × cordón 3</t>
        </is>
      </c>
      <c r="C323" s="60" t="inlineStr">
        <is>
          <t>u</t>
        </is>
      </c>
      <c r="D323" s="60" t="inlineStr">
        <is>
          <t>No</t>
        </is>
      </c>
      <c r="E323" s="60" t="n"/>
      <c r="F323" s="60" t="inlineStr">
        <is>
          <t>S4 - se compra terminado (tercerizado con sello IRAM)</t>
        </is>
      </c>
      <c r="G323" s="60" t="n"/>
      <c r="H323" s="60" t="n"/>
      <c r="I323" s="60" t="n"/>
      <c r="J323" s="60" t="n"/>
      <c r="K323" s="60" t="n"/>
      <c r="L323" s="60" t="n"/>
      <c r="M323" s="60" t="n"/>
      <c r="N323" s="60" t="n"/>
      <c r="O323" s="60" t="n"/>
      <c r="P323" s="60" t="n">
        <v>1</v>
      </c>
      <c r="Q323" s="60" t="n">
        <v>1</v>
      </c>
      <c r="R323" s="60" t="n"/>
      <c r="S323" s="60" t="n"/>
      <c r="T323" s="60" t="n"/>
      <c r="U323" s="60" t="n"/>
      <c r="V323" s="60" t="n"/>
      <c r="W323" s="60" t="n"/>
      <c r="X323" s="60" t="n"/>
      <c r="Y323" s="60" t="n"/>
      <c r="Z323" s="60" t="n"/>
      <c r="AA323" s="60" t="n"/>
      <c r="AB323" s="60" t="n"/>
      <c r="AC323" s="60" t="n"/>
      <c r="AD323" s="60" t="n"/>
      <c r="AE323" s="60" t="n"/>
      <c r="AF323" s="60" t="n"/>
      <c r="AG323" s="60" t="n"/>
      <c r="AH323" s="60" t="n"/>
      <c r="AI323" s="60" t="n"/>
      <c r="AJ323" s="60" t="n"/>
      <c r="AK323" s="60" t="n"/>
      <c r="AL323" s="60" t="n"/>
      <c r="AM323" s="60" t="n"/>
      <c r="AN323" s="60" t="n"/>
      <c r="AO323" s="60" t="n"/>
      <c r="AP323" s="60" t="n"/>
      <c r="AQ323" s="60" t="n"/>
      <c r="AR323" s="60" t="n"/>
      <c r="AS323" s="60" t="n"/>
      <c r="AT323" s="60" t="n"/>
      <c r="AU323" s="60" t="n"/>
      <c r="AV323" s="60" t="n"/>
      <c r="AW323" s="60" t="n"/>
      <c r="AX323" s="60" t="n"/>
      <c r="AY323" s="60" t="n"/>
      <c r="AZ323" s="60" t="n"/>
      <c r="BA323" s="60" t="n"/>
      <c r="BB323" s="60" t="n"/>
      <c r="BC323" s="60" t="n"/>
      <c r="BD323" s="60" t="n"/>
      <c r="BE323" s="60" t="n"/>
      <c r="BF323" s="60" t="n"/>
      <c r="BG323" s="60" t="n"/>
      <c r="BH323" s="60" t="n"/>
      <c r="BI323" s="60" t="n"/>
      <c r="BJ323" s="60" t="n"/>
      <c r="BK323" s="60" t="n"/>
      <c r="BL323" s="60" t="n"/>
      <c r="BM323" s="60" t="n"/>
      <c r="BN323" s="60" t="n"/>
      <c r="BO323" s="60" t="n"/>
      <c r="BP323" s="60" t="n"/>
      <c r="BQ323" s="60" t="n"/>
      <c r="BR323" s="60" t="n"/>
      <c r="BS323" s="60" t="n"/>
      <c r="BT323" s="60" t="n"/>
      <c r="BU323" s="60" t="n"/>
      <c r="BV323" s="60" t="n"/>
      <c r="BW323" s="60" t="n"/>
      <c r="BX323" s="60" t="n"/>
      <c r="BY323" s="60" t="n"/>
      <c r="BZ323" s="60" t="n"/>
      <c r="CA323" s="60" t="n"/>
      <c r="CB323" s="60" t="n"/>
      <c r="CC323" s="60" t="n"/>
      <c r="CD323" s="60" t="n"/>
      <c r="CE323" s="60" t="n"/>
      <c r="CF323" s="60" t="n"/>
      <c r="CG323" s="60" t="n"/>
      <c r="CH323" s="60" t="n"/>
      <c r="CI323" s="60" t="n"/>
      <c r="CJ323" s="60" t="n"/>
      <c r="CK323" s="60" t="n"/>
      <c r="CL323" s="60" t="n"/>
      <c r="CM323" s="60" t="n"/>
      <c r="CN323" s="60" t="n"/>
      <c r="CO323" s="60" t="n"/>
      <c r="CP323" s="60" t="n"/>
      <c r="CQ323" s="60" t="n"/>
      <c r="CR323" s="60" t="n"/>
      <c r="CS323" s="60" t="n"/>
      <c r="CT323" s="60" t="n"/>
      <c r="CU323" s="60" t="n"/>
      <c r="CV323" s="60" t="n"/>
      <c r="CW323" s="60" t="n"/>
      <c r="CX323" s="60" t="n"/>
      <c r="CY323" s="60" t="n"/>
      <c r="CZ323" s="60" t="n"/>
      <c r="DA323" s="60" t="n"/>
      <c r="DB323" s="60" t="n"/>
      <c r="DC323" s="60" t="n"/>
      <c r="DD323" s="60" t="n"/>
      <c r="DE323" s="60" t="n"/>
    </row>
    <row r="324">
      <c r="A324" s="60" t="inlineStr">
        <is>
          <t>Referencia del revendido (no se compra)</t>
        </is>
      </c>
      <c r="B324" s="60" t="inlineStr">
        <is>
          <t>Junta tórica de asiento — Ø31,4 ext. × cordón 3</t>
        </is>
      </c>
      <c r="C324" s="60" t="inlineStr">
        <is>
          <t>u</t>
        </is>
      </c>
      <c r="D324" s="60" t="inlineStr">
        <is>
          <t>No</t>
        </is>
      </c>
      <c r="E324" s="60" t="n"/>
      <c r="F324" s="60" t="inlineStr">
        <is>
          <t>S4 - se compra terminado (tercerizado con sello IRAM)</t>
        </is>
      </c>
      <c r="G324" s="60" t="n"/>
      <c r="H324" s="60" t="n"/>
      <c r="I324" s="60" t="n"/>
      <c r="J324" s="60" t="n"/>
      <c r="K324" s="60" t="n">
        <v>1</v>
      </c>
      <c r="L324" s="60" t="n">
        <v>1</v>
      </c>
      <c r="M324" s="60" t="n"/>
      <c r="N324" s="60" t="n">
        <v>1</v>
      </c>
      <c r="O324" s="60" t="n">
        <v>1</v>
      </c>
      <c r="P324" s="60" t="n"/>
      <c r="Q324" s="60" t="n"/>
      <c r="R324" s="60" t="n">
        <v>1</v>
      </c>
      <c r="S324" s="60" t="n">
        <v>1</v>
      </c>
      <c r="T324" s="60" t="n"/>
      <c r="U324" s="60" t="n"/>
      <c r="V324" s="60" t="n"/>
      <c r="W324" s="60" t="n"/>
      <c r="X324" s="60" t="n"/>
      <c r="Y324" s="60" t="n"/>
      <c r="Z324" s="60" t="n"/>
      <c r="AA324" s="60" t="n"/>
      <c r="AB324" s="60" t="n"/>
      <c r="AC324" s="60" t="n"/>
      <c r="AD324" s="60" t="n"/>
      <c r="AE324" s="60" t="n"/>
      <c r="AF324" s="60" t="n"/>
      <c r="AG324" s="60" t="n"/>
      <c r="AH324" s="60" t="n"/>
      <c r="AI324" s="60" t="n"/>
      <c r="AJ324" s="60" t="n"/>
      <c r="AK324" s="60" t="n"/>
      <c r="AL324" s="60" t="n"/>
      <c r="AM324" s="60" t="n"/>
      <c r="AN324" s="60" t="n"/>
      <c r="AO324" s="60" t="n"/>
      <c r="AP324" s="60" t="n"/>
      <c r="AQ324" s="60" t="n"/>
      <c r="AR324" s="60" t="n"/>
      <c r="AS324" s="60" t="n"/>
      <c r="AT324" s="60" t="n"/>
      <c r="AU324" s="60" t="n"/>
      <c r="AV324" s="60" t="n"/>
      <c r="AW324" s="60" t="n"/>
      <c r="AX324" s="60" t="n"/>
      <c r="AY324" s="60" t="n"/>
      <c r="AZ324" s="60" t="n"/>
      <c r="BA324" s="60" t="n"/>
      <c r="BB324" s="60" t="n"/>
      <c r="BC324" s="60" t="n"/>
      <c r="BD324" s="60" t="n"/>
      <c r="BE324" s="60" t="n"/>
      <c r="BF324" s="60" t="n"/>
      <c r="BG324" s="60" t="n"/>
      <c r="BH324" s="60" t="n"/>
      <c r="BI324" s="60" t="n"/>
      <c r="BJ324" s="60" t="n"/>
      <c r="BK324" s="60" t="n"/>
      <c r="BL324" s="60" t="n"/>
      <c r="BM324" s="60" t="n"/>
      <c r="BN324" s="60" t="n"/>
      <c r="BO324" s="60" t="n"/>
      <c r="BP324" s="60" t="n"/>
      <c r="BQ324" s="60" t="n"/>
      <c r="BR324" s="60" t="n"/>
      <c r="BS324" s="60" t="n"/>
      <c r="BT324" s="60" t="n"/>
      <c r="BU324" s="60" t="n"/>
      <c r="BV324" s="60" t="n"/>
      <c r="BW324" s="60" t="n"/>
      <c r="BX324" s="60" t="n"/>
      <c r="BY324" s="60" t="n"/>
      <c r="BZ324" s="60" t="n"/>
      <c r="CA324" s="60" t="n"/>
      <c r="CB324" s="60" t="n"/>
      <c r="CC324" s="60" t="n"/>
      <c r="CD324" s="60" t="n"/>
      <c r="CE324" s="60" t="n"/>
      <c r="CF324" s="60" t="n"/>
      <c r="CG324" s="60" t="n"/>
      <c r="CH324" s="60" t="n"/>
      <c r="CI324" s="60" t="n"/>
      <c r="CJ324" s="60" t="n"/>
      <c r="CK324" s="60" t="n"/>
      <c r="CL324" s="60" t="n"/>
      <c r="CM324" s="60" t="n"/>
      <c r="CN324" s="60" t="n"/>
      <c r="CO324" s="60" t="n"/>
      <c r="CP324" s="60" t="n"/>
      <c r="CQ324" s="60" t="n"/>
      <c r="CR324" s="60" t="n"/>
      <c r="CS324" s="60" t="n"/>
      <c r="CT324" s="60" t="n"/>
      <c r="CU324" s="60" t="n"/>
      <c r="CV324" s="60" t="n"/>
      <c r="CW324" s="60" t="n"/>
      <c r="CX324" s="60" t="n"/>
      <c r="CY324" s="60" t="n"/>
      <c r="CZ324" s="60" t="n"/>
      <c r="DA324" s="60" t="n"/>
      <c r="DB324" s="60" t="n"/>
      <c r="DC324" s="60" t="n"/>
      <c r="DD324" s="60" t="n"/>
      <c r="DE324" s="60" t="n"/>
    </row>
    <row r="325">
      <c r="A325" s="60" t="inlineStr">
        <is>
          <t>Referencia del revendido (no se compra)</t>
        </is>
      </c>
      <c r="B325" s="60" t="inlineStr">
        <is>
          <t>Junta tórica de asiento — Ø75,2 ext. × cordón 3</t>
        </is>
      </c>
      <c r="C325" s="60" t="inlineStr">
        <is>
          <t>u</t>
        </is>
      </c>
      <c r="D325" s="60" t="inlineStr">
        <is>
          <t>No</t>
        </is>
      </c>
      <c r="E325" s="60" t="n"/>
      <c r="F325" s="60" t="inlineStr">
        <is>
          <t>S4 - se compra terminado (tercerizado con sello IRAM)</t>
        </is>
      </c>
      <c r="G325" s="60" t="n"/>
      <c r="H325" s="60" t="n"/>
      <c r="I325" s="60" t="n"/>
      <c r="J325" s="60" t="n"/>
      <c r="K325" s="60" t="n"/>
      <c r="L325" s="60" t="n"/>
      <c r="M325" s="60" t="n">
        <v>1</v>
      </c>
      <c r="N325" s="60" t="n"/>
      <c r="O325" s="60" t="n"/>
      <c r="P325" s="60" t="n"/>
      <c r="Q325" s="60" t="n"/>
      <c r="R325" s="60" t="n"/>
      <c r="S325" s="60" t="n"/>
      <c r="T325" s="60" t="n"/>
      <c r="U325" s="60" t="n"/>
      <c r="V325" s="60" t="n"/>
      <c r="W325" s="60" t="n"/>
      <c r="X325" s="60" t="n"/>
      <c r="Y325" s="60" t="n"/>
      <c r="Z325" s="60" t="n"/>
      <c r="AA325" s="60" t="n"/>
      <c r="AB325" s="60" t="n"/>
      <c r="AC325" s="60" t="n"/>
      <c r="AD325" s="60" t="n"/>
      <c r="AE325" s="60" t="n"/>
      <c r="AF325" s="60" t="n"/>
      <c r="AG325" s="60" t="n"/>
      <c r="AH325" s="60" t="n"/>
      <c r="AI325" s="60" t="n"/>
      <c r="AJ325" s="60" t="n"/>
      <c r="AK325" s="60" t="n"/>
      <c r="AL325" s="60" t="n"/>
      <c r="AM325" s="60" t="n"/>
      <c r="AN325" s="60" t="n"/>
      <c r="AO325" s="60" t="n"/>
      <c r="AP325" s="60" t="n"/>
      <c r="AQ325" s="60" t="n"/>
      <c r="AR325" s="60" t="n"/>
      <c r="AS325" s="60" t="n"/>
      <c r="AT325" s="60" t="n"/>
      <c r="AU325" s="60" t="n"/>
      <c r="AV325" s="60" t="n"/>
      <c r="AW325" s="60" t="n"/>
      <c r="AX325" s="60" t="n"/>
      <c r="AY325" s="60" t="n"/>
      <c r="AZ325" s="60" t="n"/>
      <c r="BA325" s="60" t="n"/>
      <c r="BB325" s="60" t="n"/>
      <c r="BC325" s="60" t="n"/>
      <c r="BD325" s="60" t="n"/>
      <c r="BE325" s="60" t="n"/>
      <c r="BF325" s="60" t="n"/>
      <c r="BG325" s="60" t="n"/>
      <c r="BH325" s="60" t="n"/>
      <c r="BI325" s="60" t="n"/>
      <c r="BJ325" s="60" t="n"/>
      <c r="BK325" s="60" t="n"/>
      <c r="BL325" s="60" t="n"/>
      <c r="BM325" s="60" t="n"/>
      <c r="BN325" s="60" t="n"/>
      <c r="BO325" s="60" t="n"/>
      <c r="BP325" s="60" t="n"/>
      <c r="BQ325" s="60" t="n"/>
      <c r="BR325" s="60" t="n"/>
      <c r="BS325" s="60" t="n"/>
      <c r="BT325" s="60" t="n"/>
      <c r="BU325" s="60" t="n"/>
      <c r="BV325" s="60" t="n"/>
      <c r="BW325" s="60" t="n"/>
      <c r="BX325" s="60" t="n"/>
      <c r="BY325" s="60" t="n"/>
      <c r="BZ325" s="60" t="n"/>
      <c r="CA325" s="60" t="n"/>
      <c r="CB325" s="60" t="n"/>
      <c r="CC325" s="60" t="n"/>
      <c r="CD325" s="60" t="n"/>
      <c r="CE325" s="60" t="n"/>
      <c r="CF325" s="60" t="n"/>
      <c r="CG325" s="60" t="n"/>
      <c r="CH325" s="60" t="n"/>
      <c r="CI325" s="60" t="n"/>
      <c r="CJ325" s="60" t="n"/>
      <c r="CK325" s="60" t="n"/>
      <c r="CL325" s="60" t="n"/>
      <c r="CM325" s="60" t="n"/>
      <c r="CN325" s="60" t="n"/>
      <c r="CO325" s="60" t="n"/>
      <c r="CP325" s="60" t="n"/>
      <c r="CQ325" s="60" t="n"/>
      <c r="CR325" s="60" t="n"/>
      <c r="CS325" s="60" t="n"/>
      <c r="CT325" s="60" t="n"/>
      <c r="CU325" s="60" t="n"/>
      <c r="CV325" s="60" t="n"/>
      <c r="CW325" s="60" t="n"/>
      <c r="CX325" s="60" t="n"/>
      <c r="CY325" s="60" t="n"/>
      <c r="CZ325" s="60" t="n"/>
      <c r="DA325" s="60" t="n"/>
      <c r="DB325" s="60" t="n"/>
      <c r="DC325" s="60" t="n"/>
      <c r="DD325" s="60" t="n"/>
      <c r="DE325" s="60" t="n"/>
    </row>
    <row r="326">
      <c r="A326" s="60" t="inlineStr">
        <is>
          <t>Referencia del revendido (no se compra)</t>
        </is>
      </c>
      <c r="B326" s="60" t="inlineStr">
        <is>
          <t>Lanza aplicadora clase K — 300 × 26 × 26</t>
        </is>
      </c>
      <c r="C326" s="60" t="inlineStr">
        <is>
          <t>u</t>
        </is>
      </c>
      <c r="D326" s="60" t="inlineStr">
        <is>
          <t>No</t>
        </is>
      </c>
      <c r="E326" s="60" t="n"/>
      <c r="F326" s="60" t="inlineStr">
        <is>
          <t>S4 - se compra terminado (tercerizado con sello IRAM)</t>
        </is>
      </c>
      <c r="G326" s="60" t="n"/>
      <c r="H326" s="60" t="n"/>
      <c r="I326" s="60" t="n"/>
      <c r="J326" s="60" t="n"/>
      <c r="K326" s="60" t="n"/>
      <c r="L326" s="60" t="n"/>
      <c r="M326" s="60" t="n"/>
      <c r="N326" s="60" t="n"/>
      <c r="O326" s="60" t="n">
        <v>1</v>
      </c>
      <c r="P326" s="60" t="n"/>
      <c r="Q326" s="60" t="n"/>
      <c r="R326" s="60" t="n"/>
      <c r="S326" s="60" t="n"/>
      <c r="T326" s="60" t="n"/>
      <c r="U326" s="60" t="n"/>
      <c r="V326" s="60" t="n"/>
      <c r="W326" s="60" t="n"/>
      <c r="X326" s="60" t="n"/>
      <c r="Y326" s="60" t="n"/>
      <c r="Z326" s="60" t="n"/>
      <c r="AA326" s="60" t="n"/>
      <c r="AB326" s="60" t="n"/>
      <c r="AC326" s="60" t="n"/>
      <c r="AD326" s="60" t="n"/>
      <c r="AE326" s="60" t="n"/>
      <c r="AF326" s="60" t="n"/>
      <c r="AG326" s="60" t="n"/>
      <c r="AH326" s="60" t="n"/>
      <c r="AI326" s="60" t="n"/>
      <c r="AJ326" s="60" t="n"/>
      <c r="AK326" s="60" t="n"/>
      <c r="AL326" s="60" t="n"/>
      <c r="AM326" s="60" t="n"/>
      <c r="AN326" s="60" t="n"/>
      <c r="AO326" s="60" t="n"/>
      <c r="AP326" s="60" t="n"/>
      <c r="AQ326" s="60" t="n"/>
      <c r="AR326" s="60" t="n"/>
      <c r="AS326" s="60" t="n"/>
      <c r="AT326" s="60" t="n"/>
      <c r="AU326" s="60" t="n"/>
      <c r="AV326" s="60" t="n"/>
      <c r="AW326" s="60" t="n"/>
      <c r="AX326" s="60" t="n"/>
      <c r="AY326" s="60" t="n"/>
      <c r="AZ326" s="60" t="n"/>
      <c r="BA326" s="60" t="n"/>
      <c r="BB326" s="60" t="n"/>
      <c r="BC326" s="60" t="n"/>
      <c r="BD326" s="60" t="n"/>
      <c r="BE326" s="60" t="n"/>
      <c r="BF326" s="60" t="n"/>
      <c r="BG326" s="60" t="n"/>
      <c r="BH326" s="60" t="n"/>
      <c r="BI326" s="60" t="n"/>
      <c r="BJ326" s="60" t="n"/>
      <c r="BK326" s="60" t="n"/>
      <c r="BL326" s="60" t="n"/>
      <c r="BM326" s="60" t="n"/>
      <c r="BN326" s="60" t="n"/>
      <c r="BO326" s="60" t="n"/>
      <c r="BP326" s="60" t="n"/>
      <c r="BQ326" s="60" t="n"/>
      <c r="BR326" s="60" t="n"/>
      <c r="BS326" s="60" t="n"/>
      <c r="BT326" s="60" t="n"/>
      <c r="BU326" s="60" t="n"/>
      <c r="BV326" s="60" t="n"/>
      <c r="BW326" s="60" t="n"/>
      <c r="BX326" s="60" t="n"/>
      <c r="BY326" s="60" t="n"/>
      <c r="BZ326" s="60" t="n"/>
      <c r="CA326" s="60" t="n"/>
      <c r="CB326" s="60" t="n"/>
      <c r="CC326" s="60" t="n"/>
      <c r="CD326" s="60" t="n"/>
      <c r="CE326" s="60" t="n"/>
      <c r="CF326" s="60" t="n"/>
      <c r="CG326" s="60" t="n"/>
      <c r="CH326" s="60" t="n"/>
      <c r="CI326" s="60" t="n"/>
      <c r="CJ326" s="60" t="n"/>
      <c r="CK326" s="60" t="n"/>
      <c r="CL326" s="60" t="n"/>
      <c r="CM326" s="60" t="n"/>
      <c r="CN326" s="60" t="n"/>
      <c r="CO326" s="60" t="n"/>
      <c r="CP326" s="60" t="n"/>
      <c r="CQ326" s="60" t="n"/>
      <c r="CR326" s="60" t="n"/>
      <c r="CS326" s="60" t="n"/>
      <c r="CT326" s="60" t="n"/>
      <c r="CU326" s="60" t="n"/>
      <c r="CV326" s="60" t="n"/>
      <c r="CW326" s="60" t="n"/>
      <c r="CX326" s="60" t="n"/>
      <c r="CY326" s="60" t="n"/>
      <c r="CZ326" s="60" t="n"/>
      <c r="DA326" s="60" t="n"/>
      <c r="DB326" s="60" t="n"/>
      <c r="DC326" s="60" t="n"/>
      <c r="DD326" s="60" t="n"/>
      <c r="DE326" s="60" t="n"/>
    </row>
    <row r="327">
      <c r="A327" s="60" t="inlineStr">
        <is>
          <t>Referencia del revendido (no se compra)</t>
        </is>
      </c>
      <c r="B327" s="60" t="inlineStr">
        <is>
          <t>Lanza aplicadora flujo suave — 360 × 40 × 40</t>
        </is>
      </c>
      <c r="C327" s="60" t="inlineStr">
        <is>
          <t>u</t>
        </is>
      </c>
      <c r="D327" s="60" t="inlineStr">
        <is>
          <t>No</t>
        </is>
      </c>
      <c r="E327" s="60" t="n"/>
      <c r="F327" s="60" t="inlineStr">
        <is>
          <t>S4 - se compra terminado (tercerizado con sello IRAM)</t>
        </is>
      </c>
      <c r="G327" s="60" t="n"/>
      <c r="H327" s="60" t="n"/>
      <c r="I327" s="60" t="n"/>
      <c r="J327" s="60" t="n"/>
      <c r="K327" s="60" t="n"/>
      <c r="L327" s="60" t="n"/>
      <c r="M327" s="60" t="n"/>
      <c r="N327" s="60" t="n"/>
      <c r="O327" s="60" t="n"/>
      <c r="P327" s="60" t="n"/>
      <c r="Q327" s="60" t="n"/>
      <c r="R327" s="60" t="n"/>
      <c r="S327" s="60" t="n">
        <v>1</v>
      </c>
      <c r="T327" s="60" t="n"/>
      <c r="U327" s="60" t="n"/>
      <c r="V327" s="60" t="n"/>
      <c r="W327" s="60" t="n"/>
      <c r="X327" s="60" t="n"/>
      <c r="Y327" s="60" t="n"/>
      <c r="Z327" s="60" t="n"/>
      <c r="AA327" s="60" t="n"/>
      <c r="AB327" s="60" t="n"/>
      <c r="AC327" s="60" t="n"/>
      <c r="AD327" s="60" t="n"/>
      <c r="AE327" s="60" t="n"/>
      <c r="AF327" s="60" t="n"/>
      <c r="AG327" s="60" t="n"/>
      <c r="AH327" s="60" t="n"/>
      <c r="AI327" s="60" t="n"/>
      <c r="AJ327" s="60" t="n"/>
      <c r="AK327" s="60" t="n"/>
      <c r="AL327" s="60" t="n"/>
      <c r="AM327" s="60" t="n"/>
      <c r="AN327" s="60" t="n"/>
      <c r="AO327" s="60" t="n"/>
      <c r="AP327" s="60" t="n"/>
      <c r="AQ327" s="60" t="n"/>
      <c r="AR327" s="60" t="n"/>
      <c r="AS327" s="60" t="n"/>
      <c r="AT327" s="60" t="n"/>
      <c r="AU327" s="60" t="n"/>
      <c r="AV327" s="60" t="n"/>
      <c r="AW327" s="60" t="n"/>
      <c r="AX327" s="60" t="n"/>
      <c r="AY327" s="60" t="n"/>
      <c r="AZ327" s="60" t="n"/>
      <c r="BA327" s="60" t="n"/>
      <c r="BB327" s="60" t="n"/>
      <c r="BC327" s="60" t="n"/>
      <c r="BD327" s="60" t="n"/>
      <c r="BE327" s="60" t="n"/>
      <c r="BF327" s="60" t="n"/>
      <c r="BG327" s="60" t="n"/>
      <c r="BH327" s="60" t="n"/>
      <c r="BI327" s="60" t="n"/>
      <c r="BJ327" s="60" t="n"/>
      <c r="BK327" s="60" t="n"/>
      <c r="BL327" s="60" t="n"/>
      <c r="BM327" s="60" t="n"/>
      <c r="BN327" s="60" t="n"/>
      <c r="BO327" s="60" t="n"/>
      <c r="BP327" s="60" t="n"/>
      <c r="BQ327" s="60" t="n"/>
      <c r="BR327" s="60" t="n"/>
      <c r="BS327" s="60" t="n"/>
      <c r="BT327" s="60" t="n"/>
      <c r="BU327" s="60" t="n"/>
      <c r="BV327" s="60" t="n"/>
      <c r="BW327" s="60" t="n"/>
      <c r="BX327" s="60" t="n"/>
      <c r="BY327" s="60" t="n"/>
      <c r="BZ327" s="60" t="n"/>
      <c r="CA327" s="60" t="n"/>
      <c r="CB327" s="60" t="n"/>
      <c r="CC327" s="60" t="n"/>
      <c r="CD327" s="60" t="n"/>
      <c r="CE327" s="60" t="n"/>
      <c r="CF327" s="60" t="n"/>
      <c r="CG327" s="60" t="n"/>
      <c r="CH327" s="60" t="n"/>
      <c r="CI327" s="60" t="n"/>
      <c r="CJ327" s="60" t="n"/>
      <c r="CK327" s="60" t="n"/>
      <c r="CL327" s="60" t="n"/>
      <c r="CM327" s="60" t="n"/>
      <c r="CN327" s="60" t="n"/>
      <c r="CO327" s="60" t="n"/>
      <c r="CP327" s="60" t="n"/>
      <c r="CQ327" s="60" t="n"/>
      <c r="CR327" s="60" t="n"/>
      <c r="CS327" s="60" t="n"/>
      <c r="CT327" s="60" t="n"/>
      <c r="CU327" s="60" t="n"/>
      <c r="CV327" s="60" t="n"/>
      <c r="CW327" s="60" t="n"/>
      <c r="CX327" s="60" t="n"/>
      <c r="CY327" s="60" t="n"/>
      <c r="CZ327" s="60" t="n"/>
      <c r="DA327" s="60" t="n"/>
      <c r="DB327" s="60" t="n"/>
      <c r="DC327" s="60" t="n"/>
      <c r="DD327" s="60" t="n"/>
      <c r="DE327" s="60" t="n"/>
    </row>
    <row r="328">
      <c r="A328" s="60" t="inlineStr">
        <is>
          <t>Referencia del revendido (no se compra)</t>
        </is>
      </c>
      <c r="B328" s="60" t="inlineStr">
        <is>
          <t>Lanza espumígena — 210 × 32 × 32</t>
        </is>
      </c>
      <c r="C328" s="60" t="inlineStr">
        <is>
          <t>u</t>
        </is>
      </c>
      <c r="D328" s="60" t="inlineStr">
        <is>
          <t>No</t>
        </is>
      </c>
      <c r="E328" s="60" t="n"/>
      <c r="F328" s="60" t="inlineStr">
        <is>
          <t>S4 - se compra terminado (tercerizado con sello IRAM)</t>
        </is>
      </c>
      <c r="G328" s="60" t="n"/>
      <c r="H328" s="60" t="n"/>
      <c r="I328" s="60" t="n"/>
      <c r="J328" s="60" t="n"/>
      <c r="K328" s="60" t="n"/>
      <c r="L328" s="60" t="n">
        <v>1</v>
      </c>
      <c r="M328" s="60" t="n"/>
      <c r="N328" s="60" t="n"/>
      <c r="O328" s="60" t="n"/>
      <c r="P328" s="60" t="n"/>
      <c r="Q328" s="60" t="n"/>
      <c r="R328" s="60" t="n"/>
      <c r="S328" s="60" t="n"/>
      <c r="T328" s="60" t="n"/>
      <c r="U328" s="60" t="n"/>
      <c r="V328" s="60" t="n"/>
      <c r="W328" s="60" t="n"/>
      <c r="X328" s="60" t="n"/>
      <c r="Y328" s="60" t="n"/>
      <c r="Z328" s="60" t="n"/>
      <c r="AA328" s="60" t="n"/>
      <c r="AB328" s="60" t="n"/>
      <c r="AC328" s="60" t="n"/>
      <c r="AD328" s="60" t="n"/>
      <c r="AE328" s="60" t="n"/>
      <c r="AF328" s="60" t="n"/>
      <c r="AG328" s="60" t="n"/>
      <c r="AH328" s="60" t="n"/>
      <c r="AI328" s="60" t="n"/>
      <c r="AJ328" s="60" t="n"/>
      <c r="AK328" s="60" t="n"/>
      <c r="AL328" s="60" t="n"/>
      <c r="AM328" s="60" t="n"/>
      <c r="AN328" s="60" t="n"/>
      <c r="AO328" s="60" t="n"/>
      <c r="AP328" s="60" t="n"/>
      <c r="AQ328" s="60" t="n"/>
      <c r="AR328" s="60" t="n"/>
      <c r="AS328" s="60" t="n"/>
      <c r="AT328" s="60" t="n"/>
      <c r="AU328" s="60" t="n"/>
      <c r="AV328" s="60" t="n"/>
      <c r="AW328" s="60" t="n"/>
      <c r="AX328" s="60" t="n"/>
      <c r="AY328" s="60" t="n"/>
      <c r="AZ328" s="60" t="n"/>
      <c r="BA328" s="60" t="n"/>
      <c r="BB328" s="60" t="n"/>
      <c r="BC328" s="60" t="n"/>
      <c r="BD328" s="60" t="n"/>
      <c r="BE328" s="60" t="n"/>
      <c r="BF328" s="60" t="n"/>
      <c r="BG328" s="60" t="n"/>
      <c r="BH328" s="60" t="n"/>
      <c r="BI328" s="60" t="n"/>
      <c r="BJ328" s="60" t="n"/>
      <c r="BK328" s="60" t="n"/>
      <c r="BL328" s="60" t="n"/>
      <c r="BM328" s="60" t="n"/>
      <c r="BN328" s="60" t="n"/>
      <c r="BO328" s="60" t="n"/>
      <c r="BP328" s="60" t="n"/>
      <c r="BQ328" s="60" t="n"/>
      <c r="BR328" s="60" t="n"/>
      <c r="BS328" s="60" t="n"/>
      <c r="BT328" s="60" t="n"/>
      <c r="BU328" s="60" t="n"/>
      <c r="BV328" s="60" t="n"/>
      <c r="BW328" s="60" t="n"/>
      <c r="BX328" s="60" t="n"/>
      <c r="BY328" s="60" t="n"/>
      <c r="BZ328" s="60" t="n"/>
      <c r="CA328" s="60" t="n"/>
      <c r="CB328" s="60" t="n"/>
      <c r="CC328" s="60" t="n"/>
      <c r="CD328" s="60" t="n"/>
      <c r="CE328" s="60" t="n"/>
      <c r="CF328" s="60" t="n"/>
      <c r="CG328" s="60" t="n"/>
      <c r="CH328" s="60" t="n"/>
      <c r="CI328" s="60" t="n"/>
      <c r="CJ328" s="60" t="n"/>
      <c r="CK328" s="60" t="n"/>
      <c r="CL328" s="60" t="n"/>
      <c r="CM328" s="60" t="n"/>
      <c r="CN328" s="60" t="n"/>
      <c r="CO328" s="60" t="n"/>
      <c r="CP328" s="60" t="n"/>
      <c r="CQ328" s="60" t="n"/>
      <c r="CR328" s="60" t="n"/>
      <c r="CS328" s="60" t="n"/>
      <c r="CT328" s="60" t="n"/>
      <c r="CU328" s="60" t="n"/>
      <c r="CV328" s="60" t="n"/>
      <c r="CW328" s="60" t="n"/>
      <c r="CX328" s="60" t="n"/>
      <c r="CY328" s="60" t="n"/>
      <c r="CZ328" s="60" t="n"/>
      <c r="DA328" s="60" t="n"/>
      <c r="DB328" s="60" t="n"/>
      <c r="DC328" s="60" t="n"/>
      <c r="DD328" s="60" t="n"/>
      <c r="DE328" s="60" t="n"/>
    </row>
    <row r="329">
      <c r="A329" s="60" t="inlineStr">
        <is>
          <t>Referencia del revendido (no se compra)</t>
        </is>
      </c>
      <c r="B329" s="60" t="inlineStr">
        <is>
          <t>Lanza espumígena — 380 × 56 × 56</t>
        </is>
      </c>
      <c r="C329" s="60" t="inlineStr">
        <is>
          <t>u</t>
        </is>
      </c>
      <c r="D329" s="60" t="inlineStr">
        <is>
          <t>No</t>
        </is>
      </c>
      <c r="E329" s="60" t="n"/>
      <c r="F329" s="60" t="inlineStr">
        <is>
          <t>S4 - se compra terminado (tercerizado con sello IRAM)</t>
        </is>
      </c>
      <c r="G329" s="60" t="n"/>
      <c r="H329" s="60" t="n"/>
      <c r="I329" s="60" t="n"/>
      <c r="J329" s="60" t="n"/>
      <c r="K329" s="60" t="n"/>
      <c r="L329" s="60" t="n"/>
      <c r="M329" s="60" t="n">
        <v>1</v>
      </c>
      <c r="N329" s="60" t="n"/>
      <c r="O329" s="60" t="n"/>
      <c r="P329" s="60" t="n"/>
      <c r="Q329" s="60" t="n"/>
      <c r="R329" s="60" t="n"/>
      <c r="S329" s="60" t="n"/>
      <c r="T329" s="60" t="n"/>
      <c r="U329" s="60" t="n"/>
      <c r="V329" s="60" t="n"/>
      <c r="W329" s="60" t="n"/>
      <c r="X329" s="60" t="n"/>
      <c r="Y329" s="60" t="n"/>
      <c r="Z329" s="60" t="n"/>
      <c r="AA329" s="60" t="n"/>
      <c r="AB329" s="60" t="n"/>
      <c r="AC329" s="60" t="n"/>
      <c r="AD329" s="60" t="n"/>
      <c r="AE329" s="60" t="n"/>
      <c r="AF329" s="60" t="n"/>
      <c r="AG329" s="60" t="n"/>
      <c r="AH329" s="60" t="n"/>
      <c r="AI329" s="60" t="n"/>
      <c r="AJ329" s="60" t="n"/>
      <c r="AK329" s="60" t="n"/>
      <c r="AL329" s="60" t="n"/>
      <c r="AM329" s="60" t="n"/>
      <c r="AN329" s="60" t="n"/>
      <c r="AO329" s="60" t="n"/>
      <c r="AP329" s="60" t="n"/>
      <c r="AQ329" s="60" t="n"/>
      <c r="AR329" s="60" t="n"/>
      <c r="AS329" s="60" t="n"/>
      <c r="AT329" s="60" t="n"/>
      <c r="AU329" s="60" t="n"/>
      <c r="AV329" s="60" t="n"/>
      <c r="AW329" s="60" t="n"/>
      <c r="AX329" s="60" t="n"/>
      <c r="AY329" s="60" t="n"/>
      <c r="AZ329" s="60" t="n"/>
      <c r="BA329" s="60" t="n"/>
      <c r="BB329" s="60" t="n"/>
      <c r="BC329" s="60" t="n"/>
      <c r="BD329" s="60" t="n"/>
      <c r="BE329" s="60" t="n"/>
      <c r="BF329" s="60" t="n"/>
      <c r="BG329" s="60" t="n"/>
      <c r="BH329" s="60" t="n"/>
      <c r="BI329" s="60" t="n"/>
      <c r="BJ329" s="60" t="n"/>
      <c r="BK329" s="60" t="n"/>
      <c r="BL329" s="60" t="n"/>
      <c r="BM329" s="60" t="n"/>
      <c r="BN329" s="60" t="n"/>
      <c r="BO329" s="60" t="n"/>
      <c r="BP329" s="60" t="n"/>
      <c r="BQ329" s="60" t="n"/>
      <c r="BR329" s="60" t="n"/>
      <c r="BS329" s="60" t="n"/>
      <c r="BT329" s="60" t="n"/>
      <c r="BU329" s="60" t="n"/>
      <c r="BV329" s="60" t="n"/>
      <c r="BW329" s="60" t="n"/>
      <c r="BX329" s="60" t="n"/>
      <c r="BY329" s="60" t="n"/>
      <c r="BZ329" s="60" t="n"/>
      <c r="CA329" s="60" t="n"/>
      <c r="CB329" s="60" t="n"/>
      <c r="CC329" s="60" t="n"/>
      <c r="CD329" s="60" t="n"/>
      <c r="CE329" s="60" t="n"/>
      <c r="CF329" s="60" t="n"/>
      <c r="CG329" s="60" t="n"/>
      <c r="CH329" s="60" t="n"/>
      <c r="CI329" s="60" t="n"/>
      <c r="CJ329" s="60" t="n"/>
      <c r="CK329" s="60" t="n"/>
      <c r="CL329" s="60" t="n"/>
      <c r="CM329" s="60" t="n"/>
      <c r="CN329" s="60" t="n"/>
      <c r="CO329" s="60" t="n"/>
      <c r="CP329" s="60" t="n"/>
      <c r="CQ329" s="60" t="n"/>
      <c r="CR329" s="60" t="n"/>
      <c r="CS329" s="60" t="n"/>
      <c r="CT329" s="60" t="n"/>
      <c r="CU329" s="60" t="n"/>
      <c r="CV329" s="60" t="n"/>
      <c r="CW329" s="60" t="n"/>
      <c r="CX329" s="60" t="n"/>
      <c r="CY329" s="60" t="n"/>
      <c r="CZ329" s="60" t="n"/>
      <c r="DA329" s="60" t="n"/>
      <c r="DB329" s="60" t="n"/>
      <c r="DC329" s="60" t="n"/>
      <c r="DD329" s="60" t="n"/>
      <c r="DE329" s="60" t="n"/>
    </row>
    <row r="330">
      <c r="A330" s="60" t="inlineStr">
        <is>
          <t>Referencia del revendido (no se compra)</t>
        </is>
      </c>
      <c r="B330" s="60" t="inlineStr">
        <is>
          <t>Llanta con cubo — Ø252 × 80 de ancho</t>
        </is>
      </c>
      <c r="C330" s="60" t="inlineStr">
        <is>
          <t>u</t>
        </is>
      </c>
      <c r="D330" s="60" t="inlineStr">
        <is>
          <t>No</t>
        </is>
      </c>
      <c r="E330" s="60" t="n"/>
      <c r="F330" s="60" t="inlineStr">
        <is>
          <t>S4 - se compra terminado (tercerizado con sello IRAM)</t>
        </is>
      </c>
      <c r="G330" s="60" t="n"/>
      <c r="H330" s="60" t="n"/>
      <c r="I330" s="60" t="n"/>
      <c r="J330" s="60" t="n"/>
      <c r="K330" s="60" t="n"/>
      <c r="L330" s="60" t="n"/>
      <c r="M330" s="60" t="n">
        <v>2</v>
      </c>
      <c r="N330" s="60" t="n"/>
      <c r="O330" s="60" t="n"/>
      <c r="P330" s="60" t="n"/>
      <c r="Q330" s="60" t="n"/>
      <c r="R330" s="60" t="n"/>
      <c r="S330" s="60" t="n"/>
      <c r="T330" s="60" t="n"/>
      <c r="U330" s="60" t="n">
        <v>2</v>
      </c>
      <c r="V330" s="60" t="n">
        <v>2</v>
      </c>
      <c r="W330" s="60" t="n"/>
      <c r="X330" s="60" t="n"/>
      <c r="Y330" s="60" t="n"/>
      <c r="Z330" s="60" t="n"/>
      <c r="AA330" s="60" t="n"/>
      <c r="AB330" s="60" t="n"/>
      <c r="AC330" s="60" t="n"/>
      <c r="AD330" s="60" t="n"/>
      <c r="AE330" s="60" t="n"/>
      <c r="AF330" s="60" t="n"/>
      <c r="AG330" s="60" t="n"/>
      <c r="AH330" s="60" t="n"/>
      <c r="AI330" s="60" t="n"/>
      <c r="AJ330" s="60" t="n"/>
      <c r="AK330" s="60" t="n"/>
      <c r="AL330" s="60" t="n"/>
      <c r="AM330" s="60" t="n"/>
      <c r="AN330" s="60" t="n"/>
      <c r="AO330" s="60" t="n"/>
      <c r="AP330" s="60" t="n"/>
      <c r="AQ330" s="60" t="n"/>
      <c r="AR330" s="60" t="n"/>
      <c r="AS330" s="60" t="n"/>
      <c r="AT330" s="60" t="n"/>
      <c r="AU330" s="60" t="n"/>
      <c r="AV330" s="60" t="n"/>
      <c r="AW330" s="60" t="n"/>
      <c r="AX330" s="60" t="n"/>
      <c r="AY330" s="60" t="n"/>
      <c r="AZ330" s="60" t="n"/>
      <c r="BA330" s="60" t="n"/>
      <c r="BB330" s="60" t="n"/>
      <c r="BC330" s="60" t="n"/>
      <c r="BD330" s="60" t="n"/>
      <c r="BE330" s="60" t="n"/>
      <c r="BF330" s="60" t="n"/>
      <c r="BG330" s="60" t="n"/>
      <c r="BH330" s="60" t="n"/>
      <c r="BI330" s="60" t="n"/>
      <c r="BJ330" s="60" t="n"/>
      <c r="BK330" s="60" t="n"/>
      <c r="BL330" s="60" t="n"/>
      <c r="BM330" s="60" t="n"/>
      <c r="BN330" s="60" t="n"/>
      <c r="BO330" s="60" t="n"/>
      <c r="BP330" s="60" t="n"/>
      <c r="BQ330" s="60" t="n"/>
      <c r="BR330" s="60" t="n"/>
      <c r="BS330" s="60" t="n"/>
      <c r="BT330" s="60" t="n"/>
      <c r="BU330" s="60" t="n"/>
      <c r="BV330" s="60" t="n"/>
      <c r="BW330" s="60" t="n"/>
      <c r="BX330" s="60" t="n"/>
      <c r="BY330" s="60" t="n"/>
      <c r="BZ330" s="60" t="n"/>
      <c r="CA330" s="60" t="n"/>
      <c r="CB330" s="60" t="n"/>
      <c r="CC330" s="60" t="n"/>
      <c r="CD330" s="60" t="n"/>
      <c r="CE330" s="60" t="n"/>
      <c r="CF330" s="60" t="n"/>
      <c r="CG330" s="60" t="n"/>
      <c r="CH330" s="60" t="n"/>
      <c r="CI330" s="60" t="n"/>
      <c r="CJ330" s="60" t="n"/>
      <c r="CK330" s="60" t="n"/>
      <c r="CL330" s="60" t="n"/>
      <c r="CM330" s="60" t="n"/>
      <c r="CN330" s="60" t="n"/>
      <c r="CO330" s="60" t="n"/>
      <c r="CP330" s="60" t="n"/>
      <c r="CQ330" s="60" t="n"/>
      <c r="CR330" s="60" t="n"/>
      <c r="CS330" s="60" t="n"/>
      <c r="CT330" s="60" t="n"/>
      <c r="CU330" s="60" t="n"/>
      <c r="CV330" s="60" t="n"/>
      <c r="CW330" s="60" t="n"/>
      <c r="CX330" s="60" t="n"/>
      <c r="CY330" s="60" t="n"/>
      <c r="CZ330" s="60" t="n"/>
      <c r="DA330" s="60" t="n"/>
      <c r="DB330" s="60" t="n"/>
      <c r="DC330" s="60" t="n"/>
      <c r="DD330" s="60" t="n"/>
      <c r="DE330" s="60" t="n"/>
    </row>
    <row r="331">
      <c r="A331" s="60" t="inlineStr">
        <is>
          <t>Referencia del revendido (no se compra)</t>
        </is>
      </c>
      <c r="B331" s="60" t="inlineStr">
        <is>
          <t>Manguera (tramo enrollado) — Ø25 × 1.263 de largo desarrollado</t>
        </is>
      </c>
      <c r="C331" s="60" t="inlineStr">
        <is>
          <t>u</t>
        </is>
      </c>
      <c r="D331" s="60" t="inlineStr">
        <is>
          <t>No</t>
        </is>
      </c>
      <c r="E331" s="60" t="n"/>
      <c r="F331" s="60" t="inlineStr">
        <is>
          <t>S4 - se compra terminado (tercerizado con sello IRAM)</t>
        </is>
      </c>
      <c r="G331" s="60" t="n"/>
      <c r="H331" s="60" t="n"/>
      <c r="I331" s="60" t="n"/>
      <c r="J331" s="60" t="n"/>
      <c r="K331" s="60" t="n"/>
      <c r="L331" s="60" t="n"/>
      <c r="M331" s="60" t="n">
        <v>1</v>
      </c>
      <c r="N331" s="60" t="n"/>
      <c r="O331" s="60" t="n"/>
      <c r="P331" s="60" t="n"/>
      <c r="Q331" s="60" t="n"/>
      <c r="R331" s="60" t="n"/>
      <c r="S331" s="60" t="n"/>
      <c r="T331" s="60" t="n"/>
      <c r="U331" s="60" t="n"/>
      <c r="V331" s="60" t="n"/>
      <c r="W331" s="60" t="n"/>
      <c r="X331" s="60" t="n"/>
      <c r="Y331" s="60" t="n"/>
      <c r="Z331" s="60" t="n"/>
      <c r="AA331" s="60" t="n"/>
      <c r="AB331" s="60" t="n"/>
      <c r="AC331" s="60" t="n"/>
      <c r="AD331" s="60" t="n"/>
      <c r="AE331" s="60" t="n"/>
      <c r="AF331" s="60" t="n"/>
      <c r="AG331" s="60" t="n"/>
      <c r="AH331" s="60" t="n"/>
      <c r="AI331" s="60" t="n"/>
      <c r="AJ331" s="60" t="n"/>
      <c r="AK331" s="60" t="n"/>
      <c r="AL331" s="60" t="n"/>
      <c r="AM331" s="60" t="n"/>
      <c r="AN331" s="60" t="n"/>
      <c r="AO331" s="60" t="n"/>
      <c r="AP331" s="60" t="n"/>
      <c r="AQ331" s="60" t="n"/>
      <c r="AR331" s="60" t="n"/>
      <c r="AS331" s="60" t="n"/>
      <c r="AT331" s="60" t="n"/>
      <c r="AU331" s="60" t="n"/>
      <c r="AV331" s="60" t="n"/>
      <c r="AW331" s="60" t="n"/>
      <c r="AX331" s="60" t="n"/>
      <c r="AY331" s="60" t="n"/>
      <c r="AZ331" s="60" t="n"/>
      <c r="BA331" s="60" t="n"/>
      <c r="BB331" s="60" t="n"/>
      <c r="BC331" s="60" t="n"/>
      <c r="BD331" s="60" t="n"/>
      <c r="BE331" s="60" t="n"/>
      <c r="BF331" s="60" t="n"/>
      <c r="BG331" s="60" t="n"/>
      <c r="BH331" s="60" t="n"/>
      <c r="BI331" s="60" t="n"/>
      <c r="BJ331" s="60" t="n"/>
      <c r="BK331" s="60" t="n"/>
      <c r="BL331" s="60" t="n"/>
      <c r="BM331" s="60" t="n"/>
      <c r="BN331" s="60" t="n"/>
      <c r="BO331" s="60" t="n"/>
      <c r="BP331" s="60" t="n"/>
      <c r="BQ331" s="60" t="n"/>
      <c r="BR331" s="60" t="n"/>
      <c r="BS331" s="60" t="n"/>
      <c r="BT331" s="60" t="n"/>
      <c r="BU331" s="60" t="n"/>
      <c r="BV331" s="60" t="n"/>
      <c r="BW331" s="60" t="n"/>
      <c r="BX331" s="60" t="n"/>
      <c r="BY331" s="60" t="n"/>
      <c r="BZ331" s="60" t="n"/>
      <c r="CA331" s="60" t="n"/>
      <c r="CB331" s="60" t="n"/>
      <c r="CC331" s="60" t="n"/>
      <c r="CD331" s="60" t="n"/>
      <c r="CE331" s="60" t="n"/>
      <c r="CF331" s="60" t="n"/>
      <c r="CG331" s="60" t="n"/>
      <c r="CH331" s="60" t="n"/>
      <c r="CI331" s="60" t="n"/>
      <c r="CJ331" s="60" t="n"/>
      <c r="CK331" s="60" t="n"/>
      <c r="CL331" s="60" t="n"/>
      <c r="CM331" s="60" t="n"/>
      <c r="CN331" s="60" t="n"/>
      <c r="CO331" s="60" t="n"/>
      <c r="CP331" s="60" t="n"/>
      <c r="CQ331" s="60" t="n"/>
      <c r="CR331" s="60" t="n"/>
      <c r="CS331" s="60" t="n"/>
      <c r="CT331" s="60" t="n"/>
      <c r="CU331" s="60" t="n"/>
      <c r="CV331" s="60" t="n"/>
      <c r="CW331" s="60" t="n"/>
      <c r="CX331" s="60" t="n"/>
      <c r="CY331" s="60" t="n"/>
      <c r="CZ331" s="60" t="n"/>
      <c r="DA331" s="60" t="n"/>
      <c r="DB331" s="60" t="n"/>
      <c r="DC331" s="60" t="n"/>
      <c r="DD331" s="60" t="n"/>
      <c r="DE331" s="60" t="n"/>
    </row>
    <row r="332">
      <c r="A332" s="60" t="inlineStr">
        <is>
          <t>Referencia del revendido (no se compra)</t>
        </is>
      </c>
      <c r="B332" s="60" t="inlineStr">
        <is>
          <t>Manguera — Ø16 × 1.144 de largo desarrollado</t>
        </is>
      </c>
      <c r="C332" s="60" t="inlineStr">
        <is>
          <t>u</t>
        </is>
      </c>
      <c r="D332" s="60" t="inlineStr">
        <is>
          <t>No</t>
        </is>
      </c>
      <c r="E332" s="60" t="n"/>
      <c r="F332" s="60" t="inlineStr">
        <is>
          <t>S4 - se compra terminado (tercerizado con sello IRAM)</t>
        </is>
      </c>
      <c r="G332" s="60" t="n"/>
      <c r="H332" s="60" t="n"/>
      <c r="I332" s="60" t="n"/>
      <c r="J332" s="60" t="n"/>
      <c r="K332" s="60" t="n"/>
      <c r="L332" s="60" t="n"/>
      <c r="M332" s="60" t="n">
        <v>1</v>
      </c>
      <c r="N332" s="60" t="n"/>
      <c r="O332" s="60" t="n"/>
      <c r="P332" s="60" t="n"/>
      <c r="Q332" s="60" t="n"/>
      <c r="R332" s="60" t="n"/>
      <c r="S332" s="60" t="n"/>
      <c r="T332" s="60" t="n"/>
      <c r="U332" s="60" t="n"/>
      <c r="V332" s="60" t="n"/>
      <c r="W332" s="60" t="n"/>
      <c r="X332" s="60" t="n"/>
      <c r="Y332" s="60" t="n"/>
      <c r="Z332" s="60" t="n"/>
      <c r="AA332" s="60" t="n"/>
      <c r="AB332" s="60" t="n"/>
      <c r="AC332" s="60" t="n"/>
      <c r="AD332" s="60" t="n"/>
      <c r="AE332" s="60" t="n"/>
      <c r="AF332" s="60" t="n"/>
      <c r="AG332" s="60" t="n"/>
      <c r="AH332" s="60" t="n"/>
      <c r="AI332" s="60" t="n"/>
      <c r="AJ332" s="60" t="n"/>
      <c r="AK332" s="60" t="n"/>
      <c r="AL332" s="60" t="n"/>
      <c r="AM332" s="60" t="n"/>
      <c r="AN332" s="60" t="n"/>
      <c r="AO332" s="60" t="n"/>
      <c r="AP332" s="60" t="n"/>
      <c r="AQ332" s="60" t="n"/>
      <c r="AR332" s="60" t="n"/>
      <c r="AS332" s="60" t="n"/>
      <c r="AT332" s="60" t="n"/>
      <c r="AU332" s="60" t="n"/>
      <c r="AV332" s="60" t="n"/>
      <c r="AW332" s="60" t="n"/>
      <c r="AX332" s="60" t="n"/>
      <c r="AY332" s="60" t="n"/>
      <c r="AZ332" s="60" t="n"/>
      <c r="BA332" s="60" t="n"/>
      <c r="BB332" s="60" t="n"/>
      <c r="BC332" s="60" t="n"/>
      <c r="BD332" s="60" t="n"/>
      <c r="BE332" s="60" t="n"/>
      <c r="BF332" s="60" t="n"/>
      <c r="BG332" s="60" t="n"/>
      <c r="BH332" s="60" t="n"/>
      <c r="BI332" s="60" t="n"/>
      <c r="BJ332" s="60" t="n"/>
      <c r="BK332" s="60" t="n"/>
      <c r="BL332" s="60" t="n"/>
      <c r="BM332" s="60" t="n"/>
      <c r="BN332" s="60" t="n"/>
      <c r="BO332" s="60" t="n"/>
      <c r="BP332" s="60" t="n"/>
      <c r="BQ332" s="60" t="n"/>
      <c r="BR332" s="60" t="n"/>
      <c r="BS332" s="60" t="n"/>
      <c r="BT332" s="60" t="n"/>
      <c r="BU332" s="60" t="n"/>
      <c r="BV332" s="60" t="n"/>
      <c r="BW332" s="60" t="n"/>
      <c r="BX332" s="60" t="n"/>
      <c r="BY332" s="60" t="n"/>
      <c r="BZ332" s="60" t="n"/>
      <c r="CA332" s="60" t="n"/>
      <c r="CB332" s="60" t="n"/>
      <c r="CC332" s="60" t="n"/>
      <c r="CD332" s="60" t="n"/>
      <c r="CE332" s="60" t="n"/>
      <c r="CF332" s="60" t="n"/>
      <c r="CG332" s="60" t="n"/>
      <c r="CH332" s="60" t="n"/>
      <c r="CI332" s="60" t="n"/>
      <c r="CJ332" s="60" t="n"/>
      <c r="CK332" s="60" t="n"/>
      <c r="CL332" s="60" t="n"/>
      <c r="CM332" s="60" t="n"/>
      <c r="CN332" s="60" t="n"/>
      <c r="CO332" s="60" t="n"/>
      <c r="CP332" s="60" t="n"/>
      <c r="CQ332" s="60" t="n"/>
      <c r="CR332" s="60" t="n"/>
      <c r="CS332" s="60" t="n"/>
      <c r="CT332" s="60" t="n"/>
      <c r="CU332" s="60" t="n"/>
      <c r="CV332" s="60" t="n"/>
      <c r="CW332" s="60" t="n"/>
      <c r="CX332" s="60" t="n"/>
      <c r="CY332" s="60" t="n"/>
      <c r="CZ332" s="60" t="n"/>
      <c r="DA332" s="60" t="n"/>
      <c r="DB332" s="60" t="n"/>
      <c r="DC332" s="60" t="n"/>
      <c r="DD332" s="60" t="n"/>
      <c r="DE332" s="60" t="n"/>
    </row>
    <row r="333">
      <c r="A333" s="60" t="inlineStr">
        <is>
          <t>Referencia del revendido (no se compra)</t>
        </is>
      </c>
      <c r="B333" s="60" t="inlineStr">
        <is>
          <t>Manguera — Ø16 × 128 de largo desarrollado</t>
        </is>
      </c>
      <c r="C333" s="60" t="inlineStr">
        <is>
          <t>u</t>
        </is>
      </c>
      <c r="D333" s="60" t="inlineStr">
        <is>
          <t>No</t>
        </is>
      </c>
      <c r="E333" s="60" t="n"/>
      <c r="F333" s="60" t="inlineStr">
        <is>
          <t>S4 - se compra terminado (tercerizado con sello IRAM)</t>
        </is>
      </c>
      <c r="G333" s="60" t="n"/>
      <c r="H333" s="60" t="n"/>
      <c r="I333" s="60" t="n"/>
      <c r="J333" s="60" t="n"/>
      <c r="K333" s="60" t="n"/>
      <c r="L333" s="60" t="n"/>
      <c r="M333" s="60" t="n"/>
      <c r="N333" s="60" t="n"/>
      <c r="O333" s="60" t="n">
        <v>1</v>
      </c>
      <c r="P333" s="60" t="n"/>
      <c r="Q333" s="60" t="n"/>
      <c r="R333" s="60" t="n"/>
      <c r="S333" s="60" t="n"/>
      <c r="T333" s="60" t="n"/>
      <c r="U333" s="60" t="n"/>
      <c r="V333" s="60" t="n"/>
      <c r="W333" s="60" t="n"/>
      <c r="X333" s="60" t="n"/>
      <c r="Y333" s="60" t="n"/>
      <c r="Z333" s="60" t="n"/>
      <c r="AA333" s="60" t="n"/>
      <c r="AB333" s="60" t="n"/>
      <c r="AC333" s="60" t="n"/>
      <c r="AD333" s="60" t="n"/>
      <c r="AE333" s="60" t="n"/>
      <c r="AF333" s="60" t="n"/>
      <c r="AG333" s="60" t="n"/>
      <c r="AH333" s="60" t="n"/>
      <c r="AI333" s="60" t="n"/>
      <c r="AJ333" s="60" t="n"/>
      <c r="AK333" s="60" t="n"/>
      <c r="AL333" s="60" t="n"/>
      <c r="AM333" s="60" t="n"/>
      <c r="AN333" s="60" t="n"/>
      <c r="AO333" s="60" t="n"/>
      <c r="AP333" s="60" t="n"/>
      <c r="AQ333" s="60" t="n"/>
      <c r="AR333" s="60" t="n"/>
      <c r="AS333" s="60" t="n"/>
      <c r="AT333" s="60" t="n"/>
      <c r="AU333" s="60" t="n"/>
      <c r="AV333" s="60" t="n"/>
      <c r="AW333" s="60" t="n"/>
      <c r="AX333" s="60" t="n"/>
      <c r="AY333" s="60" t="n"/>
      <c r="AZ333" s="60" t="n"/>
      <c r="BA333" s="60" t="n"/>
      <c r="BB333" s="60" t="n"/>
      <c r="BC333" s="60" t="n"/>
      <c r="BD333" s="60" t="n"/>
      <c r="BE333" s="60" t="n"/>
      <c r="BF333" s="60" t="n"/>
      <c r="BG333" s="60" t="n"/>
      <c r="BH333" s="60" t="n"/>
      <c r="BI333" s="60" t="n"/>
      <c r="BJ333" s="60" t="n"/>
      <c r="BK333" s="60" t="n"/>
      <c r="BL333" s="60" t="n"/>
      <c r="BM333" s="60" t="n"/>
      <c r="BN333" s="60" t="n"/>
      <c r="BO333" s="60" t="n"/>
      <c r="BP333" s="60" t="n"/>
      <c r="BQ333" s="60" t="n"/>
      <c r="BR333" s="60" t="n"/>
      <c r="BS333" s="60" t="n"/>
      <c r="BT333" s="60" t="n"/>
      <c r="BU333" s="60" t="n"/>
      <c r="BV333" s="60" t="n"/>
      <c r="BW333" s="60" t="n"/>
      <c r="BX333" s="60" t="n"/>
      <c r="BY333" s="60" t="n"/>
      <c r="BZ333" s="60" t="n"/>
      <c r="CA333" s="60" t="n"/>
      <c r="CB333" s="60" t="n"/>
      <c r="CC333" s="60" t="n"/>
      <c r="CD333" s="60" t="n"/>
      <c r="CE333" s="60" t="n"/>
      <c r="CF333" s="60" t="n"/>
      <c r="CG333" s="60" t="n"/>
      <c r="CH333" s="60" t="n"/>
      <c r="CI333" s="60" t="n"/>
      <c r="CJ333" s="60" t="n"/>
      <c r="CK333" s="60" t="n"/>
      <c r="CL333" s="60" t="n"/>
      <c r="CM333" s="60" t="n"/>
      <c r="CN333" s="60" t="n"/>
      <c r="CO333" s="60" t="n"/>
      <c r="CP333" s="60" t="n"/>
      <c r="CQ333" s="60" t="n"/>
      <c r="CR333" s="60" t="n"/>
      <c r="CS333" s="60" t="n"/>
      <c r="CT333" s="60" t="n"/>
      <c r="CU333" s="60" t="n"/>
      <c r="CV333" s="60" t="n"/>
      <c r="CW333" s="60" t="n"/>
      <c r="CX333" s="60" t="n"/>
      <c r="CY333" s="60" t="n"/>
      <c r="CZ333" s="60" t="n"/>
      <c r="DA333" s="60" t="n"/>
      <c r="DB333" s="60" t="n"/>
      <c r="DC333" s="60" t="n"/>
      <c r="DD333" s="60" t="n"/>
      <c r="DE333" s="60" t="n"/>
    </row>
    <row r="334">
      <c r="A334" s="60" t="inlineStr">
        <is>
          <t>Referencia del revendido (no se compra)</t>
        </is>
      </c>
      <c r="B334" s="60" t="inlineStr">
        <is>
          <t>Manguera — Ø16 × 182 de largo desarrollado</t>
        </is>
      </c>
      <c r="C334" s="60" t="inlineStr">
        <is>
          <t>u</t>
        </is>
      </c>
      <c r="D334" s="60" t="inlineStr">
        <is>
          <t>No</t>
        </is>
      </c>
      <c r="E334" s="60" t="n"/>
      <c r="F334" s="60" t="inlineStr">
        <is>
          <t>S4 - se compra terminado (tercerizado con sello IRAM)</t>
        </is>
      </c>
      <c r="G334" s="60" t="n"/>
      <c r="H334" s="60" t="n"/>
      <c r="I334" s="60" t="n"/>
      <c r="J334" s="60" t="n"/>
      <c r="K334" s="60" t="n"/>
      <c r="L334" s="60" t="n"/>
      <c r="M334" s="60" t="n"/>
      <c r="N334" s="60" t="n"/>
      <c r="O334" s="60" t="n"/>
      <c r="P334" s="60" t="n"/>
      <c r="Q334" s="60" t="n"/>
      <c r="R334" s="60" t="n"/>
      <c r="S334" s="60" t="n">
        <v>1</v>
      </c>
      <c r="T334" s="60" t="n"/>
      <c r="U334" s="60" t="n"/>
      <c r="V334" s="60" t="n"/>
      <c r="W334" s="60" t="n"/>
      <c r="X334" s="60" t="n"/>
      <c r="Y334" s="60" t="n"/>
      <c r="Z334" s="60" t="n"/>
      <c r="AA334" s="60" t="n"/>
      <c r="AB334" s="60" t="n"/>
      <c r="AC334" s="60" t="n"/>
      <c r="AD334" s="60" t="n"/>
      <c r="AE334" s="60" t="n"/>
      <c r="AF334" s="60" t="n"/>
      <c r="AG334" s="60" t="n"/>
      <c r="AH334" s="60" t="n"/>
      <c r="AI334" s="60" t="n"/>
      <c r="AJ334" s="60" t="n"/>
      <c r="AK334" s="60" t="n"/>
      <c r="AL334" s="60" t="n"/>
      <c r="AM334" s="60" t="n"/>
      <c r="AN334" s="60" t="n"/>
      <c r="AO334" s="60" t="n"/>
      <c r="AP334" s="60" t="n"/>
      <c r="AQ334" s="60" t="n"/>
      <c r="AR334" s="60" t="n"/>
      <c r="AS334" s="60" t="n"/>
      <c r="AT334" s="60" t="n"/>
      <c r="AU334" s="60" t="n"/>
      <c r="AV334" s="60" t="n"/>
      <c r="AW334" s="60" t="n"/>
      <c r="AX334" s="60" t="n"/>
      <c r="AY334" s="60" t="n"/>
      <c r="AZ334" s="60" t="n"/>
      <c r="BA334" s="60" t="n"/>
      <c r="BB334" s="60" t="n"/>
      <c r="BC334" s="60" t="n"/>
      <c r="BD334" s="60" t="n"/>
      <c r="BE334" s="60" t="n"/>
      <c r="BF334" s="60" t="n"/>
      <c r="BG334" s="60" t="n"/>
      <c r="BH334" s="60" t="n"/>
      <c r="BI334" s="60" t="n"/>
      <c r="BJ334" s="60" t="n"/>
      <c r="BK334" s="60" t="n"/>
      <c r="BL334" s="60" t="n"/>
      <c r="BM334" s="60" t="n"/>
      <c r="BN334" s="60" t="n"/>
      <c r="BO334" s="60" t="n"/>
      <c r="BP334" s="60" t="n"/>
      <c r="BQ334" s="60" t="n"/>
      <c r="BR334" s="60" t="n"/>
      <c r="BS334" s="60" t="n"/>
      <c r="BT334" s="60" t="n"/>
      <c r="BU334" s="60" t="n"/>
      <c r="BV334" s="60" t="n"/>
      <c r="BW334" s="60" t="n"/>
      <c r="BX334" s="60" t="n"/>
      <c r="BY334" s="60" t="n"/>
      <c r="BZ334" s="60" t="n"/>
      <c r="CA334" s="60" t="n"/>
      <c r="CB334" s="60" t="n"/>
      <c r="CC334" s="60" t="n"/>
      <c r="CD334" s="60" t="n"/>
      <c r="CE334" s="60" t="n"/>
      <c r="CF334" s="60" t="n"/>
      <c r="CG334" s="60" t="n"/>
      <c r="CH334" s="60" t="n"/>
      <c r="CI334" s="60" t="n"/>
      <c r="CJ334" s="60" t="n"/>
      <c r="CK334" s="60" t="n"/>
      <c r="CL334" s="60" t="n"/>
      <c r="CM334" s="60" t="n"/>
      <c r="CN334" s="60" t="n"/>
      <c r="CO334" s="60" t="n"/>
      <c r="CP334" s="60" t="n"/>
      <c r="CQ334" s="60" t="n"/>
      <c r="CR334" s="60" t="n"/>
      <c r="CS334" s="60" t="n"/>
      <c r="CT334" s="60" t="n"/>
      <c r="CU334" s="60" t="n"/>
      <c r="CV334" s="60" t="n"/>
      <c r="CW334" s="60" t="n"/>
      <c r="CX334" s="60" t="n"/>
      <c r="CY334" s="60" t="n"/>
      <c r="CZ334" s="60" t="n"/>
      <c r="DA334" s="60" t="n"/>
      <c r="DB334" s="60" t="n"/>
      <c r="DC334" s="60" t="n"/>
      <c r="DD334" s="60" t="n"/>
      <c r="DE334" s="60" t="n"/>
    </row>
    <row r="335">
      <c r="A335" s="60" t="inlineStr">
        <is>
          <t>Referencia del revendido (no se compra)</t>
        </is>
      </c>
      <c r="B335" s="60" t="inlineStr">
        <is>
          <t>Manguera — Ø16 × 298 de largo desarrollado</t>
        </is>
      </c>
      <c r="C335" s="60" t="inlineStr">
        <is>
          <t>u</t>
        </is>
      </c>
      <c r="D335" s="60" t="inlineStr">
        <is>
          <t>No</t>
        </is>
      </c>
      <c r="E335" s="60" t="n"/>
      <c r="F335" s="60" t="inlineStr">
        <is>
          <t>S4 - se compra terminado (tercerizado con sello IRAM)</t>
        </is>
      </c>
      <c r="G335" s="60" t="n"/>
      <c r="H335" s="60" t="n"/>
      <c r="I335" s="60" t="n"/>
      <c r="J335" s="60" t="n"/>
      <c r="K335" s="60" t="n"/>
      <c r="L335" s="60" t="n"/>
      <c r="M335" s="60" t="n"/>
      <c r="N335" s="60" t="n">
        <v>1</v>
      </c>
      <c r="O335" s="60" t="n"/>
      <c r="P335" s="60" t="n"/>
      <c r="Q335" s="60" t="n"/>
      <c r="R335" s="60" t="n">
        <v>1</v>
      </c>
      <c r="S335" s="60" t="n"/>
      <c r="T335" s="60" t="n"/>
      <c r="U335" s="60" t="n"/>
      <c r="V335" s="60" t="n"/>
      <c r="W335" s="60" t="n"/>
      <c r="X335" s="60" t="n"/>
      <c r="Y335" s="60" t="n"/>
      <c r="Z335" s="60" t="n"/>
      <c r="AA335" s="60" t="n"/>
      <c r="AB335" s="60" t="n"/>
      <c r="AC335" s="60" t="n"/>
      <c r="AD335" s="60" t="n"/>
      <c r="AE335" s="60" t="n"/>
      <c r="AF335" s="60" t="n"/>
      <c r="AG335" s="60" t="n"/>
      <c r="AH335" s="60" t="n"/>
      <c r="AI335" s="60" t="n"/>
      <c r="AJ335" s="60" t="n"/>
      <c r="AK335" s="60" t="n"/>
      <c r="AL335" s="60" t="n"/>
      <c r="AM335" s="60" t="n"/>
      <c r="AN335" s="60" t="n"/>
      <c r="AO335" s="60" t="n"/>
      <c r="AP335" s="60" t="n"/>
      <c r="AQ335" s="60" t="n"/>
      <c r="AR335" s="60" t="n"/>
      <c r="AS335" s="60" t="n"/>
      <c r="AT335" s="60" t="n"/>
      <c r="AU335" s="60" t="n"/>
      <c r="AV335" s="60" t="n"/>
      <c r="AW335" s="60" t="n"/>
      <c r="AX335" s="60" t="n"/>
      <c r="AY335" s="60" t="n"/>
      <c r="AZ335" s="60" t="n"/>
      <c r="BA335" s="60" t="n"/>
      <c r="BB335" s="60" t="n"/>
      <c r="BC335" s="60" t="n"/>
      <c r="BD335" s="60" t="n"/>
      <c r="BE335" s="60" t="n"/>
      <c r="BF335" s="60" t="n"/>
      <c r="BG335" s="60" t="n"/>
      <c r="BH335" s="60" t="n"/>
      <c r="BI335" s="60" t="n"/>
      <c r="BJ335" s="60" t="n"/>
      <c r="BK335" s="60" t="n"/>
      <c r="BL335" s="60" t="n"/>
      <c r="BM335" s="60" t="n"/>
      <c r="BN335" s="60" t="n"/>
      <c r="BO335" s="60" t="n"/>
      <c r="BP335" s="60" t="n"/>
      <c r="BQ335" s="60" t="n"/>
      <c r="BR335" s="60" t="n"/>
      <c r="BS335" s="60" t="n"/>
      <c r="BT335" s="60" t="n"/>
      <c r="BU335" s="60" t="n"/>
      <c r="BV335" s="60" t="n"/>
      <c r="BW335" s="60" t="n"/>
      <c r="BX335" s="60" t="n"/>
      <c r="BY335" s="60" t="n"/>
      <c r="BZ335" s="60" t="n"/>
      <c r="CA335" s="60" t="n"/>
      <c r="CB335" s="60" t="n"/>
      <c r="CC335" s="60" t="n"/>
      <c r="CD335" s="60" t="n"/>
      <c r="CE335" s="60" t="n"/>
      <c r="CF335" s="60" t="n"/>
      <c r="CG335" s="60" t="n"/>
      <c r="CH335" s="60" t="n"/>
      <c r="CI335" s="60" t="n"/>
      <c r="CJ335" s="60" t="n"/>
      <c r="CK335" s="60" t="n"/>
      <c r="CL335" s="60" t="n"/>
      <c r="CM335" s="60" t="n"/>
      <c r="CN335" s="60" t="n"/>
      <c r="CO335" s="60" t="n"/>
      <c r="CP335" s="60" t="n"/>
      <c r="CQ335" s="60" t="n"/>
      <c r="CR335" s="60" t="n"/>
      <c r="CS335" s="60" t="n"/>
      <c r="CT335" s="60" t="n"/>
      <c r="CU335" s="60" t="n"/>
      <c r="CV335" s="60" t="n"/>
      <c r="CW335" s="60" t="n"/>
      <c r="CX335" s="60" t="n"/>
      <c r="CY335" s="60" t="n"/>
      <c r="CZ335" s="60" t="n"/>
      <c r="DA335" s="60" t="n"/>
      <c r="DB335" s="60" t="n"/>
      <c r="DC335" s="60" t="n"/>
      <c r="DD335" s="60" t="n"/>
      <c r="DE335" s="60" t="n"/>
    </row>
    <row r="336">
      <c r="A336" s="60" t="inlineStr">
        <is>
          <t>Referencia del revendido (no se compra)</t>
        </is>
      </c>
      <c r="B336" s="60" t="inlineStr">
        <is>
          <t>Manguera — Ø16 × 300 de largo desarrollado</t>
        </is>
      </c>
      <c r="C336" s="60" t="inlineStr">
        <is>
          <t>u</t>
        </is>
      </c>
      <c r="D336" s="60" t="inlineStr">
        <is>
          <t>No</t>
        </is>
      </c>
      <c r="E336" s="60" t="n"/>
      <c r="F336" s="60" t="inlineStr">
        <is>
          <t>S4 - se compra terminado (tercerizado con sello IRAM)</t>
        </is>
      </c>
      <c r="G336" s="60" t="n"/>
      <c r="H336" s="60" t="n"/>
      <c r="I336" s="60" t="n"/>
      <c r="J336" s="60" t="n"/>
      <c r="K336" s="60" t="n"/>
      <c r="L336" s="60" t="n"/>
      <c r="M336" s="60" t="n"/>
      <c r="N336" s="60" t="n"/>
      <c r="O336" s="60" t="n"/>
      <c r="P336" s="60" t="n"/>
      <c r="Q336" s="60" t="n">
        <v>1</v>
      </c>
      <c r="R336" s="60" t="n"/>
      <c r="S336" s="60" t="n"/>
      <c r="T336" s="60" t="n"/>
      <c r="U336" s="60" t="n"/>
      <c r="V336" s="60" t="n"/>
      <c r="W336" s="60" t="n"/>
      <c r="X336" s="60" t="n"/>
      <c r="Y336" s="60" t="n"/>
      <c r="Z336" s="60" t="n"/>
      <c r="AA336" s="60" t="n"/>
      <c r="AB336" s="60" t="n"/>
      <c r="AC336" s="60" t="n"/>
      <c r="AD336" s="60" t="n"/>
      <c r="AE336" s="60" t="n"/>
      <c r="AF336" s="60" t="n"/>
      <c r="AG336" s="60" t="n"/>
      <c r="AH336" s="60" t="n"/>
      <c r="AI336" s="60" t="n"/>
      <c r="AJ336" s="60" t="n"/>
      <c r="AK336" s="60" t="n"/>
      <c r="AL336" s="60" t="n"/>
      <c r="AM336" s="60" t="n"/>
      <c r="AN336" s="60" t="n"/>
      <c r="AO336" s="60" t="n"/>
      <c r="AP336" s="60" t="n"/>
      <c r="AQ336" s="60" t="n"/>
      <c r="AR336" s="60" t="n"/>
      <c r="AS336" s="60" t="n"/>
      <c r="AT336" s="60" t="n"/>
      <c r="AU336" s="60" t="n"/>
      <c r="AV336" s="60" t="n"/>
      <c r="AW336" s="60" t="n"/>
      <c r="AX336" s="60" t="n"/>
      <c r="AY336" s="60" t="n"/>
      <c r="AZ336" s="60" t="n"/>
      <c r="BA336" s="60" t="n"/>
      <c r="BB336" s="60" t="n"/>
      <c r="BC336" s="60" t="n"/>
      <c r="BD336" s="60" t="n"/>
      <c r="BE336" s="60" t="n"/>
      <c r="BF336" s="60" t="n"/>
      <c r="BG336" s="60" t="n"/>
      <c r="BH336" s="60" t="n"/>
      <c r="BI336" s="60" t="n"/>
      <c r="BJ336" s="60" t="n"/>
      <c r="BK336" s="60" t="n"/>
      <c r="BL336" s="60" t="n"/>
      <c r="BM336" s="60" t="n"/>
      <c r="BN336" s="60" t="n"/>
      <c r="BO336" s="60" t="n"/>
      <c r="BP336" s="60" t="n"/>
      <c r="BQ336" s="60" t="n"/>
      <c r="BR336" s="60" t="n"/>
      <c r="BS336" s="60" t="n"/>
      <c r="BT336" s="60" t="n"/>
      <c r="BU336" s="60" t="n"/>
      <c r="BV336" s="60" t="n"/>
      <c r="BW336" s="60" t="n"/>
      <c r="BX336" s="60" t="n"/>
      <c r="BY336" s="60" t="n"/>
      <c r="BZ336" s="60" t="n"/>
      <c r="CA336" s="60" t="n"/>
      <c r="CB336" s="60" t="n"/>
      <c r="CC336" s="60" t="n"/>
      <c r="CD336" s="60" t="n"/>
      <c r="CE336" s="60" t="n"/>
      <c r="CF336" s="60" t="n"/>
      <c r="CG336" s="60" t="n"/>
      <c r="CH336" s="60" t="n"/>
      <c r="CI336" s="60" t="n"/>
      <c r="CJ336" s="60" t="n"/>
      <c r="CK336" s="60" t="n"/>
      <c r="CL336" s="60" t="n"/>
      <c r="CM336" s="60" t="n"/>
      <c r="CN336" s="60" t="n"/>
      <c r="CO336" s="60" t="n"/>
      <c r="CP336" s="60" t="n"/>
      <c r="CQ336" s="60" t="n"/>
      <c r="CR336" s="60" t="n"/>
      <c r="CS336" s="60" t="n"/>
      <c r="CT336" s="60" t="n"/>
      <c r="CU336" s="60" t="n"/>
      <c r="CV336" s="60" t="n"/>
      <c r="CW336" s="60" t="n"/>
      <c r="CX336" s="60" t="n"/>
      <c r="CY336" s="60" t="n"/>
      <c r="CZ336" s="60" t="n"/>
      <c r="DA336" s="60" t="n"/>
      <c r="DB336" s="60" t="n"/>
      <c r="DC336" s="60" t="n"/>
      <c r="DD336" s="60" t="n"/>
      <c r="DE336" s="60" t="n"/>
    </row>
    <row r="337">
      <c r="A337" s="60" t="inlineStr">
        <is>
          <t>Referencia del revendido (no se compra)</t>
        </is>
      </c>
      <c r="B337" s="60" t="inlineStr">
        <is>
          <t>Manguera — Ø16 × 322 de largo desarrollado</t>
        </is>
      </c>
      <c r="C337" s="60" t="inlineStr">
        <is>
          <t>u</t>
        </is>
      </c>
      <c r="D337" s="60" t="inlineStr">
        <is>
          <t>No</t>
        </is>
      </c>
      <c r="E337" s="60" t="n"/>
      <c r="F337" s="60" t="inlineStr">
        <is>
          <t>S4 - se compra terminado (tercerizado con sello IRAM)</t>
        </is>
      </c>
      <c r="G337" s="60" t="n"/>
      <c r="H337" s="60" t="n"/>
      <c r="I337" s="60" t="n"/>
      <c r="J337" s="60" t="n"/>
      <c r="K337" s="60" t="n"/>
      <c r="L337" s="60" t="n">
        <v>1</v>
      </c>
      <c r="M337" s="60" t="n"/>
      <c r="N337" s="60" t="n"/>
      <c r="O337" s="60" t="n"/>
      <c r="P337" s="60" t="n"/>
      <c r="Q337" s="60" t="n"/>
      <c r="R337" s="60" t="n"/>
      <c r="S337" s="60" t="n"/>
      <c r="T337" s="60" t="n"/>
      <c r="U337" s="60" t="n"/>
      <c r="V337" s="60" t="n"/>
      <c r="W337" s="60" t="n"/>
      <c r="X337" s="60" t="n"/>
      <c r="Y337" s="60" t="n"/>
      <c r="Z337" s="60" t="n"/>
      <c r="AA337" s="60" t="n"/>
      <c r="AB337" s="60" t="n"/>
      <c r="AC337" s="60" t="n"/>
      <c r="AD337" s="60" t="n"/>
      <c r="AE337" s="60" t="n"/>
      <c r="AF337" s="60" t="n"/>
      <c r="AG337" s="60" t="n"/>
      <c r="AH337" s="60" t="n"/>
      <c r="AI337" s="60" t="n"/>
      <c r="AJ337" s="60" t="n"/>
      <c r="AK337" s="60" t="n"/>
      <c r="AL337" s="60" t="n"/>
      <c r="AM337" s="60" t="n"/>
      <c r="AN337" s="60" t="n"/>
      <c r="AO337" s="60" t="n"/>
      <c r="AP337" s="60" t="n"/>
      <c r="AQ337" s="60" t="n"/>
      <c r="AR337" s="60" t="n"/>
      <c r="AS337" s="60" t="n"/>
      <c r="AT337" s="60" t="n"/>
      <c r="AU337" s="60" t="n"/>
      <c r="AV337" s="60" t="n"/>
      <c r="AW337" s="60" t="n"/>
      <c r="AX337" s="60" t="n"/>
      <c r="AY337" s="60" t="n"/>
      <c r="AZ337" s="60" t="n"/>
      <c r="BA337" s="60" t="n"/>
      <c r="BB337" s="60" t="n"/>
      <c r="BC337" s="60" t="n"/>
      <c r="BD337" s="60" t="n"/>
      <c r="BE337" s="60" t="n"/>
      <c r="BF337" s="60" t="n"/>
      <c r="BG337" s="60" t="n"/>
      <c r="BH337" s="60" t="n"/>
      <c r="BI337" s="60" t="n"/>
      <c r="BJ337" s="60" t="n"/>
      <c r="BK337" s="60" t="n"/>
      <c r="BL337" s="60" t="n"/>
      <c r="BM337" s="60" t="n"/>
      <c r="BN337" s="60" t="n"/>
      <c r="BO337" s="60" t="n"/>
      <c r="BP337" s="60" t="n"/>
      <c r="BQ337" s="60" t="n"/>
      <c r="BR337" s="60" t="n"/>
      <c r="BS337" s="60" t="n"/>
      <c r="BT337" s="60" t="n"/>
      <c r="BU337" s="60" t="n"/>
      <c r="BV337" s="60" t="n"/>
      <c r="BW337" s="60" t="n"/>
      <c r="BX337" s="60" t="n"/>
      <c r="BY337" s="60" t="n"/>
      <c r="BZ337" s="60" t="n"/>
      <c r="CA337" s="60" t="n"/>
      <c r="CB337" s="60" t="n"/>
      <c r="CC337" s="60" t="n"/>
      <c r="CD337" s="60" t="n"/>
      <c r="CE337" s="60" t="n"/>
      <c r="CF337" s="60" t="n"/>
      <c r="CG337" s="60" t="n"/>
      <c r="CH337" s="60" t="n"/>
      <c r="CI337" s="60" t="n"/>
      <c r="CJ337" s="60" t="n"/>
      <c r="CK337" s="60" t="n"/>
      <c r="CL337" s="60" t="n"/>
      <c r="CM337" s="60" t="n"/>
      <c r="CN337" s="60" t="n"/>
      <c r="CO337" s="60" t="n"/>
      <c r="CP337" s="60" t="n"/>
      <c r="CQ337" s="60" t="n"/>
      <c r="CR337" s="60" t="n"/>
      <c r="CS337" s="60" t="n"/>
      <c r="CT337" s="60" t="n"/>
      <c r="CU337" s="60" t="n"/>
      <c r="CV337" s="60" t="n"/>
      <c r="CW337" s="60" t="n"/>
      <c r="CX337" s="60" t="n"/>
      <c r="CY337" s="60" t="n"/>
      <c r="CZ337" s="60" t="n"/>
      <c r="DA337" s="60" t="n"/>
      <c r="DB337" s="60" t="n"/>
      <c r="DC337" s="60" t="n"/>
      <c r="DD337" s="60" t="n"/>
      <c r="DE337" s="60" t="n"/>
    </row>
    <row r="338">
      <c r="A338" s="60" t="inlineStr">
        <is>
          <t>Referencia del revendido (no se compra)</t>
        </is>
      </c>
      <c r="B338" s="60" t="inlineStr">
        <is>
          <t>Manguera — Ø16 × 441 de largo desarrollado</t>
        </is>
      </c>
      <c r="C338" s="60" t="inlineStr">
        <is>
          <t>u</t>
        </is>
      </c>
      <c r="D338" s="60" t="inlineStr">
        <is>
          <t>No</t>
        </is>
      </c>
      <c r="E338" s="60" t="n"/>
      <c r="F338" s="60" t="inlineStr">
        <is>
          <t>S4 - se compra terminado (tercerizado con sello IRAM)</t>
        </is>
      </c>
      <c r="G338" s="60" t="n"/>
      <c r="H338" s="60" t="n"/>
      <c r="I338" s="60" t="n"/>
      <c r="J338" s="60" t="n"/>
      <c r="K338" s="60" t="n">
        <v>1</v>
      </c>
      <c r="L338" s="60" t="n"/>
      <c r="M338" s="60" t="n"/>
      <c r="N338" s="60" t="n"/>
      <c r="O338" s="60" t="n"/>
      <c r="P338" s="60" t="n"/>
      <c r="Q338" s="60" t="n"/>
      <c r="R338" s="60" t="n"/>
      <c r="S338" s="60" t="n"/>
      <c r="T338" s="60" t="n"/>
      <c r="U338" s="60" t="n"/>
      <c r="V338" s="60" t="n"/>
      <c r="W338" s="60" t="n"/>
      <c r="X338" s="60" t="n"/>
      <c r="Y338" s="60" t="n"/>
      <c r="Z338" s="60" t="n"/>
      <c r="AA338" s="60" t="n"/>
      <c r="AB338" s="60" t="n"/>
      <c r="AC338" s="60" t="n"/>
      <c r="AD338" s="60" t="n"/>
      <c r="AE338" s="60" t="n"/>
      <c r="AF338" s="60" t="n"/>
      <c r="AG338" s="60" t="n"/>
      <c r="AH338" s="60" t="n"/>
      <c r="AI338" s="60" t="n"/>
      <c r="AJ338" s="60" t="n"/>
      <c r="AK338" s="60" t="n"/>
      <c r="AL338" s="60" t="n"/>
      <c r="AM338" s="60" t="n"/>
      <c r="AN338" s="60" t="n"/>
      <c r="AO338" s="60" t="n"/>
      <c r="AP338" s="60" t="n"/>
      <c r="AQ338" s="60" t="n"/>
      <c r="AR338" s="60" t="n"/>
      <c r="AS338" s="60" t="n"/>
      <c r="AT338" s="60" t="n"/>
      <c r="AU338" s="60" t="n"/>
      <c r="AV338" s="60" t="n"/>
      <c r="AW338" s="60" t="n"/>
      <c r="AX338" s="60" t="n"/>
      <c r="AY338" s="60" t="n"/>
      <c r="AZ338" s="60" t="n"/>
      <c r="BA338" s="60" t="n"/>
      <c r="BB338" s="60" t="n"/>
      <c r="BC338" s="60" t="n"/>
      <c r="BD338" s="60" t="n"/>
      <c r="BE338" s="60" t="n"/>
      <c r="BF338" s="60" t="n"/>
      <c r="BG338" s="60" t="n"/>
      <c r="BH338" s="60" t="n"/>
      <c r="BI338" s="60" t="n"/>
      <c r="BJ338" s="60" t="n"/>
      <c r="BK338" s="60" t="n"/>
      <c r="BL338" s="60" t="n"/>
      <c r="BM338" s="60" t="n"/>
      <c r="BN338" s="60" t="n"/>
      <c r="BO338" s="60" t="n"/>
      <c r="BP338" s="60" t="n"/>
      <c r="BQ338" s="60" t="n"/>
      <c r="BR338" s="60" t="n"/>
      <c r="BS338" s="60" t="n"/>
      <c r="BT338" s="60" t="n"/>
      <c r="BU338" s="60" t="n"/>
      <c r="BV338" s="60" t="n"/>
      <c r="BW338" s="60" t="n"/>
      <c r="BX338" s="60" t="n"/>
      <c r="BY338" s="60" t="n"/>
      <c r="BZ338" s="60" t="n"/>
      <c r="CA338" s="60" t="n"/>
      <c r="CB338" s="60" t="n"/>
      <c r="CC338" s="60" t="n"/>
      <c r="CD338" s="60" t="n"/>
      <c r="CE338" s="60" t="n"/>
      <c r="CF338" s="60" t="n"/>
      <c r="CG338" s="60" t="n"/>
      <c r="CH338" s="60" t="n"/>
      <c r="CI338" s="60" t="n"/>
      <c r="CJ338" s="60" t="n"/>
      <c r="CK338" s="60" t="n"/>
      <c r="CL338" s="60" t="n"/>
      <c r="CM338" s="60" t="n"/>
      <c r="CN338" s="60" t="n"/>
      <c r="CO338" s="60" t="n"/>
      <c r="CP338" s="60" t="n"/>
      <c r="CQ338" s="60" t="n"/>
      <c r="CR338" s="60" t="n"/>
      <c r="CS338" s="60" t="n"/>
      <c r="CT338" s="60" t="n"/>
      <c r="CU338" s="60" t="n"/>
      <c r="CV338" s="60" t="n"/>
      <c r="CW338" s="60" t="n"/>
      <c r="CX338" s="60" t="n"/>
      <c r="CY338" s="60" t="n"/>
      <c r="CZ338" s="60" t="n"/>
      <c r="DA338" s="60" t="n"/>
      <c r="DB338" s="60" t="n"/>
      <c r="DC338" s="60" t="n"/>
      <c r="DD338" s="60" t="n"/>
      <c r="DE338" s="60" t="n"/>
    </row>
    <row r="339">
      <c r="A339" s="60" t="inlineStr">
        <is>
          <t>Referencia del revendido (no se compra)</t>
        </is>
      </c>
      <c r="B339" s="60" t="inlineStr">
        <is>
          <t>Manija de accionamiento — 115,7 × 20 × 18,1</t>
        </is>
      </c>
      <c r="C339" s="60" t="inlineStr">
        <is>
          <t>u</t>
        </is>
      </c>
      <c r="D339" s="60" t="inlineStr">
        <is>
          <t>No</t>
        </is>
      </c>
      <c r="E339" s="60" t="n"/>
      <c r="F339" s="60" t="inlineStr">
        <is>
          <t>S4 - se compra terminado (tercerizado con sello IRAM)</t>
        </is>
      </c>
      <c r="G339" s="60" t="n"/>
      <c r="H339" s="60" t="n"/>
      <c r="I339" s="60" t="n"/>
      <c r="J339" s="60" t="n"/>
      <c r="K339" s="60" t="n"/>
      <c r="L339" s="60" t="n"/>
      <c r="M339" s="60" t="n"/>
      <c r="N339" s="60" t="n"/>
      <c r="O339" s="60" t="n"/>
      <c r="P339" s="60" t="n"/>
      <c r="Q339" s="60" t="n"/>
      <c r="R339" s="60" t="n"/>
      <c r="S339" s="60" t="n">
        <v>1</v>
      </c>
      <c r="T339" s="60" t="n"/>
      <c r="U339" s="60" t="n"/>
      <c r="V339" s="60" t="n"/>
      <c r="W339" s="60" t="n"/>
      <c r="X339" s="60" t="n"/>
      <c r="Y339" s="60" t="n"/>
      <c r="Z339" s="60" t="n"/>
      <c r="AA339" s="60" t="n"/>
      <c r="AB339" s="60" t="n"/>
      <c r="AC339" s="60" t="n"/>
      <c r="AD339" s="60" t="n"/>
      <c r="AE339" s="60" t="n"/>
      <c r="AF339" s="60" t="n"/>
      <c r="AG339" s="60" t="n"/>
      <c r="AH339" s="60" t="n"/>
      <c r="AI339" s="60" t="n"/>
      <c r="AJ339" s="60" t="n"/>
      <c r="AK339" s="60" t="n"/>
      <c r="AL339" s="60" t="n"/>
      <c r="AM339" s="60" t="n"/>
      <c r="AN339" s="60" t="n"/>
      <c r="AO339" s="60" t="n"/>
      <c r="AP339" s="60" t="n"/>
      <c r="AQ339" s="60" t="n"/>
      <c r="AR339" s="60" t="n"/>
      <c r="AS339" s="60" t="n"/>
      <c r="AT339" s="60" t="n"/>
      <c r="AU339" s="60" t="n"/>
      <c r="AV339" s="60" t="n"/>
      <c r="AW339" s="60" t="n"/>
      <c r="AX339" s="60" t="n"/>
      <c r="AY339" s="60" t="n"/>
      <c r="AZ339" s="60" t="n"/>
      <c r="BA339" s="60" t="n"/>
      <c r="BB339" s="60" t="n"/>
      <c r="BC339" s="60" t="n"/>
      <c r="BD339" s="60" t="n"/>
      <c r="BE339" s="60" t="n"/>
      <c r="BF339" s="60" t="n"/>
      <c r="BG339" s="60" t="n"/>
      <c r="BH339" s="60" t="n"/>
      <c r="BI339" s="60" t="n"/>
      <c r="BJ339" s="60" t="n"/>
      <c r="BK339" s="60" t="n"/>
      <c r="BL339" s="60" t="n"/>
      <c r="BM339" s="60" t="n"/>
      <c r="BN339" s="60" t="n"/>
      <c r="BO339" s="60" t="n"/>
      <c r="BP339" s="60" t="n"/>
      <c r="BQ339" s="60" t="n"/>
      <c r="BR339" s="60" t="n"/>
      <c r="BS339" s="60" t="n"/>
      <c r="BT339" s="60" t="n"/>
      <c r="BU339" s="60" t="n"/>
      <c r="BV339" s="60" t="n"/>
      <c r="BW339" s="60" t="n"/>
      <c r="BX339" s="60" t="n"/>
      <c r="BY339" s="60" t="n"/>
      <c r="BZ339" s="60" t="n"/>
      <c r="CA339" s="60" t="n"/>
      <c r="CB339" s="60" t="n"/>
      <c r="CC339" s="60" t="n"/>
      <c r="CD339" s="60" t="n"/>
      <c r="CE339" s="60" t="n"/>
      <c r="CF339" s="60" t="n"/>
      <c r="CG339" s="60" t="n"/>
      <c r="CH339" s="60" t="n"/>
      <c r="CI339" s="60" t="n"/>
      <c r="CJ339" s="60" t="n"/>
      <c r="CK339" s="60" t="n"/>
      <c r="CL339" s="60" t="n"/>
      <c r="CM339" s="60" t="n"/>
      <c r="CN339" s="60" t="n"/>
      <c r="CO339" s="60" t="n"/>
      <c r="CP339" s="60" t="n"/>
      <c r="CQ339" s="60" t="n"/>
      <c r="CR339" s="60" t="n"/>
      <c r="CS339" s="60" t="n"/>
      <c r="CT339" s="60" t="n"/>
      <c r="CU339" s="60" t="n"/>
      <c r="CV339" s="60" t="n"/>
      <c r="CW339" s="60" t="n"/>
      <c r="CX339" s="60" t="n"/>
      <c r="CY339" s="60" t="n"/>
      <c r="CZ339" s="60" t="n"/>
      <c r="DA339" s="60" t="n"/>
      <c r="DB339" s="60" t="n"/>
      <c r="DC339" s="60" t="n"/>
      <c r="DD339" s="60" t="n"/>
      <c r="DE339" s="60" t="n"/>
    </row>
    <row r="340">
      <c r="A340" s="60" t="inlineStr">
        <is>
          <t>Referencia del revendido (no se compra)</t>
        </is>
      </c>
      <c r="B340" s="60" t="inlineStr">
        <is>
          <t>Manija de accionamiento — 129,5 × 20 × 19,8</t>
        </is>
      </c>
      <c r="C340" s="60" t="inlineStr">
        <is>
          <t>u</t>
        </is>
      </c>
      <c r="D340" s="60" t="inlineStr">
        <is>
          <t>No</t>
        </is>
      </c>
      <c r="E340" s="60" t="n"/>
      <c r="F340" s="60" t="inlineStr">
        <is>
          <t>S4 - se compra terminado (tercerizado con sello IRAM)</t>
        </is>
      </c>
      <c r="G340" s="60" t="n"/>
      <c r="H340" s="60" t="n"/>
      <c r="I340" s="60" t="n"/>
      <c r="J340" s="60" t="n"/>
      <c r="K340" s="60" t="n"/>
      <c r="L340" s="60" t="n">
        <v>1</v>
      </c>
      <c r="M340" s="60" t="n"/>
      <c r="N340" s="60" t="n"/>
      <c r="O340" s="60" t="n"/>
      <c r="P340" s="60" t="n"/>
      <c r="Q340" s="60" t="n"/>
      <c r="R340" s="60" t="n"/>
      <c r="S340" s="60" t="n"/>
      <c r="T340" s="60" t="n"/>
      <c r="U340" s="60" t="n"/>
      <c r="V340" s="60" t="n"/>
      <c r="W340" s="60" t="n"/>
      <c r="X340" s="60" t="n"/>
      <c r="Y340" s="60" t="n"/>
      <c r="Z340" s="60" t="n"/>
      <c r="AA340" s="60" t="n"/>
      <c r="AB340" s="60" t="n"/>
      <c r="AC340" s="60" t="n"/>
      <c r="AD340" s="60" t="n"/>
      <c r="AE340" s="60" t="n"/>
      <c r="AF340" s="60" t="n"/>
      <c r="AG340" s="60" t="n"/>
      <c r="AH340" s="60" t="n"/>
      <c r="AI340" s="60" t="n"/>
      <c r="AJ340" s="60" t="n"/>
      <c r="AK340" s="60" t="n"/>
      <c r="AL340" s="60" t="n"/>
      <c r="AM340" s="60" t="n"/>
      <c r="AN340" s="60" t="n"/>
      <c r="AO340" s="60" t="n"/>
      <c r="AP340" s="60" t="n"/>
      <c r="AQ340" s="60" t="n"/>
      <c r="AR340" s="60" t="n"/>
      <c r="AS340" s="60" t="n"/>
      <c r="AT340" s="60" t="n"/>
      <c r="AU340" s="60" t="n"/>
      <c r="AV340" s="60" t="n"/>
      <c r="AW340" s="60" t="n"/>
      <c r="AX340" s="60" t="n"/>
      <c r="AY340" s="60" t="n"/>
      <c r="AZ340" s="60" t="n"/>
      <c r="BA340" s="60" t="n"/>
      <c r="BB340" s="60" t="n"/>
      <c r="BC340" s="60" t="n"/>
      <c r="BD340" s="60" t="n"/>
      <c r="BE340" s="60" t="n"/>
      <c r="BF340" s="60" t="n"/>
      <c r="BG340" s="60" t="n"/>
      <c r="BH340" s="60" t="n"/>
      <c r="BI340" s="60" t="n"/>
      <c r="BJ340" s="60" t="n"/>
      <c r="BK340" s="60" t="n"/>
      <c r="BL340" s="60" t="n"/>
      <c r="BM340" s="60" t="n"/>
      <c r="BN340" s="60" t="n"/>
      <c r="BO340" s="60" t="n"/>
      <c r="BP340" s="60" t="n"/>
      <c r="BQ340" s="60" t="n"/>
      <c r="BR340" s="60" t="n"/>
      <c r="BS340" s="60" t="n"/>
      <c r="BT340" s="60" t="n"/>
      <c r="BU340" s="60" t="n"/>
      <c r="BV340" s="60" t="n"/>
      <c r="BW340" s="60" t="n"/>
      <c r="BX340" s="60" t="n"/>
      <c r="BY340" s="60" t="n"/>
      <c r="BZ340" s="60" t="n"/>
      <c r="CA340" s="60" t="n"/>
      <c r="CB340" s="60" t="n"/>
      <c r="CC340" s="60" t="n"/>
      <c r="CD340" s="60" t="n"/>
      <c r="CE340" s="60" t="n"/>
      <c r="CF340" s="60" t="n"/>
      <c r="CG340" s="60" t="n"/>
      <c r="CH340" s="60" t="n"/>
      <c r="CI340" s="60" t="n"/>
      <c r="CJ340" s="60" t="n"/>
      <c r="CK340" s="60" t="n"/>
      <c r="CL340" s="60" t="n"/>
      <c r="CM340" s="60" t="n"/>
      <c r="CN340" s="60" t="n"/>
      <c r="CO340" s="60" t="n"/>
      <c r="CP340" s="60" t="n"/>
      <c r="CQ340" s="60" t="n"/>
      <c r="CR340" s="60" t="n"/>
      <c r="CS340" s="60" t="n"/>
      <c r="CT340" s="60" t="n"/>
      <c r="CU340" s="60" t="n"/>
      <c r="CV340" s="60" t="n"/>
      <c r="CW340" s="60" t="n"/>
      <c r="CX340" s="60" t="n"/>
      <c r="CY340" s="60" t="n"/>
      <c r="CZ340" s="60" t="n"/>
      <c r="DA340" s="60" t="n"/>
      <c r="DB340" s="60" t="n"/>
      <c r="DC340" s="60" t="n"/>
      <c r="DD340" s="60" t="n"/>
      <c r="DE340" s="60" t="n"/>
    </row>
    <row r="341">
      <c r="A341" s="60" t="inlineStr">
        <is>
          <t>Referencia del revendido (no se compra)</t>
        </is>
      </c>
      <c r="B341" s="60" t="inlineStr">
        <is>
          <t>Manija de accionamiento — 139,5 × 21 × 20</t>
        </is>
      </c>
      <c r="C341" s="60" t="inlineStr">
        <is>
          <t>u</t>
        </is>
      </c>
      <c r="D341" s="60" t="inlineStr">
        <is>
          <t>No</t>
        </is>
      </c>
      <c r="E341" s="60" t="n"/>
      <c r="F341" s="60" t="inlineStr">
        <is>
          <t>S4 - se compra terminado (tercerizado con sello IRAM)</t>
        </is>
      </c>
      <c r="G341" s="60" t="n"/>
      <c r="H341" s="60" t="n"/>
      <c r="I341" s="60" t="n"/>
      <c r="J341" s="60" t="n"/>
      <c r="K341" s="60" t="n">
        <v>1</v>
      </c>
      <c r="L341" s="60" t="n"/>
      <c r="M341" s="60" t="n"/>
      <c r="N341" s="60" t="n"/>
      <c r="O341" s="60" t="n"/>
      <c r="P341" s="60" t="n"/>
      <c r="Q341" s="60" t="n"/>
      <c r="R341" s="60" t="n"/>
      <c r="S341" s="60" t="n"/>
      <c r="T341" s="60" t="n"/>
      <c r="U341" s="60" t="n"/>
      <c r="V341" s="60" t="n"/>
      <c r="W341" s="60" t="n"/>
      <c r="X341" s="60" t="n"/>
      <c r="Y341" s="60" t="n"/>
      <c r="Z341" s="60" t="n"/>
      <c r="AA341" s="60" t="n"/>
      <c r="AB341" s="60" t="n"/>
      <c r="AC341" s="60" t="n"/>
      <c r="AD341" s="60" t="n"/>
      <c r="AE341" s="60" t="n"/>
      <c r="AF341" s="60" t="n"/>
      <c r="AG341" s="60" t="n"/>
      <c r="AH341" s="60" t="n"/>
      <c r="AI341" s="60" t="n"/>
      <c r="AJ341" s="60" t="n"/>
      <c r="AK341" s="60" t="n"/>
      <c r="AL341" s="60" t="n"/>
      <c r="AM341" s="60" t="n"/>
      <c r="AN341" s="60" t="n"/>
      <c r="AO341" s="60" t="n"/>
      <c r="AP341" s="60" t="n"/>
      <c r="AQ341" s="60" t="n"/>
      <c r="AR341" s="60" t="n"/>
      <c r="AS341" s="60" t="n"/>
      <c r="AT341" s="60" t="n"/>
      <c r="AU341" s="60" t="n"/>
      <c r="AV341" s="60" t="n"/>
      <c r="AW341" s="60" t="n"/>
      <c r="AX341" s="60" t="n"/>
      <c r="AY341" s="60" t="n"/>
      <c r="AZ341" s="60" t="n"/>
      <c r="BA341" s="60" t="n"/>
      <c r="BB341" s="60" t="n"/>
      <c r="BC341" s="60" t="n"/>
      <c r="BD341" s="60" t="n"/>
      <c r="BE341" s="60" t="n"/>
      <c r="BF341" s="60" t="n"/>
      <c r="BG341" s="60" t="n"/>
      <c r="BH341" s="60" t="n"/>
      <c r="BI341" s="60" t="n"/>
      <c r="BJ341" s="60" t="n"/>
      <c r="BK341" s="60" t="n"/>
      <c r="BL341" s="60" t="n"/>
      <c r="BM341" s="60" t="n"/>
      <c r="BN341" s="60" t="n"/>
      <c r="BO341" s="60" t="n"/>
      <c r="BP341" s="60" t="n"/>
      <c r="BQ341" s="60" t="n"/>
      <c r="BR341" s="60" t="n"/>
      <c r="BS341" s="60" t="n"/>
      <c r="BT341" s="60" t="n"/>
      <c r="BU341" s="60" t="n"/>
      <c r="BV341" s="60" t="n"/>
      <c r="BW341" s="60" t="n"/>
      <c r="BX341" s="60" t="n"/>
      <c r="BY341" s="60" t="n"/>
      <c r="BZ341" s="60" t="n"/>
      <c r="CA341" s="60" t="n"/>
      <c r="CB341" s="60" t="n"/>
      <c r="CC341" s="60" t="n"/>
      <c r="CD341" s="60" t="n"/>
      <c r="CE341" s="60" t="n"/>
      <c r="CF341" s="60" t="n"/>
      <c r="CG341" s="60" t="n"/>
      <c r="CH341" s="60" t="n"/>
      <c r="CI341" s="60" t="n"/>
      <c r="CJ341" s="60" t="n"/>
      <c r="CK341" s="60" t="n"/>
      <c r="CL341" s="60" t="n"/>
      <c r="CM341" s="60" t="n"/>
      <c r="CN341" s="60" t="n"/>
      <c r="CO341" s="60" t="n"/>
      <c r="CP341" s="60" t="n"/>
      <c r="CQ341" s="60" t="n"/>
      <c r="CR341" s="60" t="n"/>
      <c r="CS341" s="60" t="n"/>
      <c r="CT341" s="60" t="n"/>
      <c r="CU341" s="60" t="n"/>
      <c r="CV341" s="60" t="n"/>
      <c r="CW341" s="60" t="n"/>
      <c r="CX341" s="60" t="n"/>
      <c r="CY341" s="60" t="n"/>
      <c r="CZ341" s="60" t="n"/>
      <c r="DA341" s="60" t="n"/>
      <c r="DB341" s="60" t="n"/>
      <c r="DC341" s="60" t="n"/>
      <c r="DD341" s="60" t="n"/>
      <c r="DE341" s="60" t="n"/>
    </row>
    <row r="342">
      <c r="A342" s="60" t="inlineStr">
        <is>
          <t>Referencia del revendido (no se compra)</t>
        </is>
      </c>
      <c r="B342" s="60" t="inlineStr">
        <is>
          <t>Manija de accionamiento — 143,5 × 21,5 × 20</t>
        </is>
      </c>
      <c r="C342" s="60" t="inlineStr">
        <is>
          <t>u</t>
        </is>
      </c>
      <c r="D342" s="60" t="inlineStr">
        <is>
          <t>No</t>
        </is>
      </c>
      <c r="E342" s="60" t="n"/>
      <c r="F342" s="60" t="inlineStr">
        <is>
          <t>S4 - se compra terminado (tercerizado con sello IRAM)</t>
        </is>
      </c>
      <c r="G342" s="60" t="n"/>
      <c r="H342" s="60" t="n"/>
      <c r="I342" s="60" t="n"/>
      <c r="J342" s="60" t="n"/>
      <c r="K342" s="60" t="n"/>
      <c r="L342" s="60" t="n"/>
      <c r="M342" s="60" t="n"/>
      <c r="N342" s="60" t="n"/>
      <c r="O342" s="60" t="n"/>
      <c r="P342" s="60" t="n">
        <v>1</v>
      </c>
      <c r="Q342" s="60" t="n"/>
      <c r="R342" s="60" t="n"/>
      <c r="S342" s="60" t="n"/>
      <c r="T342" s="60" t="n"/>
      <c r="U342" s="60" t="n"/>
      <c r="V342" s="60" t="n"/>
      <c r="W342" s="60" t="n"/>
      <c r="X342" s="60" t="n"/>
      <c r="Y342" s="60" t="n"/>
      <c r="Z342" s="60" t="n"/>
      <c r="AA342" s="60" t="n"/>
      <c r="AB342" s="60" t="n"/>
      <c r="AC342" s="60" t="n"/>
      <c r="AD342" s="60" t="n"/>
      <c r="AE342" s="60" t="n"/>
      <c r="AF342" s="60" t="n"/>
      <c r="AG342" s="60" t="n"/>
      <c r="AH342" s="60" t="n"/>
      <c r="AI342" s="60" t="n"/>
      <c r="AJ342" s="60" t="n"/>
      <c r="AK342" s="60" t="n"/>
      <c r="AL342" s="60" t="n"/>
      <c r="AM342" s="60" t="n"/>
      <c r="AN342" s="60" t="n"/>
      <c r="AO342" s="60" t="n"/>
      <c r="AP342" s="60" t="n"/>
      <c r="AQ342" s="60" t="n"/>
      <c r="AR342" s="60" t="n"/>
      <c r="AS342" s="60" t="n"/>
      <c r="AT342" s="60" t="n"/>
      <c r="AU342" s="60" t="n"/>
      <c r="AV342" s="60" t="n"/>
      <c r="AW342" s="60" t="n"/>
      <c r="AX342" s="60" t="n"/>
      <c r="AY342" s="60" t="n"/>
      <c r="AZ342" s="60" t="n"/>
      <c r="BA342" s="60" t="n"/>
      <c r="BB342" s="60" t="n"/>
      <c r="BC342" s="60" t="n"/>
      <c r="BD342" s="60" t="n"/>
      <c r="BE342" s="60" t="n"/>
      <c r="BF342" s="60" t="n"/>
      <c r="BG342" s="60" t="n"/>
      <c r="BH342" s="60" t="n"/>
      <c r="BI342" s="60" t="n"/>
      <c r="BJ342" s="60" t="n"/>
      <c r="BK342" s="60" t="n"/>
      <c r="BL342" s="60" t="n"/>
      <c r="BM342" s="60" t="n"/>
      <c r="BN342" s="60" t="n"/>
      <c r="BO342" s="60" t="n"/>
      <c r="BP342" s="60" t="n"/>
      <c r="BQ342" s="60" t="n"/>
      <c r="BR342" s="60" t="n"/>
      <c r="BS342" s="60" t="n"/>
      <c r="BT342" s="60" t="n"/>
      <c r="BU342" s="60" t="n"/>
      <c r="BV342" s="60" t="n"/>
      <c r="BW342" s="60" t="n"/>
      <c r="BX342" s="60" t="n"/>
      <c r="BY342" s="60" t="n"/>
      <c r="BZ342" s="60" t="n"/>
      <c r="CA342" s="60" t="n"/>
      <c r="CB342" s="60" t="n"/>
      <c r="CC342" s="60" t="n"/>
      <c r="CD342" s="60" t="n"/>
      <c r="CE342" s="60" t="n"/>
      <c r="CF342" s="60" t="n"/>
      <c r="CG342" s="60" t="n"/>
      <c r="CH342" s="60" t="n"/>
      <c r="CI342" s="60" t="n"/>
      <c r="CJ342" s="60" t="n"/>
      <c r="CK342" s="60" t="n"/>
      <c r="CL342" s="60" t="n"/>
      <c r="CM342" s="60" t="n"/>
      <c r="CN342" s="60" t="n"/>
      <c r="CO342" s="60" t="n"/>
      <c r="CP342" s="60" t="n"/>
      <c r="CQ342" s="60" t="n"/>
      <c r="CR342" s="60" t="n"/>
      <c r="CS342" s="60" t="n"/>
      <c r="CT342" s="60" t="n"/>
      <c r="CU342" s="60" t="n"/>
      <c r="CV342" s="60" t="n"/>
      <c r="CW342" s="60" t="n"/>
      <c r="CX342" s="60" t="n"/>
      <c r="CY342" s="60" t="n"/>
      <c r="CZ342" s="60" t="n"/>
      <c r="DA342" s="60" t="n"/>
      <c r="DB342" s="60" t="n"/>
      <c r="DC342" s="60" t="n"/>
      <c r="DD342" s="60" t="n"/>
      <c r="DE342" s="60" t="n"/>
    </row>
    <row r="343">
      <c r="A343" s="60" t="inlineStr">
        <is>
          <t>Referencia del revendido (no se compra)</t>
        </is>
      </c>
      <c r="B343" s="60" t="inlineStr">
        <is>
          <t>Manija de accionamiento — 146,6 × 27 × 23,3</t>
        </is>
      </c>
      <c r="C343" s="60" t="inlineStr">
        <is>
          <t>u</t>
        </is>
      </c>
      <c r="D343" s="60" t="inlineStr">
        <is>
          <t>No</t>
        </is>
      </c>
      <c r="E343" s="60" t="n"/>
      <c r="F343" s="60" t="inlineStr">
        <is>
          <t>S4 - se compra terminado (tercerizado con sello IRAM)</t>
        </is>
      </c>
      <c r="G343" s="60" t="n"/>
      <c r="H343" s="60" t="n"/>
      <c r="I343" s="60" t="n"/>
      <c r="J343" s="60" t="n"/>
      <c r="K343" s="60" t="n"/>
      <c r="L343" s="60" t="n"/>
      <c r="M343" s="60" t="n">
        <v>1</v>
      </c>
      <c r="N343" s="60" t="n"/>
      <c r="O343" s="60" t="n"/>
      <c r="P343" s="60" t="n"/>
      <c r="Q343" s="60" t="n"/>
      <c r="R343" s="60" t="n"/>
      <c r="S343" s="60" t="n"/>
      <c r="T343" s="60" t="n"/>
      <c r="U343" s="60" t="n">
        <v>1</v>
      </c>
      <c r="V343" s="60" t="n"/>
      <c r="W343" s="60" t="n"/>
      <c r="X343" s="60" t="n"/>
      <c r="Y343" s="60" t="n"/>
      <c r="Z343" s="60" t="n"/>
      <c r="AA343" s="60" t="n"/>
      <c r="AB343" s="60" t="n"/>
      <c r="AC343" s="60" t="n"/>
      <c r="AD343" s="60" t="n"/>
      <c r="AE343" s="60" t="n"/>
      <c r="AF343" s="60" t="n"/>
      <c r="AG343" s="60" t="n"/>
      <c r="AH343" s="60" t="n"/>
      <c r="AI343" s="60" t="n"/>
      <c r="AJ343" s="60" t="n"/>
      <c r="AK343" s="60" t="n"/>
      <c r="AL343" s="60" t="n"/>
      <c r="AM343" s="60" t="n"/>
      <c r="AN343" s="60" t="n"/>
      <c r="AO343" s="60" t="n"/>
      <c r="AP343" s="60" t="n"/>
      <c r="AQ343" s="60" t="n"/>
      <c r="AR343" s="60" t="n"/>
      <c r="AS343" s="60" t="n"/>
      <c r="AT343" s="60" t="n"/>
      <c r="AU343" s="60" t="n"/>
      <c r="AV343" s="60" t="n"/>
      <c r="AW343" s="60" t="n"/>
      <c r="AX343" s="60" t="n"/>
      <c r="AY343" s="60" t="n"/>
      <c r="AZ343" s="60" t="n"/>
      <c r="BA343" s="60" t="n"/>
      <c r="BB343" s="60" t="n"/>
      <c r="BC343" s="60" t="n"/>
      <c r="BD343" s="60" t="n"/>
      <c r="BE343" s="60" t="n"/>
      <c r="BF343" s="60" t="n"/>
      <c r="BG343" s="60" t="n"/>
      <c r="BH343" s="60" t="n"/>
      <c r="BI343" s="60" t="n"/>
      <c r="BJ343" s="60" t="n"/>
      <c r="BK343" s="60" t="n"/>
      <c r="BL343" s="60" t="n"/>
      <c r="BM343" s="60" t="n"/>
      <c r="BN343" s="60" t="n"/>
      <c r="BO343" s="60" t="n"/>
      <c r="BP343" s="60" t="n"/>
      <c r="BQ343" s="60" t="n"/>
      <c r="BR343" s="60" t="n"/>
      <c r="BS343" s="60" t="n"/>
      <c r="BT343" s="60" t="n"/>
      <c r="BU343" s="60" t="n"/>
      <c r="BV343" s="60" t="n"/>
      <c r="BW343" s="60" t="n"/>
      <c r="BX343" s="60" t="n"/>
      <c r="BY343" s="60" t="n"/>
      <c r="BZ343" s="60" t="n"/>
      <c r="CA343" s="60" t="n"/>
      <c r="CB343" s="60" t="n"/>
      <c r="CC343" s="60" t="n"/>
      <c r="CD343" s="60" t="n"/>
      <c r="CE343" s="60" t="n"/>
      <c r="CF343" s="60" t="n"/>
      <c r="CG343" s="60" t="n"/>
      <c r="CH343" s="60" t="n"/>
      <c r="CI343" s="60" t="n"/>
      <c r="CJ343" s="60" t="n"/>
      <c r="CK343" s="60" t="n"/>
      <c r="CL343" s="60" t="n"/>
      <c r="CM343" s="60" t="n"/>
      <c r="CN343" s="60" t="n"/>
      <c r="CO343" s="60" t="n"/>
      <c r="CP343" s="60" t="n"/>
      <c r="CQ343" s="60" t="n"/>
      <c r="CR343" s="60" t="n"/>
      <c r="CS343" s="60" t="n"/>
      <c r="CT343" s="60" t="n"/>
      <c r="CU343" s="60" t="n"/>
      <c r="CV343" s="60" t="n"/>
      <c r="CW343" s="60" t="n"/>
      <c r="CX343" s="60" t="n"/>
      <c r="CY343" s="60" t="n"/>
      <c r="CZ343" s="60" t="n"/>
      <c r="DA343" s="60" t="n"/>
      <c r="DB343" s="60" t="n"/>
      <c r="DC343" s="60" t="n"/>
      <c r="DD343" s="60" t="n"/>
      <c r="DE343" s="60" t="n"/>
    </row>
    <row r="344">
      <c r="A344" s="60" t="inlineStr">
        <is>
          <t>Referencia del revendido (no se compra)</t>
        </is>
      </c>
      <c r="B344" s="60" t="inlineStr">
        <is>
          <t>Manija de accionamiento — 166,5 × 24,4 × 20</t>
        </is>
      </c>
      <c r="C344" s="60" t="inlineStr">
        <is>
          <t>u</t>
        </is>
      </c>
      <c r="D344" s="60" t="inlineStr">
        <is>
          <t>No</t>
        </is>
      </c>
      <c r="E344" s="60" t="n"/>
      <c r="F344" s="60" t="inlineStr">
        <is>
          <t>S4 - se compra terminado (tercerizado con sello IRAM)</t>
        </is>
      </c>
      <c r="G344" s="60" t="n"/>
      <c r="H344" s="60" t="n"/>
      <c r="I344" s="60" t="n"/>
      <c r="J344" s="60" t="n"/>
      <c r="K344" s="60" t="n"/>
      <c r="L344" s="60" t="n"/>
      <c r="M344" s="60" t="n"/>
      <c r="N344" s="60" t="n"/>
      <c r="O344" s="60" t="n"/>
      <c r="P344" s="60" t="n"/>
      <c r="Q344" s="60" t="n">
        <v>1</v>
      </c>
      <c r="R344" s="60" t="n"/>
      <c r="S344" s="60" t="n"/>
      <c r="T344" s="60" t="n"/>
      <c r="U344" s="60" t="n"/>
      <c r="V344" s="60" t="n"/>
      <c r="W344" s="60" t="n"/>
      <c r="X344" s="60" t="n"/>
      <c r="Y344" s="60" t="n"/>
      <c r="Z344" s="60" t="n"/>
      <c r="AA344" s="60" t="n"/>
      <c r="AB344" s="60" t="n"/>
      <c r="AC344" s="60" t="n"/>
      <c r="AD344" s="60" t="n"/>
      <c r="AE344" s="60" t="n"/>
      <c r="AF344" s="60" t="n"/>
      <c r="AG344" s="60" t="n"/>
      <c r="AH344" s="60" t="n"/>
      <c r="AI344" s="60" t="n"/>
      <c r="AJ344" s="60" t="n"/>
      <c r="AK344" s="60" t="n"/>
      <c r="AL344" s="60" t="n"/>
      <c r="AM344" s="60" t="n"/>
      <c r="AN344" s="60" t="n"/>
      <c r="AO344" s="60" t="n"/>
      <c r="AP344" s="60" t="n"/>
      <c r="AQ344" s="60" t="n"/>
      <c r="AR344" s="60" t="n"/>
      <c r="AS344" s="60" t="n"/>
      <c r="AT344" s="60" t="n"/>
      <c r="AU344" s="60" t="n"/>
      <c r="AV344" s="60" t="n"/>
      <c r="AW344" s="60" t="n"/>
      <c r="AX344" s="60" t="n"/>
      <c r="AY344" s="60" t="n"/>
      <c r="AZ344" s="60" t="n"/>
      <c r="BA344" s="60" t="n"/>
      <c r="BB344" s="60" t="n"/>
      <c r="BC344" s="60" t="n"/>
      <c r="BD344" s="60" t="n"/>
      <c r="BE344" s="60" t="n"/>
      <c r="BF344" s="60" t="n"/>
      <c r="BG344" s="60" t="n"/>
      <c r="BH344" s="60" t="n"/>
      <c r="BI344" s="60" t="n"/>
      <c r="BJ344" s="60" t="n"/>
      <c r="BK344" s="60" t="n"/>
      <c r="BL344" s="60" t="n"/>
      <c r="BM344" s="60" t="n"/>
      <c r="BN344" s="60" t="n"/>
      <c r="BO344" s="60" t="n"/>
      <c r="BP344" s="60" t="n"/>
      <c r="BQ344" s="60" t="n"/>
      <c r="BR344" s="60" t="n"/>
      <c r="BS344" s="60" t="n"/>
      <c r="BT344" s="60" t="n"/>
      <c r="BU344" s="60" t="n"/>
      <c r="BV344" s="60" t="n"/>
      <c r="BW344" s="60" t="n"/>
      <c r="BX344" s="60" t="n"/>
      <c r="BY344" s="60" t="n"/>
      <c r="BZ344" s="60" t="n"/>
      <c r="CA344" s="60" t="n"/>
      <c r="CB344" s="60" t="n"/>
      <c r="CC344" s="60" t="n"/>
      <c r="CD344" s="60" t="n"/>
      <c r="CE344" s="60" t="n"/>
      <c r="CF344" s="60" t="n"/>
      <c r="CG344" s="60" t="n"/>
      <c r="CH344" s="60" t="n"/>
      <c r="CI344" s="60" t="n"/>
      <c r="CJ344" s="60" t="n"/>
      <c r="CK344" s="60" t="n"/>
      <c r="CL344" s="60" t="n"/>
      <c r="CM344" s="60" t="n"/>
      <c r="CN344" s="60" t="n"/>
      <c r="CO344" s="60" t="n"/>
      <c r="CP344" s="60" t="n"/>
      <c r="CQ344" s="60" t="n"/>
      <c r="CR344" s="60" t="n"/>
      <c r="CS344" s="60" t="n"/>
      <c r="CT344" s="60" t="n"/>
      <c r="CU344" s="60" t="n"/>
      <c r="CV344" s="60" t="n"/>
      <c r="CW344" s="60" t="n"/>
      <c r="CX344" s="60" t="n"/>
      <c r="CY344" s="60" t="n"/>
      <c r="CZ344" s="60" t="n"/>
      <c r="DA344" s="60" t="n"/>
      <c r="DB344" s="60" t="n"/>
      <c r="DC344" s="60" t="n"/>
      <c r="DD344" s="60" t="n"/>
      <c r="DE344" s="60" t="n"/>
    </row>
    <row r="345">
      <c r="A345" s="60" t="inlineStr">
        <is>
          <t>Referencia del revendido (no se compra)</t>
        </is>
      </c>
      <c r="B345" s="60" t="inlineStr">
        <is>
          <t>Manija de accionamiento — 168,5 × 24,6 × 20</t>
        </is>
      </c>
      <c r="C345" s="60" t="inlineStr">
        <is>
          <t>u</t>
        </is>
      </c>
      <c r="D345" s="60" t="inlineStr">
        <is>
          <t>No</t>
        </is>
      </c>
      <c r="E345" s="60" t="n"/>
      <c r="F345" s="60" t="inlineStr">
        <is>
          <t>S4 - se compra terminado (tercerizado con sello IRAM)</t>
        </is>
      </c>
      <c r="G345" s="60" t="n"/>
      <c r="H345" s="60" t="n"/>
      <c r="I345" s="60" t="n"/>
      <c r="J345" s="60" t="n"/>
      <c r="K345" s="60" t="n"/>
      <c r="L345" s="60" t="n"/>
      <c r="M345" s="60" t="n"/>
      <c r="N345" s="60" t="n"/>
      <c r="O345" s="60" t="n">
        <v>1</v>
      </c>
      <c r="P345" s="60" t="n"/>
      <c r="Q345" s="60" t="n"/>
      <c r="R345" s="60" t="n"/>
      <c r="S345" s="60" t="n"/>
      <c r="T345" s="60" t="n"/>
      <c r="U345" s="60" t="n"/>
      <c r="V345" s="60" t="n"/>
      <c r="W345" s="60" t="n"/>
      <c r="X345" s="60" t="n"/>
      <c r="Y345" s="60" t="n"/>
      <c r="Z345" s="60" t="n"/>
      <c r="AA345" s="60" t="n"/>
      <c r="AB345" s="60" t="n"/>
      <c r="AC345" s="60" t="n"/>
      <c r="AD345" s="60" t="n"/>
      <c r="AE345" s="60" t="n"/>
      <c r="AF345" s="60" t="n"/>
      <c r="AG345" s="60" t="n"/>
      <c r="AH345" s="60" t="n"/>
      <c r="AI345" s="60" t="n"/>
      <c r="AJ345" s="60" t="n"/>
      <c r="AK345" s="60" t="n"/>
      <c r="AL345" s="60" t="n"/>
      <c r="AM345" s="60" t="n"/>
      <c r="AN345" s="60" t="n"/>
      <c r="AO345" s="60" t="n"/>
      <c r="AP345" s="60" t="n"/>
      <c r="AQ345" s="60" t="n"/>
      <c r="AR345" s="60" t="n"/>
      <c r="AS345" s="60" t="n"/>
      <c r="AT345" s="60" t="n"/>
      <c r="AU345" s="60" t="n"/>
      <c r="AV345" s="60" t="n"/>
      <c r="AW345" s="60" t="n"/>
      <c r="AX345" s="60" t="n"/>
      <c r="AY345" s="60" t="n"/>
      <c r="AZ345" s="60" t="n"/>
      <c r="BA345" s="60" t="n"/>
      <c r="BB345" s="60" t="n"/>
      <c r="BC345" s="60" t="n"/>
      <c r="BD345" s="60" t="n"/>
      <c r="BE345" s="60" t="n"/>
      <c r="BF345" s="60" t="n"/>
      <c r="BG345" s="60" t="n"/>
      <c r="BH345" s="60" t="n"/>
      <c r="BI345" s="60" t="n"/>
      <c r="BJ345" s="60" t="n"/>
      <c r="BK345" s="60" t="n"/>
      <c r="BL345" s="60" t="n"/>
      <c r="BM345" s="60" t="n"/>
      <c r="BN345" s="60" t="n"/>
      <c r="BO345" s="60" t="n"/>
      <c r="BP345" s="60" t="n"/>
      <c r="BQ345" s="60" t="n"/>
      <c r="BR345" s="60" t="n"/>
      <c r="BS345" s="60" t="n"/>
      <c r="BT345" s="60" t="n"/>
      <c r="BU345" s="60" t="n"/>
      <c r="BV345" s="60" t="n"/>
      <c r="BW345" s="60" t="n"/>
      <c r="BX345" s="60" t="n"/>
      <c r="BY345" s="60" t="n"/>
      <c r="BZ345" s="60" t="n"/>
      <c r="CA345" s="60" t="n"/>
      <c r="CB345" s="60" t="n"/>
      <c r="CC345" s="60" t="n"/>
      <c r="CD345" s="60" t="n"/>
      <c r="CE345" s="60" t="n"/>
      <c r="CF345" s="60" t="n"/>
      <c r="CG345" s="60" t="n"/>
      <c r="CH345" s="60" t="n"/>
      <c r="CI345" s="60" t="n"/>
      <c r="CJ345" s="60" t="n"/>
      <c r="CK345" s="60" t="n"/>
      <c r="CL345" s="60" t="n"/>
      <c r="CM345" s="60" t="n"/>
      <c r="CN345" s="60" t="n"/>
      <c r="CO345" s="60" t="n"/>
      <c r="CP345" s="60" t="n"/>
      <c r="CQ345" s="60" t="n"/>
      <c r="CR345" s="60" t="n"/>
      <c r="CS345" s="60" t="n"/>
      <c r="CT345" s="60" t="n"/>
      <c r="CU345" s="60" t="n"/>
      <c r="CV345" s="60" t="n"/>
      <c r="CW345" s="60" t="n"/>
      <c r="CX345" s="60" t="n"/>
      <c r="CY345" s="60" t="n"/>
      <c r="CZ345" s="60" t="n"/>
      <c r="DA345" s="60" t="n"/>
      <c r="DB345" s="60" t="n"/>
      <c r="DC345" s="60" t="n"/>
      <c r="DD345" s="60" t="n"/>
      <c r="DE345" s="60" t="n"/>
    </row>
    <row r="346">
      <c r="A346" s="60" t="inlineStr">
        <is>
          <t>Referencia del revendido (no se compra)</t>
        </is>
      </c>
      <c r="B346" s="60" t="inlineStr">
        <is>
          <t>Manija de transporte — 100,9 × 20 × 14,5</t>
        </is>
      </c>
      <c r="C346" s="60" t="inlineStr">
        <is>
          <t>u</t>
        </is>
      </c>
      <c r="D346" s="60" t="inlineStr">
        <is>
          <t>No</t>
        </is>
      </c>
      <c r="E346" s="60" t="n"/>
      <c r="F346" s="60" t="inlineStr">
        <is>
          <t>S4 - se compra terminado (tercerizado con sello IRAM)</t>
        </is>
      </c>
      <c r="G346" s="60" t="n"/>
      <c r="H346" s="60" t="n"/>
      <c r="I346" s="60" t="n"/>
      <c r="J346" s="60" t="n"/>
      <c r="K346" s="60" t="n"/>
      <c r="L346" s="60" t="n"/>
      <c r="M346" s="60" t="n"/>
      <c r="N346" s="60" t="n"/>
      <c r="O346" s="60" t="n"/>
      <c r="P346" s="60" t="n">
        <v>1</v>
      </c>
      <c r="Q346" s="60" t="n"/>
      <c r="R346" s="60" t="n"/>
      <c r="S346" s="60" t="n"/>
      <c r="T346" s="60" t="n"/>
      <c r="U346" s="60" t="n"/>
      <c r="V346" s="60" t="n"/>
      <c r="W346" s="60" t="n"/>
      <c r="X346" s="60" t="n"/>
      <c r="Y346" s="60" t="n"/>
      <c r="Z346" s="60" t="n"/>
      <c r="AA346" s="60" t="n"/>
      <c r="AB346" s="60" t="n"/>
      <c r="AC346" s="60" t="n"/>
      <c r="AD346" s="60" t="n"/>
      <c r="AE346" s="60" t="n"/>
      <c r="AF346" s="60" t="n"/>
      <c r="AG346" s="60" t="n"/>
      <c r="AH346" s="60" t="n"/>
      <c r="AI346" s="60" t="n"/>
      <c r="AJ346" s="60" t="n"/>
      <c r="AK346" s="60" t="n"/>
      <c r="AL346" s="60" t="n"/>
      <c r="AM346" s="60" t="n"/>
      <c r="AN346" s="60" t="n"/>
      <c r="AO346" s="60" t="n"/>
      <c r="AP346" s="60" t="n"/>
      <c r="AQ346" s="60" t="n"/>
      <c r="AR346" s="60" t="n"/>
      <c r="AS346" s="60" t="n"/>
      <c r="AT346" s="60" t="n"/>
      <c r="AU346" s="60" t="n"/>
      <c r="AV346" s="60" t="n"/>
      <c r="AW346" s="60" t="n"/>
      <c r="AX346" s="60" t="n"/>
      <c r="AY346" s="60" t="n"/>
      <c r="AZ346" s="60" t="n"/>
      <c r="BA346" s="60" t="n"/>
      <c r="BB346" s="60" t="n"/>
      <c r="BC346" s="60" t="n"/>
      <c r="BD346" s="60" t="n"/>
      <c r="BE346" s="60" t="n"/>
      <c r="BF346" s="60" t="n"/>
      <c r="BG346" s="60" t="n"/>
      <c r="BH346" s="60" t="n"/>
      <c r="BI346" s="60" t="n"/>
      <c r="BJ346" s="60" t="n"/>
      <c r="BK346" s="60" t="n"/>
      <c r="BL346" s="60" t="n"/>
      <c r="BM346" s="60" t="n"/>
      <c r="BN346" s="60" t="n"/>
      <c r="BO346" s="60" t="n"/>
      <c r="BP346" s="60" t="n"/>
      <c r="BQ346" s="60" t="n"/>
      <c r="BR346" s="60" t="n"/>
      <c r="BS346" s="60" t="n"/>
      <c r="BT346" s="60" t="n"/>
      <c r="BU346" s="60" t="n"/>
      <c r="BV346" s="60" t="n"/>
      <c r="BW346" s="60" t="n"/>
      <c r="BX346" s="60" t="n"/>
      <c r="BY346" s="60" t="n"/>
      <c r="BZ346" s="60" t="n"/>
      <c r="CA346" s="60" t="n"/>
      <c r="CB346" s="60" t="n"/>
      <c r="CC346" s="60" t="n"/>
      <c r="CD346" s="60" t="n"/>
      <c r="CE346" s="60" t="n"/>
      <c r="CF346" s="60" t="n"/>
      <c r="CG346" s="60" t="n"/>
      <c r="CH346" s="60" t="n"/>
      <c r="CI346" s="60" t="n"/>
      <c r="CJ346" s="60" t="n"/>
      <c r="CK346" s="60" t="n"/>
      <c r="CL346" s="60" t="n"/>
      <c r="CM346" s="60" t="n"/>
      <c r="CN346" s="60" t="n"/>
      <c r="CO346" s="60" t="n"/>
      <c r="CP346" s="60" t="n"/>
      <c r="CQ346" s="60" t="n"/>
      <c r="CR346" s="60" t="n"/>
      <c r="CS346" s="60" t="n"/>
      <c r="CT346" s="60" t="n"/>
      <c r="CU346" s="60" t="n"/>
      <c r="CV346" s="60" t="n"/>
      <c r="CW346" s="60" t="n"/>
      <c r="CX346" s="60" t="n"/>
      <c r="CY346" s="60" t="n"/>
      <c r="CZ346" s="60" t="n"/>
      <c r="DA346" s="60" t="n"/>
      <c r="DB346" s="60" t="n"/>
      <c r="DC346" s="60" t="n"/>
      <c r="DD346" s="60" t="n"/>
      <c r="DE346" s="60" t="n"/>
    </row>
    <row r="347">
      <c r="A347" s="60" t="inlineStr">
        <is>
          <t>Referencia del revendido (no se compra)</t>
        </is>
      </c>
      <c r="B347" s="60" t="inlineStr">
        <is>
          <t>Manija de transporte — 124 × 20 × 17</t>
        </is>
      </c>
      <c r="C347" s="60" t="inlineStr">
        <is>
          <t>u</t>
        </is>
      </c>
      <c r="D347" s="60" t="inlineStr">
        <is>
          <t>No</t>
        </is>
      </c>
      <c r="E347" s="60" t="n"/>
      <c r="F347" s="60" t="inlineStr">
        <is>
          <t>S4 - se compra terminado (tercerizado con sello IRAM)</t>
        </is>
      </c>
      <c r="G347" s="60" t="n"/>
      <c r="H347" s="60" t="n"/>
      <c r="I347" s="60" t="n"/>
      <c r="J347" s="60" t="n"/>
      <c r="K347" s="60" t="n"/>
      <c r="L347" s="60" t="n"/>
      <c r="M347" s="60" t="n"/>
      <c r="N347" s="60" t="n"/>
      <c r="O347" s="60" t="n"/>
      <c r="P347" s="60" t="n"/>
      <c r="Q347" s="60" t="n">
        <v>1</v>
      </c>
      <c r="R347" s="60" t="n"/>
      <c r="S347" s="60" t="n"/>
      <c r="T347" s="60" t="n"/>
      <c r="U347" s="60" t="n"/>
      <c r="V347" s="60" t="n"/>
      <c r="W347" s="60" t="n"/>
      <c r="X347" s="60" t="n"/>
      <c r="Y347" s="60" t="n"/>
      <c r="Z347" s="60" t="n"/>
      <c r="AA347" s="60" t="n"/>
      <c r="AB347" s="60" t="n"/>
      <c r="AC347" s="60" t="n"/>
      <c r="AD347" s="60" t="n"/>
      <c r="AE347" s="60" t="n"/>
      <c r="AF347" s="60" t="n"/>
      <c r="AG347" s="60" t="n"/>
      <c r="AH347" s="60" t="n"/>
      <c r="AI347" s="60" t="n"/>
      <c r="AJ347" s="60" t="n"/>
      <c r="AK347" s="60" t="n"/>
      <c r="AL347" s="60" t="n"/>
      <c r="AM347" s="60" t="n"/>
      <c r="AN347" s="60" t="n"/>
      <c r="AO347" s="60" t="n"/>
      <c r="AP347" s="60" t="n"/>
      <c r="AQ347" s="60" t="n"/>
      <c r="AR347" s="60" t="n"/>
      <c r="AS347" s="60" t="n"/>
      <c r="AT347" s="60" t="n"/>
      <c r="AU347" s="60" t="n"/>
      <c r="AV347" s="60" t="n"/>
      <c r="AW347" s="60" t="n"/>
      <c r="AX347" s="60" t="n"/>
      <c r="AY347" s="60" t="n"/>
      <c r="AZ347" s="60" t="n"/>
      <c r="BA347" s="60" t="n"/>
      <c r="BB347" s="60" t="n"/>
      <c r="BC347" s="60" t="n"/>
      <c r="BD347" s="60" t="n"/>
      <c r="BE347" s="60" t="n"/>
      <c r="BF347" s="60" t="n"/>
      <c r="BG347" s="60" t="n"/>
      <c r="BH347" s="60" t="n"/>
      <c r="BI347" s="60" t="n"/>
      <c r="BJ347" s="60" t="n"/>
      <c r="BK347" s="60" t="n"/>
      <c r="BL347" s="60" t="n"/>
      <c r="BM347" s="60" t="n"/>
      <c r="BN347" s="60" t="n"/>
      <c r="BO347" s="60" t="n"/>
      <c r="BP347" s="60" t="n"/>
      <c r="BQ347" s="60" t="n"/>
      <c r="BR347" s="60" t="n"/>
      <c r="BS347" s="60" t="n"/>
      <c r="BT347" s="60" t="n"/>
      <c r="BU347" s="60" t="n"/>
      <c r="BV347" s="60" t="n"/>
      <c r="BW347" s="60" t="n"/>
      <c r="BX347" s="60" t="n"/>
      <c r="BY347" s="60" t="n"/>
      <c r="BZ347" s="60" t="n"/>
      <c r="CA347" s="60" t="n"/>
      <c r="CB347" s="60" t="n"/>
      <c r="CC347" s="60" t="n"/>
      <c r="CD347" s="60" t="n"/>
      <c r="CE347" s="60" t="n"/>
      <c r="CF347" s="60" t="n"/>
      <c r="CG347" s="60" t="n"/>
      <c r="CH347" s="60" t="n"/>
      <c r="CI347" s="60" t="n"/>
      <c r="CJ347" s="60" t="n"/>
      <c r="CK347" s="60" t="n"/>
      <c r="CL347" s="60" t="n"/>
      <c r="CM347" s="60" t="n"/>
      <c r="CN347" s="60" t="n"/>
      <c r="CO347" s="60" t="n"/>
      <c r="CP347" s="60" t="n"/>
      <c r="CQ347" s="60" t="n"/>
      <c r="CR347" s="60" t="n"/>
      <c r="CS347" s="60" t="n"/>
      <c r="CT347" s="60" t="n"/>
      <c r="CU347" s="60" t="n"/>
      <c r="CV347" s="60" t="n"/>
      <c r="CW347" s="60" t="n"/>
      <c r="CX347" s="60" t="n"/>
      <c r="CY347" s="60" t="n"/>
      <c r="CZ347" s="60" t="n"/>
      <c r="DA347" s="60" t="n"/>
      <c r="DB347" s="60" t="n"/>
      <c r="DC347" s="60" t="n"/>
      <c r="DD347" s="60" t="n"/>
      <c r="DE347" s="60" t="n"/>
    </row>
    <row r="348">
      <c r="A348" s="60" t="inlineStr">
        <is>
          <t>Referencia del revendido (no se compra)</t>
        </is>
      </c>
      <c r="B348" s="60" t="inlineStr">
        <is>
          <t>Manija de transporte — 126 × 20 × 17,2</t>
        </is>
      </c>
      <c r="C348" s="60" t="inlineStr">
        <is>
          <t>u</t>
        </is>
      </c>
      <c r="D348" s="60" t="inlineStr">
        <is>
          <t>No</t>
        </is>
      </c>
      <c r="E348" s="60" t="n"/>
      <c r="F348" s="60" t="inlineStr">
        <is>
          <t>S4 - se compra terminado (tercerizado con sello IRAM)</t>
        </is>
      </c>
      <c r="G348" s="60" t="n"/>
      <c r="H348" s="60" t="n"/>
      <c r="I348" s="60" t="n"/>
      <c r="J348" s="60" t="n"/>
      <c r="K348" s="60" t="n"/>
      <c r="L348" s="60" t="n"/>
      <c r="M348" s="60" t="n"/>
      <c r="N348" s="60" t="n"/>
      <c r="O348" s="60" t="n">
        <v>1</v>
      </c>
      <c r="P348" s="60" t="n"/>
      <c r="Q348" s="60" t="n"/>
      <c r="R348" s="60" t="n"/>
      <c r="S348" s="60" t="n"/>
      <c r="T348" s="60" t="n"/>
      <c r="U348" s="60" t="n"/>
      <c r="V348" s="60" t="n"/>
      <c r="W348" s="60" t="n"/>
      <c r="X348" s="60" t="n"/>
      <c r="Y348" s="60" t="n"/>
      <c r="Z348" s="60" t="n"/>
      <c r="AA348" s="60" t="n"/>
      <c r="AB348" s="60" t="n"/>
      <c r="AC348" s="60" t="n"/>
      <c r="AD348" s="60" t="n"/>
      <c r="AE348" s="60" t="n"/>
      <c r="AF348" s="60" t="n"/>
      <c r="AG348" s="60" t="n"/>
      <c r="AH348" s="60" t="n"/>
      <c r="AI348" s="60" t="n"/>
      <c r="AJ348" s="60" t="n"/>
      <c r="AK348" s="60" t="n"/>
      <c r="AL348" s="60" t="n"/>
      <c r="AM348" s="60" t="n"/>
      <c r="AN348" s="60" t="n"/>
      <c r="AO348" s="60" t="n"/>
      <c r="AP348" s="60" t="n"/>
      <c r="AQ348" s="60" t="n"/>
      <c r="AR348" s="60" t="n"/>
      <c r="AS348" s="60" t="n"/>
      <c r="AT348" s="60" t="n"/>
      <c r="AU348" s="60" t="n"/>
      <c r="AV348" s="60" t="n"/>
      <c r="AW348" s="60" t="n"/>
      <c r="AX348" s="60" t="n"/>
      <c r="AY348" s="60" t="n"/>
      <c r="AZ348" s="60" t="n"/>
      <c r="BA348" s="60" t="n"/>
      <c r="BB348" s="60" t="n"/>
      <c r="BC348" s="60" t="n"/>
      <c r="BD348" s="60" t="n"/>
      <c r="BE348" s="60" t="n"/>
      <c r="BF348" s="60" t="n"/>
      <c r="BG348" s="60" t="n"/>
      <c r="BH348" s="60" t="n"/>
      <c r="BI348" s="60" t="n"/>
      <c r="BJ348" s="60" t="n"/>
      <c r="BK348" s="60" t="n"/>
      <c r="BL348" s="60" t="n"/>
      <c r="BM348" s="60" t="n"/>
      <c r="BN348" s="60" t="n"/>
      <c r="BO348" s="60" t="n"/>
      <c r="BP348" s="60" t="n"/>
      <c r="BQ348" s="60" t="n"/>
      <c r="BR348" s="60" t="n"/>
      <c r="BS348" s="60" t="n"/>
      <c r="BT348" s="60" t="n"/>
      <c r="BU348" s="60" t="n"/>
      <c r="BV348" s="60" t="n"/>
      <c r="BW348" s="60" t="n"/>
      <c r="BX348" s="60" t="n"/>
      <c r="BY348" s="60" t="n"/>
      <c r="BZ348" s="60" t="n"/>
      <c r="CA348" s="60" t="n"/>
      <c r="CB348" s="60" t="n"/>
      <c r="CC348" s="60" t="n"/>
      <c r="CD348" s="60" t="n"/>
      <c r="CE348" s="60" t="n"/>
      <c r="CF348" s="60" t="n"/>
      <c r="CG348" s="60" t="n"/>
      <c r="CH348" s="60" t="n"/>
      <c r="CI348" s="60" t="n"/>
      <c r="CJ348" s="60" t="n"/>
      <c r="CK348" s="60" t="n"/>
      <c r="CL348" s="60" t="n"/>
      <c r="CM348" s="60" t="n"/>
      <c r="CN348" s="60" t="n"/>
      <c r="CO348" s="60" t="n"/>
      <c r="CP348" s="60" t="n"/>
      <c r="CQ348" s="60" t="n"/>
      <c r="CR348" s="60" t="n"/>
      <c r="CS348" s="60" t="n"/>
      <c r="CT348" s="60" t="n"/>
      <c r="CU348" s="60" t="n"/>
      <c r="CV348" s="60" t="n"/>
      <c r="CW348" s="60" t="n"/>
      <c r="CX348" s="60" t="n"/>
      <c r="CY348" s="60" t="n"/>
      <c r="CZ348" s="60" t="n"/>
      <c r="DA348" s="60" t="n"/>
      <c r="DB348" s="60" t="n"/>
      <c r="DC348" s="60" t="n"/>
      <c r="DD348" s="60" t="n"/>
      <c r="DE348" s="60" t="n"/>
    </row>
    <row r="349">
      <c r="A349" s="60" t="inlineStr">
        <is>
          <t>Referencia del revendido (no se compra)</t>
        </is>
      </c>
      <c r="B349" s="60" t="inlineStr">
        <is>
          <t>Manija de transporte — 73,1 × 20 × 11,6</t>
        </is>
      </c>
      <c r="C349" s="60" t="inlineStr">
        <is>
          <t>u</t>
        </is>
      </c>
      <c r="D349" s="60" t="inlineStr">
        <is>
          <t>No</t>
        </is>
      </c>
      <c r="E349" s="60" t="n"/>
      <c r="F349" s="60" t="inlineStr">
        <is>
          <t>S4 - se compra terminado (tercerizado con sello IRAM)</t>
        </is>
      </c>
      <c r="G349" s="60" t="n"/>
      <c r="H349" s="60" t="n"/>
      <c r="I349" s="60" t="n"/>
      <c r="J349" s="60" t="n"/>
      <c r="K349" s="60" t="n"/>
      <c r="L349" s="60" t="n"/>
      <c r="M349" s="60" t="n"/>
      <c r="N349" s="60" t="n"/>
      <c r="O349" s="60" t="n"/>
      <c r="P349" s="60" t="n"/>
      <c r="Q349" s="60" t="n"/>
      <c r="R349" s="60" t="n"/>
      <c r="S349" s="60" t="n">
        <v>1</v>
      </c>
      <c r="T349" s="60" t="n"/>
      <c r="U349" s="60" t="n"/>
      <c r="V349" s="60" t="n"/>
      <c r="W349" s="60" t="n"/>
      <c r="X349" s="60" t="n"/>
      <c r="Y349" s="60" t="n"/>
      <c r="Z349" s="60" t="n"/>
      <c r="AA349" s="60" t="n"/>
      <c r="AB349" s="60" t="n"/>
      <c r="AC349" s="60" t="n"/>
      <c r="AD349" s="60" t="n"/>
      <c r="AE349" s="60" t="n"/>
      <c r="AF349" s="60" t="n"/>
      <c r="AG349" s="60" t="n"/>
      <c r="AH349" s="60" t="n"/>
      <c r="AI349" s="60" t="n"/>
      <c r="AJ349" s="60" t="n"/>
      <c r="AK349" s="60" t="n"/>
      <c r="AL349" s="60" t="n"/>
      <c r="AM349" s="60" t="n"/>
      <c r="AN349" s="60" t="n"/>
      <c r="AO349" s="60" t="n"/>
      <c r="AP349" s="60" t="n"/>
      <c r="AQ349" s="60" t="n"/>
      <c r="AR349" s="60" t="n"/>
      <c r="AS349" s="60" t="n"/>
      <c r="AT349" s="60" t="n"/>
      <c r="AU349" s="60" t="n"/>
      <c r="AV349" s="60" t="n"/>
      <c r="AW349" s="60" t="n"/>
      <c r="AX349" s="60" t="n"/>
      <c r="AY349" s="60" t="n"/>
      <c r="AZ349" s="60" t="n"/>
      <c r="BA349" s="60" t="n"/>
      <c r="BB349" s="60" t="n"/>
      <c r="BC349" s="60" t="n"/>
      <c r="BD349" s="60" t="n"/>
      <c r="BE349" s="60" t="n"/>
      <c r="BF349" s="60" t="n"/>
      <c r="BG349" s="60" t="n"/>
      <c r="BH349" s="60" t="n"/>
      <c r="BI349" s="60" t="n"/>
      <c r="BJ349" s="60" t="n"/>
      <c r="BK349" s="60" t="n"/>
      <c r="BL349" s="60" t="n"/>
      <c r="BM349" s="60" t="n"/>
      <c r="BN349" s="60" t="n"/>
      <c r="BO349" s="60" t="n"/>
      <c r="BP349" s="60" t="n"/>
      <c r="BQ349" s="60" t="n"/>
      <c r="BR349" s="60" t="n"/>
      <c r="BS349" s="60" t="n"/>
      <c r="BT349" s="60" t="n"/>
      <c r="BU349" s="60" t="n"/>
      <c r="BV349" s="60" t="n"/>
      <c r="BW349" s="60" t="n"/>
      <c r="BX349" s="60" t="n"/>
      <c r="BY349" s="60" t="n"/>
      <c r="BZ349" s="60" t="n"/>
      <c r="CA349" s="60" t="n"/>
      <c r="CB349" s="60" t="n"/>
      <c r="CC349" s="60" t="n"/>
      <c r="CD349" s="60" t="n"/>
      <c r="CE349" s="60" t="n"/>
      <c r="CF349" s="60" t="n"/>
      <c r="CG349" s="60" t="n"/>
      <c r="CH349" s="60" t="n"/>
      <c r="CI349" s="60" t="n"/>
      <c r="CJ349" s="60" t="n"/>
      <c r="CK349" s="60" t="n"/>
      <c r="CL349" s="60" t="n"/>
      <c r="CM349" s="60" t="n"/>
      <c r="CN349" s="60" t="n"/>
      <c r="CO349" s="60" t="n"/>
      <c r="CP349" s="60" t="n"/>
      <c r="CQ349" s="60" t="n"/>
      <c r="CR349" s="60" t="n"/>
      <c r="CS349" s="60" t="n"/>
      <c r="CT349" s="60" t="n"/>
      <c r="CU349" s="60" t="n"/>
      <c r="CV349" s="60" t="n"/>
      <c r="CW349" s="60" t="n"/>
      <c r="CX349" s="60" t="n"/>
      <c r="CY349" s="60" t="n"/>
      <c r="CZ349" s="60" t="n"/>
      <c r="DA349" s="60" t="n"/>
      <c r="DB349" s="60" t="n"/>
      <c r="DC349" s="60" t="n"/>
      <c r="DD349" s="60" t="n"/>
      <c r="DE349" s="60" t="n"/>
    </row>
    <row r="350">
      <c r="A350" s="60" t="inlineStr">
        <is>
          <t>Referencia del revendido (no se compra)</t>
        </is>
      </c>
      <c r="B350" s="60" t="inlineStr">
        <is>
          <t>Manija de transporte — 86,9 × 20 × 13,1</t>
        </is>
      </c>
      <c r="C350" s="60" t="inlineStr">
        <is>
          <t>u</t>
        </is>
      </c>
      <c r="D350" s="60" t="inlineStr">
        <is>
          <t>No</t>
        </is>
      </c>
      <c r="E350" s="60" t="n"/>
      <c r="F350" s="60" t="inlineStr">
        <is>
          <t>S4 - se compra terminado (tercerizado con sello IRAM)</t>
        </is>
      </c>
      <c r="G350" s="60" t="n"/>
      <c r="H350" s="60" t="n"/>
      <c r="I350" s="60" t="n"/>
      <c r="J350" s="60" t="n"/>
      <c r="K350" s="60" t="n"/>
      <c r="L350" s="60" t="n">
        <v>1</v>
      </c>
      <c r="M350" s="60" t="n"/>
      <c r="N350" s="60" t="n"/>
      <c r="O350" s="60" t="n"/>
      <c r="P350" s="60" t="n"/>
      <c r="Q350" s="60" t="n"/>
      <c r="R350" s="60" t="n"/>
      <c r="S350" s="60" t="n"/>
      <c r="T350" s="60" t="n"/>
      <c r="U350" s="60" t="n"/>
      <c r="V350" s="60" t="n"/>
      <c r="W350" s="60" t="n"/>
      <c r="X350" s="60" t="n"/>
      <c r="Y350" s="60" t="n"/>
      <c r="Z350" s="60" t="n"/>
      <c r="AA350" s="60" t="n"/>
      <c r="AB350" s="60" t="n"/>
      <c r="AC350" s="60" t="n"/>
      <c r="AD350" s="60" t="n"/>
      <c r="AE350" s="60" t="n"/>
      <c r="AF350" s="60" t="n"/>
      <c r="AG350" s="60" t="n"/>
      <c r="AH350" s="60" t="n"/>
      <c r="AI350" s="60" t="n"/>
      <c r="AJ350" s="60" t="n"/>
      <c r="AK350" s="60" t="n"/>
      <c r="AL350" s="60" t="n"/>
      <c r="AM350" s="60" t="n"/>
      <c r="AN350" s="60" t="n"/>
      <c r="AO350" s="60" t="n"/>
      <c r="AP350" s="60" t="n"/>
      <c r="AQ350" s="60" t="n"/>
      <c r="AR350" s="60" t="n"/>
      <c r="AS350" s="60" t="n"/>
      <c r="AT350" s="60" t="n"/>
      <c r="AU350" s="60" t="n"/>
      <c r="AV350" s="60" t="n"/>
      <c r="AW350" s="60" t="n"/>
      <c r="AX350" s="60" t="n"/>
      <c r="AY350" s="60" t="n"/>
      <c r="AZ350" s="60" t="n"/>
      <c r="BA350" s="60" t="n"/>
      <c r="BB350" s="60" t="n"/>
      <c r="BC350" s="60" t="n"/>
      <c r="BD350" s="60" t="n"/>
      <c r="BE350" s="60" t="n"/>
      <c r="BF350" s="60" t="n"/>
      <c r="BG350" s="60" t="n"/>
      <c r="BH350" s="60" t="n"/>
      <c r="BI350" s="60" t="n"/>
      <c r="BJ350" s="60" t="n"/>
      <c r="BK350" s="60" t="n"/>
      <c r="BL350" s="60" t="n"/>
      <c r="BM350" s="60" t="n"/>
      <c r="BN350" s="60" t="n"/>
      <c r="BO350" s="60" t="n"/>
      <c r="BP350" s="60" t="n"/>
      <c r="BQ350" s="60" t="n"/>
      <c r="BR350" s="60" t="n"/>
      <c r="BS350" s="60" t="n"/>
      <c r="BT350" s="60" t="n"/>
      <c r="BU350" s="60" t="n"/>
      <c r="BV350" s="60" t="n"/>
      <c r="BW350" s="60" t="n"/>
      <c r="BX350" s="60" t="n"/>
      <c r="BY350" s="60" t="n"/>
      <c r="BZ350" s="60" t="n"/>
      <c r="CA350" s="60" t="n"/>
      <c r="CB350" s="60" t="n"/>
      <c r="CC350" s="60" t="n"/>
      <c r="CD350" s="60" t="n"/>
      <c r="CE350" s="60" t="n"/>
      <c r="CF350" s="60" t="n"/>
      <c r="CG350" s="60" t="n"/>
      <c r="CH350" s="60" t="n"/>
      <c r="CI350" s="60" t="n"/>
      <c r="CJ350" s="60" t="n"/>
      <c r="CK350" s="60" t="n"/>
      <c r="CL350" s="60" t="n"/>
      <c r="CM350" s="60" t="n"/>
      <c r="CN350" s="60" t="n"/>
      <c r="CO350" s="60" t="n"/>
      <c r="CP350" s="60" t="n"/>
      <c r="CQ350" s="60" t="n"/>
      <c r="CR350" s="60" t="n"/>
      <c r="CS350" s="60" t="n"/>
      <c r="CT350" s="60" t="n"/>
      <c r="CU350" s="60" t="n"/>
      <c r="CV350" s="60" t="n"/>
      <c r="CW350" s="60" t="n"/>
      <c r="CX350" s="60" t="n"/>
      <c r="CY350" s="60" t="n"/>
      <c r="CZ350" s="60" t="n"/>
      <c r="DA350" s="60" t="n"/>
      <c r="DB350" s="60" t="n"/>
      <c r="DC350" s="60" t="n"/>
      <c r="DD350" s="60" t="n"/>
      <c r="DE350" s="60" t="n"/>
    </row>
    <row r="351">
      <c r="A351" s="60" t="inlineStr">
        <is>
          <t>Referencia del revendido (no se compra)</t>
        </is>
      </c>
      <c r="B351" s="60" t="inlineStr">
        <is>
          <t>Manija de transporte — 87,6 × 27 × 14,5</t>
        </is>
      </c>
      <c r="C351" s="60" t="inlineStr">
        <is>
          <t>u</t>
        </is>
      </c>
      <c r="D351" s="60" t="inlineStr">
        <is>
          <t>No</t>
        </is>
      </c>
      <c r="E351" s="60" t="n"/>
      <c r="F351" s="60" t="inlineStr">
        <is>
          <t>S4 - se compra terminado (tercerizado con sello IRAM)</t>
        </is>
      </c>
      <c r="G351" s="60" t="n"/>
      <c r="H351" s="60" t="n"/>
      <c r="I351" s="60" t="n"/>
      <c r="J351" s="60" t="n"/>
      <c r="K351" s="60" t="n"/>
      <c r="L351" s="60" t="n"/>
      <c r="M351" s="60" t="n">
        <v>1</v>
      </c>
      <c r="N351" s="60" t="n"/>
      <c r="O351" s="60" t="n"/>
      <c r="P351" s="60" t="n"/>
      <c r="Q351" s="60" t="n"/>
      <c r="R351" s="60" t="n"/>
      <c r="S351" s="60" t="n"/>
      <c r="T351" s="60" t="n"/>
      <c r="U351" s="60" t="n">
        <v>1</v>
      </c>
      <c r="V351" s="60" t="n"/>
      <c r="W351" s="60" t="n"/>
      <c r="X351" s="60" t="n"/>
      <c r="Y351" s="60" t="n"/>
      <c r="Z351" s="60" t="n"/>
      <c r="AA351" s="60" t="n"/>
      <c r="AB351" s="60" t="n"/>
      <c r="AC351" s="60" t="n"/>
      <c r="AD351" s="60" t="n"/>
      <c r="AE351" s="60" t="n"/>
      <c r="AF351" s="60" t="n"/>
      <c r="AG351" s="60" t="n"/>
      <c r="AH351" s="60" t="n"/>
      <c r="AI351" s="60" t="n"/>
      <c r="AJ351" s="60" t="n"/>
      <c r="AK351" s="60" t="n"/>
      <c r="AL351" s="60" t="n"/>
      <c r="AM351" s="60" t="n"/>
      <c r="AN351" s="60" t="n"/>
      <c r="AO351" s="60" t="n"/>
      <c r="AP351" s="60" t="n"/>
      <c r="AQ351" s="60" t="n"/>
      <c r="AR351" s="60" t="n"/>
      <c r="AS351" s="60" t="n"/>
      <c r="AT351" s="60" t="n"/>
      <c r="AU351" s="60" t="n"/>
      <c r="AV351" s="60" t="n"/>
      <c r="AW351" s="60" t="n"/>
      <c r="AX351" s="60" t="n"/>
      <c r="AY351" s="60" t="n"/>
      <c r="AZ351" s="60" t="n"/>
      <c r="BA351" s="60" t="n"/>
      <c r="BB351" s="60" t="n"/>
      <c r="BC351" s="60" t="n"/>
      <c r="BD351" s="60" t="n"/>
      <c r="BE351" s="60" t="n"/>
      <c r="BF351" s="60" t="n"/>
      <c r="BG351" s="60" t="n"/>
      <c r="BH351" s="60" t="n"/>
      <c r="BI351" s="60" t="n"/>
      <c r="BJ351" s="60" t="n"/>
      <c r="BK351" s="60" t="n"/>
      <c r="BL351" s="60" t="n"/>
      <c r="BM351" s="60" t="n"/>
      <c r="BN351" s="60" t="n"/>
      <c r="BO351" s="60" t="n"/>
      <c r="BP351" s="60" t="n"/>
      <c r="BQ351" s="60" t="n"/>
      <c r="BR351" s="60" t="n"/>
      <c r="BS351" s="60" t="n"/>
      <c r="BT351" s="60" t="n"/>
      <c r="BU351" s="60" t="n"/>
      <c r="BV351" s="60" t="n"/>
      <c r="BW351" s="60" t="n"/>
      <c r="BX351" s="60" t="n"/>
      <c r="BY351" s="60" t="n"/>
      <c r="BZ351" s="60" t="n"/>
      <c r="CA351" s="60" t="n"/>
      <c r="CB351" s="60" t="n"/>
      <c r="CC351" s="60" t="n"/>
      <c r="CD351" s="60" t="n"/>
      <c r="CE351" s="60" t="n"/>
      <c r="CF351" s="60" t="n"/>
      <c r="CG351" s="60" t="n"/>
      <c r="CH351" s="60" t="n"/>
      <c r="CI351" s="60" t="n"/>
      <c r="CJ351" s="60" t="n"/>
      <c r="CK351" s="60" t="n"/>
      <c r="CL351" s="60" t="n"/>
      <c r="CM351" s="60" t="n"/>
      <c r="CN351" s="60" t="n"/>
      <c r="CO351" s="60" t="n"/>
      <c r="CP351" s="60" t="n"/>
      <c r="CQ351" s="60" t="n"/>
      <c r="CR351" s="60" t="n"/>
      <c r="CS351" s="60" t="n"/>
      <c r="CT351" s="60" t="n"/>
      <c r="CU351" s="60" t="n"/>
      <c r="CV351" s="60" t="n"/>
      <c r="CW351" s="60" t="n"/>
      <c r="CX351" s="60" t="n"/>
      <c r="CY351" s="60" t="n"/>
      <c r="CZ351" s="60" t="n"/>
      <c r="DA351" s="60" t="n"/>
      <c r="DB351" s="60" t="n"/>
      <c r="DC351" s="60" t="n"/>
      <c r="DD351" s="60" t="n"/>
      <c r="DE351" s="60" t="n"/>
    </row>
    <row r="352">
      <c r="A352" s="60" t="inlineStr">
        <is>
          <t>Referencia del revendido (no se compra)</t>
        </is>
      </c>
      <c r="B352" s="60" t="inlineStr">
        <is>
          <t>Manija de transporte — 96,9 × 20 × 14,1</t>
        </is>
      </c>
      <c r="C352" s="60" t="inlineStr">
        <is>
          <t>u</t>
        </is>
      </c>
      <c r="D352" s="60" t="inlineStr">
        <is>
          <t>No</t>
        </is>
      </c>
      <c r="E352" s="60" t="n"/>
      <c r="F352" s="60" t="inlineStr">
        <is>
          <t>S4 - se compra terminado (tercerizado con sello IRAM)</t>
        </is>
      </c>
      <c r="G352" s="60" t="n"/>
      <c r="H352" s="60" t="n"/>
      <c r="I352" s="60" t="n"/>
      <c r="J352" s="60" t="n"/>
      <c r="K352" s="60" t="n">
        <v>1</v>
      </c>
      <c r="L352" s="60" t="n"/>
      <c r="M352" s="60" t="n"/>
      <c r="N352" s="60" t="n"/>
      <c r="O352" s="60" t="n"/>
      <c r="P352" s="60" t="n"/>
      <c r="Q352" s="60" t="n"/>
      <c r="R352" s="60" t="n"/>
      <c r="S352" s="60" t="n"/>
      <c r="T352" s="60" t="n"/>
      <c r="U352" s="60" t="n"/>
      <c r="V352" s="60" t="n"/>
      <c r="W352" s="60" t="n"/>
      <c r="X352" s="60" t="n"/>
      <c r="Y352" s="60" t="n"/>
      <c r="Z352" s="60" t="n"/>
      <c r="AA352" s="60" t="n"/>
      <c r="AB352" s="60" t="n"/>
      <c r="AC352" s="60" t="n"/>
      <c r="AD352" s="60" t="n"/>
      <c r="AE352" s="60" t="n"/>
      <c r="AF352" s="60" t="n"/>
      <c r="AG352" s="60" t="n"/>
      <c r="AH352" s="60" t="n"/>
      <c r="AI352" s="60" t="n"/>
      <c r="AJ352" s="60" t="n"/>
      <c r="AK352" s="60" t="n"/>
      <c r="AL352" s="60" t="n"/>
      <c r="AM352" s="60" t="n"/>
      <c r="AN352" s="60" t="n"/>
      <c r="AO352" s="60" t="n"/>
      <c r="AP352" s="60" t="n"/>
      <c r="AQ352" s="60" t="n"/>
      <c r="AR352" s="60" t="n"/>
      <c r="AS352" s="60" t="n"/>
      <c r="AT352" s="60" t="n"/>
      <c r="AU352" s="60" t="n"/>
      <c r="AV352" s="60" t="n"/>
      <c r="AW352" s="60" t="n"/>
      <c r="AX352" s="60" t="n"/>
      <c r="AY352" s="60" t="n"/>
      <c r="AZ352" s="60" t="n"/>
      <c r="BA352" s="60" t="n"/>
      <c r="BB352" s="60" t="n"/>
      <c r="BC352" s="60" t="n"/>
      <c r="BD352" s="60" t="n"/>
      <c r="BE352" s="60" t="n"/>
      <c r="BF352" s="60" t="n"/>
      <c r="BG352" s="60" t="n"/>
      <c r="BH352" s="60" t="n"/>
      <c r="BI352" s="60" t="n"/>
      <c r="BJ352" s="60" t="n"/>
      <c r="BK352" s="60" t="n"/>
      <c r="BL352" s="60" t="n"/>
      <c r="BM352" s="60" t="n"/>
      <c r="BN352" s="60" t="n"/>
      <c r="BO352" s="60" t="n"/>
      <c r="BP352" s="60" t="n"/>
      <c r="BQ352" s="60" t="n"/>
      <c r="BR352" s="60" t="n"/>
      <c r="BS352" s="60" t="n"/>
      <c r="BT352" s="60" t="n"/>
      <c r="BU352" s="60" t="n"/>
      <c r="BV352" s="60" t="n"/>
      <c r="BW352" s="60" t="n"/>
      <c r="BX352" s="60" t="n"/>
      <c r="BY352" s="60" t="n"/>
      <c r="BZ352" s="60" t="n"/>
      <c r="CA352" s="60" t="n"/>
      <c r="CB352" s="60" t="n"/>
      <c r="CC352" s="60" t="n"/>
      <c r="CD352" s="60" t="n"/>
      <c r="CE352" s="60" t="n"/>
      <c r="CF352" s="60" t="n"/>
      <c r="CG352" s="60" t="n"/>
      <c r="CH352" s="60" t="n"/>
      <c r="CI352" s="60" t="n"/>
      <c r="CJ352" s="60" t="n"/>
      <c r="CK352" s="60" t="n"/>
      <c r="CL352" s="60" t="n"/>
      <c r="CM352" s="60" t="n"/>
      <c r="CN352" s="60" t="n"/>
      <c r="CO352" s="60" t="n"/>
      <c r="CP352" s="60" t="n"/>
      <c r="CQ352" s="60" t="n"/>
      <c r="CR352" s="60" t="n"/>
      <c r="CS352" s="60" t="n"/>
      <c r="CT352" s="60" t="n"/>
      <c r="CU352" s="60" t="n"/>
      <c r="CV352" s="60" t="n"/>
      <c r="CW352" s="60" t="n"/>
      <c r="CX352" s="60" t="n"/>
      <c r="CY352" s="60" t="n"/>
      <c r="CZ352" s="60" t="n"/>
      <c r="DA352" s="60" t="n"/>
      <c r="DB352" s="60" t="n"/>
      <c r="DC352" s="60" t="n"/>
      <c r="DD352" s="60" t="n"/>
      <c r="DE352" s="60" t="n"/>
    </row>
    <row r="353">
      <c r="A353" s="60" t="inlineStr">
        <is>
          <t>Referencia del revendido (no se compra)</t>
        </is>
      </c>
      <c r="B353" s="60" t="inlineStr">
        <is>
          <t>Manómetro — Ø38 esfera, rango 0-2 MPa, sector verde en 0,8</t>
        </is>
      </c>
      <c r="C353" s="60" t="inlineStr">
        <is>
          <t>u</t>
        </is>
      </c>
      <c r="D353" s="60" t="inlineStr">
        <is>
          <t>No</t>
        </is>
      </c>
      <c r="E353" s="60" t="n"/>
      <c r="F353" s="60" t="inlineStr">
        <is>
          <t>S4 - se compra terminado (tercerizado con sello IRAM)</t>
        </is>
      </c>
      <c r="G353" s="60" t="n"/>
      <c r="H353" s="60" t="n"/>
      <c r="I353" s="60" t="n"/>
      <c r="J353" s="60" t="n"/>
      <c r="K353" s="60" t="n">
        <v>1</v>
      </c>
      <c r="L353" s="60" t="n">
        <v>1</v>
      </c>
      <c r="M353" s="60" t="n"/>
      <c r="N353" s="60" t="n"/>
      <c r="O353" s="60" t="n">
        <v>1</v>
      </c>
      <c r="P353" s="60" t="n"/>
      <c r="Q353" s="60" t="n"/>
      <c r="R353" s="60" t="n">
        <v>1</v>
      </c>
      <c r="S353" s="60" t="n"/>
      <c r="T353" s="60" t="n"/>
      <c r="U353" s="60" t="n"/>
      <c r="V353" s="60" t="n"/>
      <c r="W353" s="60" t="n"/>
      <c r="X353" s="60" t="n"/>
      <c r="Y353" s="60" t="n"/>
      <c r="Z353" s="60" t="n"/>
      <c r="AA353" s="60" t="n"/>
      <c r="AB353" s="60" t="n"/>
      <c r="AC353" s="60" t="n"/>
      <c r="AD353" s="60" t="n"/>
      <c r="AE353" s="60" t="n"/>
      <c r="AF353" s="60" t="n"/>
      <c r="AG353" s="60" t="n"/>
      <c r="AH353" s="60" t="n"/>
      <c r="AI353" s="60" t="n"/>
      <c r="AJ353" s="60" t="n"/>
      <c r="AK353" s="60" t="n"/>
      <c r="AL353" s="60" t="n"/>
      <c r="AM353" s="60" t="n"/>
      <c r="AN353" s="60" t="n"/>
      <c r="AO353" s="60" t="n"/>
      <c r="AP353" s="60" t="n"/>
      <c r="AQ353" s="60" t="n"/>
      <c r="AR353" s="60" t="n"/>
      <c r="AS353" s="60" t="n"/>
      <c r="AT353" s="60" t="n"/>
      <c r="AU353" s="60" t="n"/>
      <c r="AV353" s="60" t="n"/>
      <c r="AW353" s="60" t="n"/>
      <c r="AX353" s="60" t="n"/>
      <c r="AY353" s="60" t="n"/>
      <c r="AZ353" s="60" t="n"/>
      <c r="BA353" s="60" t="n"/>
      <c r="BB353" s="60" t="n"/>
      <c r="BC353" s="60" t="n"/>
      <c r="BD353" s="60" t="n"/>
      <c r="BE353" s="60" t="n"/>
      <c r="BF353" s="60" t="n"/>
      <c r="BG353" s="60" t="n"/>
      <c r="BH353" s="60" t="n"/>
      <c r="BI353" s="60" t="n"/>
      <c r="BJ353" s="60" t="n"/>
      <c r="BK353" s="60" t="n"/>
      <c r="BL353" s="60" t="n"/>
      <c r="BM353" s="60" t="n"/>
      <c r="BN353" s="60" t="n"/>
      <c r="BO353" s="60" t="n"/>
      <c r="BP353" s="60" t="n"/>
      <c r="BQ353" s="60" t="n"/>
      <c r="BR353" s="60" t="n"/>
      <c r="BS353" s="60" t="n"/>
      <c r="BT353" s="60" t="n"/>
      <c r="BU353" s="60" t="n"/>
      <c r="BV353" s="60" t="n"/>
      <c r="BW353" s="60" t="n"/>
      <c r="BX353" s="60" t="n"/>
      <c r="BY353" s="60" t="n"/>
      <c r="BZ353" s="60" t="n"/>
      <c r="CA353" s="60" t="n"/>
      <c r="CB353" s="60" t="n"/>
      <c r="CC353" s="60" t="n"/>
      <c r="CD353" s="60" t="n"/>
      <c r="CE353" s="60" t="n"/>
      <c r="CF353" s="60" t="n"/>
      <c r="CG353" s="60" t="n"/>
      <c r="CH353" s="60" t="n"/>
      <c r="CI353" s="60" t="n"/>
      <c r="CJ353" s="60" t="n"/>
      <c r="CK353" s="60" t="n"/>
      <c r="CL353" s="60" t="n"/>
      <c r="CM353" s="60" t="n"/>
      <c r="CN353" s="60" t="n"/>
      <c r="CO353" s="60" t="n"/>
      <c r="CP353" s="60" t="n"/>
      <c r="CQ353" s="60" t="n"/>
      <c r="CR353" s="60" t="n"/>
      <c r="CS353" s="60" t="n"/>
      <c r="CT353" s="60" t="n"/>
      <c r="CU353" s="60" t="n"/>
      <c r="CV353" s="60" t="n"/>
      <c r="CW353" s="60" t="n"/>
      <c r="CX353" s="60" t="n"/>
      <c r="CY353" s="60" t="n"/>
      <c r="CZ353" s="60" t="n"/>
      <c r="DA353" s="60" t="n"/>
      <c r="DB353" s="60" t="n"/>
      <c r="DC353" s="60" t="n"/>
      <c r="DD353" s="60" t="n"/>
      <c r="DE353" s="60" t="n"/>
    </row>
    <row r="354">
      <c r="A354" s="60" t="inlineStr">
        <is>
          <t>Referencia del revendido (no se compra)</t>
        </is>
      </c>
      <c r="B354" s="60" t="inlineStr">
        <is>
          <t>Manómetro — Ø38 esfera, rango 0-3,5 MPa, sector verde en 1,4</t>
        </is>
      </c>
      <c r="C354" s="60" t="inlineStr">
        <is>
          <t>u</t>
        </is>
      </c>
      <c r="D354" s="60" t="inlineStr">
        <is>
          <t>No</t>
        </is>
      </c>
      <c r="E354" s="60" t="n"/>
      <c r="F354" s="60" t="inlineStr">
        <is>
          <t>S4 - se compra terminado (tercerizado con sello IRAM)</t>
        </is>
      </c>
      <c r="G354" s="60" t="n"/>
      <c r="H354" s="60" t="n"/>
      <c r="I354" s="60" t="n"/>
      <c r="J354" s="60" t="n"/>
      <c r="K354" s="60" t="n"/>
      <c r="L354" s="60" t="n"/>
      <c r="M354" s="60" t="n"/>
      <c r="N354" s="60" t="n">
        <v>1</v>
      </c>
      <c r="O354" s="60" t="n"/>
      <c r="P354" s="60" t="n"/>
      <c r="Q354" s="60" t="n"/>
      <c r="R354" s="60" t="n"/>
      <c r="S354" s="60" t="n">
        <v>1</v>
      </c>
      <c r="T354" s="60" t="n"/>
      <c r="U354" s="60" t="n"/>
      <c r="V354" s="60" t="n"/>
      <c r="W354" s="60" t="n"/>
      <c r="X354" s="60" t="n"/>
      <c r="Y354" s="60" t="n"/>
      <c r="Z354" s="60" t="n"/>
      <c r="AA354" s="60" t="n"/>
      <c r="AB354" s="60" t="n"/>
      <c r="AC354" s="60" t="n"/>
      <c r="AD354" s="60" t="n"/>
      <c r="AE354" s="60" t="n"/>
      <c r="AF354" s="60" t="n"/>
      <c r="AG354" s="60" t="n"/>
      <c r="AH354" s="60" t="n"/>
      <c r="AI354" s="60" t="n"/>
      <c r="AJ354" s="60" t="n"/>
      <c r="AK354" s="60" t="n"/>
      <c r="AL354" s="60" t="n"/>
      <c r="AM354" s="60" t="n"/>
      <c r="AN354" s="60" t="n"/>
      <c r="AO354" s="60" t="n"/>
      <c r="AP354" s="60" t="n"/>
      <c r="AQ354" s="60" t="n"/>
      <c r="AR354" s="60" t="n"/>
      <c r="AS354" s="60" t="n"/>
      <c r="AT354" s="60" t="n"/>
      <c r="AU354" s="60" t="n"/>
      <c r="AV354" s="60" t="n"/>
      <c r="AW354" s="60" t="n"/>
      <c r="AX354" s="60" t="n"/>
      <c r="AY354" s="60" t="n"/>
      <c r="AZ354" s="60" t="n"/>
      <c r="BA354" s="60" t="n"/>
      <c r="BB354" s="60" t="n"/>
      <c r="BC354" s="60" t="n"/>
      <c r="BD354" s="60" t="n"/>
      <c r="BE354" s="60" t="n"/>
      <c r="BF354" s="60" t="n"/>
      <c r="BG354" s="60" t="n"/>
      <c r="BH354" s="60" t="n"/>
      <c r="BI354" s="60" t="n"/>
      <c r="BJ354" s="60" t="n"/>
      <c r="BK354" s="60" t="n"/>
      <c r="BL354" s="60" t="n"/>
      <c r="BM354" s="60" t="n"/>
      <c r="BN354" s="60" t="n"/>
      <c r="BO354" s="60" t="n"/>
      <c r="BP354" s="60" t="n"/>
      <c r="BQ354" s="60" t="n"/>
      <c r="BR354" s="60" t="n"/>
      <c r="BS354" s="60" t="n"/>
      <c r="BT354" s="60" t="n"/>
      <c r="BU354" s="60" t="n"/>
      <c r="BV354" s="60" t="n"/>
      <c r="BW354" s="60" t="n"/>
      <c r="BX354" s="60" t="n"/>
      <c r="BY354" s="60" t="n"/>
      <c r="BZ354" s="60" t="n"/>
      <c r="CA354" s="60" t="n"/>
      <c r="CB354" s="60" t="n"/>
      <c r="CC354" s="60" t="n"/>
      <c r="CD354" s="60" t="n"/>
      <c r="CE354" s="60" t="n"/>
      <c r="CF354" s="60" t="n"/>
      <c r="CG354" s="60" t="n"/>
      <c r="CH354" s="60" t="n"/>
      <c r="CI354" s="60" t="n"/>
      <c r="CJ354" s="60" t="n"/>
      <c r="CK354" s="60" t="n"/>
      <c r="CL354" s="60" t="n"/>
      <c r="CM354" s="60" t="n"/>
      <c r="CN354" s="60" t="n"/>
      <c r="CO354" s="60" t="n"/>
      <c r="CP354" s="60" t="n"/>
      <c r="CQ354" s="60" t="n"/>
      <c r="CR354" s="60" t="n"/>
      <c r="CS354" s="60" t="n"/>
      <c r="CT354" s="60" t="n"/>
      <c r="CU354" s="60" t="n"/>
      <c r="CV354" s="60" t="n"/>
      <c r="CW354" s="60" t="n"/>
      <c r="CX354" s="60" t="n"/>
      <c r="CY354" s="60" t="n"/>
      <c r="CZ354" s="60" t="n"/>
      <c r="DA354" s="60" t="n"/>
      <c r="DB354" s="60" t="n"/>
      <c r="DC354" s="60" t="n"/>
      <c r="DD354" s="60" t="n"/>
      <c r="DE354" s="60" t="n"/>
    </row>
    <row r="355">
      <c r="A355" s="60" t="inlineStr">
        <is>
          <t>Referencia del revendido (no se compra)</t>
        </is>
      </c>
      <c r="B355" s="60" t="inlineStr">
        <is>
          <t>Manómetro — Ø50 esfera, rango 0-2 MPa, sector verde en 0,8</t>
        </is>
      </c>
      <c r="C355" s="60" t="inlineStr">
        <is>
          <t>u</t>
        </is>
      </c>
      <c r="D355" s="60" t="inlineStr">
        <is>
          <t>No</t>
        </is>
      </c>
      <c r="E355" s="60" t="n"/>
      <c r="F355" s="60" t="inlineStr">
        <is>
          <t>S4 - se compra terminado (tercerizado con sello IRAM)</t>
        </is>
      </c>
      <c r="G355" s="60" t="n"/>
      <c r="H355" s="60" t="n"/>
      <c r="I355" s="60" t="n"/>
      <c r="J355" s="60" t="n"/>
      <c r="K355" s="60" t="n"/>
      <c r="L355" s="60" t="n"/>
      <c r="M355" s="60" t="n">
        <v>1</v>
      </c>
      <c r="N355" s="60" t="n"/>
      <c r="O355" s="60" t="n"/>
      <c r="P355" s="60" t="n"/>
      <c r="Q355" s="60" t="n"/>
      <c r="R355" s="60" t="n"/>
      <c r="S355" s="60" t="n"/>
      <c r="T355" s="60" t="n"/>
      <c r="U355" s="60" t="n"/>
      <c r="V355" s="60" t="n"/>
      <c r="W355" s="60" t="n"/>
      <c r="X355" s="60" t="n"/>
      <c r="Y355" s="60" t="n"/>
      <c r="Z355" s="60" t="n"/>
      <c r="AA355" s="60" t="n"/>
      <c r="AB355" s="60" t="n"/>
      <c r="AC355" s="60" t="n"/>
      <c r="AD355" s="60" t="n"/>
      <c r="AE355" s="60" t="n"/>
      <c r="AF355" s="60" t="n"/>
      <c r="AG355" s="60" t="n"/>
      <c r="AH355" s="60" t="n"/>
      <c r="AI355" s="60" t="n"/>
      <c r="AJ355" s="60" t="n"/>
      <c r="AK355" s="60" t="n"/>
      <c r="AL355" s="60" t="n"/>
      <c r="AM355" s="60" t="n"/>
      <c r="AN355" s="60" t="n"/>
      <c r="AO355" s="60" t="n"/>
      <c r="AP355" s="60" t="n"/>
      <c r="AQ355" s="60" t="n"/>
      <c r="AR355" s="60" t="n"/>
      <c r="AS355" s="60" t="n"/>
      <c r="AT355" s="60" t="n"/>
      <c r="AU355" s="60" t="n"/>
      <c r="AV355" s="60" t="n"/>
      <c r="AW355" s="60" t="n"/>
      <c r="AX355" s="60" t="n"/>
      <c r="AY355" s="60" t="n"/>
      <c r="AZ355" s="60" t="n"/>
      <c r="BA355" s="60" t="n"/>
      <c r="BB355" s="60" t="n"/>
      <c r="BC355" s="60" t="n"/>
      <c r="BD355" s="60" t="n"/>
      <c r="BE355" s="60" t="n"/>
      <c r="BF355" s="60" t="n"/>
      <c r="BG355" s="60" t="n"/>
      <c r="BH355" s="60" t="n"/>
      <c r="BI355" s="60" t="n"/>
      <c r="BJ355" s="60" t="n"/>
      <c r="BK355" s="60" t="n"/>
      <c r="BL355" s="60" t="n"/>
      <c r="BM355" s="60" t="n"/>
      <c r="BN355" s="60" t="n"/>
      <c r="BO355" s="60" t="n"/>
      <c r="BP355" s="60" t="n"/>
      <c r="BQ355" s="60" t="n"/>
      <c r="BR355" s="60" t="n"/>
      <c r="BS355" s="60" t="n"/>
      <c r="BT355" s="60" t="n"/>
      <c r="BU355" s="60" t="n"/>
      <c r="BV355" s="60" t="n"/>
      <c r="BW355" s="60" t="n"/>
      <c r="BX355" s="60" t="n"/>
      <c r="BY355" s="60" t="n"/>
      <c r="BZ355" s="60" t="n"/>
      <c r="CA355" s="60" t="n"/>
      <c r="CB355" s="60" t="n"/>
      <c r="CC355" s="60" t="n"/>
      <c r="CD355" s="60" t="n"/>
      <c r="CE355" s="60" t="n"/>
      <c r="CF355" s="60" t="n"/>
      <c r="CG355" s="60" t="n"/>
      <c r="CH355" s="60" t="n"/>
      <c r="CI355" s="60" t="n"/>
      <c r="CJ355" s="60" t="n"/>
      <c r="CK355" s="60" t="n"/>
      <c r="CL355" s="60" t="n"/>
      <c r="CM355" s="60" t="n"/>
      <c r="CN355" s="60" t="n"/>
      <c r="CO355" s="60" t="n"/>
      <c r="CP355" s="60" t="n"/>
      <c r="CQ355" s="60" t="n"/>
      <c r="CR355" s="60" t="n"/>
      <c r="CS355" s="60" t="n"/>
      <c r="CT355" s="60" t="n"/>
      <c r="CU355" s="60" t="n"/>
      <c r="CV355" s="60" t="n"/>
      <c r="CW355" s="60" t="n"/>
      <c r="CX355" s="60" t="n"/>
      <c r="CY355" s="60" t="n"/>
      <c r="CZ355" s="60" t="n"/>
      <c r="DA355" s="60" t="n"/>
      <c r="DB355" s="60" t="n"/>
      <c r="DC355" s="60" t="n"/>
      <c r="DD355" s="60" t="n"/>
      <c r="DE355" s="60" t="n"/>
    </row>
    <row r="356">
      <c r="A356" s="60" t="inlineStr">
        <is>
          <t>Referencia del revendido (no se compra)</t>
        </is>
      </c>
      <c r="B356" s="60" t="inlineStr">
        <is>
          <t>Neumático macizo — Ø350 × 70 de ancho</t>
        </is>
      </c>
      <c r="C356" s="60" t="inlineStr">
        <is>
          <t>u</t>
        </is>
      </c>
      <c r="D356" s="60" t="inlineStr">
        <is>
          <t>No</t>
        </is>
      </c>
      <c r="E356" s="60" t="n"/>
      <c r="F356" s="60" t="inlineStr">
        <is>
          <t>S4 - se compra terminado (tercerizado con sello IRAM)</t>
        </is>
      </c>
      <c r="G356" s="60" t="n"/>
      <c r="H356" s="60" t="n"/>
      <c r="I356" s="60" t="n"/>
      <c r="J356" s="60" t="n"/>
      <c r="K356" s="60" t="n"/>
      <c r="L356" s="60" t="n"/>
      <c r="M356" s="60" t="n">
        <v>2</v>
      </c>
      <c r="N356" s="60" t="n"/>
      <c r="O356" s="60" t="n"/>
      <c r="P356" s="60" t="n"/>
      <c r="Q356" s="60" t="n"/>
      <c r="R356" s="60" t="n"/>
      <c r="S356" s="60" t="n"/>
      <c r="T356" s="60" t="n"/>
      <c r="U356" s="60" t="n"/>
      <c r="V356" s="60" t="n"/>
      <c r="W356" s="60" t="n"/>
      <c r="X356" s="60" t="n"/>
      <c r="Y356" s="60" t="n"/>
      <c r="Z356" s="60" t="n"/>
      <c r="AA356" s="60" t="n"/>
      <c r="AB356" s="60" t="n"/>
      <c r="AC356" s="60" t="n"/>
      <c r="AD356" s="60" t="n"/>
      <c r="AE356" s="60" t="n"/>
      <c r="AF356" s="60" t="n"/>
      <c r="AG356" s="60" t="n"/>
      <c r="AH356" s="60" t="n"/>
      <c r="AI356" s="60" t="n"/>
      <c r="AJ356" s="60" t="n"/>
      <c r="AK356" s="60" t="n"/>
      <c r="AL356" s="60" t="n"/>
      <c r="AM356" s="60" t="n"/>
      <c r="AN356" s="60" t="n"/>
      <c r="AO356" s="60" t="n"/>
      <c r="AP356" s="60" t="n"/>
      <c r="AQ356" s="60" t="n"/>
      <c r="AR356" s="60" t="n"/>
      <c r="AS356" s="60" t="n"/>
      <c r="AT356" s="60" t="n"/>
      <c r="AU356" s="60" t="n"/>
      <c r="AV356" s="60" t="n"/>
      <c r="AW356" s="60" t="n"/>
      <c r="AX356" s="60" t="n"/>
      <c r="AY356" s="60" t="n"/>
      <c r="AZ356" s="60" t="n"/>
      <c r="BA356" s="60" t="n"/>
      <c r="BB356" s="60" t="n"/>
      <c r="BC356" s="60" t="n"/>
      <c r="BD356" s="60" t="n"/>
      <c r="BE356" s="60" t="n"/>
      <c r="BF356" s="60" t="n"/>
      <c r="BG356" s="60" t="n"/>
      <c r="BH356" s="60" t="n"/>
      <c r="BI356" s="60" t="n"/>
      <c r="BJ356" s="60" t="n"/>
      <c r="BK356" s="60" t="n"/>
      <c r="BL356" s="60" t="n"/>
      <c r="BM356" s="60" t="n"/>
      <c r="BN356" s="60" t="n"/>
      <c r="BO356" s="60" t="n"/>
      <c r="BP356" s="60" t="n"/>
      <c r="BQ356" s="60" t="n"/>
      <c r="BR356" s="60" t="n"/>
      <c r="BS356" s="60" t="n"/>
      <c r="BT356" s="60" t="n"/>
      <c r="BU356" s="60" t="n"/>
      <c r="BV356" s="60" t="n"/>
      <c r="BW356" s="60" t="n"/>
      <c r="BX356" s="60" t="n"/>
      <c r="BY356" s="60" t="n"/>
      <c r="BZ356" s="60" t="n"/>
      <c r="CA356" s="60" t="n"/>
      <c r="CB356" s="60" t="n"/>
      <c r="CC356" s="60" t="n"/>
      <c r="CD356" s="60" t="n"/>
      <c r="CE356" s="60" t="n"/>
      <c r="CF356" s="60" t="n"/>
      <c r="CG356" s="60" t="n"/>
      <c r="CH356" s="60" t="n"/>
      <c r="CI356" s="60" t="n"/>
      <c r="CJ356" s="60" t="n"/>
      <c r="CK356" s="60" t="n"/>
      <c r="CL356" s="60" t="n"/>
      <c r="CM356" s="60" t="n"/>
      <c r="CN356" s="60" t="n"/>
      <c r="CO356" s="60" t="n"/>
      <c r="CP356" s="60" t="n"/>
      <c r="CQ356" s="60" t="n"/>
      <c r="CR356" s="60" t="n"/>
      <c r="CS356" s="60" t="n"/>
      <c r="CT356" s="60" t="n"/>
      <c r="CU356" s="60" t="n"/>
      <c r="CV356" s="60" t="n"/>
      <c r="CW356" s="60" t="n"/>
      <c r="CX356" s="60" t="n"/>
      <c r="CY356" s="60" t="n"/>
      <c r="CZ356" s="60" t="n"/>
      <c r="DA356" s="60" t="n"/>
      <c r="DB356" s="60" t="n"/>
      <c r="DC356" s="60" t="n"/>
      <c r="DD356" s="60" t="n"/>
      <c r="DE356" s="60" t="n"/>
    </row>
    <row r="357">
      <c r="A357" s="60" t="inlineStr">
        <is>
          <t>Referencia del revendido (no se compra)</t>
        </is>
      </c>
      <c r="B357" s="60" t="inlineStr">
        <is>
          <t>Oblea de fabricación (PBA) — Ø46 (Res. OPDS 522/07), numerada, autodestructible</t>
        </is>
      </c>
      <c r="C357" s="60" t="inlineStr">
        <is>
          <t>u</t>
        </is>
      </c>
      <c r="D357" s="60" t="inlineStr">
        <is>
          <t>No</t>
        </is>
      </c>
      <c r="E357" s="60" t="n"/>
      <c r="F357" s="60" t="inlineStr">
        <is>
          <t>22 Etiquetado (T07)</t>
        </is>
      </c>
      <c r="G357" s="60" t="n"/>
      <c r="H357" s="60" t="n"/>
      <c r="I357" s="60" t="n"/>
      <c r="J357" s="60" t="n"/>
      <c r="K357" s="60" t="n">
        <v>1</v>
      </c>
      <c r="L357" s="60" t="n">
        <v>1</v>
      </c>
      <c r="M357" s="60" t="n">
        <v>1</v>
      </c>
      <c r="N357" s="60" t="n">
        <v>1</v>
      </c>
      <c r="O357" s="60" t="n">
        <v>1</v>
      </c>
      <c r="P357" s="60" t="n">
        <v>1</v>
      </c>
      <c r="Q357" s="60" t="n">
        <v>1</v>
      </c>
      <c r="R357" s="60" t="n">
        <v>1</v>
      </c>
      <c r="S357" s="60" t="n">
        <v>1</v>
      </c>
      <c r="T357" s="60" t="n"/>
      <c r="U357" s="60" t="n"/>
      <c r="V357" s="60" t="n"/>
      <c r="W357" s="60" t="n"/>
      <c r="X357" s="60" t="n"/>
      <c r="Y357" s="60" t="n"/>
      <c r="Z357" s="60" t="n"/>
      <c r="AA357" s="60" t="n"/>
      <c r="AB357" s="60" t="n"/>
      <c r="AC357" s="60" t="n"/>
      <c r="AD357" s="60" t="n"/>
      <c r="AE357" s="60" t="n"/>
      <c r="AF357" s="60" t="n"/>
      <c r="AG357" s="60" t="n"/>
      <c r="AH357" s="60" t="n"/>
      <c r="AI357" s="60" t="n"/>
      <c r="AJ357" s="60" t="n"/>
      <c r="AK357" s="60" t="n"/>
      <c r="AL357" s="60" t="n"/>
      <c r="AM357" s="60" t="n"/>
      <c r="AN357" s="60" t="n"/>
      <c r="AO357" s="60" t="n"/>
      <c r="AP357" s="60" t="n"/>
      <c r="AQ357" s="60" t="n"/>
      <c r="AR357" s="60" t="n"/>
      <c r="AS357" s="60" t="n"/>
      <c r="AT357" s="60" t="n"/>
      <c r="AU357" s="60" t="n"/>
      <c r="AV357" s="60" t="n"/>
      <c r="AW357" s="60" t="n"/>
      <c r="AX357" s="60" t="n"/>
      <c r="AY357" s="60" t="n"/>
      <c r="AZ357" s="60" t="n"/>
      <c r="BA357" s="60" t="n"/>
      <c r="BB357" s="60" t="n"/>
      <c r="BC357" s="60" t="n"/>
      <c r="BD357" s="60" t="n"/>
      <c r="BE357" s="60" t="n"/>
      <c r="BF357" s="60" t="n"/>
      <c r="BG357" s="60" t="n"/>
      <c r="BH357" s="60" t="n"/>
      <c r="BI357" s="60" t="n"/>
      <c r="BJ357" s="60" t="n"/>
      <c r="BK357" s="60" t="n"/>
      <c r="BL357" s="60" t="n"/>
      <c r="BM357" s="60" t="n"/>
      <c r="BN357" s="60" t="n"/>
      <c r="BO357" s="60" t="n"/>
      <c r="BP357" s="60" t="n"/>
      <c r="BQ357" s="60" t="n"/>
      <c r="BR357" s="60" t="n"/>
      <c r="BS357" s="60" t="n"/>
      <c r="BT357" s="60" t="n"/>
      <c r="BU357" s="60" t="n"/>
      <c r="BV357" s="60" t="n"/>
      <c r="BW357" s="60" t="n"/>
      <c r="BX357" s="60" t="n"/>
      <c r="BY357" s="60" t="n"/>
      <c r="BZ357" s="60" t="n"/>
      <c r="CA357" s="60" t="n"/>
      <c r="CB357" s="60" t="n"/>
      <c r="CC357" s="60" t="n"/>
      <c r="CD357" s="60" t="n"/>
      <c r="CE357" s="60" t="n"/>
      <c r="CF357" s="60" t="n"/>
      <c r="CG357" s="60" t="n"/>
      <c r="CH357" s="60" t="n"/>
      <c r="CI357" s="60" t="n"/>
      <c r="CJ357" s="60" t="n"/>
      <c r="CK357" s="60" t="n"/>
      <c r="CL357" s="60" t="n"/>
      <c r="CM357" s="60" t="n"/>
      <c r="CN357" s="60" t="n"/>
      <c r="CO357" s="60" t="n"/>
      <c r="CP357" s="60" t="n"/>
      <c r="CQ357" s="60" t="n"/>
      <c r="CR357" s="60" t="n"/>
      <c r="CS357" s="60" t="n"/>
      <c r="CT357" s="60" t="n"/>
      <c r="CU357" s="60" t="n"/>
      <c r="CV357" s="60" t="n"/>
      <c r="CW357" s="60" t="n"/>
      <c r="CX357" s="60" t="n"/>
      <c r="CY357" s="60" t="n"/>
      <c r="CZ357" s="60" t="n"/>
      <c r="DA357" s="60" t="n"/>
      <c r="DB357" s="60" t="n"/>
      <c r="DC357" s="60" t="n"/>
      <c r="DD357" s="60" t="n"/>
      <c r="DE357" s="60" t="n"/>
    </row>
    <row r="358">
      <c r="A358" s="60" t="inlineStr">
        <is>
          <t>Referencia del revendido (no se compra)</t>
        </is>
      </c>
      <c r="B358" s="60" t="inlineStr">
        <is>
          <t>Pallet 1200 × 1000 (fracción)</t>
        </is>
      </c>
      <c r="C358" s="60" t="inlineStr">
        <is>
          <t>u</t>
        </is>
      </c>
      <c r="D358" s="60" t="inlineStr">
        <is>
          <t>No</t>
        </is>
      </c>
      <c r="E358" s="60" t="n"/>
      <c r="F358" s="60" t="inlineStr">
        <is>
          <t>23 Embalaje</t>
        </is>
      </c>
      <c r="G358" s="60" t="n"/>
      <c r="H358" s="60" t="n"/>
      <c r="I358" s="60" t="n"/>
      <c r="J358" s="60" t="n"/>
      <c r="K358" s="60" t="n">
        <v>0.0312</v>
      </c>
      <c r="L358" s="60" t="n">
        <v>0.0312</v>
      </c>
      <c r="M358" s="60" t="n">
        <v>0.5</v>
      </c>
      <c r="N358" s="60" t="n">
        <v>0.025</v>
      </c>
      <c r="O358" s="60" t="n">
        <v>0.0333</v>
      </c>
      <c r="P358" s="60" t="n">
        <v>0.0208</v>
      </c>
      <c r="Q358" s="60" t="n">
        <v>0.0667</v>
      </c>
      <c r="R358" s="60" t="n">
        <v>0.025</v>
      </c>
      <c r="S358" s="60" t="n">
        <v>0.0312</v>
      </c>
      <c r="T358" s="60" t="n"/>
      <c r="U358" s="60" t="n"/>
      <c r="V358" s="60" t="n"/>
      <c r="W358" s="60" t="n"/>
      <c r="X358" s="60" t="n"/>
      <c r="Y358" s="60" t="n"/>
      <c r="Z358" s="60" t="n"/>
      <c r="AA358" s="60" t="n"/>
      <c r="AB358" s="60" t="n"/>
      <c r="AC358" s="60" t="n"/>
      <c r="AD358" s="60" t="n"/>
      <c r="AE358" s="60" t="n"/>
      <c r="AF358" s="60" t="n"/>
      <c r="AG358" s="60" t="n"/>
      <c r="AH358" s="60" t="n"/>
      <c r="AI358" s="60" t="n"/>
      <c r="AJ358" s="60" t="n"/>
      <c r="AK358" s="60" t="n"/>
      <c r="AL358" s="60" t="n"/>
      <c r="AM358" s="60" t="n"/>
      <c r="AN358" s="60" t="n"/>
      <c r="AO358" s="60" t="n"/>
      <c r="AP358" s="60" t="n"/>
      <c r="AQ358" s="60" t="n"/>
      <c r="AR358" s="60" t="n"/>
      <c r="AS358" s="60" t="n"/>
      <c r="AT358" s="60" t="n"/>
      <c r="AU358" s="60" t="n"/>
      <c r="AV358" s="60" t="n"/>
      <c r="AW358" s="60" t="n"/>
      <c r="AX358" s="60" t="n"/>
      <c r="AY358" s="60" t="n"/>
      <c r="AZ358" s="60" t="n"/>
      <c r="BA358" s="60" t="n"/>
      <c r="BB358" s="60" t="n"/>
      <c r="BC358" s="60" t="n"/>
      <c r="BD358" s="60" t="n"/>
      <c r="BE358" s="60" t="n"/>
      <c r="BF358" s="60" t="n"/>
      <c r="BG358" s="60" t="n"/>
      <c r="BH358" s="60" t="n"/>
      <c r="BI358" s="60" t="n"/>
      <c r="BJ358" s="60" t="n"/>
      <c r="BK358" s="60" t="n"/>
      <c r="BL358" s="60" t="n"/>
      <c r="BM358" s="60" t="n"/>
      <c r="BN358" s="60" t="n"/>
      <c r="BO358" s="60" t="n"/>
      <c r="BP358" s="60" t="n"/>
      <c r="BQ358" s="60" t="n"/>
      <c r="BR358" s="60" t="n"/>
      <c r="BS358" s="60" t="n"/>
      <c r="BT358" s="60" t="n"/>
      <c r="BU358" s="60" t="n"/>
      <c r="BV358" s="60" t="n"/>
      <c r="BW358" s="60" t="n"/>
      <c r="BX358" s="60" t="n"/>
      <c r="BY358" s="60" t="n"/>
      <c r="BZ358" s="60" t="n"/>
      <c r="CA358" s="60" t="n"/>
      <c r="CB358" s="60" t="n"/>
      <c r="CC358" s="60" t="n"/>
      <c r="CD358" s="60" t="n"/>
      <c r="CE358" s="60" t="n"/>
      <c r="CF358" s="60" t="n"/>
      <c r="CG358" s="60" t="n"/>
      <c r="CH358" s="60" t="n"/>
      <c r="CI358" s="60" t="n"/>
      <c r="CJ358" s="60" t="n"/>
      <c r="CK358" s="60" t="n"/>
      <c r="CL358" s="60" t="n"/>
      <c r="CM358" s="60" t="n"/>
      <c r="CN358" s="60" t="n"/>
      <c r="CO358" s="60" t="n"/>
      <c r="CP358" s="60" t="n"/>
      <c r="CQ358" s="60" t="n"/>
      <c r="CR358" s="60" t="n"/>
      <c r="CS358" s="60" t="n"/>
      <c r="CT358" s="60" t="n"/>
      <c r="CU358" s="60" t="n"/>
      <c r="CV358" s="60" t="n"/>
      <c r="CW358" s="60" t="n"/>
      <c r="CX358" s="60" t="n"/>
      <c r="CY358" s="60" t="n"/>
      <c r="CZ358" s="60" t="n"/>
      <c r="DA358" s="60" t="n"/>
      <c r="DB358" s="60" t="n"/>
      <c r="DC358" s="60" t="n"/>
      <c r="DD358" s="60" t="n"/>
      <c r="DE358" s="60" t="n"/>
    </row>
    <row r="359">
      <c r="A359" s="60" t="inlineStr">
        <is>
          <t>Referencia del revendido (no se compra)</t>
        </is>
      </c>
      <c r="B359" s="60" t="inlineStr">
        <is>
          <t>Pasador de seguridad — 61,3 × 28,4 × 28,1</t>
        </is>
      </c>
      <c r="C359" s="60" t="inlineStr">
        <is>
          <t>u</t>
        </is>
      </c>
      <c r="D359" s="60" t="inlineStr">
        <is>
          <t>No</t>
        </is>
      </c>
      <c r="E359" s="60" t="n"/>
      <c r="F359" s="60" t="inlineStr">
        <is>
          <t>S4 - se compra terminado (tercerizado con sello IRAM)</t>
        </is>
      </c>
      <c r="G359" s="60" t="n"/>
      <c r="H359" s="60" t="n"/>
      <c r="I359" s="60" t="n"/>
      <c r="J359" s="60" t="n"/>
      <c r="K359" s="60" t="n"/>
      <c r="L359" s="60" t="n"/>
      <c r="M359" s="60" t="n">
        <v>1</v>
      </c>
      <c r="N359" s="60" t="n"/>
      <c r="O359" s="60" t="n"/>
      <c r="P359" s="60" t="n"/>
      <c r="Q359" s="60" t="n"/>
      <c r="R359" s="60" t="n"/>
      <c r="S359" s="60" t="n"/>
      <c r="T359" s="60" t="n">
        <v>1</v>
      </c>
      <c r="U359" s="60" t="n">
        <v>1</v>
      </c>
      <c r="V359" s="60" t="n">
        <v>1</v>
      </c>
      <c r="W359" s="60" t="n">
        <v>1</v>
      </c>
      <c r="X359" s="60" t="n"/>
      <c r="Y359" s="60" t="n"/>
      <c r="Z359" s="60" t="n"/>
      <c r="AA359" s="60" t="n"/>
      <c r="AB359" s="60" t="n"/>
      <c r="AC359" s="60" t="n"/>
      <c r="AD359" s="60" t="n"/>
      <c r="AE359" s="60" t="n"/>
      <c r="AF359" s="60" t="n"/>
      <c r="AG359" s="60" t="n"/>
      <c r="AH359" s="60" t="n"/>
      <c r="AI359" s="60" t="n"/>
      <c r="AJ359" s="60" t="n"/>
      <c r="AK359" s="60" t="n"/>
      <c r="AL359" s="60" t="n"/>
      <c r="AM359" s="60" t="n"/>
      <c r="AN359" s="60" t="n"/>
      <c r="AO359" s="60" t="n"/>
      <c r="AP359" s="60" t="n"/>
      <c r="AQ359" s="60" t="n"/>
      <c r="AR359" s="60" t="n"/>
      <c r="AS359" s="60" t="n"/>
      <c r="AT359" s="60" t="n"/>
      <c r="AU359" s="60" t="n"/>
      <c r="AV359" s="60" t="n"/>
      <c r="AW359" s="60" t="n"/>
      <c r="AX359" s="60" t="n"/>
      <c r="AY359" s="60" t="n"/>
      <c r="AZ359" s="60" t="n"/>
      <c r="BA359" s="60" t="n"/>
      <c r="BB359" s="60" t="n"/>
      <c r="BC359" s="60" t="n"/>
      <c r="BD359" s="60" t="n"/>
      <c r="BE359" s="60" t="n"/>
      <c r="BF359" s="60" t="n"/>
      <c r="BG359" s="60" t="n"/>
      <c r="BH359" s="60" t="n"/>
      <c r="BI359" s="60" t="n"/>
      <c r="BJ359" s="60" t="n"/>
      <c r="BK359" s="60" t="n"/>
      <c r="BL359" s="60" t="n"/>
      <c r="BM359" s="60" t="n"/>
      <c r="BN359" s="60" t="n"/>
      <c r="BO359" s="60" t="n"/>
      <c r="BP359" s="60" t="n"/>
      <c r="BQ359" s="60" t="n"/>
      <c r="BR359" s="60" t="n"/>
      <c r="BS359" s="60" t="n"/>
      <c r="BT359" s="60" t="n"/>
      <c r="BU359" s="60" t="n"/>
      <c r="BV359" s="60" t="n"/>
      <c r="BW359" s="60" t="n"/>
      <c r="BX359" s="60" t="n"/>
      <c r="BY359" s="60" t="n"/>
      <c r="BZ359" s="60" t="n"/>
      <c r="CA359" s="60" t="n"/>
      <c r="CB359" s="60" t="n"/>
      <c r="CC359" s="60" t="n"/>
      <c r="CD359" s="60" t="n"/>
      <c r="CE359" s="60" t="n"/>
      <c r="CF359" s="60" t="n"/>
      <c r="CG359" s="60" t="n"/>
      <c r="CH359" s="60" t="n"/>
      <c r="CI359" s="60" t="n"/>
      <c r="CJ359" s="60" t="n"/>
      <c r="CK359" s="60" t="n"/>
      <c r="CL359" s="60" t="n"/>
      <c r="CM359" s="60" t="n"/>
      <c r="CN359" s="60" t="n"/>
      <c r="CO359" s="60" t="n"/>
      <c r="CP359" s="60" t="n"/>
      <c r="CQ359" s="60" t="n"/>
      <c r="CR359" s="60" t="n"/>
      <c r="CS359" s="60" t="n"/>
      <c r="CT359" s="60" t="n"/>
      <c r="CU359" s="60" t="n"/>
      <c r="CV359" s="60" t="n"/>
      <c r="CW359" s="60" t="n"/>
      <c r="CX359" s="60" t="n"/>
      <c r="CY359" s="60" t="n"/>
      <c r="CZ359" s="60" t="n"/>
      <c r="DA359" s="60" t="n"/>
      <c r="DB359" s="60" t="n"/>
      <c r="DC359" s="60" t="n"/>
      <c r="DD359" s="60" t="n"/>
      <c r="DE359" s="60" t="n"/>
    </row>
    <row r="360">
      <c r="A360" s="60" t="inlineStr">
        <is>
          <t>Referencia del revendido (no se compra)</t>
        </is>
      </c>
      <c r="B360" s="60" t="inlineStr">
        <is>
          <t>Pie de apoyo — 114 × 114 × 31,4</t>
        </is>
      </c>
      <c r="C360" s="60" t="inlineStr">
        <is>
          <t>u</t>
        </is>
      </c>
      <c r="D360" s="60" t="inlineStr">
        <is>
          <t>No</t>
        </is>
      </c>
      <c r="E360" s="60" t="n"/>
      <c r="F360" s="60" t="inlineStr">
        <is>
          <t>S4 - se compra terminado (tercerizado con sello IRAM)</t>
        </is>
      </c>
      <c r="G360" s="60" t="n"/>
      <c r="H360" s="60" t="n"/>
      <c r="I360" s="60" t="n"/>
      <c r="J360" s="60" t="n"/>
      <c r="K360" s="60" t="n"/>
      <c r="L360" s="60" t="n"/>
      <c r="M360" s="60" t="n"/>
      <c r="N360" s="60" t="n"/>
      <c r="O360" s="60" t="n"/>
      <c r="P360" s="60" t="n">
        <v>1</v>
      </c>
      <c r="Q360" s="60" t="n"/>
      <c r="R360" s="60" t="n"/>
      <c r="S360" s="60" t="n"/>
      <c r="T360" s="60" t="n"/>
      <c r="U360" s="60" t="n"/>
      <c r="V360" s="60" t="n"/>
      <c r="W360" s="60" t="n"/>
      <c r="X360" s="60" t="n"/>
      <c r="Y360" s="60" t="n"/>
      <c r="Z360" s="60" t="n"/>
      <c r="AA360" s="60" t="n"/>
      <c r="AB360" s="60" t="n"/>
      <c r="AC360" s="60" t="n"/>
      <c r="AD360" s="60" t="n"/>
      <c r="AE360" s="60" t="n"/>
      <c r="AF360" s="60" t="n"/>
      <c r="AG360" s="60" t="n"/>
      <c r="AH360" s="60" t="n"/>
      <c r="AI360" s="60" t="n"/>
      <c r="AJ360" s="60" t="n"/>
      <c r="AK360" s="60" t="n"/>
      <c r="AL360" s="60" t="n"/>
      <c r="AM360" s="60" t="n"/>
      <c r="AN360" s="60" t="n"/>
      <c r="AO360" s="60" t="n"/>
      <c r="AP360" s="60" t="n"/>
      <c r="AQ360" s="60" t="n"/>
      <c r="AR360" s="60" t="n"/>
      <c r="AS360" s="60" t="n"/>
      <c r="AT360" s="60" t="n"/>
      <c r="AU360" s="60" t="n"/>
      <c r="AV360" s="60" t="n"/>
      <c r="AW360" s="60" t="n"/>
      <c r="AX360" s="60" t="n"/>
      <c r="AY360" s="60" t="n"/>
      <c r="AZ360" s="60" t="n"/>
      <c r="BA360" s="60" t="n"/>
      <c r="BB360" s="60" t="n"/>
      <c r="BC360" s="60" t="n"/>
      <c r="BD360" s="60" t="n"/>
      <c r="BE360" s="60" t="n"/>
      <c r="BF360" s="60" t="n"/>
      <c r="BG360" s="60" t="n"/>
      <c r="BH360" s="60" t="n"/>
      <c r="BI360" s="60" t="n"/>
      <c r="BJ360" s="60" t="n"/>
      <c r="BK360" s="60" t="n"/>
      <c r="BL360" s="60" t="n"/>
      <c r="BM360" s="60" t="n"/>
      <c r="BN360" s="60" t="n"/>
      <c r="BO360" s="60" t="n"/>
      <c r="BP360" s="60" t="n"/>
      <c r="BQ360" s="60" t="n"/>
      <c r="BR360" s="60" t="n"/>
      <c r="BS360" s="60" t="n"/>
      <c r="BT360" s="60" t="n"/>
      <c r="BU360" s="60" t="n"/>
      <c r="BV360" s="60" t="n"/>
      <c r="BW360" s="60" t="n"/>
      <c r="BX360" s="60" t="n"/>
      <c r="BY360" s="60" t="n"/>
      <c r="BZ360" s="60" t="n"/>
      <c r="CA360" s="60" t="n"/>
      <c r="CB360" s="60" t="n"/>
      <c r="CC360" s="60" t="n"/>
      <c r="CD360" s="60" t="n"/>
      <c r="CE360" s="60" t="n"/>
      <c r="CF360" s="60" t="n"/>
      <c r="CG360" s="60" t="n"/>
      <c r="CH360" s="60" t="n"/>
      <c r="CI360" s="60" t="n"/>
      <c r="CJ360" s="60" t="n"/>
      <c r="CK360" s="60" t="n"/>
      <c r="CL360" s="60" t="n"/>
      <c r="CM360" s="60" t="n"/>
      <c r="CN360" s="60" t="n"/>
      <c r="CO360" s="60" t="n"/>
      <c r="CP360" s="60" t="n"/>
      <c r="CQ360" s="60" t="n"/>
      <c r="CR360" s="60" t="n"/>
      <c r="CS360" s="60" t="n"/>
      <c r="CT360" s="60" t="n"/>
      <c r="CU360" s="60" t="n"/>
      <c r="CV360" s="60" t="n"/>
      <c r="CW360" s="60" t="n"/>
      <c r="CX360" s="60" t="n"/>
      <c r="CY360" s="60" t="n"/>
      <c r="CZ360" s="60" t="n"/>
      <c r="DA360" s="60" t="n"/>
      <c r="DB360" s="60" t="n"/>
      <c r="DC360" s="60" t="n"/>
      <c r="DD360" s="60" t="n"/>
      <c r="DE360" s="60" t="n"/>
    </row>
    <row r="361">
      <c r="A361" s="60" t="inlineStr">
        <is>
          <t>Referencia del revendido (no se compra)</t>
        </is>
      </c>
      <c r="B361" s="60" t="inlineStr">
        <is>
          <t>Pie de apoyo — 140 × 140 × 38,5</t>
        </is>
      </c>
      <c r="C361" s="60" t="inlineStr">
        <is>
          <t>u</t>
        </is>
      </c>
      <c r="D361" s="60" t="inlineStr">
        <is>
          <t>No</t>
        </is>
      </c>
      <c r="E361" s="60" t="n"/>
      <c r="F361" s="60" t="inlineStr">
        <is>
          <t>S4 - se compra terminado (tercerizado con sello IRAM)</t>
        </is>
      </c>
      <c r="G361" s="60" t="n"/>
      <c r="H361" s="60" t="n"/>
      <c r="I361" s="60" t="n"/>
      <c r="J361" s="60" t="n"/>
      <c r="K361" s="60" t="n"/>
      <c r="L361" s="60" t="n"/>
      <c r="M361" s="60" t="n"/>
      <c r="N361" s="60" t="n"/>
      <c r="O361" s="60" t="n"/>
      <c r="P361" s="60" t="n"/>
      <c r="Q361" s="60" t="n">
        <v>1</v>
      </c>
      <c r="R361" s="60" t="n"/>
      <c r="S361" s="60" t="n"/>
      <c r="T361" s="60" t="n"/>
      <c r="U361" s="60" t="n"/>
      <c r="V361" s="60" t="n"/>
      <c r="W361" s="60" t="n"/>
      <c r="X361" s="60" t="n"/>
      <c r="Y361" s="60" t="n"/>
      <c r="Z361" s="60" t="n"/>
      <c r="AA361" s="60" t="n"/>
      <c r="AB361" s="60" t="n"/>
      <c r="AC361" s="60" t="n"/>
      <c r="AD361" s="60" t="n"/>
      <c r="AE361" s="60" t="n"/>
      <c r="AF361" s="60" t="n"/>
      <c r="AG361" s="60" t="n"/>
      <c r="AH361" s="60" t="n"/>
      <c r="AI361" s="60" t="n"/>
      <c r="AJ361" s="60" t="n"/>
      <c r="AK361" s="60" t="n"/>
      <c r="AL361" s="60" t="n"/>
      <c r="AM361" s="60" t="n"/>
      <c r="AN361" s="60" t="n"/>
      <c r="AO361" s="60" t="n"/>
      <c r="AP361" s="60" t="n"/>
      <c r="AQ361" s="60" t="n"/>
      <c r="AR361" s="60" t="n"/>
      <c r="AS361" s="60" t="n"/>
      <c r="AT361" s="60" t="n"/>
      <c r="AU361" s="60" t="n"/>
      <c r="AV361" s="60" t="n"/>
      <c r="AW361" s="60" t="n"/>
      <c r="AX361" s="60" t="n"/>
      <c r="AY361" s="60" t="n"/>
      <c r="AZ361" s="60" t="n"/>
      <c r="BA361" s="60" t="n"/>
      <c r="BB361" s="60" t="n"/>
      <c r="BC361" s="60" t="n"/>
      <c r="BD361" s="60" t="n"/>
      <c r="BE361" s="60" t="n"/>
      <c r="BF361" s="60" t="n"/>
      <c r="BG361" s="60" t="n"/>
      <c r="BH361" s="60" t="n"/>
      <c r="BI361" s="60" t="n"/>
      <c r="BJ361" s="60" t="n"/>
      <c r="BK361" s="60" t="n"/>
      <c r="BL361" s="60" t="n"/>
      <c r="BM361" s="60" t="n"/>
      <c r="BN361" s="60" t="n"/>
      <c r="BO361" s="60" t="n"/>
      <c r="BP361" s="60" t="n"/>
      <c r="BQ361" s="60" t="n"/>
      <c r="BR361" s="60" t="n"/>
      <c r="BS361" s="60" t="n"/>
      <c r="BT361" s="60" t="n"/>
      <c r="BU361" s="60" t="n"/>
      <c r="BV361" s="60" t="n"/>
      <c r="BW361" s="60" t="n"/>
      <c r="BX361" s="60" t="n"/>
      <c r="BY361" s="60" t="n"/>
      <c r="BZ361" s="60" t="n"/>
      <c r="CA361" s="60" t="n"/>
      <c r="CB361" s="60" t="n"/>
      <c r="CC361" s="60" t="n"/>
      <c r="CD361" s="60" t="n"/>
      <c r="CE361" s="60" t="n"/>
      <c r="CF361" s="60" t="n"/>
      <c r="CG361" s="60" t="n"/>
      <c r="CH361" s="60" t="n"/>
      <c r="CI361" s="60" t="n"/>
      <c r="CJ361" s="60" t="n"/>
      <c r="CK361" s="60" t="n"/>
      <c r="CL361" s="60" t="n"/>
      <c r="CM361" s="60" t="n"/>
      <c r="CN361" s="60" t="n"/>
      <c r="CO361" s="60" t="n"/>
      <c r="CP361" s="60" t="n"/>
      <c r="CQ361" s="60" t="n"/>
      <c r="CR361" s="60" t="n"/>
      <c r="CS361" s="60" t="n"/>
      <c r="CT361" s="60" t="n"/>
      <c r="CU361" s="60" t="n"/>
      <c r="CV361" s="60" t="n"/>
      <c r="CW361" s="60" t="n"/>
      <c r="CX361" s="60" t="n"/>
      <c r="CY361" s="60" t="n"/>
      <c r="CZ361" s="60" t="n"/>
      <c r="DA361" s="60" t="n"/>
      <c r="DB361" s="60" t="n"/>
      <c r="DC361" s="60" t="n"/>
      <c r="DD361" s="60" t="n"/>
      <c r="DE361" s="60" t="n"/>
    </row>
    <row r="362">
      <c r="A362" s="60" t="inlineStr">
        <is>
          <t>Referencia del revendido (no se compra)</t>
        </is>
      </c>
      <c r="B362" s="60" t="inlineStr">
        <is>
          <t>Polvo para metales combustibles clase D - Clase D (NaCl &gt; 90 %)</t>
        </is>
      </c>
      <c r="C362" s="60" t="inlineStr">
        <is>
          <t>kg</t>
        </is>
      </c>
      <c r="D362" s="60" t="inlineStr">
        <is>
          <t>No</t>
        </is>
      </c>
      <c r="E362" s="60" t="n"/>
      <c r="F362" s="60" t="inlineStr">
        <is>
          <t>SP-1 almacén previo a la carga</t>
        </is>
      </c>
      <c r="G362" s="60" t="n"/>
      <c r="H362" s="60" t="n"/>
      <c r="I362" s="60" t="n"/>
      <c r="J362" s="60" t="n"/>
      <c r="K362" s="60" t="n"/>
      <c r="L362" s="60" t="n"/>
      <c r="M362" s="60" t="n"/>
      <c r="N362" s="60" t="n"/>
      <c r="O362" s="60" t="n"/>
      <c r="P362" s="60" t="n"/>
      <c r="Q362" s="60" t="n"/>
      <c r="R362" s="60" t="n"/>
      <c r="S362" s="60" t="n">
        <v>9.15</v>
      </c>
      <c r="T362" s="60" t="n"/>
      <c r="U362" s="60" t="n"/>
      <c r="V362" s="60" t="n"/>
      <c r="W362" s="60" t="n"/>
      <c r="X362" s="60" t="n"/>
      <c r="Y362" s="60" t="n"/>
      <c r="Z362" s="60" t="n"/>
      <c r="AA362" s="60" t="n"/>
      <c r="AB362" s="60" t="n"/>
      <c r="AC362" s="60" t="n"/>
      <c r="AD362" s="60" t="n"/>
      <c r="AE362" s="60" t="n"/>
      <c r="AF362" s="60" t="n"/>
      <c r="AG362" s="60" t="n"/>
      <c r="AH362" s="60" t="n"/>
      <c r="AI362" s="60" t="n"/>
      <c r="AJ362" s="60" t="n"/>
      <c r="AK362" s="60" t="n"/>
      <c r="AL362" s="60" t="n"/>
      <c r="AM362" s="60" t="n"/>
      <c r="AN362" s="60" t="n"/>
      <c r="AO362" s="60" t="n"/>
      <c r="AP362" s="60" t="n"/>
      <c r="AQ362" s="60" t="n"/>
      <c r="AR362" s="60" t="n"/>
      <c r="AS362" s="60" t="n"/>
      <c r="AT362" s="60" t="n"/>
      <c r="AU362" s="60" t="n"/>
      <c r="AV362" s="60" t="n"/>
      <c r="AW362" s="60" t="n"/>
      <c r="AX362" s="60" t="n"/>
      <c r="AY362" s="60" t="n"/>
      <c r="AZ362" s="60" t="n"/>
      <c r="BA362" s="60" t="n"/>
      <c r="BB362" s="60" t="n"/>
      <c r="BC362" s="60" t="n"/>
      <c r="BD362" s="60" t="n"/>
      <c r="BE362" s="60" t="n"/>
      <c r="BF362" s="60" t="n"/>
      <c r="BG362" s="60" t="n"/>
      <c r="BH362" s="60" t="n"/>
      <c r="BI362" s="60" t="n"/>
      <c r="BJ362" s="60" t="n"/>
      <c r="BK362" s="60" t="n"/>
      <c r="BL362" s="60" t="n"/>
      <c r="BM362" s="60" t="n"/>
      <c r="BN362" s="60" t="n"/>
      <c r="BO362" s="60" t="n"/>
      <c r="BP362" s="60" t="n"/>
      <c r="BQ362" s="60" t="n"/>
      <c r="BR362" s="60" t="n"/>
      <c r="BS362" s="60" t="n"/>
      <c r="BT362" s="60" t="n"/>
      <c r="BU362" s="60" t="n"/>
      <c r="BV362" s="60" t="n"/>
      <c r="BW362" s="60" t="n"/>
      <c r="BX362" s="60" t="n"/>
      <c r="BY362" s="60" t="n"/>
      <c r="BZ362" s="60" t="n"/>
      <c r="CA362" s="60" t="n"/>
      <c r="CB362" s="60" t="n"/>
      <c r="CC362" s="60" t="n"/>
      <c r="CD362" s="60" t="n"/>
      <c r="CE362" s="60" t="n"/>
      <c r="CF362" s="60" t="n"/>
      <c r="CG362" s="60" t="n"/>
      <c r="CH362" s="60" t="n"/>
      <c r="CI362" s="60" t="n"/>
      <c r="CJ362" s="60" t="n"/>
      <c r="CK362" s="60" t="n"/>
      <c r="CL362" s="60" t="n"/>
      <c r="CM362" s="60" t="n"/>
      <c r="CN362" s="60" t="n"/>
      <c r="CO362" s="60" t="n"/>
      <c r="CP362" s="60" t="n"/>
      <c r="CQ362" s="60" t="n"/>
      <c r="CR362" s="60" t="n"/>
      <c r="CS362" s="60" t="n"/>
      <c r="CT362" s="60" t="n"/>
      <c r="CU362" s="60" t="n"/>
      <c r="CV362" s="60" t="n"/>
      <c r="CW362" s="60" t="n"/>
      <c r="CX362" s="60" t="n"/>
      <c r="CY362" s="60" t="n"/>
      <c r="CZ362" s="60" t="n"/>
      <c r="DA362" s="60" t="n"/>
      <c r="DB362" s="60" t="n"/>
      <c r="DC362" s="60" t="n"/>
      <c r="DD362" s="60" t="n"/>
      <c r="DE362" s="60" t="n"/>
    </row>
    <row r="363">
      <c r="A363" s="60" t="inlineStr">
        <is>
          <t>Referencia del revendido (no se compra)</t>
        </is>
      </c>
      <c r="B363" s="60" t="inlineStr">
        <is>
          <t>Polvo químico seco BC - BC sódico (NaHCO₃ ≥ 85,5 %)</t>
        </is>
      </c>
      <c r="C363" s="60" t="inlineStr">
        <is>
          <t>kg</t>
        </is>
      </c>
      <c r="D363" s="60" t="inlineStr">
        <is>
          <t>No</t>
        </is>
      </c>
      <c r="E363" s="60" t="n"/>
      <c r="F363" s="60" t="inlineStr">
        <is>
          <t>SP-1 almacén previo a la carga</t>
        </is>
      </c>
      <c r="G363" s="60" t="n"/>
      <c r="H363" s="60" t="n"/>
      <c r="I363" s="60" t="n"/>
      <c r="J363" s="60" t="n"/>
      <c r="K363" s="60" t="n"/>
      <c r="L363" s="60" t="n"/>
      <c r="M363" s="60" t="n"/>
      <c r="N363" s="60" t="n">
        <v>5.15</v>
      </c>
      <c r="O363" s="60" t="n"/>
      <c r="P363" s="60" t="n"/>
      <c r="Q363" s="60" t="n"/>
      <c r="R363" s="60" t="n"/>
      <c r="S363" s="60" t="n"/>
      <c r="T363" s="60" t="n"/>
      <c r="U363" s="60" t="n"/>
      <c r="V363" s="60" t="n"/>
      <c r="W363" s="60" t="n"/>
      <c r="X363" s="60" t="n"/>
      <c r="Y363" s="60" t="n"/>
      <c r="Z363" s="60" t="n"/>
      <c r="AA363" s="60" t="n"/>
      <c r="AB363" s="60" t="n"/>
      <c r="AC363" s="60" t="n"/>
      <c r="AD363" s="60" t="n"/>
      <c r="AE363" s="60" t="n"/>
      <c r="AF363" s="60" t="n"/>
      <c r="AG363" s="60" t="n"/>
      <c r="AH363" s="60" t="n"/>
      <c r="AI363" s="60" t="n"/>
      <c r="AJ363" s="60" t="n"/>
      <c r="AK363" s="60" t="n"/>
      <c r="AL363" s="60" t="n"/>
      <c r="AM363" s="60" t="n"/>
      <c r="AN363" s="60" t="n"/>
      <c r="AO363" s="60" t="n"/>
      <c r="AP363" s="60" t="n"/>
      <c r="AQ363" s="60" t="n"/>
      <c r="AR363" s="60" t="n"/>
      <c r="AS363" s="60" t="n"/>
      <c r="AT363" s="60" t="n"/>
      <c r="AU363" s="60" t="n"/>
      <c r="AV363" s="60" t="n"/>
      <c r="AW363" s="60" t="n"/>
      <c r="AX363" s="60" t="n"/>
      <c r="AY363" s="60" t="n"/>
      <c r="AZ363" s="60" t="n"/>
      <c r="BA363" s="60" t="n"/>
      <c r="BB363" s="60" t="n"/>
      <c r="BC363" s="60" t="n"/>
      <c r="BD363" s="60" t="n"/>
      <c r="BE363" s="60" t="n"/>
      <c r="BF363" s="60" t="n"/>
      <c r="BG363" s="60" t="n"/>
      <c r="BH363" s="60" t="n"/>
      <c r="BI363" s="60" t="n"/>
      <c r="BJ363" s="60" t="n"/>
      <c r="BK363" s="60" t="n"/>
      <c r="BL363" s="60" t="n"/>
      <c r="BM363" s="60" t="n"/>
      <c r="BN363" s="60" t="n"/>
      <c r="BO363" s="60" t="n"/>
      <c r="BP363" s="60" t="n"/>
      <c r="BQ363" s="60" t="n"/>
      <c r="BR363" s="60" t="n"/>
      <c r="BS363" s="60" t="n"/>
      <c r="BT363" s="60" t="n"/>
      <c r="BU363" s="60" t="n"/>
      <c r="BV363" s="60" t="n"/>
      <c r="BW363" s="60" t="n"/>
      <c r="BX363" s="60" t="n"/>
      <c r="BY363" s="60" t="n"/>
      <c r="BZ363" s="60" t="n"/>
      <c r="CA363" s="60" t="n"/>
      <c r="CB363" s="60" t="n"/>
      <c r="CC363" s="60" t="n"/>
      <c r="CD363" s="60" t="n"/>
      <c r="CE363" s="60" t="n"/>
      <c r="CF363" s="60" t="n"/>
      <c r="CG363" s="60" t="n"/>
      <c r="CH363" s="60" t="n"/>
      <c r="CI363" s="60" t="n"/>
      <c r="CJ363" s="60" t="n"/>
      <c r="CK363" s="60" t="n"/>
      <c r="CL363" s="60" t="n"/>
      <c r="CM363" s="60" t="n"/>
      <c r="CN363" s="60" t="n"/>
      <c r="CO363" s="60" t="n"/>
      <c r="CP363" s="60" t="n"/>
      <c r="CQ363" s="60" t="n"/>
      <c r="CR363" s="60" t="n"/>
      <c r="CS363" s="60" t="n"/>
      <c r="CT363" s="60" t="n"/>
      <c r="CU363" s="60" t="n"/>
      <c r="CV363" s="60" t="n"/>
      <c r="CW363" s="60" t="n"/>
      <c r="CX363" s="60" t="n"/>
      <c r="CY363" s="60" t="n"/>
      <c r="CZ363" s="60" t="n"/>
      <c r="DA363" s="60" t="n"/>
      <c r="DB363" s="60" t="n"/>
      <c r="DC363" s="60" t="n"/>
      <c r="DD363" s="60" t="n"/>
      <c r="DE363" s="60" t="n"/>
    </row>
    <row r="364">
      <c r="A364" s="60" t="inlineStr">
        <is>
          <t>Referencia del revendido (no se compra)</t>
        </is>
      </c>
      <c r="B364" s="60" t="inlineStr">
        <is>
          <t>Precinto de fábrica — Ø5 × 10, numerado, rotura 30-50 N</t>
        </is>
      </c>
      <c r="C364" s="60" t="inlineStr">
        <is>
          <t>u</t>
        </is>
      </c>
      <c r="D364" s="60" t="inlineStr">
        <is>
          <t>No</t>
        </is>
      </c>
      <c r="E364" s="60" t="n"/>
      <c r="F364" s="60" t="inlineStr">
        <is>
          <t>20 Presurización (T05)</t>
        </is>
      </c>
      <c r="G364" s="60" t="n"/>
      <c r="H364" s="60" t="n"/>
      <c r="I364" s="60" t="n"/>
      <c r="J364" s="60" t="n"/>
      <c r="K364" s="60" t="n">
        <v>1</v>
      </c>
      <c r="L364" s="60" t="n">
        <v>1</v>
      </c>
      <c r="M364" s="60" t="n">
        <v>1</v>
      </c>
      <c r="N364" s="60" t="n">
        <v>1</v>
      </c>
      <c r="O364" s="60" t="n">
        <v>1</v>
      </c>
      <c r="P364" s="60" t="n">
        <v>1</v>
      </c>
      <c r="Q364" s="60" t="n">
        <v>1</v>
      </c>
      <c r="R364" s="60" t="n">
        <v>1</v>
      </c>
      <c r="S364" s="60" t="n">
        <v>1</v>
      </c>
      <c r="T364" s="60" t="n"/>
      <c r="U364" s="60" t="n"/>
      <c r="V364" s="60" t="n"/>
      <c r="W364" s="60" t="n"/>
      <c r="X364" s="60" t="n"/>
      <c r="Y364" s="60" t="n"/>
      <c r="Z364" s="60" t="n"/>
      <c r="AA364" s="60" t="n"/>
      <c r="AB364" s="60" t="n"/>
      <c r="AC364" s="60" t="n"/>
      <c r="AD364" s="60" t="n"/>
      <c r="AE364" s="60" t="n"/>
      <c r="AF364" s="60" t="n"/>
      <c r="AG364" s="60" t="n"/>
      <c r="AH364" s="60" t="n"/>
      <c r="AI364" s="60" t="n"/>
      <c r="AJ364" s="60" t="n"/>
      <c r="AK364" s="60" t="n"/>
      <c r="AL364" s="60" t="n"/>
      <c r="AM364" s="60" t="n"/>
      <c r="AN364" s="60" t="n"/>
      <c r="AO364" s="60" t="n"/>
      <c r="AP364" s="60" t="n"/>
      <c r="AQ364" s="60" t="n"/>
      <c r="AR364" s="60" t="n"/>
      <c r="AS364" s="60" t="n"/>
      <c r="AT364" s="60" t="n"/>
      <c r="AU364" s="60" t="n"/>
      <c r="AV364" s="60" t="n"/>
      <c r="AW364" s="60" t="n"/>
      <c r="AX364" s="60" t="n"/>
      <c r="AY364" s="60" t="n"/>
      <c r="AZ364" s="60" t="n"/>
      <c r="BA364" s="60" t="n"/>
      <c r="BB364" s="60" t="n"/>
      <c r="BC364" s="60" t="n"/>
      <c r="BD364" s="60" t="n"/>
      <c r="BE364" s="60" t="n"/>
      <c r="BF364" s="60" t="n"/>
      <c r="BG364" s="60" t="n"/>
      <c r="BH364" s="60" t="n"/>
      <c r="BI364" s="60" t="n"/>
      <c r="BJ364" s="60" t="n"/>
      <c r="BK364" s="60" t="n"/>
      <c r="BL364" s="60" t="n"/>
      <c r="BM364" s="60" t="n"/>
      <c r="BN364" s="60" t="n"/>
      <c r="BO364" s="60" t="n"/>
      <c r="BP364" s="60" t="n"/>
      <c r="BQ364" s="60" t="n"/>
      <c r="BR364" s="60" t="n"/>
      <c r="BS364" s="60" t="n"/>
      <c r="BT364" s="60" t="n"/>
      <c r="BU364" s="60" t="n"/>
      <c r="BV364" s="60" t="n"/>
      <c r="BW364" s="60" t="n"/>
      <c r="BX364" s="60" t="n"/>
      <c r="BY364" s="60" t="n"/>
      <c r="BZ364" s="60" t="n"/>
      <c r="CA364" s="60" t="n"/>
      <c r="CB364" s="60" t="n"/>
      <c r="CC364" s="60" t="n"/>
      <c r="CD364" s="60" t="n"/>
      <c r="CE364" s="60" t="n"/>
      <c r="CF364" s="60" t="n"/>
      <c r="CG364" s="60" t="n"/>
      <c r="CH364" s="60" t="n"/>
      <c r="CI364" s="60" t="n"/>
      <c r="CJ364" s="60" t="n"/>
      <c r="CK364" s="60" t="n"/>
      <c r="CL364" s="60" t="n"/>
      <c r="CM364" s="60" t="n"/>
      <c r="CN364" s="60" t="n"/>
      <c r="CO364" s="60" t="n"/>
      <c r="CP364" s="60" t="n"/>
      <c r="CQ364" s="60" t="n"/>
      <c r="CR364" s="60" t="n"/>
      <c r="CS364" s="60" t="n"/>
      <c r="CT364" s="60" t="n"/>
      <c r="CU364" s="60" t="n"/>
      <c r="CV364" s="60" t="n"/>
      <c r="CW364" s="60" t="n"/>
      <c r="CX364" s="60" t="n"/>
      <c r="CY364" s="60" t="n"/>
      <c r="CZ364" s="60" t="n"/>
      <c r="DA364" s="60" t="n"/>
      <c r="DB364" s="60" t="n"/>
      <c r="DC364" s="60" t="n"/>
      <c r="DD364" s="60" t="n"/>
      <c r="DE364" s="60" t="n"/>
    </row>
    <row r="365">
      <c r="A365" s="60" t="inlineStr">
        <is>
          <t>Referencia del revendido (no se compra)</t>
        </is>
      </c>
      <c r="B365" s="60" t="inlineStr">
        <is>
          <t>Racor de manguera — 18 × 18 × 12</t>
        </is>
      </c>
      <c r="C365" s="60" t="inlineStr">
        <is>
          <t>u</t>
        </is>
      </c>
      <c r="D365" s="60" t="inlineStr">
        <is>
          <t>No</t>
        </is>
      </c>
      <c r="E365" s="60" t="n"/>
      <c r="F365" s="60" t="inlineStr">
        <is>
          <t>S4 - se compra terminado (tercerizado con sello IRAM)</t>
        </is>
      </c>
      <c r="G365" s="60" t="n"/>
      <c r="H365" s="60" t="n"/>
      <c r="I365" s="60" t="n"/>
      <c r="J365" s="60" t="n"/>
      <c r="K365" s="60" t="n">
        <v>1</v>
      </c>
      <c r="L365" s="60" t="n">
        <v>1</v>
      </c>
      <c r="M365" s="60" t="n"/>
      <c r="N365" s="60" t="n">
        <v>1</v>
      </c>
      <c r="O365" s="60" t="n">
        <v>1</v>
      </c>
      <c r="P365" s="60" t="n"/>
      <c r="Q365" s="60" t="n">
        <v>1</v>
      </c>
      <c r="R365" s="60" t="n">
        <v>1</v>
      </c>
      <c r="S365" s="60" t="n">
        <v>1</v>
      </c>
      <c r="T365" s="60" t="n"/>
      <c r="U365" s="60" t="n"/>
      <c r="V365" s="60" t="n"/>
      <c r="W365" s="60" t="n"/>
      <c r="X365" s="60" t="n"/>
      <c r="Y365" s="60" t="n"/>
      <c r="Z365" s="60" t="n"/>
      <c r="AA365" s="60" t="n"/>
      <c r="AB365" s="60" t="n"/>
      <c r="AC365" s="60" t="n"/>
      <c r="AD365" s="60" t="n"/>
      <c r="AE365" s="60" t="n"/>
      <c r="AF365" s="60" t="n"/>
      <c r="AG365" s="60" t="n"/>
      <c r="AH365" s="60" t="n"/>
      <c r="AI365" s="60" t="n"/>
      <c r="AJ365" s="60" t="n"/>
      <c r="AK365" s="60" t="n"/>
      <c r="AL365" s="60" t="n"/>
      <c r="AM365" s="60" t="n"/>
      <c r="AN365" s="60" t="n"/>
      <c r="AO365" s="60" t="n"/>
      <c r="AP365" s="60" t="n"/>
      <c r="AQ365" s="60" t="n"/>
      <c r="AR365" s="60" t="n"/>
      <c r="AS365" s="60" t="n"/>
      <c r="AT365" s="60" t="n"/>
      <c r="AU365" s="60" t="n"/>
      <c r="AV365" s="60" t="n"/>
      <c r="AW365" s="60" t="n"/>
      <c r="AX365" s="60" t="n"/>
      <c r="AY365" s="60" t="n"/>
      <c r="AZ365" s="60" t="n"/>
      <c r="BA365" s="60" t="n"/>
      <c r="BB365" s="60" t="n"/>
      <c r="BC365" s="60" t="n"/>
      <c r="BD365" s="60" t="n"/>
      <c r="BE365" s="60" t="n"/>
      <c r="BF365" s="60" t="n"/>
      <c r="BG365" s="60" t="n"/>
      <c r="BH365" s="60" t="n"/>
      <c r="BI365" s="60" t="n"/>
      <c r="BJ365" s="60" t="n"/>
      <c r="BK365" s="60" t="n"/>
      <c r="BL365" s="60" t="n"/>
      <c r="BM365" s="60" t="n"/>
      <c r="BN365" s="60" t="n"/>
      <c r="BO365" s="60" t="n"/>
      <c r="BP365" s="60" t="n"/>
      <c r="BQ365" s="60" t="n"/>
      <c r="BR365" s="60" t="n"/>
      <c r="BS365" s="60" t="n"/>
      <c r="BT365" s="60" t="n"/>
      <c r="BU365" s="60" t="n"/>
      <c r="BV365" s="60" t="n"/>
      <c r="BW365" s="60" t="n"/>
      <c r="BX365" s="60" t="n"/>
      <c r="BY365" s="60" t="n"/>
      <c r="BZ365" s="60" t="n"/>
      <c r="CA365" s="60" t="n"/>
      <c r="CB365" s="60" t="n"/>
      <c r="CC365" s="60" t="n"/>
      <c r="CD365" s="60" t="n"/>
      <c r="CE365" s="60" t="n"/>
      <c r="CF365" s="60" t="n"/>
      <c r="CG365" s="60" t="n"/>
      <c r="CH365" s="60" t="n"/>
      <c r="CI365" s="60" t="n"/>
      <c r="CJ365" s="60" t="n"/>
      <c r="CK365" s="60" t="n"/>
      <c r="CL365" s="60" t="n"/>
      <c r="CM365" s="60" t="n"/>
      <c r="CN365" s="60" t="n"/>
      <c r="CO365" s="60" t="n"/>
      <c r="CP365" s="60" t="n"/>
      <c r="CQ365" s="60" t="n"/>
      <c r="CR365" s="60" t="n"/>
      <c r="CS365" s="60" t="n"/>
      <c r="CT365" s="60" t="n"/>
      <c r="CU365" s="60" t="n"/>
      <c r="CV365" s="60" t="n"/>
      <c r="CW365" s="60" t="n"/>
      <c r="CX365" s="60" t="n"/>
      <c r="CY365" s="60" t="n"/>
      <c r="CZ365" s="60" t="n"/>
      <c r="DA365" s="60" t="n"/>
      <c r="DB365" s="60" t="n"/>
      <c r="DC365" s="60" t="n"/>
      <c r="DD365" s="60" t="n"/>
      <c r="DE365" s="60" t="n"/>
    </row>
    <row r="366">
      <c r="A366" s="60" t="inlineStr">
        <is>
          <t>Referencia del revendido (no se compra)</t>
        </is>
      </c>
      <c r="B366" s="60" t="inlineStr">
        <is>
          <t>Racor de manguera — 24 × 24 × 16</t>
        </is>
      </c>
      <c r="C366" s="60" t="inlineStr">
        <is>
          <t>u</t>
        </is>
      </c>
      <c r="D366" s="60" t="inlineStr">
        <is>
          <t>No</t>
        </is>
      </c>
      <c r="E366" s="60" t="n"/>
      <c r="F366" s="60" t="inlineStr">
        <is>
          <t>S4 - se compra terminado (tercerizado con sello IRAM)</t>
        </is>
      </c>
      <c r="G366" s="60" t="n"/>
      <c r="H366" s="60" t="n"/>
      <c r="I366" s="60" t="n"/>
      <c r="J366" s="60" t="n"/>
      <c r="K366" s="60" t="n"/>
      <c r="L366" s="60" t="n"/>
      <c r="M366" s="60" t="n">
        <v>1</v>
      </c>
      <c r="N366" s="60" t="n"/>
      <c r="O366" s="60" t="n"/>
      <c r="P366" s="60" t="n"/>
      <c r="Q366" s="60" t="n"/>
      <c r="R366" s="60" t="n"/>
      <c r="S366" s="60" t="n"/>
      <c r="T366" s="60" t="n"/>
      <c r="U366" s="60" t="n"/>
      <c r="V366" s="60" t="n"/>
      <c r="W366" s="60" t="n"/>
      <c r="X366" s="60" t="n"/>
      <c r="Y366" s="60" t="n"/>
      <c r="Z366" s="60" t="n"/>
      <c r="AA366" s="60" t="n"/>
      <c r="AB366" s="60" t="n"/>
      <c r="AC366" s="60" t="n"/>
      <c r="AD366" s="60" t="n"/>
      <c r="AE366" s="60" t="n"/>
      <c r="AF366" s="60" t="n"/>
      <c r="AG366" s="60" t="n"/>
      <c r="AH366" s="60" t="n"/>
      <c r="AI366" s="60" t="n"/>
      <c r="AJ366" s="60" t="n"/>
      <c r="AK366" s="60" t="n"/>
      <c r="AL366" s="60" t="n"/>
      <c r="AM366" s="60" t="n"/>
      <c r="AN366" s="60" t="n"/>
      <c r="AO366" s="60" t="n"/>
      <c r="AP366" s="60" t="n"/>
      <c r="AQ366" s="60" t="n"/>
      <c r="AR366" s="60" t="n"/>
      <c r="AS366" s="60" t="n"/>
      <c r="AT366" s="60" t="n"/>
      <c r="AU366" s="60" t="n"/>
      <c r="AV366" s="60" t="n"/>
      <c r="AW366" s="60" t="n"/>
      <c r="AX366" s="60" t="n"/>
      <c r="AY366" s="60" t="n"/>
      <c r="AZ366" s="60" t="n"/>
      <c r="BA366" s="60" t="n"/>
      <c r="BB366" s="60" t="n"/>
      <c r="BC366" s="60" t="n"/>
      <c r="BD366" s="60" t="n"/>
      <c r="BE366" s="60" t="n"/>
      <c r="BF366" s="60" t="n"/>
      <c r="BG366" s="60" t="n"/>
      <c r="BH366" s="60" t="n"/>
      <c r="BI366" s="60" t="n"/>
      <c r="BJ366" s="60" t="n"/>
      <c r="BK366" s="60" t="n"/>
      <c r="BL366" s="60" t="n"/>
      <c r="BM366" s="60" t="n"/>
      <c r="BN366" s="60" t="n"/>
      <c r="BO366" s="60" t="n"/>
      <c r="BP366" s="60" t="n"/>
      <c r="BQ366" s="60" t="n"/>
      <c r="BR366" s="60" t="n"/>
      <c r="BS366" s="60" t="n"/>
      <c r="BT366" s="60" t="n"/>
      <c r="BU366" s="60" t="n"/>
      <c r="BV366" s="60" t="n"/>
      <c r="BW366" s="60" t="n"/>
      <c r="BX366" s="60" t="n"/>
      <c r="BY366" s="60" t="n"/>
      <c r="BZ366" s="60" t="n"/>
      <c r="CA366" s="60" t="n"/>
      <c r="CB366" s="60" t="n"/>
      <c r="CC366" s="60" t="n"/>
      <c r="CD366" s="60" t="n"/>
      <c r="CE366" s="60" t="n"/>
      <c r="CF366" s="60" t="n"/>
      <c r="CG366" s="60" t="n"/>
      <c r="CH366" s="60" t="n"/>
      <c r="CI366" s="60" t="n"/>
      <c r="CJ366" s="60" t="n"/>
      <c r="CK366" s="60" t="n"/>
      <c r="CL366" s="60" t="n"/>
      <c r="CM366" s="60" t="n"/>
      <c r="CN366" s="60" t="n"/>
      <c r="CO366" s="60" t="n"/>
      <c r="CP366" s="60" t="n"/>
      <c r="CQ366" s="60" t="n"/>
      <c r="CR366" s="60" t="n"/>
      <c r="CS366" s="60" t="n"/>
      <c r="CT366" s="60" t="n"/>
      <c r="CU366" s="60" t="n"/>
      <c r="CV366" s="60" t="n"/>
      <c r="CW366" s="60" t="n"/>
      <c r="CX366" s="60" t="n"/>
      <c r="CY366" s="60" t="n"/>
      <c r="CZ366" s="60" t="n"/>
      <c r="DA366" s="60" t="n"/>
      <c r="DB366" s="60" t="n"/>
      <c r="DC366" s="60" t="n"/>
      <c r="DD366" s="60" t="n"/>
      <c r="DE366" s="60" t="n"/>
    </row>
    <row r="367">
      <c r="A367" s="60" t="inlineStr">
        <is>
          <t>Referencia del revendido (no se compra)</t>
        </is>
      </c>
      <c r="B367" s="60" t="inlineStr">
        <is>
          <t>Soporte de manguera — 490,8 × 217 × 40,5</t>
        </is>
      </c>
      <c r="C367" s="60" t="inlineStr">
        <is>
          <t>u</t>
        </is>
      </c>
      <c r="D367" s="60" t="inlineStr">
        <is>
          <t>No</t>
        </is>
      </c>
      <c r="E367" s="60" t="n"/>
      <c r="F367" s="60" t="inlineStr">
        <is>
          <t>S4 - se compra terminado (tercerizado con sello IRAM)</t>
        </is>
      </c>
      <c r="G367" s="60" t="n"/>
      <c r="H367" s="60" t="n"/>
      <c r="I367" s="60" t="n"/>
      <c r="J367" s="60" t="n"/>
      <c r="K367" s="60" t="n"/>
      <c r="L367" s="60" t="n"/>
      <c r="M367" s="60" t="n">
        <v>1</v>
      </c>
      <c r="N367" s="60" t="n"/>
      <c r="O367" s="60" t="n"/>
      <c r="P367" s="60" t="n"/>
      <c r="Q367" s="60" t="n"/>
      <c r="R367" s="60" t="n"/>
      <c r="S367" s="60" t="n"/>
      <c r="T367" s="60" t="n"/>
      <c r="U367" s="60" t="n"/>
      <c r="V367" s="60" t="n"/>
      <c r="W367" s="60" t="n"/>
      <c r="X367" s="60" t="n"/>
      <c r="Y367" s="60" t="n"/>
      <c r="Z367" s="60" t="n"/>
      <c r="AA367" s="60" t="n"/>
      <c r="AB367" s="60" t="n"/>
      <c r="AC367" s="60" t="n"/>
      <c r="AD367" s="60" t="n"/>
      <c r="AE367" s="60" t="n"/>
      <c r="AF367" s="60" t="n"/>
      <c r="AG367" s="60" t="n"/>
      <c r="AH367" s="60" t="n"/>
      <c r="AI367" s="60" t="n"/>
      <c r="AJ367" s="60" t="n"/>
      <c r="AK367" s="60" t="n"/>
      <c r="AL367" s="60" t="n"/>
      <c r="AM367" s="60" t="n"/>
      <c r="AN367" s="60" t="n"/>
      <c r="AO367" s="60" t="n"/>
      <c r="AP367" s="60" t="n"/>
      <c r="AQ367" s="60" t="n"/>
      <c r="AR367" s="60" t="n"/>
      <c r="AS367" s="60" t="n"/>
      <c r="AT367" s="60" t="n"/>
      <c r="AU367" s="60" t="n"/>
      <c r="AV367" s="60" t="n"/>
      <c r="AW367" s="60" t="n"/>
      <c r="AX367" s="60" t="n"/>
      <c r="AY367" s="60" t="n"/>
      <c r="AZ367" s="60" t="n"/>
      <c r="BA367" s="60" t="n"/>
      <c r="BB367" s="60" t="n"/>
      <c r="BC367" s="60" t="n"/>
      <c r="BD367" s="60" t="n"/>
      <c r="BE367" s="60" t="n"/>
      <c r="BF367" s="60" t="n"/>
      <c r="BG367" s="60" t="n"/>
      <c r="BH367" s="60" t="n"/>
      <c r="BI367" s="60" t="n"/>
      <c r="BJ367" s="60" t="n"/>
      <c r="BK367" s="60" t="n"/>
      <c r="BL367" s="60" t="n"/>
      <c r="BM367" s="60" t="n"/>
      <c r="BN367" s="60" t="n"/>
      <c r="BO367" s="60" t="n"/>
      <c r="BP367" s="60" t="n"/>
      <c r="BQ367" s="60" t="n"/>
      <c r="BR367" s="60" t="n"/>
      <c r="BS367" s="60" t="n"/>
      <c r="BT367" s="60" t="n"/>
      <c r="BU367" s="60" t="n"/>
      <c r="BV367" s="60" t="n"/>
      <c r="BW367" s="60" t="n"/>
      <c r="BX367" s="60" t="n"/>
      <c r="BY367" s="60" t="n"/>
      <c r="BZ367" s="60" t="n"/>
      <c r="CA367" s="60" t="n"/>
      <c r="CB367" s="60" t="n"/>
      <c r="CC367" s="60" t="n"/>
      <c r="CD367" s="60" t="n"/>
      <c r="CE367" s="60" t="n"/>
      <c r="CF367" s="60" t="n"/>
      <c r="CG367" s="60" t="n"/>
      <c r="CH367" s="60" t="n"/>
      <c r="CI367" s="60" t="n"/>
      <c r="CJ367" s="60" t="n"/>
      <c r="CK367" s="60" t="n"/>
      <c r="CL367" s="60" t="n"/>
      <c r="CM367" s="60" t="n"/>
      <c r="CN367" s="60" t="n"/>
      <c r="CO367" s="60" t="n"/>
      <c r="CP367" s="60" t="n"/>
      <c r="CQ367" s="60" t="n"/>
      <c r="CR367" s="60" t="n"/>
      <c r="CS367" s="60" t="n"/>
      <c r="CT367" s="60" t="n"/>
      <c r="CU367" s="60" t="n"/>
      <c r="CV367" s="60" t="n"/>
      <c r="CW367" s="60" t="n"/>
      <c r="CX367" s="60" t="n"/>
      <c r="CY367" s="60" t="n"/>
      <c r="CZ367" s="60" t="n"/>
      <c r="DA367" s="60" t="n"/>
      <c r="DB367" s="60" t="n"/>
      <c r="DC367" s="60" t="n"/>
      <c r="DD367" s="60" t="n"/>
      <c r="DE367" s="60" t="n"/>
    </row>
    <row r="368">
      <c r="A368" s="60" t="inlineStr">
        <is>
          <t>Referencia del revendido (no se compra)</t>
        </is>
      </c>
      <c r="B368" s="60" t="inlineStr">
        <is>
          <t>Soporte de pared (FL_ACC_01)</t>
        </is>
      </c>
      <c r="C368" s="60" t="inlineStr">
        <is>
          <t>u</t>
        </is>
      </c>
      <c r="D368" s="60" t="inlineStr">
        <is>
          <t>No</t>
        </is>
      </c>
      <c r="E368" s="60" t="n"/>
      <c r="F368" s="60" t="inlineStr">
        <is>
          <t>23 Embalaje</t>
        </is>
      </c>
      <c r="G368" s="60" t="n"/>
      <c r="H368" s="60" t="n"/>
      <c r="I368" s="60" t="n"/>
      <c r="J368" s="60" t="n"/>
      <c r="K368" s="60" t="n">
        <v>1</v>
      </c>
      <c r="L368" s="60" t="n">
        <v>1</v>
      </c>
      <c r="M368" s="60" t="n"/>
      <c r="N368" s="60" t="n">
        <v>1</v>
      </c>
      <c r="O368" s="60" t="n">
        <v>1</v>
      </c>
      <c r="P368" s="60" t="n">
        <v>1</v>
      </c>
      <c r="Q368" s="60" t="n">
        <v>1</v>
      </c>
      <c r="R368" s="60" t="n">
        <v>1</v>
      </c>
      <c r="S368" s="60" t="n">
        <v>1</v>
      </c>
      <c r="T368" s="60" t="n"/>
      <c r="U368" s="60" t="n"/>
      <c r="V368" s="60" t="n"/>
      <c r="W368" s="60" t="n"/>
      <c r="X368" s="60" t="n"/>
      <c r="Y368" s="60" t="n"/>
      <c r="Z368" s="60" t="n"/>
      <c r="AA368" s="60" t="n"/>
      <c r="AB368" s="60" t="n"/>
      <c r="AC368" s="60" t="n"/>
      <c r="AD368" s="60" t="n"/>
      <c r="AE368" s="60" t="n"/>
      <c r="AF368" s="60" t="n"/>
      <c r="AG368" s="60" t="n"/>
      <c r="AH368" s="60" t="n"/>
      <c r="AI368" s="60" t="n"/>
      <c r="AJ368" s="60" t="n"/>
      <c r="AK368" s="60" t="n"/>
      <c r="AL368" s="60" t="n"/>
      <c r="AM368" s="60" t="n"/>
      <c r="AN368" s="60" t="n"/>
      <c r="AO368" s="60" t="n"/>
      <c r="AP368" s="60" t="n"/>
      <c r="AQ368" s="60" t="n"/>
      <c r="AR368" s="60" t="n"/>
      <c r="AS368" s="60" t="n"/>
      <c r="AT368" s="60" t="n"/>
      <c r="AU368" s="60" t="n"/>
      <c r="AV368" s="60" t="n"/>
      <c r="AW368" s="60" t="n"/>
      <c r="AX368" s="60" t="n"/>
      <c r="AY368" s="60" t="n"/>
      <c r="AZ368" s="60" t="n"/>
      <c r="BA368" s="60" t="n"/>
      <c r="BB368" s="60" t="n"/>
      <c r="BC368" s="60" t="n"/>
      <c r="BD368" s="60" t="n"/>
      <c r="BE368" s="60" t="n"/>
      <c r="BF368" s="60" t="n"/>
      <c r="BG368" s="60" t="n"/>
      <c r="BH368" s="60" t="n"/>
      <c r="BI368" s="60" t="n"/>
      <c r="BJ368" s="60" t="n"/>
      <c r="BK368" s="60" t="n"/>
      <c r="BL368" s="60" t="n"/>
      <c r="BM368" s="60" t="n"/>
      <c r="BN368" s="60" t="n"/>
      <c r="BO368" s="60" t="n"/>
      <c r="BP368" s="60" t="n"/>
      <c r="BQ368" s="60" t="n"/>
      <c r="BR368" s="60" t="n"/>
      <c r="BS368" s="60" t="n"/>
      <c r="BT368" s="60" t="n"/>
      <c r="BU368" s="60" t="n"/>
      <c r="BV368" s="60" t="n"/>
      <c r="BW368" s="60" t="n"/>
      <c r="BX368" s="60" t="n"/>
      <c r="BY368" s="60" t="n"/>
      <c r="BZ368" s="60" t="n"/>
      <c r="CA368" s="60" t="n"/>
      <c r="CB368" s="60" t="n"/>
      <c r="CC368" s="60" t="n"/>
      <c r="CD368" s="60" t="n"/>
      <c r="CE368" s="60" t="n"/>
      <c r="CF368" s="60" t="n"/>
      <c r="CG368" s="60" t="n"/>
      <c r="CH368" s="60" t="n"/>
      <c r="CI368" s="60" t="n"/>
      <c r="CJ368" s="60" t="n"/>
      <c r="CK368" s="60" t="n"/>
      <c r="CL368" s="60" t="n"/>
      <c r="CM368" s="60" t="n"/>
      <c r="CN368" s="60" t="n"/>
      <c r="CO368" s="60" t="n"/>
      <c r="CP368" s="60" t="n"/>
      <c r="CQ368" s="60" t="n"/>
      <c r="CR368" s="60" t="n"/>
      <c r="CS368" s="60" t="n"/>
      <c r="CT368" s="60" t="n"/>
      <c r="CU368" s="60" t="n"/>
      <c r="CV368" s="60" t="n"/>
      <c r="CW368" s="60" t="n"/>
      <c r="CX368" s="60" t="n"/>
      <c r="CY368" s="60" t="n"/>
      <c r="CZ368" s="60" t="n"/>
      <c r="DA368" s="60" t="n"/>
      <c r="DB368" s="60" t="n"/>
      <c r="DC368" s="60" t="n"/>
      <c r="DD368" s="60" t="n"/>
      <c r="DE368" s="60" t="n"/>
    </row>
    <row r="369">
      <c r="A369" s="60" t="inlineStr">
        <is>
          <t>Referencia del revendido (no se compra)</t>
        </is>
      </c>
      <c r="B369" s="60" t="inlineStr">
        <is>
          <t>Suncho portatobera — 159,9 × 156 × 18</t>
        </is>
      </c>
      <c r="C369" s="60" t="inlineStr">
        <is>
          <t>u</t>
        </is>
      </c>
      <c r="D369" s="60" t="inlineStr">
        <is>
          <t>No</t>
        </is>
      </c>
      <c r="E369" s="60" t="n"/>
      <c r="F369" s="60" t="inlineStr">
        <is>
          <t>S4 - se compra terminado (tercerizado con sello IRAM)</t>
        </is>
      </c>
      <c r="G369" s="60" t="n"/>
      <c r="H369" s="60" t="n"/>
      <c r="I369" s="60" t="n"/>
      <c r="J369" s="60" t="n"/>
      <c r="K369" s="60" t="n"/>
      <c r="L369" s="60" t="n"/>
      <c r="M369" s="60" t="n"/>
      <c r="N369" s="60" t="n">
        <v>1</v>
      </c>
      <c r="O369" s="60" t="n"/>
      <c r="P369" s="60" t="n"/>
      <c r="Q369" s="60" t="n"/>
      <c r="R369" s="60" t="n">
        <v>1</v>
      </c>
      <c r="S369" s="60" t="n"/>
      <c r="T369" s="60" t="n"/>
      <c r="U369" s="60" t="n"/>
      <c r="V369" s="60" t="n"/>
      <c r="W369" s="60" t="n"/>
      <c r="X369" s="60" t="n"/>
      <c r="Y369" s="60" t="n"/>
      <c r="Z369" s="60" t="n"/>
      <c r="AA369" s="60" t="n"/>
      <c r="AB369" s="60" t="n"/>
      <c r="AC369" s="60" t="n"/>
      <c r="AD369" s="60" t="n"/>
      <c r="AE369" s="60" t="n"/>
      <c r="AF369" s="60" t="n"/>
      <c r="AG369" s="60" t="n"/>
      <c r="AH369" s="60" t="n"/>
      <c r="AI369" s="60" t="n"/>
      <c r="AJ369" s="60" t="n"/>
      <c r="AK369" s="60" t="n"/>
      <c r="AL369" s="60" t="n"/>
      <c r="AM369" s="60" t="n"/>
      <c r="AN369" s="60" t="n"/>
      <c r="AO369" s="60" t="n"/>
      <c r="AP369" s="60" t="n"/>
      <c r="AQ369" s="60" t="n"/>
      <c r="AR369" s="60" t="n"/>
      <c r="AS369" s="60" t="n"/>
      <c r="AT369" s="60" t="n"/>
      <c r="AU369" s="60" t="n"/>
      <c r="AV369" s="60" t="n"/>
      <c r="AW369" s="60" t="n"/>
      <c r="AX369" s="60" t="n"/>
      <c r="AY369" s="60" t="n"/>
      <c r="AZ369" s="60" t="n"/>
      <c r="BA369" s="60" t="n"/>
      <c r="BB369" s="60" t="n"/>
      <c r="BC369" s="60" t="n"/>
      <c r="BD369" s="60" t="n"/>
      <c r="BE369" s="60" t="n"/>
      <c r="BF369" s="60" t="n"/>
      <c r="BG369" s="60" t="n"/>
      <c r="BH369" s="60" t="n"/>
      <c r="BI369" s="60" t="n"/>
      <c r="BJ369" s="60" t="n"/>
      <c r="BK369" s="60" t="n"/>
      <c r="BL369" s="60" t="n"/>
      <c r="BM369" s="60" t="n"/>
      <c r="BN369" s="60" t="n"/>
      <c r="BO369" s="60" t="n"/>
      <c r="BP369" s="60" t="n"/>
      <c r="BQ369" s="60" t="n"/>
      <c r="BR369" s="60" t="n"/>
      <c r="BS369" s="60" t="n"/>
      <c r="BT369" s="60" t="n"/>
      <c r="BU369" s="60" t="n"/>
      <c r="BV369" s="60" t="n"/>
      <c r="BW369" s="60" t="n"/>
      <c r="BX369" s="60" t="n"/>
      <c r="BY369" s="60" t="n"/>
      <c r="BZ369" s="60" t="n"/>
      <c r="CA369" s="60" t="n"/>
      <c r="CB369" s="60" t="n"/>
      <c r="CC369" s="60" t="n"/>
      <c r="CD369" s="60" t="n"/>
      <c r="CE369" s="60" t="n"/>
      <c r="CF369" s="60" t="n"/>
      <c r="CG369" s="60" t="n"/>
      <c r="CH369" s="60" t="n"/>
      <c r="CI369" s="60" t="n"/>
      <c r="CJ369" s="60" t="n"/>
      <c r="CK369" s="60" t="n"/>
      <c r="CL369" s="60" t="n"/>
      <c r="CM369" s="60" t="n"/>
      <c r="CN369" s="60" t="n"/>
      <c r="CO369" s="60" t="n"/>
      <c r="CP369" s="60" t="n"/>
      <c r="CQ369" s="60" t="n"/>
      <c r="CR369" s="60" t="n"/>
      <c r="CS369" s="60" t="n"/>
      <c r="CT369" s="60" t="n"/>
      <c r="CU369" s="60" t="n"/>
      <c r="CV369" s="60" t="n"/>
      <c r="CW369" s="60" t="n"/>
      <c r="CX369" s="60" t="n"/>
      <c r="CY369" s="60" t="n"/>
      <c r="CZ369" s="60" t="n"/>
      <c r="DA369" s="60" t="n"/>
      <c r="DB369" s="60" t="n"/>
      <c r="DC369" s="60" t="n"/>
      <c r="DD369" s="60" t="n"/>
      <c r="DE369" s="60" t="n"/>
    </row>
    <row r="370">
      <c r="A370" s="60" t="inlineStr">
        <is>
          <t>Referencia del revendido (no se compra)</t>
        </is>
      </c>
      <c r="B370" s="60" t="inlineStr">
        <is>
          <t>Suncho portatobera — 196,5 × 193 × 18</t>
        </is>
      </c>
      <c r="C370" s="60" t="inlineStr">
        <is>
          <t>u</t>
        </is>
      </c>
      <c r="D370" s="60" t="inlineStr">
        <is>
          <t>No</t>
        </is>
      </c>
      <c r="E370" s="60" t="n"/>
      <c r="F370" s="60" t="inlineStr">
        <is>
          <t>S4 - se compra terminado (tercerizado con sello IRAM)</t>
        </is>
      </c>
      <c r="G370" s="60" t="n"/>
      <c r="H370" s="60" t="n"/>
      <c r="I370" s="60" t="n"/>
      <c r="J370" s="60" t="n"/>
      <c r="K370" s="60" t="n"/>
      <c r="L370" s="60" t="n">
        <v>1</v>
      </c>
      <c r="M370" s="60" t="n"/>
      <c r="N370" s="60" t="n"/>
      <c r="O370" s="60" t="n"/>
      <c r="P370" s="60" t="n"/>
      <c r="Q370" s="60" t="n"/>
      <c r="R370" s="60" t="n"/>
      <c r="S370" s="60" t="n"/>
      <c r="T370" s="60" t="n"/>
      <c r="U370" s="60" t="n"/>
      <c r="V370" s="60" t="n"/>
      <c r="W370" s="60" t="n"/>
      <c r="X370" s="60" t="n"/>
      <c r="Y370" s="60" t="n"/>
      <c r="Z370" s="60" t="n"/>
      <c r="AA370" s="60" t="n"/>
      <c r="AB370" s="60" t="n"/>
      <c r="AC370" s="60" t="n"/>
      <c r="AD370" s="60" t="n"/>
      <c r="AE370" s="60" t="n"/>
      <c r="AF370" s="60" t="n"/>
      <c r="AG370" s="60" t="n"/>
      <c r="AH370" s="60" t="n"/>
      <c r="AI370" s="60" t="n"/>
      <c r="AJ370" s="60" t="n"/>
      <c r="AK370" s="60" t="n"/>
      <c r="AL370" s="60" t="n"/>
      <c r="AM370" s="60" t="n"/>
      <c r="AN370" s="60" t="n"/>
      <c r="AO370" s="60" t="n"/>
      <c r="AP370" s="60" t="n"/>
      <c r="AQ370" s="60" t="n"/>
      <c r="AR370" s="60" t="n"/>
      <c r="AS370" s="60" t="n"/>
      <c r="AT370" s="60" t="n"/>
      <c r="AU370" s="60" t="n"/>
      <c r="AV370" s="60" t="n"/>
      <c r="AW370" s="60" t="n"/>
      <c r="AX370" s="60" t="n"/>
      <c r="AY370" s="60" t="n"/>
      <c r="AZ370" s="60" t="n"/>
      <c r="BA370" s="60" t="n"/>
      <c r="BB370" s="60" t="n"/>
      <c r="BC370" s="60" t="n"/>
      <c r="BD370" s="60" t="n"/>
      <c r="BE370" s="60" t="n"/>
      <c r="BF370" s="60" t="n"/>
      <c r="BG370" s="60" t="n"/>
      <c r="BH370" s="60" t="n"/>
      <c r="BI370" s="60" t="n"/>
      <c r="BJ370" s="60" t="n"/>
      <c r="BK370" s="60" t="n"/>
      <c r="BL370" s="60" t="n"/>
      <c r="BM370" s="60" t="n"/>
      <c r="BN370" s="60" t="n"/>
      <c r="BO370" s="60" t="n"/>
      <c r="BP370" s="60" t="n"/>
      <c r="BQ370" s="60" t="n"/>
      <c r="BR370" s="60" t="n"/>
      <c r="BS370" s="60" t="n"/>
      <c r="BT370" s="60" t="n"/>
      <c r="BU370" s="60" t="n"/>
      <c r="BV370" s="60" t="n"/>
      <c r="BW370" s="60" t="n"/>
      <c r="BX370" s="60" t="n"/>
      <c r="BY370" s="60" t="n"/>
      <c r="BZ370" s="60" t="n"/>
      <c r="CA370" s="60" t="n"/>
      <c r="CB370" s="60" t="n"/>
      <c r="CC370" s="60" t="n"/>
      <c r="CD370" s="60" t="n"/>
      <c r="CE370" s="60" t="n"/>
      <c r="CF370" s="60" t="n"/>
      <c r="CG370" s="60" t="n"/>
      <c r="CH370" s="60" t="n"/>
      <c r="CI370" s="60" t="n"/>
      <c r="CJ370" s="60" t="n"/>
      <c r="CK370" s="60" t="n"/>
      <c r="CL370" s="60" t="n"/>
      <c r="CM370" s="60" t="n"/>
      <c r="CN370" s="60" t="n"/>
      <c r="CO370" s="60" t="n"/>
      <c r="CP370" s="60" t="n"/>
      <c r="CQ370" s="60" t="n"/>
      <c r="CR370" s="60" t="n"/>
      <c r="CS370" s="60" t="n"/>
      <c r="CT370" s="60" t="n"/>
      <c r="CU370" s="60" t="n"/>
      <c r="CV370" s="60" t="n"/>
      <c r="CW370" s="60" t="n"/>
      <c r="CX370" s="60" t="n"/>
      <c r="CY370" s="60" t="n"/>
      <c r="CZ370" s="60" t="n"/>
      <c r="DA370" s="60" t="n"/>
      <c r="DB370" s="60" t="n"/>
      <c r="DC370" s="60" t="n"/>
      <c r="DD370" s="60" t="n"/>
      <c r="DE370" s="60" t="n"/>
    </row>
    <row r="371">
      <c r="A371" s="60" t="inlineStr">
        <is>
          <t>Referencia del revendido (no se compra)</t>
        </is>
      </c>
      <c r="B371" s="60" t="inlineStr">
        <is>
          <t>Suncho portatobera — 197 × 193 × 18</t>
        </is>
      </c>
      <c r="C371" s="60" t="inlineStr">
        <is>
          <t>u</t>
        </is>
      </c>
      <c r="D371" s="60" t="inlineStr">
        <is>
          <t>No</t>
        </is>
      </c>
      <c r="E371" s="60" t="n"/>
      <c r="F371" s="60" t="inlineStr">
        <is>
          <t>S4 - se compra terminado (tercerizado con sello IRAM)</t>
        </is>
      </c>
      <c r="G371" s="60" t="n"/>
      <c r="H371" s="60" t="n"/>
      <c r="I371" s="60" t="n"/>
      <c r="J371" s="60" t="n"/>
      <c r="K371" s="60" t="n">
        <v>1</v>
      </c>
      <c r="L371" s="60" t="n"/>
      <c r="M371" s="60" t="n"/>
      <c r="N371" s="60" t="n"/>
      <c r="O371" s="60" t="n"/>
      <c r="P371" s="60" t="n"/>
      <c r="Q371" s="60" t="n"/>
      <c r="R371" s="60" t="n"/>
      <c r="S371" s="60" t="n"/>
      <c r="T371" s="60" t="n"/>
      <c r="U371" s="60" t="n"/>
      <c r="V371" s="60" t="n"/>
      <c r="W371" s="60" t="n"/>
      <c r="X371" s="60" t="n"/>
      <c r="Y371" s="60" t="n"/>
      <c r="Z371" s="60" t="n"/>
      <c r="AA371" s="60" t="n"/>
      <c r="AB371" s="60" t="n"/>
      <c r="AC371" s="60" t="n"/>
      <c r="AD371" s="60" t="n"/>
      <c r="AE371" s="60" t="n"/>
      <c r="AF371" s="60" t="n"/>
      <c r="AG371" s="60" t="n"/>
      <c r="AH371" s="60" t="n"/>
      <c r="AI371" s="60" t="n"/>
      <c r="AJ371" s="60" t="n"/>
      <c r="AK371" s="60" t="n"/>
      <c r="AL371" s="60" t="n"/>
      <c r="AM371" s="60" t="n"/>
      <c r="AN371" s="60" t="n"/>
      <c r="AO371" s="60" t="n"/>
      <c r="AP371" s="60" t="n"/>
      <c r="AQ371" s="60" t="n"/>
      <c r="AR371" s="60" t="n"/>
      <c r="AS371" s="60" t="n"/>
      <c r="AT371" s="60" t="n"/>
      <c r="AU371" s="60" t="n"/>
      <c r="AV371" s="60" t="n"/>
      <c r="AW371" s="60" t="n"/>
      <c r="AX371" s="60" t="n"/>
      <c r="AY371" s="60" t="n"/>
      <c r="AZ371" s="60" t="n"/>
      <c r="BA371" s="60" t="n"/>
      <c r="BB371" s="60" t="n"/>
      <c r="BC371" s="60" t="n"/>
      <c r="BD371" s="60" t="n"/>
      <c r="BE371" s="60" t="n"/>
      <c r="BF371" s="60" t="n"/>
      <c r="BG371" s="60" t="n"/>
      <c r="BH371" s="60" t="n"/>
      <c r="BI371" s="60" t="n"/>
      <c r="BJ371" s="60" t="n"/>
      <c r="BK371" s="60" t="n"/>
      <c r="BL371" s="60" t="n"/>
      <c r="BM371" s="60" t="n"/>
      <c r="BN371" s="60" t="n"/>
      <c r="BO371" s="60" t="n"/>
      <c r="BP371" s="60" t="n"/>
      <c r="BQ371" s="60" t="n"/>
      <c r="BR371" s="60" t="n"/>
      <c r="BS371" s="60" t="n"/>
      <c r="BT371" s="60" t="n"/>
      <c r="BU371" s="60" t="n"/>
      <c r="BV371" s="60" t="n"/>
      <c r="BW371" s="60" t="n"/>
      <c r="BX371" s="60" t="n"/>
      <c r="BY371" s="60" t="n"/>
      <c r="BZ371" s="60" t="n"/>
      <c r="CA371" s="60" t="n"/>
      <c r="CB371" s="60" t="n"/>
      <c r="CC371" s="60" t="n"/>
      <c r="CD371" s="60" t="n"/>
      <c r="CE371" s="60" t="n"/>
      <c r="CF371" s="60" t="n"/>
      <c r="CG371" s="60" t="n"/>
      <c r="CH371" s="60" t="n"/>
      <c r="CI371" s="60" t="n"/>
      <c r="CJ371" s="60" t="n"/>
      <c r="CK371" s="60" t="n"/>
      <c r="CL371" s="60" t="n"/>
      <c r="CM371" s="60" t="n"/>
      <c r="CN371" s="60" t="n"/>
      <c r="CO371" s="60" t="n"/>
      <c r="CP371" s="60" t="n"/>
      <c r="CQ371" s="60" t="n"/>
      <c r="CR371" s="60" t="n"/>
      <c r="CS371" s="60" t="n"/>
      <c r="CT371" s="60" t="n"/>
      <c r="CU371" s="60" t="n"/>
      <c r="CV371" s="60" t="n"/>
      <c r="CW371" s="60" t="n"/>
      <c r="CX371" s="60" t="n"/>
      <c r="CY371" s="60" t="n"/>
      <c r="CZ371" s="60" t="n"/>
      <c r="DA371" s="60" t="n"/>
      <c r="DB371" s="60" t="n"/>
      <c r="DC371" s="60" t="n"/>
      <c r="DD371" s="60" t="n"/>
      <c r="DE371" s="60" t="n"/>
    </row>
    <row r="372">
      <c r="A372" s="60" t="inlineStr">
        <is>
          <t>Referencia del revendido (no se compra)</t>
        </is>
      </c>
      <c r="B372" s="60" t="inlineStr">
        <is>
          <t>Suncho portatobera — 198,8 × 184,5 × 18</t>
        </is>
      </c>
      <c r="C372" s="60" t="inlineStr">
        <is>
          <t>u</t>
        </is>
      </c>
      <c r="D372" s="60" t="inlineStr">
        <is>
          <t>No</t>
        </is>
      </c>
      <c r="E372" s="60" t="n"/>
      <c r="F372" s="60" t="inlineStr">
        <is>
          <t>S4 - se compra terminado (tercerizado con sello IRAM)</t>
        </is>
      </c>
      <c r="G372" s="60" t="n"/>
      <c r="H372" s="60" t="n"/>
      <c r="I372" s="60" t="n"/>
      <c r="J372" s="60" t="n"/>
      <c r="K372" s="60" t="n"/>
      <c r="L372" s="60" t="n"/>
      <c r="M372" s="60" t="n"/>
      <c r="N372" s="60" t="n"/>
      <c r="O372" s="60" t="n"/>
      <c r="P372" s="60" t="n"/>
      <c r="Q372" s="60" t="n"/>
      <c r="R372" s="60" t="n"/>
      <c r="S372" s="60" t="n">
        <v>1</v>
      </c>
      <c r="T372" s="60" t="n"/>
      <c r="U372" s="60" t="n"/>
      <c r="V372" s="60" t="n"/>
      <c r="W372" s="60" t="n"/>
      <c r="X372" s="60" t="n"/>
      <c r="Y372" s="60" t="n"/>
      <c r="Z372" s="60" t="n"/>
      <c r="AA372" s="60" t="n"/>
      <c r="AB372" s="60" t="n"/>
      <c r="AC372" s="60" t="n"/>
      <c r="AD372" s="60" t="n"/>
      <c r="AE372" s="60" t="n"/>
      <c r="AF372" s="60" t="n"/>
      <c r="AG372" s="60" t="n"/>
      <c r="AH372" s="60" t="n"/>
      <c r="AI372" s="60" t="n"/>
      <c r="AJ372" s="60" t="n"/>
      <c r="AK372" s="60" t="n"/>
      <c r="AL372" s="60" t="n"/>
      <c r="AM372" s="60" t="n"/>
      <c r="AN372" s="60" t="n"/>
      <c r="AO372" s="60" t="n"/>
      <c r="AP372" s="60" t="n"/>
      <c r="AQ372" s="60" t="n"/>
      <c r="AR372" s="60" t="n"/>
      <c r="AS372" s="60" t="n"/>
      <c r="AT372" s="60" t="n"/>
      <c r="AU372" s="60" t="n"/>
      <c r="AV372" s="60" t="n"/>
      <c r="AW372" s="60" t="n"/>
      <c r="AX372" s="60" t="n"/>
      <c r="AY372" s="60" t="n"/>
      <c r="AZ372" s="60" t="n"/>
      <c r="BA372" s="60" t="n"/>
      <c r="BB372" s="60" t="n"/>
      <c r="BC372" s="60" t="n"/>
      <c r="BD372" s="60" t="n"/>
      <c r="BE372" s="60" t="n"/>
      <c r="BF372" s="60" t="n"/>
      <c r="BG372" s="60" t="n"/>
      <c r="BH372" s="60" t="n"/>
      <c r="BI372" s="60" t="n"/>
      <c r="BJ372" s="60" t="n"/>
      <c r="BK372" s="60" t="n"/>
      <c r="BL372" s="60" t="n"/>
      <c r="BM372" s="60" t="n"/>
      <c r="BN372" s="60" t="n"/>
      <c r="BO372" s="60" t="n"/>
      <c r="BP372" s="60" t="n"/>
      <c r="BQ372" s="60" t="n"/>
      <c r="BR372" s="60" t="n"/>
      <c r="BS372" s="60" t="n"/>
      <c r="BT372" s="60" t="n"/>
      <c r="BU372" s="60" t="n"/>
      <c r="BV372" s="60" t="n"/>
      <c r="BW372" s="60" t="n"/>
      <c r="BX372" s="60" t="n"/>
      <c r="BY372" s="60" t="n"/>
      <c r="BZ372" s="60" t="n"/>
      <c r="CA372" s="60" t="n"/>
      <c r="CB372" s="60" t="n"/>
      <c r="CC372" s="60" t="n"/>
      <c r="CD372" s="60" t="n"/>
      <c r="CE372" s="60" t="n"/>
      <c r="CF372" s="60" t="n"/>
      <c r="CG372" s="60" t="n"/>
      <c r="CH372" s="60" t="n"/>
      <c r="CI372" s="60" t="n"/>
      <c r="CJ372" s="60" t="n"/>
      <c r="CK372" s="60" t="n"/>
      <c r="CL372" s="60" t="n"/>
      <c r="CM372" s="60" t="n"/>
      <c r="CN372" s="60" t="n"/>
      <c r="CO372" s="60" t="n"/>
      <c r="CP372" s="60" t="n"/>
      <c r="CQ372" s="60" t="n"/>
      <c r="CR372" s="60" t="n"/>
      <c r="CS372" s="60" t="n"/>
      <c r="CT372" s="60" t="n"/>
      <c r="CU372" s="60" t="n"/>
      <c r="CV372" s="60" t="n"/>
      <c r="CW372" s="60" t="n"/>
      <c r="CX372" s="60" t="n"/>
      <c r="CY372" s="60" t="n"/>
      <c r="CZ372" s="60" t="n"/>
      <c r="DA372" s="60" t="n"/>
      <c r="DB372" s="60" t="n"/>
      <c r="DC372" s="60" t="n"/>
      <c r="DD372" s="60" t="n"/>
      <c r="DE372" s="60" t="n"/>
    </row>
    <row r="373">
      <c r="A373" s="60" t="inlineStr">
        <is>
          <t>Referencia del revendido (no se compra)</t>
        </is>
      </c>
      <c r="B373" s="60" t="inlineStr">
        <is>
          <t>Suncho portatobera — 199,9 × 193 × 18</t>
        </is>
      </c>
      <c r="C373" s="60" t="inlineStr">
        <is>
          <t>u</t>
        </is>
      </c>
      <c r="D373" s="60" t="inlineStr">
        <is>
          <t>No</t>
        </is>
      </c>
      <c r="E373" s="60" t="n"/>
      <c r="F373" s="60" t="inlineStr">
        <is>
          <t>S4 - se compra terminado (tercerizado con sello IRAM)</t>
        </is>
      </c>
      <c r="G373" s="60" t="n"/>
      <c r="H373" s="60" t="n"/>
      <c r="I373" s="60" t="n"/>
      <c r="J373" s="60" t="n"/>
      <c r="K373" s="60" t="n"/>
      <c r="L373" s="60" t="n"/>
      <c r="M373" s="60" t="n"/>
      <c r="N373" s="60" t="n"/>
      <c r="O373" s="60" t="n">
        <v>1</v>
      </c>
      <c r="P373" s="60" t="n"/>
      <c r="Q373" s="60" t="n"/>
      <c r="R373" s="60" t="n"/>
      <c r="S373" s="60" t="n"/>
      <c r="T373" s="60" t="n"/>
      <c r="U373" s="60" t="n"/>
      <c r="V373" s="60" t="n"/>
      <c r="W373" s="60" t="n"/>
      <c r="X373" s="60" t="n"/>
      <c r="Y373" s="60" t="n"/>
      <c r="Z373" s="60" t="n"/>
      <c r="AA373" s="60" t="n"/>
      <c r="AB373" s="60" t="n"/>
      <c r="AC373" s="60" t="n"/>
      <c r="AD373" s="60" t="n"/>
      <c r="AE373" s="60" t="n"/>
      <c r="AF373" s="60" t="n"/>
      <c r="AG373" s="60" t="n"/>
      <c r="AH373" s="60" t="n"/>
      <c r="AI373" s="60" t="n"/>
      <c r="AJ373" s="60" t="n"/>
      <c r="AK373" s="60" t="n"/>
      <c r="AL373" s="60" t="n"/>
      <c r="AM373" s="60" t="n"/>
      <c r="AN373" s="60" t="n"/>
      <c r="AO373" s="60" t="n"/>
      <c r="AP373" s="60" t="n"/>
      <c r="AQ373" s="60" t="n"/>
      <c r="AR373" s="60" t="n"/>
      <c r="AS373" s="60" t="n"/>
      <c r="AT373" s="60" t="n"/>
      <c r="AU373" s="60" t="n"/>
      <c r="AV373" s="60" t="n"/>
      <c r="AW373" s="60" t="n"/>
      <c r="AX373" s="60" t="n"/>
      <c r="AY373" s="60" t="n"/>
      <c r="AZ373" s="60" t="n"/>
      <c r="BA373" s="60" t="n"/>
      <c r="BB373" s="60" t="n"/>
      <c r="BC373" s="60" t="n"/>
      <c r="BD373" s="60" t="n"/>
      <c r="BE373" s="60" t="n"/>
      <c r="BF373" s="60" t="n"/>
      <c r="BG373" s="60" t="n"/>
      <c r="BH373" s="60" t="n"/>
      <c r="BI373" s="60" t="n"/>
      <c r="BJ373" s="60" t="n"/>
      <c r="BK373" s="60" t="n"/>
      <c r="BL373" s="60" t="n"/>
      <c r="BM373" s="60" t="n"/>
      <c r="BN373" s="60" t="n"/>
      <c r="BO373" s="60" t="n"/>
      <c r="BP373" s="60" t="n"/>
      <c r="BQ373" s="60" t="n"/>
      <c r="BR373" s="60" t="n"/>
      <c r="BS373" s="60" t="n"/>
      <c r="BT373" s="60" t="n"/>
      <c r="BU373" s="60" t="n"/>
      <c r="BV373" s="60" t="n"/>
      <c r="BW373" s="60" t="n"/>
      <c r="BX373" s="60" t="n"/>
      <c r="BY373" s="60" t="n"/>
      <c r="BZ373" s="60" t="n"/>
      <c r="CA373" s="60" t="n"/>
      <c r="CB373" s="60" t="n"/>
      <c r="CC373" s="60" t="n"/>
      <c r="CD373" s="60" t="n"/>
      <c r="CE373" s="60" t="n"/>
      <c r="CF373" s="60" t="n"/>
      <c r="CG373" s="60" t="n"/>
      <c r="CH373" s="60" t="n"/>
      <c r="CI373" s="60" t="n"/>
      <c r="CJ373" s="60" t="n"/>
      <c r="CK373" s="60" t="n"/>
      <c r="CL373" s="60" t="n"/>
      <c r="CM373" s="60" t="n"/>
      <c r="CN373" s="60" t="n"/>
      <c r="CO373" s="60" t="n"/>
      <c r="CP373" s="60" t="n"/>
      <c r="CQ373" s="60" t="n"/>
      <c r="CR373" s="60" t="n"/>
      <c r="CS373" s="60" t="n"/>
      <c r="CT373" s="60" t="n"/>
      <c r="CU373" s="60" t="n"/>
      <c r="CV373" s="60" t="n"/>
      <c r="CW373" s="60" t="n"/>
      <c r="CX373" s="60" t="n"/>
      <c r="CY373" s="60" t="n"/>
      <c r="CZ373" s="60" t="n"/>
      <c r="DA373" s="60" t="n"/>
      <c r="DB373" s="60" t="n"/>
      <c r="DC373" s="60" t="n"/>
      <c r="DD373" s="60" t="n"/>
      <c r="DE373" s="60" t="n"/>
    </row>
    <row r="374">
      <c r="A374" s="60" t="inlineStr">
        <is>
          <t>Referencia del revendido (no se compra)</t>
        </is>
      </c>
      <c r="B374" s="60" t="inlineStr">
        <is>
          <t>Suncho soporte de difusor — 161,7 × 143 × 18</t>
        </is>
      </c>
      <c r="C374" s="60" t="inlineStr">
        <is>
          <t>u</t>
        </is>
      </c>
      <c r="D374" s="60" t="inlineStr">
        <is>
          <t>No</t>
        </is>
      </c>
      <c r="E374" s="60" t="n"/>
      <c r="F374" s="60" t="inlineStr">
        <is>
          <t>S4 - se compra terminado (tercerizado con sello IRAM)</t>
        </is>
      </c>
      <c r="G374" s="60" t="n"/>
      <c r="H374" s="60" t="n"/>
      <c r="I374" s="60" t="n"/>
      <c r="J374" s="60" t="n"/>
      <c r="K374" s="60" t="n"/>
      <c r="L374" s="60" t="n"/>
      <c r="M374" s="60" t="n"/>
      <c r="N374" s="60" t="n"/>
      <c r="O374" s="60" t="n"/>
      <c r="P374" s="60" t="n"/>
      <c r="Q374" s="60" t="n">
        <v>1</v>
      </c>
      <c r="R374" s="60" t="n"/>
      <c r="S374" s="60" t="n"/>
      <c r="T374" s="60" t="n"/>
      <c r="U374" s="60" t="n"/>
      <c r="V374" s="60" t="n"/>
      <c r="W374" s="60" t="n"/>
      <c r="X374" s="60" t="n"/>
      <c r="Y374" s="60" t="n"/>
      <c r="Z374" s="60" t="n"/>
      <c r="AA374" s="60" t="n"/>
      <c r="AB374" s="60" t="n"/>
      <c r="AC374" s="60" t="n"/>
      <c r="AD374" s="60" t="n"/>
      <c r="AE374" s="60" t="n"/>
      <c r="AF374" s="60" t="n"/>
      <c r="AG374" s="60" t="n"/>
      <c r="AH374" s="60" t="n"/>
      <c r="AI374" s="60" t="n"/>
      <c r="AJ374" s="60" t="n"/>
      <c r="AK374" s="60" t="n"/>
      <c r="AL374" s="60" t="n"/>
      <c r="AM374" s="60" t="n"/>
      <c r="AN374" s="60" t="n"/>
      <c r="AO374" s="60" t="n"/>
      <c r="AP374" s="60" t="n"/>
      <c r="AQ374" s="60" t="n"/>
      <c r="AR374" s="60" t="n"/>
      <c r="AS374" s="60" t="n"/>
      <c r="AT374" s="60" t="n"/>
      <c r="AU374" s="60" t="n"/>
      <c r="AV374" s="60" t="n"/>
      <c r="AW374" s="60" t="n"/>
      <c r="AX374" s="60" t="n"/>
      <c r="AY374" s="60" t="n"/>
      <c r="AZ374" s="60" t="n"/>
      <c r="BA374" s="60" t="n"/>
      <c r="BB374" s="60" t="n"/>
      <c r="BC374" s="60" t="n"/>
      <c r="BD374" s="60" t="n"/>
      <c r="BE374" s="60" t="n"/>
      <c r="BF374" s="60" t="n"/>
      <c r="BG374" s="60" t="n"/>
      <c r="BH374" s="60" t="n"/>
      <c r="BI374" s="60" t="n"/>
      <c r="BJ374" s="60" t="n"/>
      <c r="BK374" s="60" t="n"/>
      <c r="BL374" s="60" t="n"/>
      <c r="BM374" s="60" t="n"/>
      <c r="BN374" s="60" t="n"/>
      <c r="BO374" s="60" t="n"/>
      <c r="BP374" s="60" t="n"/>
      <c r="BQ374" s="60" t="n"/>
      <c r="BR374" s="60" t="n"/>
      <c r="BS374" s="60" t="n"/>
      <c r="BT374" s="60" t="n"/>
      <c r="BU374" s="60" t="n"/>
      <c r="BV374" s="60" t="n"/>
      <c r="BW374" s="60" t="n"/>
      <c r="BX374" s="60" t="n"/>
      <c r="BY374" s="60" t="n"/>
      <c r="BZ374" s="60" t="n"/>
      <c r="CA374" s="60" t="n"/>
      <c r="CB374" s="60" t="n"/>
      <c r="CC374" s="60" t="n"/>
      <c r="CD374" s="60" t="n"/>
      <c r="CE374" s="60" t="n"/>
      <c r="CF374" s="60" t="n"/>
      <c r="CG374" s="60" t="n"/>
      <c r="CH374" s="60" t="n"/>
      <c r="CI374" s="60" t="n"/>
      <c r="CJ374" s="60" t="n"/>
      <c r="CK374" s="60" t="n"/>
      <c r="CL374" s="60" t="n"/>
      <c r="CM374" s="60" t="n"/>
      <c r="CN374" s="60" t="n"/>
      <c r="CO374" s="60" t="n"/>
      <c r="CP374" s="60" t="n"/>
      <c r="CQ374" s="60" t="n"/>
      <c r="CR374" s="60" t="n"/>
      <c r="CS374" s="60" t="n"/>
      <c r="CT374" s="60" t="n"/>
      <c r="CU374" s="60" t="n"/>
      <c r="CV374" s="60" t="n"/>
      <c r="CW374" s="60" t="n"/>
      <c r="CX374" s="60" t="n"/>
      <c r="CY374" s="60" t="n"/>
      <c r="CZ374" s="60" t="n"/>
      <c r="DA374" s="60" t="n"/>
      <c r="DB374" s="60" t="n"/>
      <c r="DC374" s="60" t="n"/>
      <c r="DD374" s="60" t="n"/>
      <c r="DE374" s="60" t="n"/>
    </row>
    <row r="375">
      <c r="A375" s="60" t="inlineStr">
        <is>
          <t>Referencia del revendido (no se compra)</t>
        </is>
      </c>
      <c r="B375" s="60" t="inlineStr">
        <is>
          <t>Sunchos de fijación — 459 × 424 × 332</t>
        </is>
      </c>
      <c r="C375" s="60" t="inlineStr">
        <is>
          <t>u</t>
        </is>
      </c>
      <c r="D375" s="60" t="inlineStr">
        <is>
          <t>No</t>
        </is>
      </c>
      <c r="E375" s="60" t="n"/>
      <c r="F375" s="60" t="inlineStr">
        <is>
          <t>S4 - se compra terminado (tercerizado con sello IRAM)</t>
        </is>
      </c>
      <c r="G375" s="60" t="n"/>
      <c r="H375" s="60" t="n"/>
      <c r="I375" s="60" t="n"/>
      <c r="J375" s="60" t="n"/>
      <c r="K375" s="60" t="n"/>
      <c r="L375" s="60" t="n"/>
      <c r="M375" s="60" t="n">
        <v>1</v>
      </c>
      <c r="N375" s="60" t="n"/>
      <c r="O375" s="60" t="n"/>
      <c r="P375" s="60" t="n"/>
      <c r="Q375" s="60" t="n"/>
      <c r="R375" s="60" t="n"/>
      <c r="S375" s="60" t="n"/>
      <c r="T375" s="60" t="n"/>
      <c r="U375" s="60" t="n">
        <v>1</v>
      </c>
      <c r="V375" s="60" t="n"/>
      <c r="W375" s="60" t="n"/>
      <c r="X375" s="60" t="n"/>
      <c r="Y375" s="60" t="n"/>
      <c r="Z375" s="60" t="n"/>
      <c r="AA375" s="60" t="n"/>
      <c r="AB375" s="60" t="n"/>
      <c r="AC375" s="60" t="n"/>
      <c r="AD375" s="60" t="n"/>
      <c r="AE375" s="60" t="n"/>
      <c r="AF375" s="60" t="n"/>
      <c r="AG375" s="60" t="n"/>
      <c r="AH375" s="60" t="n"/>
      <c r="AI375" s="60" t="n"/>
      <c r="AJ375" s="60" t="n"/>
      <c r="AK375" s="60" t="n"/>
      <c r="AL375" s="60" t="n"/>
      <c r="AM375" s="60" t="n"/>
      <c r="AN375" s="60" t="n"/>
      <c r="AO375" s="60" t="n"/>
      <c r="AP375" s="60" t="n"/>
      <c r="AQ375" s="60" t="n"/>
      <c r="AR375" s="60" t="n"/>
      <c r="AS375" s="60" t="n"/>
      <c r="AT375" s="60" t="n"/>
      <c r="AU375" s="60" t="n"/>
      <c r="AV375" s="60" t="n"/>
      <c r="AW375" s="60" t="n"/>
      <c r="AX375" s="60" t="n"/>
      <c r="AY375" s="60" t="n"/>
      <c r="AZ375" s="60" t="n"/>
      <c r="BA375" s="60" t="n"/>
      <c r="BB375" s="60" t="n"/>
      <c r="BC375" s="60" t="n"/>
      <c r="BD375" s="60" t="n"/>
      <c r="BE375" s="60" t="n"/>
      <c r="BF375" s="60" t="n"/>
      <c r="BG375" s="60" t="n"/>
      <c r="BH375" s="60" t="n"/>
      <c r="BI375" s="60" t="n"/>
      <c r="BJ375" s="60" t="n"/>
      <c r="BK375" s="60" t="n"/>
      <c r="BL375" s="60" t="n"/>
      <c r="BM375" s="60" t="n"/>
      <c r="BN375" s="60" t="n"/>
      <c r="BO375" s="60" t="n"/>
      <c r="BP375" s="60" t="n"/>
      <c r="BQ375" s="60" t="n"/>
      <c r="BR375" s="60" t="n"/>
      <c r="BS375" s="60" t="n"/>
      <c r="BT375" s="60" t="n"/>
      <c r="BU375" s="60" t="n"/>
      <c r="BV375" s="60" t="n"/>
      <c r="BW375" s="60" t="n"/>
      <c r="BX375" s="60" t="n"/>
      <c r="BY375" s="60" t="n"/>
      <c r="BZ375" s="60" t="n"/>
      <c r="CA375" s="60" t="n"/>
      <c r="CB375" s="60" t="n"/>
      <c r="CC375" s="60" t="n"/>
      <c r="CD375" s="60" t="n"/>
      <c r="CE375" s="60" t="n"/>
      <c r="CF375" s="60" t="n"/>
      <c r="CG375" s="60" t="n"/>
      <c r="CH375" s="60" t="n"/>
      <c r="CI375" s="60" t="n"/>
      <c r="CJ375" s="60" t="n"/>
      <c r="CK375" s="60" t="n"/>
      <c r="CL375" s="60" t="n"/>
      <c r="CM375" s="60" t="n"/>
      <c r="CN375" s="60" t="n"/>
      <c r="CO375" s="60" t="n"/>
      <c r="CP375" s="60" t="n"/>
      <c r="CQ375" s="60" t="n"/>
      <c r="CR375" s="60" t="n"/>
      <c r="CS375" s="60" t="n"/>
      <c r="CT375" s="60" t="n"/>
      <c r="CU375" s="60" t="n"/>
      <c r="CV375" s="60" t="n"/>
      <c r="CW375" s="60" t="n"/>
      <c r="CX375" s="60" t="n"/>
      <c r="CY375" s="60" t="n"/>
      <c r="CZ375" s="60" t="n"/>
      <c r="DA375" s="60" t="n"/>
      <c r="DB375" s="60" t="n"/>
      <c r="DC375" s="60" t="n"/>
      <c r="DD375" s="60" t="n"/>
      <c r="DE375" s="60" t="n"/>
    </row>
    <row r="376">
      <c r="A376" s="60" t="inlineStr">
        <is>
          <t>Referencia del revendido (no se compra)</t>
        </is>
      </c>
      <c r="B376" s="60" t="inlineStr">
        <is>
          <t>Tobera con portatobera — 75 × 24 × 24</t>
        </is>
      </c>
      <c r="C376" s="60" t="inlineStr">
        <is>
          <t>u</t>
        </is>
      </c>
      <c r="D376" s="60" t="inlineStr">
        <is>
          <t>No</t>
        </is>
      </c>
      <c r="E376" s="60" t="n"/>
      <c r="F376" s="60" t="inlineStr">
        <is>
          <t>S4 - se compra terminado (tercerizado con sello IRAM)</t>
        </is>
      </c>
      <c r="G376" s="60" t="n"/>
      <c r="H376" s="60" t="n"/>
      <c r="I376" s="60" t="n"/>
      <c r="J376" s="60" t="n"/>
      <c r="K376" s="60" t="n"/>
      <c r="L376" s="60" t="n"/>
      <c r="M376" s="60" t="n"/>
      <c r="N376" s="60" t="n">
        <v>1</v>
      </c>
      <c r="O376" s="60" t="n"/>
      <c r="P376" s="60" t="n"/>
      <c r="Q376" s="60" t="n"/>
      <c r="R376" s="60" t="n">
        <v>1</v>
      </c>
      <c r="S376" s="60" t="n"/>
      <c r="T376" s="60" t="n"/>
      <c r="U376" s="60" t="n"/>
      <c r="V376" s="60" t="n"/>
      <c r="W376" s="60" t="n"/>
      <c r="X376" s="60" t="n"/>
      <c r="Y376" s="60" t="n"/>
      <c r="Z376" s="60" t="n"/>
      <c r="AA376" s="60" t="n"/>
      <c r="AB376" s="60" t="n"/>
      <c r="AC376" s="60" t="n"/>
      <c r="AD376" s="60" t="n"/>
      <c r="AE376" s="60" t="n"/>
      <c r="AF376" s="60" t="n"/>
      <c r="AG376" s="60" t="n"/>
      <c r="AH376" s="60" t="n"/>
      <c r="AI376" s="60" t="n"/>
      <c r="AJ376" s="60" t="n"/>
      <c r="AK376" s="60" t="n"/>
      <c r="AL376" s="60" t="n"/>
      <c r="AM376" s="60" t="n"/>
      <c r="AN376" s="60" t="n"/>
      <c r="AO376" s="60" t="n"/>
      <c r="AP376" s="60" t="n"/>
      <c r="AQ376" s="60" t="n"/>
      <c r="AR376" s="60" t="n"/>
      <c r="AS376" s="60" t="n"/>
      <c r="AT376" s="60" t="n"/>
      <c r="AU376" s="60" t="n"/>
      <c r="AV376" s="60" t="n"/>
      <c r="AW376" s="60" t="n"/>
      <c r="AX376" s="60" t="n"/>
      <c r="AY376" s="60" t="n"/>
      <c r="AZ376" s="60" t="n"/>
      <c r="BA376" s="60" t="n"/>
      <c r="BB376" s="60" t="n"/>
      <c r="BC376" s="60" t="n"/>
      <c r="BD376" s="60" t="n"/>
      <c r="BE376" s="60" t="n"/>
      <c r="BF376" s="60" t="n"/>
      <c r="BG376" s="60" t="n"/>
      <c r="BH376" s="60" t="n"/>
      <c r="BI376" s="60" t="n"/>
      <c r="BJ376" s="60" t="n"/>
      <c r="BK376" s="60" t="n"/>
      <c r="BL376" s="60" t="n"/>
      <c r="BM376" s="60" t="n"/>
      <c r="BN376" s="60" t="n"/>
      <c r="BO376" s="60" t="n"/>
      <c r="BP376" s="60" t="n"/>
      <c r="BQ376" s="60" t="n"/>
      <c r="BR376" s="60" t="n"/>
      <c r="BS376" s="60" t="n"/>
      <c r="BT376" s="60" t="n"/>
      <c r="BU376" s="60" t="n"/>
      <c r="BV376" s="60" t="n"/>
      <c r="BW376" s="60" t="n"/>
      <c r="BX376" s="60" t="n"/>
      <c r="BY376" s="60" t="n"/>
      <c r="BZ376" s="60" t="n"/>
      <c r="CA376" s="60" t="n"/>
      <c r="CB376" s="60" t="n"/>
      <c r="CC376" s="60" t="n"/>
      <c r="CD376" s="60" t="n"/>
      <c r="CE376" s="60" t="n"/>
      <c r="CF376" s="60" t="n"/>
      <c r="CG376" s="60" t="n"/>
      <c r="CH376" s="60" t="n"/>
      <c r="CI376" s="60" t="n"/>
      <c r="CJ376" s="60" t="n"/>
      <c r="CK376" s="60" t="n"/>
      <c r="CL376" s="60" t="n"/>
      <c r="CM376" s="60" t="n"/>
      <c r="CN376" s="60" t="n"/>
      <c r="CO376" s="60" t="n"/>
      <c r="CP376" s="60" t="n"/>
      <c r="CQ376" s="60" t="n"/>
      <c r="CR376" s="60" t="n"/>
      <c r="CS376" s="60" t="n"/>
      <c r="CT376" s="60" t="n"/>
      <c r="CU376" s="60" t="n"/>
      <c r="CV376" s="60" t="n"/>
      <c r="CW376" s="60" t="n"/>
      <c r="CX376" s="60" t="n"/>
      <c r="CY376" s="60" t="n"/>
      <c r="CZ376" s="60" t="n"/>
      <c r="DA376" s="60" t="n"/>
      <c r="DB376" s="60" t="n"/>
      <c r="DC376" s="60" t="n"/>
      <c r="DD376" s="60" t="n"/>
      <c r="DE376" s="60" t="n"/>
    </row>
    <row r="377">
      <c r="A377" s="60" t="inlineStr">
        <is>
          <t>Referencia del revendido (no se compra)</t>
        </is>
      </c>
      <c r="B377" s="60" t="inlineStr">
        <is>
          <t>Tobera de chorro pleno — 85 × 22 × 22</t>
        </is>
      </c>
      <c r="C377" s="60" t="inlineStr">
        <is>
          <t>u</t>
        </is>
      </c>
      <c r="D377" s="60" t="inlineStr">
        <is>
          <t>No</t>
        </is>
      </c>
      <c r="E377" s="60" t="n"/>
      <c r="F377" s="60" t="inlineStr">
        <is>
          <t>S4 - se compra terminado (tercerizado con sello IRAM)</t>
        </is>
      </c>
      <c r="G377" s="60" t="n"/>
      <c r="H377" s="60" t="n"/>
      <c r="I377" s="60" t="n"/>
      <c r="J377" s="60" t="n"/>
      <c r="K377" s="60" t="n">
        <v>1</v>
      </c>
      <c r="L377" s="60" t="n"/>
      <c r="M377" s="60" t="n"/>
      <c r="N377" s="60" t="n"/>
      <c r="O377" s="60" t="n"/>
      <c r="P377" s="60" t="n"/>
      <c r="Q377" s="60" t="n"/>
      <c r="R377" s="60" t="n"/>
      <c r="S377" s="60" t="n"/>
      <c r="T377" s="60" t="n"/>
      <c r="U377" s="60" t="n"/>
      <c r="V377" s="60" t="n"/>
      <c r="W377" s="60" t="n"/>
      <c r="X377" s="60" t="n"/>
      <c r="Y377" s="60" t="n"/>
      <c r="Z377" s="60" t="n"/>
      <c r="AA377" s="60" t="n"/>
      <c r="AB377" s="60" t="n"/>
      <c r="AC377" s="60" t="n"/>
      <c r="AD377" s="60" t="n"/>
      <c r="AE377" s="60" t="n"/>
      <c r="AF377" s="60" t="n"/>
      <c r="AG377" s="60" t="n"/>
      <c r="AH377" s="60" t="n"/>
      <c r="AI377" s="60" t="n"/>
      <c r="AJ377" s="60" t="n"/>
      <c r="AK377" s="60" t="n"/>
      <c r="AL377" s="60" t="n"/>
      <c r="AM377" s="60" t="n"/>
      <c r="AN377" s="60" t="n"/>
      <c r="AO377" s="60" t="n"/>
      <c r="AP377" s="60" t="n"/>
      <c r="AQ377" s="60" t="n"/>
      <c r="AR377" s="60" t="n"/>
      <c r="AS377" s="60" t="n"/>
      <c r="AT377" s="60" t="n"/>
      <c r="AU377" s="60" t="n"/>
      <c r="AV377" s="60" t="n"/>
      <c r="AW377" s="60" t="n"/>
      <c r="AX377" s="60" t="n"/>
      <c r="AY377" s="60" t="n"/>
      <c r="AZ377" s="60" t="n"/>
      <c r="BA377" s="60" t="n"/>
      <c r="BB377" s="60" t="n"/>
      <c r="BC377" s="60" t="n"/>
      <c r="BD377" s="60" t="n"/>
      <c r="BE377" s="60" t="n"/>
      <c r="BF377" s="60" t="n"/>
      <c r="BG377" s="60" t="n"/>
      <c r="BH377" s="60" t="n"/>
      <c r="BI377" s="60" t="n"/>
      <c r="BJ377" s="60" t="n"/>
      <c r="BK377" s="60" t="n"/>
      <c r="BL377" s="60" t="n"/>
      <c r="BM377" s="60" t="n"/>
      <c r="BN377" s="60" t="n"/>
      <c r="BO377" s="60" t="n"/>
      <c r="BP377" s="60" t="n"/>
      <c r="BQ377" s="60" t="n"/>
      <c r="BR377" s="60" t="n"/>
      <c r="BS377" s="60" t="n"/>
      <c r="BT377" s="60" t="n"/>
      <c r="BU377" s="60" t="n"/>
      <c r="BV377" s="60" t="n"/>
      <c r="BW377" s="60" t="n"/>
      <c r="BX377" s="60" t="n"/>
      <c r="BY377" s="60" t="n"/>
      <c r="BZ377" s="60" t="n"/>
      <c r="CA377" s="60" t="n"/>
      <c r="CB377" s="60" t="n"/>
      <c r="CC377" s="60" t="n"/>
      <c r="CD377" s="60" t="n"/>
      <c r="CE377" s="60" t="n"/>
      <c r="CF377" s="60" t="n"/>
      <c r="CG377" s="60" t="n"/>
      <c r="CH377" s="60" t="n"/>
      <c r="CI377" s="60" t="n"/>
      <c r="CJ377" s="60" t="n"/>
      <c r="CK377" s="60" t="n"/>
      <c r="CL377" s="60" t="n"/>
      <c r="CM377" s="60" t="n"/>
      <c r="CN377" s="60" t="n"/>
      <c r="CO377" s="60" t="n"/>
      <c r="CP377" s="60" t="n"/>
      <c r="CQ377" s="60" t="n"/>
      <c r="CR377" s="60" t="n"/>
      <c r="CS377" s="60" t="n"/>
      <c r="CT377" s="60" t="n"/>
      <c r="CU377" s="60" t="n"/>
      <c r="CV377" s="60" t="n"/>
      <c r="CW377" s="60" t="n"/>
      <c r="CX377" s="60" t="n"/>
      <c r="CY377" s="60" t="n"/>
      <c r="CZ377" s="60" t="n"/>
      <c r="DA377" s="60" t="n"/>
      <c r="DB377" s="60" t="n"/>
      <c r="DC377" s="60" t="n"/>
      <c r="DD377" s="60" t="n"/>
      <c r="DE377" s="60" t="n"/>
    </row>
    <row r="378">
      <c r="A378" s="60" t="inlineStr">
        <is>
          <t>Referencia del revendido (no se compra)</t>
        </is>
      </c>
      <c r="B378" s="60" t="inlineStr">
        <is>
          <t>Tornillo y tarugo de fijación</t>
        </is>
      </c>
      <c r="C378" s="60" t="inlineStr">
        <is>
          <t>u</t>
        </is>
      </c>
      <c r="D378" s="60" t="inlineStr">
        <is>
          <t>No</t>
        </is>
      </c>
      <c r="E378" s="60" t="n"/>
      <c r="F378" s="60" t="inlineStr">
        <is>
          <t>23 Embalaje</t>
        </is>
      </c>
      <c r="G378" s="60" t="n"/>
      <c r="H378" s="60" t="n"/>
      <c r="I378" s="60" t="n"/>
      <c r="J378" s="60" t="n"/>
      <c r="K378" s="60" t="n">
        <v>2</v>
      </c>
      <c r="L378" s="60" t="n">
        <v>2</v>
      </c>
      <c r="M378" s="60" t="n"/>
      <c r="N378" s="60" t="n">
        <v>2</v>
      </c>
      <c r="O378" s="60" t="n">
        <v>2</v>
      </c>
      <c r="P378" s="60" t="n">
        <v>2</v>
      </c>
      <c r="Q378" s="60" t="n">
        <v>2</v>
      </c>
      <c r="R378" s="60" t="n">
        <v>2</v>
      </c>
      <c r="S378" s="60" t="n">
        <v>2</v>
      </c>
      <c r="T378" s="60" t="n"/>
      <c r="U378" s="60" t="n"/>
      <c r="V378" s="60" t="n"/>
      <c r="W378" s="60" t="n"/>
      <c r="X378" s="60" t="n"/>
      <c r="Y378" s="60" t="n"/>
      <c r="Z378" s="60" t="n"/>
      <c r="AA378" s="60" t="n"/>
      <c r="AB378" s="60" t="n"/>
      <c r="AC378" s="60" t="n"/>
      <c r="AD378" s="60" t="n"/>
      <c r="AE378" s="60" t="n"/>
      <c r="AF378" s="60" t="n"/>
      <c r="AG378" s="60" t="n"/>
      <c r="AH378" s="60" t="n"/>
      <c r="AI378" s="60" t="n"/>
      <c r="AJ378" s="60" t="n"/>
      <c r="AK378" s="60" t="n"/>
      <c r="AL378" s="60" t="n"/>
      <c r="AM378" s="60" t="n"/>
      <c r="AN378" s="60" t="n"/>
      <c r="AO378" s="60" t="n"/>
      <c r="AP378" s="60" t="n"/>
      <c r="AQ378" s="60" t="n"/>
      <c r="AR378" s="60" t="n"/>
      <c r="AS378" s="60" t="n"/>
      <c r="AT378" s="60" t="n"/>
      <c r="AU378" s="60" t="n"/>
      <c r="AV378" s="60" t="n"/>
      <c r="AW378" s="60" t="n"/>
      <c r="AX378" s="60" t="n"/>
      <c r="AY378" s="60" t="n"/>
      <c r="AZ378" s="60" t="n"/>
      <c r="BA378" s="60" t="n"/>
      <c r="BB378" s="60" t="n"/>
      <c r="BC378" s="60" t="n"/>
      <c r="BD378" s="60" t="n"/>
      <c r="BE378" s="60" t="n"/>
      <c r="BF378" s="60" t="n"/>
      <c r="BG378" s="60" t="n"/>
      <c r="BH378" s="60" t="n"/>
      <c r="BI378" s="60" t="n"/>
      <c r="BJ378" s="60" t="n"/>
      <c r="BK378" s="60" t="n"/>
      <c r="BL378" s="60" t="n"/>
      <c r="BM378" s="60" t="n"/>
      <c r="BN378" s="60" t="n"/>
      <c r="BO378" s="60" t="n"/>
      <c r="BP378" s="60" t="n"/>
      <c r="BQ378" s="60" t="n"/>
      <c r="BR378" s="60" t="n"/>
      <c r="BS378" s="60" t="n"/>
      <c r="BT378" s="60" t="n"/>
      <c r="BU378" s="60" t="n"/>
      <c r="BV378" s="60" t="n"/>
      <c r="BW378" s="60" t="n"/>
      <c r="BX378" s="60" t="n"/>
      <c r="BY378" s="60" t="n"/>
      <c r="BZ378" s="60" t="n"/>
      <c r="CA378" s="60" t="n"/>
      <c r="CB378" s="60" t="n"/>
      <c r="CC378" s="60" t="n"/>
      <c r="CD378" s="60" t="n"/>
      <c r="CE378" s="60" t="n"/>
      <c r="CF378" s="60" t="n"/>
      <c r="CG378" s="60" t="n"/>
      <c r="CH378" s="60" t="n"/>
      <c r="CI378" s="60" t="n"/>
      <c r="CJ378" s="60" t="n"/>
      <c r="CK378" s="60" t="n"/>
      <c r="CL378" s="60" t="n"/>
      <c r="CM378" s="60" t="n"/>
      <c r="CN378" s="60" t="n"/>
      <c r="CO378" s="60" t="n"/>
      <c r="CP378" s="60" t="n"/>
      <c r="CQ378" s="60" t="n"/>
      <c r="CR378" s="60" t="n"/>
      <c r="CS378" s="60" t="n"/>
      <c r="CT378" s="60" t="n"/>
      <c r="CU378" s="60" t="n"/>
      <c r="CV378" s="60" t="n"/>
      <c r="CW378" s="60" t="n"/>
      <c r="CX378" s="60" t="n"/>
      <c r="CY378" s="60" t="n"/>
      <c r="CZ378" s="60" t="n"/>
      <c r="DA378" s="60" t="n"/>
      <c r="DB378" s="60" t="n"/>
      <c r="DC378" s="60" t="n"/>
      <c r="DD378" s="60" t="n"/>
      <c r="DE378" s="60" t="n"/>
    </row>
    <row r="379">
      <c r="A379" s="60" t="inlineStr">
        <is>
          <t>Referencia del revendido (no se compra)</t>
        </is>
      </c>
      <c r="B379" s="60" t="inlineStr">
        <is>
          <t>Válvula esférica — 130 × 60 × 40</t>
        </is>
      </c>
      <c r="C379" s="60" t="inlineStr">
        <is>
          <t>u</t>
        </is>
      </c>
      <c r="D379" s="60" t="inlineStr">
        <is>
          <t>No</t>
        </is>
      </c>
      <c r="E379" s="60" t="n"/>
      <c r="F379" s="60" t="inlineStr">
        <is>
          <t>S4 - se compra terminado (tercerizado con sello IRAM)</t>
        </is>
      </c>
      <c r="G379" s="60" t="n"/>
      <c r="H379" s="60" t="n"/>
      <c r="I379" s="60" t="n"/>
      <c r="J379" s="60" t="n"/>
      <c r="K379" s="60" t="n"/>
      <c r="L379" s="60" t="n"/>
      <c r="M379" s="60" t="n">
        <v>1</v>
      </c>
      <c r="N379" s="60" t="n"/>
      <c r="O379" s="60" t="n"/>
      <c r="P379" s="60" t="n"/>
      <c r="Q379" s="60" t="n"/>
      <c r="R379" s="60" t="n"/>
      <c r="S379" s="60" t="n"/>
      <c r="T379" s="60" t="n"/>
      <c r="U379" s="60" t="n"/>
      <c r="V379" s="60" t="n"/>
      <c r="W379" s="60" t="n"/>
      <c r="X379" s="60" t="n"/>
      <c r="Y379" s="60" t="n"/>
      <c r="Z379" s="60" t="n"/>
      <c r="AA379" s="60" t="n"/>
      <c r="AB379" s="60" t="n"/>
      <c r="AC379" s="60" t="n"/>
      <c r="AD379" s="60" t="n"/>
      <c r="AE379" s="60" t="n"/>
      <c r="AF379" s="60" t="n"/>
      <c r="AG379" s="60" t="n"/>
      <c r="AH379" s="60" t="n"/>
      <c r="AI379" s="60" t="n"/>
      <c r="AJ379" s="60" t="n"/>
      <c r="AK379" s="60" t="n"/>
      <c r="AL379" s="60" t="n"/>
      <c r="AM379" s="60" t="n"/>
      <c r="AN379" s="60" t="n"/>
      <c r="AO379" s="60" t="n"/>
      <c r="AP379" s="60" t="n"/>
      <c r="AQ379" s="60" t="n"/>
      <c r="AR379" s="60" t="n"/>
      <c r="AS379" s="60" t="n"/>
      <c r="AT379" s="60" t="n"/>
      <c r="AU379" s="60" t="n"/>
      <c r="AV379" s="60" t="n"/>
      <c r="AW379" s="60" t="n"/>
      <c r="AX379" s="60" t="n"/>
      <c r="AY379" s="60" t="n"/>
      <c r="AZ379" s="60" t="n"/>
      <c r="BA379" s="60" t="n"/>
      <c r="BB379" s="60" t="n"/>
      <c r="BC379" s="60" t="n"/>
      <c r="BD379" s="60" t="n"/>
      <c r="BE379" s="60" t="n"/>
      <c r="BF379" s="60" t="n"/>
      <c r="BG379" s="60" t="n"/>
      <c r="BH379" s="60" t="n"/>
      <c r="BI379" s="60" t="n"/>
      <c r="BJ379" s="60" t="n"/>
      <c r="BK379" s="60" t="n"/>
      <c r="BL379" s="60" t="n"/>
      <c r="BM379" s="60" t="n"/>
      <c r="BN379" s="60" t="n"/>
      <c r="BO379" s="60" t="n"/>
      <c r="BP379" s="60" t="n"/>
      <c r="BQ379" s="60" t="n"/>
      <c r="BR379" s="60" t="n"/>
      <c r="BS379" s="60" t="n"/>
      <c r="BT379" s="60" t="n"/>
      <c r="BU379" s="60" t="n"/>
      <c r="BV379" s="60" t="n"/>
      <c r="BW379" s="60" t="n"/>
      <c r="BX379" s="60" t="n"/>
      <c r="BY379" s="60" t="n"/>
      <c r="BZ379" s="60" t="n"/>
      <c r="CA379" s="60" t="n"/>
      <c r="CB379" s="60" t="n"/>
      <c r="CC379" s="60" t="n"/>
      <c r="CD379" s="60" t="n"/>
      <c r="CE379" s="60" t="n"/>
      <c r="CF379" s="60" t="n"/>
      <c r="CG379" s="60" t="n"/>
      <c r="CH379" s="60" t="n"/>
      <c r="CI379" s="60" t="n"/>
      <c r="CJ379" s="60" t="n"/>
      <c r="CK379" s="60" t="n"/>
      <c r="CL379" s="60" t="n"/>
      <c r="CM379" s="60" t="n"/>
      <c r="CN379" s="60" t="n"/>
      <c r="CO379" s="60" t="n"/>
      <c r="CP379" s="60" t="n"/>
      <c r="CQ379" s="60" t="n"/>
      <c r="CR379" s="60" t="n"/>
      <c r="CS379" s="60" t="n"/>
      <c r="CT379" s="60" t="n"/>
      <c r="CU379" s="60" t="n"/>
      <c r="CV379" s="60" t="n"/>
      <c r="CW379" s="60" t="n"/>
      <c r="CX379" s="60" t="n"/>
      <c r="CY379" s="60" t="n"/>
      <c r="CZ379" s="60" t="n"/>
      <c r="DA379" s="60" t="n"/>
      <c r="DB379" s="60" t="n"/>
      <c r="DC379" s="60" t="n"/>
      <c r="DD379" s="60" t="n"/>
      <c r="DE379" s="60" t="n"/>
    </row>
    <row r="380">
      <c r="A380" s="60" t="inlineStr">
        <is>
          <t>Referencia del revendido (no se compra)</t>
        </is>
      </c>
      <c r="B380" s="60" t="inlineStr">
        <is>
          <t>Vástago — 10,8 × 10,8 × 5</t>
        </is>
      </c>
      <c r="C380" s="60" t="inlineStr">
        <is>
          <t>u</t>
        </is>
      </c>
      <c r="D380" s="60" t="inlineStr">
        <is>
          <t>No</t>
        </is>
      </c>
      <c r="E380" s="60" t="n"/>
      <c r="F380" s="60" t="inlineStr">
        <is>
          <t>S4 - se compra terminado (tercerizado con sello IRAM)</t>
        </is>
      </c>
      <c r="G380" s="60" t="n"/>
      <c r="H380" s="60" t="n"/>
      <c r="I380" s="60" t="n"/>
      <c r="J380" s="60" t="n"/>
      <c r="K380" s="60" t="n"/>
      <c r="L380" s="60" t="n"/>
      <c r="M380" s="60" t="n">
        <v>1</v>
      </c>
      <c r="N380" s="60" t="n"/>
      <c r="O380" s="60" t="n"/>
      <c r="P380" s="60" t="n"/>
      <c r="Q380" s="60" t="n"/>
      <c r="R380" s="60" t="n"/>
      <c r="S380" s="60" t="n"/>
      <c r="T380" s="60" t="n">
        <v>1</v>
      </c>
      <c r="U380" s="60" t="n">
        <v>1</v>
      </c>
      <c r="V380" s="60" t="n">
        <v>1</v>
      </c>
      <c r="W380" s="60" t="n">
        <v>1</v>
      </c>
      <c r="X380" s="60" t="n"/>
      <c r="Y380" s="60" t="n"/>
      <c r="Z380" s="60" t="n"/>
      <c r="AA380" s="60" t="n"/>
      <c r="AB380" s="60" t="n"/>
      <c r="AC380" s="60" t="n"/>
      <c r="AD380" s="60" t="n"/>
      <c r="AE380" s="60" t="n"/>
      <c r="AF380" s="60" t="n"/>
      <c r="AG380" s="60" t="n"/>
      <c r="AH380" s="60" t="n"/>
      <c r="AI380" s="60" t="n"/>
      <c r="AJ380" s="60" t="n"/>
      <c r="AK380" s="60" t="n"/>
      <c r="AL380" s="60" t="n"/>
      <c r="AM380" s="60" t="n"/>
      <c r="AN380" s="60" t="n"/>
      <c r="AO380" s="60" t="n"/>
      <c r="AP380" s="60" t="n"/>
      <c r="AQ380" s="60" t="n"/>
      <c r="AR380" s="60" t="n"/>
      <c r="AS380" s="60" t="n"/>
      <c r="AT380" s="60" t="n"/>
      <c r="AU380" s="60" t="n"/>
      <c r="AV380" s="60" t="n"/>
      <c r="AW380" s="60" t="n"/>
      <c r="AX380" s="60" t="n"/>
      <c r="AY380" s="60" t="n"/>
      <c r="AZ380" s="60" t="n"/>
      <c r="BA380" s="60" t="n"/>
      <c r="BB380" s="60" t="n"/>
      <c r="BC380" s="60" t="n"/>
      <c r="BD380" s="60" t="n"/>
      <c r="BE380" s="60" t="n"/>
      <c r="BF380" s="60" t="n"/>
      <c r="BG380" s="60" t="n"/>
      <c r="BH380" s="60" t="n"/>
      <c r="BI380" s="60" t="n"/>
      <c r="BJ380" s="60" t="n"/>
      <c r="BK380" s="60" t="n"/>
      <c r="BL380" s="60" t="n"/>
      <c r="BM380" s="60" t="n"/>
      <c r="BN380" s="60" t="n"/>
      <c r="BO380" s="60" t="n"/>
      <c r="BP380" s="60" t="n"/>
      <c r="BQ380" s="60" t="n"/>
      <c r="BR380" s="60" t="n"/>
      <c r="BS380" s="60" t="n"/>
      <c r="BT380" s="60" t="n"/>
      <c r="BU380" s="60" t="n"/>
      <c r="BV380" s="60" t="n"/>
      <c r="BW380" s="60" t="n"/>
      <c r="BX380" s="60" t="n"/>
      <c r="BY380" s="60" t="n"/>
      <c r="BZ380" s="60" t="n"/>
      <c r="CA380" s="60" t="n"/>
      <c r="CB380" s="60" t="n"/>
      <c r="CC380" s="60" t="n"/>
      <c r="CD380" s="60" t="n"/>
      <c r="CE380" s="60" t="n"/>
      <c r="CF380" s="60" t="n"/>
      <c r="CG380" s="60" t="n"/>
      <c r="CH380" s="60" t="n"/>
      <c r="CI380" s="60" t="n"/>
      <c r="CJ380" s="60" t="n"/>
      <c r="CK380" s="60" t="n"/>
      <c r="CL380" s="60" t="n"/>
      <c r="CM380" s="60" t="n"/>
      <c r="CN380" s="60" t="n"/>
      <c r="CO380" s="60" t="n"/>
      <c r="CP380" s="60" t="n"/>
      <c r="CQ380" s="60" t="n"/>
      <c r="CR380" s="60" t="n"/>
      <c r="CS380" s="60" t="n"/>
      <c r="CT380" s="60" t="n"/>
      <c r="CU380" s="60" t="n"/>
      <c r="CV380" s="60" t="n"/>
      <c r="CW380" s="60" t="n"/>
      <c r="CX380" s="60" t="n"/>
      <c r="CY380" s="60" t="n"/>
      <c r="CZ380" s="60" t="n"/>
      <c r="DA380" s="60" t="n"/>
      <c r="DB380" s="60" t="n"/>
      <c r="DC380" s="60" t="n"/>
      <c r="DD380" s="60" t="n"/>
      <c r="DE380" s="60" t="n"/>
    </row>
    <row r="381">
      <c r="A381" s="60" t="inlineStr">
        <is>
          <t>Proceso (sin compra)</t>
        </is>
      </c>
      <c r="B381" s="60" t="inlineStr">
        <is>
          <t>Dióxido de carbono (IRAM 41170) recuperado</t>
        </is>
      </c>
      <c r="C381" s="60" t="inlineStr">
        <is>
          <t>kg</t>
        </is>
      </c>
      <c r="D381" s="60" t="inlineStr">
        <is>
          <t>No</t>
        </is>
      </c>
      <c r="E381" s="60" t="n"/>
      <c r="F381" s="60" t="inlineStr">
        <is>
          <t>Recarga</t>
        </is>
      </c>
      <c r="G381" s="60" t="n"/>
      <c r="H381" s="60" t="n"/>
      <c r="I381" s="60" t="n"/>
      <c r="J381" s="60" t="n"/>
      <c r="K381" s="60" t="n"/>
      <c r="L381" s="60" t="n"/>
      <c r="M381" s="60" t="n"/>
      <c r="N381" s="60" t="n"/>
      <c r="O381" s="60" t="n"/>
      <c r="P381" s="60" t="n"/>
      <c r="Q381" s="60" t="n"/>
      <c r="R381" s="60" t="n"/>
      <c r="S381" s="60" t="n"/>
      <c r="T381" s="60" t="n"/>
      <c r="U381" s="60" t="n"/>
      <c r="V381" s="60" t="n"/>
      <c r="W381" s="60" t="n"/>
      <c r="X381" s="60" t="n"/>
      <c r="Y381" s="60" t="n"/>
      <c r="Z381" s="60" t="n"/>
      <c r="AA381" s="60" t="n"/>
      <c r="AB381" s="60" t="n"/>
      <c r="AC381" s="60" t="n"/>
      <c r="AD381" s="60" t="n"/>
      <c r="AE381" s="60" t="n"/>
      <c r="AF381" s="60" t="n"/>
      <c r="AG381" s="60" t="n"/>
      <c r="AH381" s="60" t="n"/>
      <c r="AI381" s="60" t="n"/>
      <c r="AJ381" s="60" t="n"/>
      <c r="AK381" s="60" t="n"/>
      <c r="AL381" s="60" t="n"/>
      <c r="AM381" s="60" t="n"/>
      <c r="AN381" s="60" t="n"/>
      <c r="AO381" s="60" t="n"/>
      <c r="AP381" s="60" t="n"/>
      <c r="AQ381" s="60" t="n"/>
      <c r="AR381" s="60" t="n"/>
      <c r="AS381" s="60" t="n"/>
      <c r="AT381" s="60" t="n"/>
      <c r="AU381" s="60" t="n"/>
      <c r="AV381" s="60" t="n"/>
      <c r="AW381" s="60" t="n"/>
      <c r="AX381" s="60" t="n"/>
      <c r="AY381" s="60" t="n"/>
      <c r="AZ381" s="60" t="n"/>
      <c r="BA381" s="60" t="n"/>
      <c r="BB381" s="60" t="n"/>
      <c r="BC381" s="60" t="n"/>
      <c r="BD381" s="60" t="n"/>
      <c r="BE381" s="60" t="n"/>
      <c r="BF381" s="60" t="n"/>
      <c r="BG381" s="60" t="n"/>
      <c r="BH381" s="60" t="n"/>
      <c r="BI381" s="60" t="n"/>
      <c r="BJ381" s="60" t="n"/>
      <c r="BK381" s="60" t="n"/>
      <c r="BL381" s="60" t="n"/>
      <c r="BM381" s="60" t="n"/>
      <c r="BN381" s="60" t="n"/>
      <c r="BO381" s="60" t="n"/>
      <c r="BP381" s="60" t="n"/>
      <c r="BQ381" s="60" t="n"/>
      <c r="BR381" s="60" t="n"/>
      <c r="BS381" s="60" t="n"/>
      <c r="BT381" s="60" t="n"/>
      <c r="BU381" s="60" t="n"/>
      <c r="BV381" s="60" t="n"/>
      <c r="BW381" s="60" t="n"/>
      <c r="BX381" s="60" t="n"/>
      <c r="BY381" s="60" t="n"/>
      <c r="BZ381" s="60" t="n"/>
      <c r="CA381" s="60" t="n"/>
      <c r="CB381" s="60" t="n"/>
      <c r="CC381" s="60" t="n"/>
      <c r="CD381" s="60" t="n">
        <v>2</v>
      </c>
      <c r="CE381" s="60" t="n"/>
      <c r="CF381" s="60" t="n"/>
      <c r="CG381" s="60" t="n">
        <v>5</v>
      </c>
      <c r="CH381" s="60" t="n"/>
      <c r="CI381" s="60" t="n"/>
      <c r="CJ381" s="60" t="n"/>
      <c r="CK381" s="60" t="n"/>
      <c r="CL381" s="60" t="n"/>
      <c r="CM381" s="60" t="n"/>
      <c r="CN381" s="60" t="n"/>
      <c r="CO381" s="60" t="n"/>
      <c r="CP381" s="60" t="n"/>
      <c r="CQ381" s="60" t="n"/>
      <c r="CR381" s="60" t="n"/>
      <c r="CS381" s="60" t="n"/>
      <c r="CT381" s="60" t="n"/>
      <c r="CU381" s="60" t="n"/>
      <c r="CV381" s="60" t="n"/>
      <c r="CW381" s="60" t="n"/>
      <c r="CX381" s="60" t="n"/>
      <c r="CY381" s="60" t="n"/>
      <c r="CZ381" s="60" t="n"/>
      <c r="DA381" s="60" t="n"/>
      <c r="DB381" s="60" t="n"/>
      <c r="DC381" s="60" t="n"/>
      <c r="DD381" s="60" t="n"/>
      <c r="DE381" s="60" t="n"/>
    </row>
    <row r="382">
      <c r="A382" s="60" t="inlineStr">
        <is>
          <t>Proceso (sin compra)</t>
        </is>
      </c>
      <c r="B382" s="60" t="inlineStr">
        <is>
          <t>Gas impulsor Aire comprimido</t>
        </is>
      </c>
      <c r="C382" s="60" t="inlineStr">
        <is>
          <t>kg</t>
        </is>
      </c>
      <c r="D382" s="60" t="inlineStr">
        <is>
          <t>No</t>
        </is>
      </c>
      <c r="E382" s="60" t="n"/>
      <c r="F382" s="60" t="inlineStr">
        <is>
          <t>Recarga</t>
        </is>
      </c>
      <c r="G382" s="60" t="n"/>
      <c r="H382" s="60" t="n"/>
      <c r="I382" s="60" t="n"/>
      <c r="J382" s="60" t="n"/>
      <c r="K382" s="60" t="n"/>
      <c r="L382" s="60" t="n"/>
      <c r="M382" s="60" t="n"/>
      <c r="N382" s="60" t="n"/>
      <c r="O382" s="60" t="n"/>
      <c r="P382" s="60" t="n"/>
      <c r="Q382" s="60" t="n"/>
      <c r="R382" s="60" t="n"/>
      <c r="S382" s="60" t="n"/>
      <c r="T382" s="60" t="n"/>
      <c r="U382" s="60" t="n"/>
      <c r="V382" s="60" t="n"/>
      <c r="W382" s="60" t="n"/>
      <c r="X382" s="60" t="n"/>
      <c r="Y382" s="60" t="n"/>
      <c r="Z382" s="60" t="n"/>
      <c r="AA382" s="60" t="n"/>
      <c r="AB382" s="60" t="n"/>
      <c r="AC382" s="60" t="n"/>
      <c r="AD382" s="60" t="n"/>
      <c r="AE382" s="60" t="n"/>
      <c r="AF382" s="60" t="n"/>
      <c r="AG382" s="60" t="n"/>
      <c r="AH382" s="60" t="n"/>
      <c r="AI382" s="60" t="n"/>
      <c r="AJ382" s="60" t="n"/>
      <c r="AK382" s="60" t="n"/>
      <c r="AL382" s="60" t="n"/>
      <c r="AM382" s="60" t="n"/>
      <c r="AN382" s="60" t="n"/>
      <c r="AO382" s="60" t="n"/>
      <c r="AP382" s="60" t="n"/>
      <c r="AQ382" s="60" t="n"/>
      <c r="AR382" s="60" t="n"/>
      <c r="AS382" s="60" t="n"/>
      <c r="AT382" s="60" t="n"/>
      <c r="AU382" s="60" t="n"/>
      <c r="AV382" s="60" t="n"/>
      <c r="AW382" s="60" t="n"/>
      <c r="AX382" s="60" t="n"/>
      <c r="AY382" s="60" t="n"/>
      <c r="AZ382" s="60" t="n"/>
      <c r="BA382" s="60" t="n"/>
      <c r="BB382" s="60" t="n"/>
      <c r="BC382" s="60" t="n"/>
      <c r="BD382" s="60" t="n"/>
      <c r="BE382" s="60" t="n"/>
      <c r="BF382" s="60" t="n"/>
      <c r="BG382" s="60" t="n"/>
      <c r="BH382" s="60" t="n"/>
      <c r="BI382" s="60" t="n"/>
      <c r="BJ382" s="60" t="n"/>
      <c r="BK382" s="60" t="n"/>
      <c r="BL382" s="60" t="n"/>
      <c r="BM382" s="60" t="n">
        <v>0.0427</v>
      </c>
      <c r="BN382" s="60" t="n">
        <v>0.0427</v>
      </c>
      <c r="BO382" s="60" t="n"/>
      <c r="BP382" s="60" t="n">
        <v>0.0427</v>
      </c>
      <c r="BQ382" s="60" t="n">
        <v>0.0427</v>
      </c>
      <c r="BR382" s="60" t="n"/>
      <c r="BS382" s="60" t="n">
        <v>0.1265</v>
      </c>
      <c r="BT382" s="60" t="n">
        <v>0.1265</v>
      </c>
      <c r="BU382" s="60" t="n"/>
      <c r="BV382" s="60" t="n"/>
      <c r="BW382" s="60" t="n"/>
      <c r="BX382" s="60" t="n"/>
      <c r="BY382" s="60" t="n"/>
      <c r="BZ382" s="60" t="n"/>
      <c r="CA382" s="60" t="n"/>
      <c r="CB382" s="60" t="n"/>
      <c r="CC382" s="60" t="n"/>
      <c r="CD382" s="60" t="n"/>
      <c r="CE382" s="60" t="n"/>
      <c r="CF382" s="60" t="n"/>
      <c r="CG382" s="60" t="n"/>
      <c r="CH382" s="60" t="n"/>
      <c r="CI382" s="60" t="n"/>
      <c r="CJ382" s="60" t="n"/>
      <c r="CK382" s="60" t="n"/>
      <c r="CL382" s="60" t="n"/>
      <c r="CM382" s="60" t="n"/>
      <c r="CN382" s="60" t="n"/>
      <c r="CO382" s="60" t="n"/>
      <c r="CP382" s="60" t="n"/>
      <c r="CQ382" s="60" t="n"/>
      <c r="CR382" s="60" t="n"/>
      <c r="CS382" s="60" t="n"/>
      <c r="CT382" s="60" t="n"/>
      <c r="CU382" s="60" t="n"/>
      <c r="CV382" s="60" t="n"/>
      <c r="CW382" s="60" t="n"/>
      <c r="CX382" s="60" t="n"/>
      <c r="CY382" s="60" t="n"/>
      <c r="CZ382" s="60" t="n"/>
      <c r="DA382" s="60" t="n"/>
      <c r="DB382" s="60" t="n"/>
      <c r="DC382" s="60" t="n"/>
      <c r="DD382" s="60" t="n"/>
      <c r="DE382" s="60" t="n"/>
    </row>
    <row r="383">
      <c r="A383" s="60" t="inlineStr">
        <is>
          <t>Proceso (sin compra)</t>
        </is>
      </c>
      <c r="B383" s="60" t="inlineStr">
        <is>
          <t>Grabado de la fecha del servicio en el tubo de pesca (lápiz vibratorio; en polvo, marcador indeleble)</t>
        </is>
      </c>
      <c r="C383" s="60" t="inlineStr">
        <is>
          <t>u</t>
        </is>
      </c>
      <c r="D383" s="60" t="inlineStr">
        <is>
          <t>No</t>
        </is>
      </c>
      <c r="E383" s="60" t="n"/>
      <c r="F383" s="60" t="inlineStr">
        <is>
          <t>Recarga</t>
        </is>
      </c>
      <c r="G383" s="60" t="n"/>
      <c r="H383" s="60" t="n"/>
      <c r="I383" s="60" t="n"/>
      <c r="J383" s="60" t="n"/>
      <c r="K383" s="60" t="n"/>
      <c r="L383" s="60" t="n"/>
      <c r="M383" s="60" t="n"/>
      <c r="N383" s="60" t="n"/>
      <c r="O383" s="60" t="n"/>
      <c r="P383" s="60" t="n"/>
      <c r="Q383" s="60" t="n"/>
      <c r="R383" s="60" t="n"/>
      <c r="S383" s="60" t="n"/>
      <c r="T383" s="60" t="n"/>
      <c r="U383" s="60" t="n"/>
      <c r="V383" s="60" t="n"/>
      <c r="W383" s="60" t="n"/>
      <c r="X383" s="60" t="n"/>
      <c r="Y383" s="60" t="n"/>
      <c r="Z383" s="60" t="n"/>
      <c r="AA383" s="60" t="n"/>
      <c r="AB383" s="60" t="n"/>
      <c r="AC383" s="60" t="n"/>
      <c r="AD383" s="60" t="n"/>
      <c r="AE383" s="60" t="n"/>
      <c r="AF383" s="60" t="n"/>
      <c r="AG383" s="60" t="n"/>
      <c r="AH383" s="60" t="n"/>
      <c r="AI383" s="60" t="n"/>
      <c r="AJ383" s="60" t="n"/>
      <c r="AK383" s="60" t="n"/>
      <c r="AL383" s="60" t="n"/>
      <c r="AM383" s="60" t="n"/>
      <c r="AN383" s="60" t="n"/>
      <c r="AO383" s="60" t="n"/>
      <c r="AP383" s="60" t="n"/>
      <c r="AQ383" s="60" t="n"/>
      <c r="AR383" s="60" t="n"/>
      <c r="AS383" s="60" t="n"/>
      <c r="AT383" s="60" t="n"/>
      <c r="AU383" s="60" t="n"/>
      <c r="AV383" s="60" t="n"/>
      <c r="AW383" s="60" t="n">
        <v>1</v>
      </c>
      <c r="AX383" s="60" t="n">
        <v>1</v>
      </c>
      <c r="AY383" s="60" t="n">
        <v>1</v>
      </c>
      <c r="AZ383" s="60" t="n"/>
      <c r="BA383" s="60" t="n">
        <v>1</v>
      </c>
      <c r="BB383" s="60" t="n">
        <v>1</v>
      </c>
      <c r="BC383" s="60" t="n">
        <v>1</v>
      </c>
      <c r="BD383" s="60" t="n"/>
      <c r="BE383" s="60" t="n">
        <v>1</v>
      </c>
      <c r="BF383" s="60" t="n">
        <v>1</v>
      </c>
      <c r="BG383" s="60" t="n">
        <v>1</v>
      </c>
      <c r="BH383" s="60" t="n"/>
      <c r="BI383" s="60" t="n">
        <v>1</v>
      </c>
      <c r="BJ383" s="60" t="n">
        <v>1</v>
      </c>
      <c r="BK383" s="60" t="n">
        <v>1</v>
      </c>
      <c r="BL383" s="60" t="n"/>
      <c r="BM383" s="60" t="n">
        <v>1</v>
      </c>
      <c r="BN383" s="60" t="n">
        <v>1</v>
      </c>
      <c r="BO383" s="60" t="n"/>
      <c r="BP383" s="60" t="n">
        <v>1</v>
      </c>
      <c r="BQ383" s="60" t="n">
        <v>1</v>
      </c>
      <c r="BR383" s="60" t="n"/>
      <c r="BS383" s="60" t="n">
        <v>1</v>
      </c>
      <c r="BT383" s="60" t="n">
        <v>1</v>
      </c>
      <c r="BU383" s="60" t="n"/>
      <c r="BV383" s="60" t="n">
        <v>1</v>
      </c>
      <c r="BW383" s="60" t="n">
        <v>1</v>
      </c>
      <c r="BX383" s="60" t="n">
        <v>1</v>
      </c>
      <c r="BY383" s="60" t="n"/>
      <c r="BZ383" s="60" t="n">
        <v>1</v>
      </c>
      <c r="CA383" s="60" t="n">
        <v>1</v>
      </c>
      <c r="CB383" s="60" t="n"/>
      <c r="CC383" s="60" t="n">
        <v>1</v>
      </c>
      <c r="CD383" s="60" t="n">
        <v>1</v>
      </c>
      <c r="CE383" s="60" t="n"/>
      <c r="CF383" s="60" t="n">
        <v>1</v>
      </c>
      <c r="CG383" s="60" t="n">
        <v>1</v>
      </c>
      <c r="CH383" s="60" t="n"/>
      <c r="CI383" s="60" t="n">
        <v>1</v>
      </c>
      <c r="CJ383" s="60" t="n">
        <v>1</v>
      </c>
      <c r="CK383" s="60" t="n"/>
      <c r="CL383" s="60" t="n">
        <v>1</v>
      </c>
      <c r="CM383" s="60" t="n">
        <v>1</v>
      </c>
      <c r="CN383" s="60" t="n">
        <v>1</v>
      </c>
      <c r="CO383" s="60" t="n"/>
      <c r="CP383" s="60" t="n">
        <v>1</v>
      </c>
      <c r="CQ383" s="60" t="n">
        <v>1</v>
      </c>
      <c r="CR383" s="60" t="n">
        <v>1</v>
      </c>
      <c r="CS383" s="60" t="n"/>
      <c r="CT383" s="60" t="n">
        <v>1</v>
      </c>
      <c r="CU383" s="60" t="n">
        <v>1</v>
      </c>
      <c r="CV383" s="60" t="n">
        <v>1</v>
      </c>
      <c r="CW383" s="60" t="n"/>
      <c r="CX383" s="60" t="n">
        <v>1</v>
      </c>
      <c r="CY383" s="60" t="n">
        <v>1</v>
      </c>
      <c r="CZ383" s="60" t="n">
        <v>1</v>
      </c>
      <c r="DA383" s="60" t="n"/>
      <c r="DB383" s="60" t="n">
        <v>1</v>
      </c>
      <c r="DC383" s="60" t="n">
        <v>1</v>
      </c>
      <c r="DD383" s="60" t="n">
        <v>1</v>
      </c>
      <c r="DE383" s="60" t="n"/>
    </row>
    <row r="384">
      <c r="A384" s="60" t="inlineStr">
        <is>
          <t>Proceso (sin compra)</t>
        </is>
      </c>
      <c r="B384" s="60" t="inlineStr">
        <is>
          <t>HCFC 123 / HFC 236fa (agente limpio) recuperado</t>
        </is>
      </c>
      <c r="C384" s="60" t="inlineStr">
        <is>
          <t>kg</t>
        </is>
      </c>
      <c r="D384" s="60" t="inlineStr">
        <is>
          <t>No</t>
        </is>
      </c>
      <c r="E384" s="60" t="n"/>
      <c r="F384" s="60" t="inlineStr">
        <is>
          <t>Recarga</t>
        </is>
      </c>
      <c r="G384" s="60" t="n"/>
      <c r="H384" s="60" t="n"/>
      <c r="I384" s="60" t="n"/>
      <c r="J384" s="60" t="n"/>
      <c r="K384" s="60" t="n"/>
      <c r="L384" s="60" t="n"/>
      <c r="M384" s="60" t="n"/>
      <c r="N384" s="60" t="n"/>
      <c r="O384" s="60" t="n"/>
      <c r="P384" s="60" t="n"/>
      <c r="Q384" s="60" t="n"/>
      <c r="R384" s="60" t="n"/>
      <c r="S384" s="60" t="n"/>
      <c r="T384" s="60" t="n"/>
      <c r="U384" s="60" t="n"/>
      <c r="V384" s="60" t="n"/>
      <c r="W384" s="60" t="n"/>
      <c r="X384" s="60" t="n"/>
      <c r="Y384" s="60" t="n"/>
      <c r="Z384" s="60" t="n"/>
      <c r="AA384" s="60" t="n"/>
      <c r="AB384" s="60" t="n"/>
      <c r="AC384" s="60" t="n"/>
      <c r="AD384" s="60" t="n"/>
      <c r="AE384" s="60" t="n"/>
      <c r="AF384" s="60" t="n"/>
      <c r="AG384" s="60" t="n"/>
      <c r="AH384" s="60" t="n"/>
      <c r="AI384" s="60" t="n"/>
      <c r="AJ384" s="60" t="n"/>
      <c r="AK384" s="60" t="n"/>
      <c r="AL384" s="60" t="n"/>
      <c r="AM384" s="60" t="n"/>
      <c r="AN384" s="60" t="n"/>
      <c r="AO384" s="60" t="n"/>
      <c r="AP384" s="60" t="n"/>
      <c r="AQ384" s="60" t="n"/>
      <c r="AR384" s="60" t="n"/>
      <c r="AS384" s="60" t="n"/>
      <c r="AT384" s="60" t="n"/>
      <c r="AU384" s="60" t="n"/>
      <c r="AV384" s="60" t="n"/>
      <c r="AW384" s="60" t="n"/>
      <c r="AX384" s="60" t="n"/>
      <c r="AY384" s="60" t="n"/>
      <c r="AZ384" s="60" t="n"/>
      <c r="BA384" s="60" t="n"/>
      <c r="BB384" s="60" t="n"/>
      <c r="BC384" s="60" t="n"/>
      <c r="BD384" s="60" t="n"/>
      <c r="BE384" s="60" t="n"/>
      <c r="BF384" s="60" t="n"/>
      <c r="BG384" s="60" t="n"/>
      <c r="BH384" s="60" t="n"/>
      <c r="BI384" s="60" t="n"/>
      <c r="BJ384" s="60" t="n"/>
      <c r="BK384" s="60" t="n"/>
      <c r="BL384" s="60" t="n"/>
      <c r="BM384" s="60" t="n"/>
      <c r="BN384" s="60" t="n"/>
      <c r="BO384" s="60" t="n"/>
      <c r="BP384" s="60" t="n"/>
      <c r="BQ384" s="60" t="n"/>
      <c r="BR384" s="60" t="n"/>
      <c r="BS384" s="60" t="n"/>
      <c r="BT384" s="60" t="n"/>
      <c r="BU384" s="60" t="n"/>
      <c r="BV384" s="60" t="n"/>
      <c r="BW384" s="60" t="n"/>
      <c r="BX384" s="60" t="n"/>
      <c r="BY384" s="60" t="n"/>
      <c r="BZ384" s="60" t="n"/>
      <c r="CA384" s="60" t="n"/>
      <c r="CB384" s="60" t="n"/>
      <c r="CC384" s="60" t="n"/>
      <c r="CD384" s="60" t="n"/>
      <c r="CE384" s="60" t="n"/>
      <c r="CF384" s="60" t="n"/>
      <c r="CG384" s="60" t="n"/>
      <c r="CH384" s="60" t="n"/>
      <c r="CI384" s="60" t="n"/>
      <c r="CJ384" s="60" t="n">
        <v>4.9</v>
      </c>
      <c r="CK384" s="60" t="n"/>
      <c r="CL384" s="60" t="n"/>
      <c r="CM384" s="60" t="n"/>
      <c r="CN384" s="60" t="n"/>
      <c r="CO384" s="60" t="n"/>
      <c r="CP384" s="60" t="n"/>
      <c r="CQ384" s="60" t="n"/>
      <c r="CR384" s="60" t="n"/>
      <c r="CS384" s="60" t="n"/>
      <c r="CT384" s="60" t="n"/>
      <c r="CU384" s="60" t="n"/>
      <c r="CV384" s="60" t="n"/>
      <c r="CW384" s="60" t="n"/>
      <c r="CX384" s="60" t="n"/>
      <c r="CY384" s="60" t="n"/>
      <c r="CZ384" s="60" t="n"/>
      <c r="DA384" s="60" t="n"/>
      <c r="DB384" s="60" t="n"/>
      <c r="DC384" s="60" t="n"/>
      <c r="DD384" s="60" t="n"/>
      <c r="DE384" s="60" t="n"/>
    </row>
    <row r="385">
      <c r="A385" s="60" t="inlineStr">
        <is>
          <t>Proceso (sin compra)</t>
        </is>
      </c>
      <c r="B385" s="60" t="inlineStr">
        <is>
          <t>Marcado del recipiente (estampado)</t>
        </is>
      </c>
      <c r="C385" s="60" t="inlineStr">
        <is>
          <t>u</t>
        </is>
      </c>
      <c r="D385" s="60" t="inlineStr">
        <is>
          <t>No</t>
        </is>
      </c>
      <c r="E385" s="60" t="n"/>
      <c r="F385" s="60" t="inlineStr">
        <is>
          <t>Marcado</t>
        </is>
      </c>
      <c r="G385" s="60" t="n"/>
      <c r="H385" s="60" t="n"/>
      <c r="I385" s="60" t="n"/>
      <c r="J385" s="60" t="n"/>
      <c r="K385" s="60" t="n"/>
      <c r="L385" s="60" t="n"/>
      <c r="M385" s="60" t="n"/>
      <c r="N385" s="60" t="n"/>
      <c r="O385" s="60" t="n"/>
      <c r="P385" s="60" t="n"/>
      <c r="Q385" s="60" t="n"/>
      <c r="R385" s="60" t="n"/>
      <c r="S385" s="60" t="n"/>
      <c r="T385" s="60" t="n"/>
      <c r="U385" s="60" t="n"/>
      <c r="V385" s="60" t="n"/>
      <c r="W385" s="60" t="n"/>
      <c r="X385" s="60" t="n">
        <v>1</v>
      </c>
      <c r="Y385" s="60" t="n">
        <v>1</v>
      </c>
      <c r="Z385" s="60" t="n">
        <v>1</v>
      </c>
      <c r="AA385" s="60" t="n">
        <v>1</v>
      </c>
      <c r="AB385" s="60" t="n">
        <v>1</v>
      </c>
      <c r="AC385" s="60" t="n">
        <v>1</v>
      </c>
      <c r="AD385" s="60" t="n">
        <v>1</v>
      </c>
      <c r="AE385" s="60" t="n">
        <v>1</v>
      </c>
      <c r="AF385" s="60" t="n"/>
      <c r="AG385" s="60" t="n"/>
      <c r="AH385" s="60" t="n"/>
      <c r="AI385" s="60" t="n"/>
      <c r="AJ385" s="60" t="n"/>
      <c r="AK385" s="60" t="n"/>
      <c r="AL385" s="60" t="n"/>
      <c r="AM385" s="60" t="n"/>
      <c r="AN385" s="60" t="n"/>
      <c r="AO385" s="60" t="n"/>
      <c r="AP385" s="60" t="n"/>
      <c r="AQ385" s="60" t="n"/>
      <c r="AR385" s="60" t="n"/>
      <c r="AS385" s="60" t="n"/>
      <c r="AT385" s="60" t="n"/>
      <c r="AU385" s="60" t="n"/>
      <c r="AV385" s="60" t="n"/>
      <c r="AW385" s="60" t="n"/>
      <c r="AX385" s="60" t="n"/>
      <c r="AY385" s="60" t="n"/>
      <c r="AZ385" s="60" t="n"/>
      <c r="BA385" s="60" t="n"/>
      <c r="BB385" s="60" t="n"/>
      <c r="BC385" s="60" t="n"/>
      <c r="BD385" s="60" t="n"/>
      <c r="BE385" s="60" t="n"/>
      <c r="BF385" s="60" t="n"/>
      <c r="BG385" s="60" t="n"/>
      <c r="BH385" s="60" t="n"/>
      <c r="BI385" s="60" t="n"/>
      <c r="BJ385" s="60" t="n"/>
      <c r="BK385" s="60" t="n"/>
      <c r="BL385" s="60" t="n"/>
      <c r="BM385" s="60" t="n"/>
      <c r="BN385" s="60" t="n"/>
      <c r="BO385" s="60" t="n"/>
      <c r="BP385" s="60" t="n"/>
      <c r="BQ385" s="60" t="n"/>
      <c r="BR385" s="60" t="n"/>
      <c r="BS385" s="60" t="n"/>
      <c r="BT385" s="60" t="n"/>
      <c r="BU385" s="60" t="n"/>
      <c r="BV385" s="60" t="n"/>
      <c r="BW385" s="60" t="n"/>
      <c r="BX385" s="60" t="n"/>
      <c r="BY385" s="60" t="n"/>
      <c r="BZ385" s="60" t="n"/>
      <c r="CA385" s="60" t="n"/>
      <c r="CB385" s="60" t="n"/>
      <c r="CC385" s="60" t="n"/>
      <c r="CD385" s="60" t="n"/>
      <c r="CE385" s="60" t="n"/>
      <c r="CF385" s="60" t="n"/>
      <c r="CG385" s="60" t="n"/>
      <c r="CH385" s="60" t="n"/>
      <c r="CI385" s="60" t="n"/>
      <c r="CJ385" s="60" t="n"/>
      <c r="CK385" s="60" t="n"/>
      <c r="CL385" s="60" t="n"/>
      <c r="CM385" s="60" t="n"/>
      <c r="CN385" s="60" t="n"/>
      <c r="CO385" s="60" t="n"/>
      <c r="CP385" s="60" t="n"/>
      <c r="CQ385" s="60" t="n"/>
      <c r="CR385" s="60" t="n"/>
      <c r="CS385" s="60" t="n"/>
      <c r="CT385" s="60" t="n"/>
      <c r="CU385" s="60" t="n"/>
      <c r="CV385" s="60" t="n"/>
      <c r="CW385" s="60" t="n"/>
      <c r="CX385" s="60" t="n"/>
      <c r="CY385" s="60" t="n"/>
      <c r="CZ385" s="60" t="n"/>
      <c r="DA385" s="60" t="n"/>
      <c r="DB385" s="60" t="n"/>
      <c r="DC385" s="60" t="n"/>
      <c r="DD385" s="60" t="n"/>
      <c r="DE385" s="60" t="n"/>
    </row>
    <row r="386">
      <c r="A386" s="60" t="inlineStr">
        <is>
          <t>Proceso (sin compra)</t>
        </is>
      </c>
      <c r="B386" s="60" t="inlineStr">
        <is>
          <t>Polvo para metales combustibles clase D recuperado</t>
        </is>
      </c>
      <c r="C386" s="60" t="inlineStr">
        <is>
          <t>kg</t>
        </is>
      </c>
      <c r="D386" s="60" t="inlineStr">
        <is>
          <t>No</t>
        </is>
      </c>
      <c r="E386" s="60" t="n"/>
      <c r="F386" s="60" t="inlineStr">
        <is>
          <t>Recarga</t>
        </is>
      </c>
      <c r="G386" s="60" t="n"/>
      <c r="H386" s="60" t="n"/>
      <c r="I386" s="60" t="n"/>
      <c r="J386" s="60" t="n"/>
      <c r="K386" s="60" t="n"/>
      <c r="L386" s="60" t="n"/>
      <c r="M386" s="60" t="n"/>
      <c r="N386" s="60" t="n"/>
      <c r="O386" s="60" t="n"/>
      <c r="P386" s="60" t="n"/>
      <c r="Q386" s="60" t="n"/>
      <c r="R386" s="60" t="n"/>
      <c r="S386" s="60" t="n"/>
      <c r="T386" s="60" t="n"/>
      <c r="U386" s="60" t="n"/>
      <c r="V386" s="60" t="n"/>
      <c r="W386" s="60" t="n"/>
      <c r="X386" s="60" t="n"/>
      <c r="Y386" s="60" t="n"/>
      <c r="Z386" s="60" t="n"/>
      <c r="AA386" s="60" t="n"/>
      <c r="AB386" s="60" t="n"/>
      <c r="AC386" s="60" t="n"/>
      <c r="AD386" s="60" t="n"/>
      <c r="AE386" s="60" t="n"/>
      <c r="AF386" s="60" t="n"/>
      <c r="AG386" s="60" t="n"/>
      <c r="AH386" s="60" t="n"/>
      <c r="AI386" s="60" t="n"/>
      <c r="AJ386" s="60" t="n"/>
      <c r="AK386" s="60" t="n"/>
      <c r="AL386" s="60" t="n"/>
      <c r="AM386" s="60" t="n"/>
      <c r="AN386" s="60" t="n"/>
      <c r="AO386" s="60" t="n"/>
      <c r="AP386" s="60" t="n"/>
      <c r="AQ386" s="60" t="n"/>
      <c r="AR386" s="60" t="n"/>
      <c r="AS386" s="60" t="n"/>
      <c r="AT386" s="60" t="n"/>
      <c r="AU386" s="60" t="n"/>
      <c r="AV386" s="60" t="n"/>
      <c r="AW386" s="60" t="n"/>
      <c r="AX386" s="60" t="n"/>
      <c r="AY386" s="60" t="n"/>
      <c r="AZ386" s="60" t="n"/>
      <c r="BA386" s="60" t="n"/>
      <c r="BB386" s="60" t="n"/>
      <c r="BC386" s="60" t="n"/>
      <c r="BD386" s="60" t="n"/>
      <c r="BE386" s="60" t="n"/>
      <c r="BF386" s="60" t="n"/>
      <c r="BG386" s="60" t="n"/>
      <c r="BH386" s="60" t="n"/>
      <c r="BI386" s="60" t="n"/>
      <c r="BJ386" s="60" t="n"/>
      <c r="BK386" s="60" t="n"/>
      <c r="BL386" s="60" t="n"/>
      <c r="BM386" s="60" t="n"/>
      <c r="BN386" s="60" t="n"/>
      <c r="BO386" s="60" t="n"/>
      <c r="BP386" s="60" t="n"/>
      <c r="BQ386" s="60" t="n"/>
      <c r="BR386" s="60" t="n"/>
      <c r="BS386" s="60" t="n"/>
      <c r="BT386" s="60" t="n"/>
      <c r="BU386" s="60" t="n"/>
      <c r="BV386" s="60" t="n"/>
      <c r="BW386" s="60" t="n"/>
      <c r="BX386" s="60" t="n"/>
      <c r="BY386" s="60" t="n"/>
      <c r="BZ386" s="60" t="n"/>
      <c r="CA386" s="60" t="n"/>
      <c r="CB386" s="60" t="n"/>
      <c r="CC386" s="60" t="n"/>
      <c r="CD386" s="60" t="n"/>
      <c r="CE386" s="60" t="n"/>
      <c r="CF386" s="60" t="n"/>
      <c r="CG386" s="60" t="n"/>
      <c r="CH386" s="60" t="n"/>
      <c r="CI386" s="60" t="n"/>
      <c r="CJ386" s="60" t="n"/>
      <c r="CK386" s="60" t="n"/>
      <c r="CL386" s="60" t="n"/>
      <c r="CM386" s="60" t="n">
        <v>8.73</v>
      </c>
      <c r="CN386" s="60" t="n"/>
      <c r="CO386" s="60" t="n"/>
      <c r="CP386" s="60" t="n"/>
      <c r="CQ386" s="60" t="n"/>
      <c r="CR386" s="60" t="n"/>
      <c r="CS386" s="60" t="n"/>
      <c r="CT386" s="60" t="n"/>
      <c r="CU386" s="60" t="n"/>
      <c r="CV386" s="60" t="n"/>
      <c r="CW386" s="60" t="n"/>
      <c r="CX386" s="60" t="n"/>
      <c r="CY386" s="60" t="n"/>
      <c r="CZ386" s="60" t="n"/>
      <c r="DA386" s="60" t="n"/>
      <c r="DB386" s="60" t="n"/>
      <c r="DC386" s="60" t="n"/>
      <c r="DD386" s="60" t="n"/>
      <c r="DE386" s="60" t="n"/>
    </row>
    <row r="387">
      <c r="A387" s="60" t="inlineStr">
        <is>
          <t>Proceso (sin compra)</t>
        </is>
      </c>
      <c r="B387" s="60" t="inlineStr">
        <is>
          <t>Polvo químico seco ABC (fosfato monoamónico) recuperado</t>
        </is>
      </c>
      <c r="C387" s="60" t="inlineStr">
        <is>
          <t>kg</t>
        </is>
      </c>
      <c r="D387" s="60" t="inlineStr">
        <is>
          <t>No</t>
        </is>
      </c>
      <c r="E387" s="60" t="n"/>
      <c r="F387" s="60" t="inlineStr">
        <is>
          <t>Recarga</t>
        </is>
      </c>
      <c r="G387" s="60" t="n"/>
      <c r="H387" s="60" t="n"/>
      <c r="I387" s="60" t="n"/>
      <c r="J387" s="60" t="n"/>
      <c r="K387" s="60" t="n"/>
      <c r="L387" s="60" t="n"/>
      <c r="M387" s="60" t="n"/>
      <c r="N387" s="60" t="n"/>
      <c r="O387" s="60" t="n"/>
      <c r="P387" s="60" t="n"/>
      <c r="Q387" s="60" t="n"/>
      <c r="R387" s="60" t="n"/>
      <c r="S387" s="60" t="n"/>
      <c r="T387" s="60" t="n"/>
      <c r="U387" s="60" t="n"/>
      <c r="V387" s="60" t="n"/>
      <c r="W387" s="60" t="n"/>
      <c r="X387" s="60" t="n"/>
      <c r="Y387" s="60" t="n"/>
      <c r="Z387" s="60" t="n"/>
      <c r="AA387" s="60" t="n"/>
      <c r="AB387" s="60" t="n"/>
      <c r="AC387" s="60" t="n"/>
      <c r="AD387" s="60" t="n"/>
      <c r="AE387" s="60" t="n"/>
      <c r="AF387" s="60" t="n"/>
      <c r="AG387" s="60" t="n"/>
      <c r="AH387" s="60" t="n"/>
      <c r="AI387" s="60" t="n"/>
      <c r="AJ387" s="60" t="n"/>
      <c r="AK387" s="60" t="n"/>
      <c r="AL387" s="60" t="n"/>
      <c r="AM387" s="60" t="n"/>
      <c r="AN387" s="60" t="n"/>
      <c r="AO387" s="60" t="n"/>
      <c r="AP387" s="60" t="n"/>
      <c r="AQ387" s="60" t="n"/>
      <c r="AR387" s="60" t="n"/>
      <c r="AS387" s="60" t="n"/>
      <c r="AT387" s="60" t="n"/>
      <c r="AU387" s="60" t="n"/>
      <c r="AV387" s="60" t="n"/>
      <c r="AW387" s="60" t="n"/>
      <c r="AX387" s="60" t="n">
        <v>0.97</v>
      </c>
      <c r="AY387" s="60" t="n"/>
      <c r="AZ387" s="60" t="n"/>
      <c r="BA387" s="60" t="n"/>
      <c r="BB387" s="60" t="n">
        <v>2.425</v>
      </c>
      <c r="BC387" s="60" t="n"/>
      <c r="BD387" s="60" t="n"/>
      <c r="BE387" s="60" t="n"/>
      <c r="BF387" s="60" t="n">
        <v>4.85</v>
      </c>
      <c r="BG387" s="60" t="n"/>
      <c r="BH387" s="60" t="n"/>
      <c r="BI387" s="60" t="n"/>
      <c r="BJ387" s="60" t="n">
        <v>9.699999999999999</v>
      </c>
      <c r="BK387" s="60" t="n"/>
      <c r="BL387" s="60" t="n"/>
      <c r="BM387" s="60" t="n"/>
      <c r="BN387" s="60" t="n"/>
      <c r="BO387" s="60" t="n"/>
      <c r="BP387" s="60" t="n"/>
      <c r="BQ387" s="60" t="n"/>
      <c r="BR387" s="60" t="n"/>
      <c r="BS387" s="60" t="n"/>
      <c r="BT387" s="60" t="n"/>
      <c r="BU387" s="60" t="n"/>
      <c r="BV387" s="60" t="n"/>
      <c r="BW387" s="60" t="n"/>
      <c r="BX387" s="60" t="n"/>
      <c r="BY387" s="60" t="n"/>
      <c r="BZ387" s="60" t="n"/>
      <c r="CA387" s="60" t="n"/>
      <c r="CB387" s="60" t="n"/>
      <c r="CC387" s="60" t="n"/>
      <c r="CD387" s="60" t="n"/>
      <c r="CE387" s="60" t="n"/>
      <c r="CF387" s="60" t="n"/>
      <c r="CG387" s="60" t="n"/>
      <c r="CH387" s="60" t="n"/>
      <c r="CI387" s="60" t="n"/>
      <c r="CJ387" s="60" t="n"/>
      <c r="CK387" s="60" t="n"/>
      <c r="CL387" s="60" t="n"/>
      <c r="CM387" s="60" t="n"/>
      <c r="CN387" s="60" t="n"/>
      <c r="CO387" s="60" t="n"/>
      <c r="CP387" s="60" t="n"/>
      <c r="CQ387" s="60" t="n">
        <v>24.25</v>
      </c>
      <c r="CR387" s="60" t="n"/>
      <c r="CS387" s="60" t="n"/>
      <c r="CT387" s="60" t="n"/>
      <c r="CU387" s="60" t="n">
        <v>48.5</v>
      </c>
      <c r="CV387" s="60" t="n"/>
      <c r="CW387" s="60" t="n"/>
      <c r="CX387" s="60" t="n"/>
      <c r="CY387" s="60" t="n">
        <v>67.90000000000001</v>
      </c>
      <c r="CZ387" s="60" t="n"/>
      <c r="DA387" s="60" t="n"/>
      <c r="DB387" s="60" t="n"/>
      <c r="DC387" s="60" t="n">
        <v>97</v>
      </c>
      <c r="DD387" s="60" t="n"/>
      <c r="DE387" s="60" t="n"/>
    </row>
    <row r="388">
      <c r="A388" s="60" t="inlineStr">
        <is>
          <t>Proceso (sin compra)</t>
        </is>
      </c>
      <c r="B388" s="60" t="inlineStr">
        <is>
          <t>Polvo químico seco BC (bicarbonato) recuperado</t>
        </is>
      </c>
      <c r="C388" s="60" t="inlineStr">
        <is>
          <t>kg</t>
        </is>
      </c>
      <c r="D388" s="60" t="inlineStr">
        <is>
          <t>No</t>
        </is>
      </c>
      <c r="E388" s="60" t="n"/>
      <c r="F388" s="60" t="inlineStr">
        <is>
          <t>Recarga</t>
        </is>
      </c>
      <c r="G388" s="60" t="n"/>
      <c r="H388" s="60" t="n"/>
      <c r="I388" s="60" t="n"/>
      <c r="J388" s="60" t="n"/>
      <c r="K388" s="60" t="n"/>
      <c r="L388" s="60" t="n"/>
      <c r="M388" s="60" t="n"/>
      <c r="N388" s="60" t="n"/>
      <c r="O388" s="60" t="n"/>
      <c r="P388" s="60" t="n"/>
      <c r="Q388" s="60" t="n"/>
      <c r="R388" s="60" t="n"/>
      <c r="S388" s="60" t="n"/>
      <c r="T388" s="60" t="n"/>
      <c r="U388" s="60" t="n"/>
      <c r="V388" s="60" t="n"/>
      <c r="W388" s="60" t="n"/>
      <c r="X388" s="60" t="n"/>
      <c r="Y388" s="60" t="n"/>
      <c r="Z388" s="60" t="n"/>
      <c r="AA388" s="60" t="n"/>
      <c r="AB388" s="60" t="n"/>
      <c r="AC388" s="60" t="n"/>
      <c r="AD388" s="60" t="n"/>
      <c r="AE388" s="60" t="n"/>
      <c r="AF388" s="60" t="n"/>
      <c r="AG388" s="60" t="n"/>
      <c r="AH388" s="60" t="n"/>
      <c r="AI388" s="60" t="n"/>
      <c r="AJ388" s="60" t="n"/>
      <c r="AK388" s="60" t="n"/>
      <c r="AL388" s="60" t="n"/>
      <c r="AM388" s="60" t="n"/>
      <c r="AN388" s="60" t="n"/>
      <c r="AO388" s="60" t="n"/>
      <c r="AP388" s="60" t="n"/>
      <c r="AQ388" s="60" t="n"/>
      <c r="AR388" s="60" t="n"/>
      <c r="AS388" s="60" t="n"/>
      <c r="AT388" s="60" t="n"/>
      <c r="AU388" s="60" t="n"/>
      <c r="AV388" s="60" t="n"/>
      <c r="AW388" s="60" t="n"/>
      <c r="AX388" s="60" t="n"/>
      <c r="AY388" s="60" t="n"/>
      <c r="AZ388" s="60" t="n"/>
      <c r="BA388" s="60" t="n"/>
      <c r="BB388" s="60" t="n"/>
      <c r="BC388" s="60" t="n"/>
      <c r="BD388" s="60" t="n"/>
      <c r="BE388" s="60" t="n"/>
      <c r="BF388" s="60" t="n"/>
      <c r="BG388" s="60" t="n"/>
      <c r="BH388" s="60" t="n"/>
      <c r="BI388" s="60" t="n"/>
      <c r="BJ388" s="60" t="n"/>
      <c r="BK388" s="60" t="n"/>
      <c r="BL388" s="60" t="n"/>
      <c r="BM388" s="60" t="n"/>
      <c r="BN388" s="60" t="n"/>
      <c r="BO388" s="60" t="n"/>
      <c r="BP388" s="60" t="n"/>
      <c r="BQ388" s="60" t="n"/>
      <c r="BR388" s="60" t="n"/>
      <c r="BS388" s="60" t="n"/>
      <c r="BT388" s="60" t="n"/>
      <c r="BU388" s="60" t="n"/>
      <c r="BV388" s="60" t="n"/>
      <c r="BW388" s="60" t="n">
        <v>4.85</v>
      </c>
      <c r="BX388" s="60" t="n"/>
      <c r="BY388" s="60" t="n"/>
      <c r="BZ388" s="60" t="n"/>
      <c r="CA388" s="60" t="n"/>
      <c r="CB388" s="60" t="n"/>
      <c r="CC388" s="60" t="n"/>
      <c r="CD388" s="60" t="n"/>
      <c r="CE388" s="60" t="n"/>
      <c r="CF388" s="60" t="n"/>
      <c r="CG388" s="60" t="n"/>
      <c r="CH388" s="60" t="n"/>
      <c r="CI388" s="60" t="n"/>
      <c r="CJ388" s="60" t="n"/>
      <c r="CK388" s="60" t="n"/>
      <c r="CL388" s="60" t="n"/>
      <c r="CM388" s="60" t="n"/>
      <c r="CN388" s="60" t="n"/>
      <c r="CO388" s="60" t="n"/>
      <c r="CP388" s="60" t="n"/>
      <c r="CQ388" s="60" t="n"/>
      <c r="CR388" s="60" t="n"/>
      <c r="CS388" s="60" t="n"/>
      <c r="CT388" s="60" t="n"/>
      <c r="CU388" s="60" t="n"/>
      <c r="CV388" s="60" t="n"/>
      <c r="CW388" s="60" t="n"/>
      <c r="CX388" s="60" t="n"/>
      <c r="CY388" s="60" t="n"/>
      <c r="CZ388" s="60" t="n"/>
      <c r="DA388" s="60" t="n"/>
      <c r="DB388" s="60" t="n"/>
      <c r="DC388" s="60" t="n"/>
      <c r="DD388" s="60" t="n"/>
      <c r="DE388" s="60" t="n"/>
    </row>
    <row r="389">
      <c r="A389" s="60" t="inlineStr">
        <is>
          <t>Proceso (sin compra)</t>
        </is>
      </c>
      <c r="B389" s="60" t="inlineStr">
        <is>
          <t>Protocolo de ensayo hidrostático (certificado que acompaña)</t>
        </is>
      </c>
      <c r="C389" s="60" t="inlineStr">
        <is>
          <t>u</t>
        </is>
      </c>
      <c r="D389" s="60" t="inlineStr">
        <is>
          <t>No</t>
        </is>
      </c>
      <c r="E389" s="60" t="n"/>
      <c r="F389" s="60" t="inlineStr">
        <is>
          <t>Control de calidad</t>
        </is>
      </c>
      <c r="G389" s="60" t="n"/>
      <c r="H389" s="60" t="n"/>
      <c r="I389" s="60" t="n"/>
      <c r="J389" s="60" t="n"/>
      <c r="K389" s="60" t="n"/>
      <c r="L389" s="60" t="n"/>
      <c r="M389" s="60" t="n"/>
      <c r="N389" s="60" t="n"/>
      <c r="O389" s="60" t="n"/>
      <c r="P389" s="60" t="n"/>
      <c r="Q389" s="60" t="n"/>
      <c r="R389" s="60" t="n"/>
      <c r="S389" s="60" t="n"/>
      <c r="T389" s="60" t="n"/>
      <c r="U389" s="60" t="n"/>
      <c r="V389" s="60" t="n"/>
      <c r="W389" s="60" t="n"/>
      <c r="X389" s="60" t="n">
        <v>1</v>
      </c>
      <c r="Y389" s="60" t="n">
        <v>1</v>
      </c>
      <c r="Z389" s="60" t="n">
        <v>1</v>
      </c>
      <c r="AA389" s="60" t="n">
        <v>1</v>
      </c>
      <c r="AB389" s="60" t="n">
        <v>1</v>
      </c>
      <c r="AC389" s="60" t="n">
        <v>1</v>
      </c>
      <c r="AD389" s="60" t="n">
        <v>1</v>
      </c>
      <c r="AE389" s="60" t="n">
        <v>1</v>
      </c>
      <c r="AF389" s="60" t="n"/>
      <c r="AG389" s="60" t="n"/>
      <c r="AH389" s="60" t="n"/>
      <c r="AI389" s="60" t="n"/>
      <c r="AJ389" s="60" t="n"/>
      <c r="AK389" s="60" t="n"/>
      <c r="AL389" s="60" t="n"/>
      <c r="AM389" s="60" t="n"/>
      <c r="AN389" s="60" t="n"/>
      <c r="AO389" s="60" t="n"/>
      <c r="AP389" s="60" t="n"/>
      <c r="AQ389" s="60" t="n"/>
      <c r="AR389" s="60" t="n"/>
      <c r="AS389" s="60" t="n"/>
      <c r="AT389" s="60" t="n"/>
      <c r="AU389" s="60" t="n"/>
      <c r="AV389" s="60" t="n"/>
      <c r="AW389" s="60" t="n"/>
      <c r="AX389" s="60" t="n"/>
      <c r="AY389" s="60" t="n"/>
      <c r="AZ389" s="60" t="n"/>
      <c r="BA389" s="60" t="n"/>
      <c r="BB389" s="60" t="n"/>
      <c r="BC389" s="60" t="n"/>
      <c r="BD389" s="60" t="n"/>
      <c r="BE389" s="60" t="n"/>
      <c r="BF389" s="60" t="n"/>
      <c r="BG389" s="60" t="n"/>
      <c r="BH389" s="60" t="n"/>
      <c r="BI389" s="60" t="n"/>
      <c r="BJ389" s="60" t="n"/>
      <c r="BK389" s="60" t="n"/>
      <c r="BL389" s="60" t="n"/>
      <c r="BM389" s="60" t="n"/>
      <c r="BN389" s="60" t="n"/>
      <c r="BO389" s="60" t="n"/>
      <c r="BP389" s="60" t="n"/>
      <c r="BQ389" s="60" t="n"/>
      <c r="BR389" s="60" t="n"/>
      <c r="BS389" s="60" t="n"/>
      <c r="BT389" s="60" t="n"/>
      <c r="BU389" s="60" t="n"/>
      <c r="BV389" s="60" t="n"/>
      <c r="BW389" s="60" t="n"/>
      <c r="BX389" s="60" t="n"/>
      <c r="BY389" s="60" t="n"/>
      <c r="BZ389" s="60" t="n"/>
      <c r="CA389" s="60" t="n"/>
      <c r="CB389" s="60" t="n"/>
      <c r="CC389" s="60" t="n"/>
      <c r="CD389" s="60" t="n"/>
      <c r="CE389" s="60" t="n"/>
      <c r="CF389" s="60" t="n"/>
      <c r="CG389" s="60" t="n"/>
      <c r="CH389" s="60" t="n"/>
      <c r="CI389" s="60" t="n"/>
      <c r="CJ389" s="60" t="n"/>
      <c r="CK389" s="60" t="n"/>
      <c r="CL389" s="60" t="n"/>
      <c r="CM389" s="60" t="n"/>
      <c r="CN389" s="60" t="n"/>
      <c r="CO389" s="60" t="n"/>
      <c r="CP389" s="60" t="n"/>
      <c r="CQ389" s="60" t="n"/>
      <c r="CR389" s="60" t="n"/>
      <c r="CS389" s="60" t="n"/>
      <c r="CT389" s="60" t="n"/>
      <c r="CU389" s="60" t="n"/>
      <c r="CV389" s="60" t="n"/>
      <c r="CW389" s="60" t="n"/>
      <c r="CX389" s="60" t="n"/>
      <c r="CY389" s="60" t="n"/>
      <c r="CZ389" s="60" t="n"/>
      <c r="DA389" s="60" t="n"/>
      <c r="DB389" s="60" t="n"/>
      <c r="DC389" s="60" t="n"/>
      <c r="DD389" s="60" t="n"/>
      <c r="DE389" s="60" t="n"/>
    </row>
    <row r="390">
      <c r="A390" t="inlineStr">
        <is>
          <t>Proceso (sin compra)</t>
        </is>
      </c>
      <c r="B390" t="inlineStr">
        <is>
          <t>Remito de préstamo con membrete (n° de extintor, puesto, equipo retirado, fechas) — A5 duplicado</t>
        </is>
      </c>
      <c r="C390" t="inlineStr">
        <is>
          <t>u/préstamo</t>
        </is>
      </c>
      <c r="D390" t="inlineStr">
        <is>
          <t>Sí</t>
        </is>
      </c>
      <c r="E390" t="inlineStr">
        <is>
          <t>Astuprint</t>
        </is>
      </c>
      <c r="AF390" t="n">
        <v>1</v>
      </c>
      <c r="AG390" t="n">
        <v>1</v>
      </c>
      <c r="AH390" t="n">
        <v>1</v>
      </c>
      <c r="AI390" t="n">
        <v>1</v>
      </c>
      <c r="AJ390" t="n">
        <v>1</v>
      </c>
      <c r="AK390" t="n">
        <v>1</v>
      </c>
      <c r="AL390" t="n">
        <v>1</v>
      </c>
      <c r="AM390" t="n">
        <v>1</v>
      </c>
      <c r="AN390" t="n">
        <v>1</v>
      </c>
      <c r="AO390" t="n">
        <v>1</v>
      </c>
      <c r="AP390" t="n">
        <v>1</v>
      </c>
      <c r="AQ390" t="n">
        <v>1</v>
      </c>
      <c r="AR390" t="n">
        <v>1</v>
      </c>
      <c r="AS390" t="n">
        <v>1</v>
      </c>
      <c r="AT390" t="n">
        <v>1</v>
      </c>
      <c r="AU390" t="n">
        <v>1</v>
      </c>
      <c r="AV390" t="n">
        <v>1</v>
      </c>
    </row>
    <row r="391">
      <c r="A391" s="60" t="inlineStr">
        <is>
          <t>Proceso (sin compra)</t>
        </is>
      </c>
      <c r="B391" s="60" t="inlineStr">
        <is>
          <t>Si hubo PH: oblea de vencimiento de PH + «PH» y fecha grabados en el tubo de pesca (CO₂: fecha y logo estampados en la ojiva)</t>
        </is>
      </c>
      <c r="C391" s="60" t="inlineStr">
        <is>
          <t>u</t>
        </is>
      </c>
      <c r="D391" s="60" t="inlineStr">
        <is>
          <t>No</t>
        </is>
      </c>
      <c r="E391" s="60" t="n"/>
      <c r="F391" s="60" t="inlineStr">
        <is>
          <t>Recarga</t>
        </is>
      </c>
      <c r="G391" s="60" t="n"/>
      <c r="H391" s="60" t="n"/>
      <c r="I391" s="60" t="n"/>
      <c r="J391" s="60" t="n"/>
      <c r="K391" s="60" t="n"/>
      <c r="L391" s="60" t="n"/>
      <c r="M391" s="60" t="n"/>
      <c r="N391" s="60" t="n"/>
      <c r="O391" s="60" t="n"/>
      <c r="P391" s="60" t="n"/>
      <c r="Q391" s="60" t="n"/>
      <c r="R391" s="60" t="n"/>
      <c r="S391" s="60" t="n"/>
      <c r="T391" s="60" t="n"/>
      <c r="U391" s="60" t="n"/>
      <c r="V391" s="60" t="n"/>
      <c r="W391" s="60" t="n"/>
      <c r="X391" s="60" t="n"/>
      <c r="Y391" s="60" t="n"/>
      <c r="Z391" s="60" t="n"/>
      <c r="AA391" s="60" t="n"/>
      <c r="AB391" s="60" t="n"/>
      <c r="AC391" s="60" t="n"/>
      <c r="AD391" s="60" t="n"/>
      <c r="AE391" s="60" t="n"/>
      <c r="AF391" s="60" t="n"/>
      <c r="AG391" s="60" t="n"/>
      <c r="AH391" s="60" t="n"/>
      <c r="AI391" s="60" t="n"/>
      <c r="AJ391" s="60" t="n"/>
      <c r="AK391" s="60" t="n"/>
      <c r="AL391" s="60" t="n"/>
      <c r="AM391" s="60" t="n"/>
      <c r="AN391" s="60" t="n"/>
      <c r="AO391" s="60" t="n"/>
      <c r="AP391" s="60" t="n"/>
      <c r="AQ391" s="60" t="n"/>
      <c r="AR391" s="60" t="n"/>
      <c r="AS391" s="60" t="n"/>
      <c r="AT391" s="60" t="n"/>
      <c r="AU391" s="60" t="n"/>
      <c r="AV391" s="60" t="n"/>
      <c r="AW391" s="60" t="n">
        <v>1</v>
      </c>
      <c r="AX391" s="60" t="n">
        <v>1</v>
      </c>
      <c r="AY391" s="60" t="n">
        <v>1</v>
      </c>
      <c r="AZ391" s="60" t="n"/>
      <c r="BA391" s="60" t="n">
        <v>1</v>
      </c>
      <c r="BB391" s="60" t="n">
        <v>1</v>
      </c>
      <c r="BC391" s="60" t="n">
        <v>1</v>
      </c>
      <c r="BD391" s="60" t="n"/>
      <c r="BE391" s="60" t="n">
        <v>1</v>
      </c>
      <c r="BF391" s="60" t="n">
        <v>1</v>
      </c>
      <c r="BG391" s="60" t="n">
        <v>1</v>
      </c>
      <c r="BH391" s="60" t="n"/>
      <c r="BI391" s="60" t="n">
        <v>1</v>
      </c>
      <c r="BJ391" s="60" t="n">
        <v>1</v>
      </c>
      <c r="BK391" s="60" t="n">
        <v>1</v>
      </c>
      <c r="BL391" s="60" t="n"/>
      <c r="BM391" s="60" t="n">
        <v>1</v>
      </c>
      <c r="BN391" s="60" t="n">
        <v>1</v>
      </c>
      <c r="BO391" s="60" t="n"/>
      <c r="BP391" s="60" t="n">
        <v>1</v>
      </c>
      <c r="BQ391" s="60" t="n">
        <v>1</v>
      </c>
      <c r="BR391" s="60" t="n"/>
      <c r="BS391" s="60" t="n">
        <v>1</v>
      </c>
      <c r="BT391" s="60" t="n">
        <v>1</v>
      </c>
      <c r="BU391" s="60" t="n"/>
      <c r="BV391" s="60" t="n">
        <v>1</v>
      </c>
      <c r="BW391" s="60" t="n">
        <v>1</v>
      </c>
      <c r="BX391" s="60" t="n">
        <v>1</v>
      </c>
      <c r="BY391" s="60" t="n"/>
      <c r="BZ391" s="60" t="n">
        <v>1</v>
      </c>
      <c r="CA391" s="60" t="n">
        <v>1</v>
      </c>
      <c r="CB391" s="60" t="n"/>
      <c r="CC391" s="60" t="n">
        <v>1</v>
      </c>
      <c r="CD391" s="60" t="n">
        <v>1</v>
      </c>
      <c r="CE391" s="60" t="n"/>
      <c r="CF391" s="60" t="n">
        <v>1</v>
      </c>
      <c r="CG391" s="60" t="n">
        <v>1</v>
      </c>
      <c r="CH391" s="60" t="n"/>
      <c r="CI391" s="60" t="n">
        <v>1</v>
      </c>
      <c r="CJ391" s="60" t="n">
        <v>1</v>
      </c>
      <c r="CK391" s="60" t="n"/>
      <c r="CL391" s="60" t="n">
        <v>1</v>
      </c>
      <c r="CM391" s="60" t="n">
        <v>1</v>
      </c>
      <c r="CN391" s="60" t="n">
        <v>1</v>
      </c>
      <c r="CO391" s="60" t="n"/>
      <c r="CP391" s="60" t="n">
        <v>1</v>
      </c>
      <c r="CQ391" s="60" t="n">
        <v>1</v>
      </c>
      <c r="CR391" s="60" t="n">
        <v>1</v>
      </c>
      <c r="CS391" s="60" t="n"/>
      <c r="CT391" s="60" t="n">
        <v>1</v>
      </c>
      <c r="CU391" s="60" t="n">
        <v>1</v>
      </c>
      <c r="CV391" s="60" t="n">
        <v>1</v>
      </c>
      <c r="CW391" s="60" t="n"/>
      <c r="CX391" s="60" t="n">
        <v>1</v>
      </c>
      <c r="CY391" s="60" t="n">
        <v>1</v>
      </c>
      <c r="CZ391" s="60" t="n">
        <v>1</v>
      </c>
      <c r="DA391" s="60" t="n"/>
      <c r="DB391" s="60" t="n">
        <v>1</v>
      </c>
      <c r="DC391" s="60" t="n">
        <v>1</v>
      </c>
      <c r="DD391" s="60" t="n">
        <v>1</v>
      </c>
      <c r="DE391" s="60" t="n"/>
    </row>
    <row r="394">
      <c r="A394" s="4" t="inlineStr">
        <is>
          <t>Insumos de cada proceso (se planifican por su inductor; los que tienen dato por unidad lo muestran en la columna del producto)</t>
        </is>
      </c>
    </row>
    <row r="395">
      <c r="A395" s="62" t="inlineStr">
        <is>
          <t>Proceso</t>
        </is>
      </c>
      <c r="B395" s="62" t="inlineStr">
        <is>
          <t>Insumo</t>
        </is>
      </c>
      <c r="C395" s="62" t="inlineStr">
        <is>
          <t>Planilla / norma</t>
        </is>
      </c>
      <c r="D395" s="62" t="inlineStr">
        <is>
          <t>Entra MRP</t>
        </is>
      </c>
      <c r="E395" s="62" t="inlineStr">
        <is>
          <t>Proveedor</t>
        </is>
      </c>
      <c r="F395" s="62" t="inlineStr">
        <is>
          <t>Inductor de consumo</t>
        </is>
      </c>
    </row>
    <row r="396">
      <c r="A396" s="3" t="inlineStr">
        <is>
          <t>Soldadura MAG</t>
        </is>
      </c>
      <c r="B396" s="3" t="inlineStr">
        <is>
          <t>Puntas de contacto CuCrZr Ø0,9 / Ø1,2 y toberas</t>
        </is>
      </c>
      <c r="C396" s="3" t="inlineStr">
        <is>
          <t>Planilla MP-26</t>
        </is>
      </c>
      <c r="D396" s="3" t="inlineStr">
        <is>
          <t>Sí</t>
        </is>
      </c>
      <c r="E396" s="3" t="inlineStr">
        <is>
          <t>ESAB / Binzel vía distribuidor</t>
        </is>
      </c>
      <c r="F396" s="3" t="inlineStr">
        <is>
          <t>minutos de arco por unidad (columna por producto, de C2)</t>
        </is>
      </c>
      <c r="G396" t="n">
        <v>0.95</v>
      </c>
      <c r="H396" t="n">
        <v>1.93</v>
      </c>
      <c r="I396" t="n">
        <v>2.33</v>
      </c>
      <c r="J396" t="n">
        <v>2.91</v>
      </c>
      <c r="T396" t="n">
        <v>3.76</v>
      </c>
      <c r="U396" t="n">
        <v>4.7</v>
      </c>
      <c r="V396" t="n">
        <v>5.26</v>
      </c>
      <c r="W396" t="n">
        <v>5.86</v>
      </c>
      <c r="X396" t="n">
        <v>0.95</v>
      </c>
      <c r="Y396" t="n">
        <v>1.93</v>
      </c>
      <c r="Z396" t="n">
        <v>2.33</v>
      </c>
      <c r="AA396" t="n">
        <v>2.91</v>
      </c>
      <c r="AB396" t="n">
        <v>3.76</v>
      </c>
      <c r="AC396" t="n">
        <v>4.7</v>
      </c>
      <c r="AD396" t="n">
        <v>5.26</v>
      </c>
      <c r="AE396" t="n">
        <v>5.86</v>
      </c>
    </row>
    <row r="397">
      <c r="A397" s="63" t="inlineStr">
        <is>
          <t>Soldadura MAG</t>
        </is>
      </c>
      <c r="B397" s="63" t="inlineStr">
        <is>
          <t>Alambre ER70S-6 y gas Arcal 21</t>
        </is>
      </c>
      <c r="C397" s="63" t="inlineStr">
        <is>
          <t>Planilla MP-23/24/25</t>
        </is>
      </c>
      <c r="D397" s="63" t="inlineStr">
        <is>
          <t>Sí</t>
        </is>
      </c>
      <c r="E397" s="63" t="inlineStr">
        <is>
          <t>Conarco / Air Liquide</t>
        </is>
      </c>
      <c r="F397" s="63" t="inlineStr">
        <is>
          <t>por unidad (filas C1 y C2 de la matriz)</t>
        </is>
      </c>
    </row>
    <row r="398">
      <c r="A398" s="3" t="inlineStr">
        <is>
          <t>Corte y amolado</t>
        </is>
      </c>
      <c r="B398" s="3" t="inlineStr">
        <is>
          <t>Discos de amolado y corte Ø115</t>
        </is>
      </c>
      <c r="C398" s="3" t="inlineStr">
        <is>
          <t>Planilla MP-27</t>
        </is>
      </c>
      <c r="D398" s="3" t="inlineStr">
        <is>
          <t>Sí</t>
        </is>
      </c>
      <c r="E398" s="3" t="inlineStr">
        <is>
          <t>Norton / Pferd / 3M vía distribuidor</t>
        </is>
      </c>
      <c r="F398" s="3" t="inlineStr">
        <is>
          <t>horas de amolado y despunte</t>
        </is>
      </c>
    </row>
    <row r="399">
      <c r="A399" s="63" t="inlineStr">
        <is>
          <t>Granallado</t>
        </is>
      </c>
      <c r="B399" s="63" t="inlineStr">
        <is>
          <t>Granalla S330 / S390</t>
        </is>
      </c>
      <c r="C399" s="63" t="inlineStr">
        <is>
          <t>Planilla MP-28</t>
        </is>
      </c>
      <c r="D399" s="63" t="inlineStr">
        <is>
          <t>Sí</t>
        </is>
      </c>
      <c r="E399" s="63" t="inlineStr">
        <is>
          <t>CyM Materiales</t>
        </is>
      </c>
      <c r="F399" s="63" t="inlineStr">
        <is>
          <t>por unidad (fila C3 de la matriz)</t>
        </is>
      </c>
    </row>
    <row r="400">
      <c r="A400" s="3" t="inlineStr">
        <is>
          <t>Granallado</t>
        </is>
      </c>
      <c r="B400" s="3" t="inlineStr">
        <is>
          <t>Tapones cónicos de silicona para enmascarar roscas (reutilizables)</t>
        </is>
      </c>
      <c r="C400" s="3" t="inlineStr">
        <is>
          <t>Planilla MP-32</t>
        </is>
      </c>
      <c r="D400" s="3" t="inlineStr">
        <is>
          <t>Sí</t>
        </is>
      </c>
      <c r="E400" s="3" t="inlineStr">
        <is>
          <t>Distribuidor de enmascarado</t>
        </is>
      </c>
      <c r="F400" s="3" t="inlineStr">
        <is>
          <t>cuellos granallados / ciclos de vida del tapón</t>
        </is>
      </c>
    </row>
    <row r="401">
      <c r="A401" s="3" t="inlineStr">
        <is>
          <t>Pintura (tercerizada)</t>
        </is>
      </c>
      <c r="B401" s="3" t="inlineStr">
        <is>
          <t>Desengrasante alcalino y fosfatizante</t>
        </is>
      </c>
      <c r="C401" s="3" t="inlineStr">
        <is>
          <t>Planilla MP-29/30</t>
        </is>
      </c>
      <c r="D401" s="3" t="inlineStr">
        <is>
          <t>No</t>
        </is>
      </c>
      <c r="E401" s="3" t="inlineStr">
        <is>
          <t>Henkel / Chemetall</t>
        </is>
      </c>
      <c r="F401" s="3" t="inlineStr">
        <is>
          <t>los aporta el pintor mientras la pintura sea tercerizada</t>
        </is>
      </c>
    </row>
    <row r="402">
      <c r="A402" s="3" t="inlineStr">
        <is>
          <t>Prueba hidráulica</t>
        </is>
      </c>
      <c r="B402" s="3" t="inlineStr">
        <is>
          <t>Agua de red (circuito recirculado)</t>
        </is>
      </c>
      <c r="C402" s="3" t="inlineStr">
        <is>
          <t>Esquema banco PH</t>
        </is>
      </c>
      <c r="D402" s="3" t="inlineStr">
        <is>
          <t>No</t>
        </is>
      </c>
      <c r="E402" s="3" t="inlineStr">
        <is>
          <t>Red</t>
        </is>
      </c>
      <c r="F402" s="3" t="inlineStr">
        <is>
          <t>volumen del recipiente por ensayo (dm³ = L, columna por producto)</t>
        </is>
      </c>
      <c r="G402" t="n">
        <v>1.18</v>
      </c>
      <c r="H402" t="n">
        <v>3.5</v>
      </c>
      <c r="I402" t="n">
        <v>6</v>
      </c>
      <c r="J402" t="n">
        <v>12.5</v>
      </c>
      <c r="T402" t="n">
        <v>34.4</v>
      </c>
      <c r="U402" t="n">
        <v>61.8</v>
      </c>
      <c r="V402" t="n">
        <v>86</v>
      </c>
      <c r="W402" t="n">
        <v>123</v>
      </c>
      <c r="X402" t="n">
        <v>1.18</v>
      </c>
      <c r="Y402" t="n">
        <v>3.5</v>
      </c>
      <c r="Z402" t="n">
        <v>6</v>
      </c>
      <c r="AA402" t="n">
        <v>12.5</v>
      </c>
      <c r="AB402" t="n">
        <v>34.4</v>
      </c>
      <c r="AC402" t="n">
        <v>61.8</v>
      </c>
      <c r="AD402" t="n">
        <v>86</v>
      </c>
      <c r="AE402" t="n">
        <v>123</v>
      </c>
    </row>
    <row r="403">
      <c r="A403" s="3" t="inlineStr">
        <is>
          <t>Carga y presurización</t>
        </is>
      </c>
      <c r="B403" s="3" t="inlineStr">
        <is>
          <t>Nitrógeno seco y polvo ABC</t>
        </is>
      </c>
      <c r="C403" s="3" t="inlineStr">
        <is>
          <t>Planilla MP-34 · Sello IRAM 3569</t>
        </is>
      </c>
      <c r="D403" s="3" t="inlineStr">
        <is>
          <t>Sí</t>
        </is>
      </c>
      <c r="E403" s="3" t="inlineStr">
        <is>
          <t>Air Liquide / DEMSA</t>
        </is>
      </c>
      <c r="F403" s="3" t="inlineStr">
        <is>
          <t>por unidad (filas A1 y A2 de la matriz)</t>
        </is>
      </c>
    </row>
    <row r="404">
      <c r="A404" s="64" t="inlineStr">
        <is>
          <t>Carga, presurización y recarga</t>
        </is>
      </c>
      <c r="B404" s="64" t="inlineStr">
        <is>
          <t>Solución detectora de fugas</t>
        </is>
      </c>
      <c r="C404" s="64" t="inlineStr">
        <is>
          <t>IRAM 3517-2:2020 9.4.10 (ensayo de pérdidas)</t>
        </is>
      </c>
      <c r="D404" s="64" t="inlineStr">
        <is>
          <t>Sí</t>
        </is>
      </c>
      <c r="E404" s="64" t="inlineStr">
        <is>
          <t>A relevar</t>
        </is>
      </c>
      <c r="F404" s="64" t="inlineStr">
        <is>
          <t>unidades presurizadas y recargadas</t>
        </is>
      </c>
    </row>
    <row r="405">
      <c r="A405" s="3" t="inlineStr">
        <is>
          <t>Recarga</t>
        </is>
      </c>
      <c r="B405" s="3" t="inlineStr">
        <is>
          <t>Esmalte rojo de retoque</t>
        </is>
      </c>
      <c r="C405" s="3" t="inlineStr">
        <is>
          <t>Planilla MP-65</t>
        </is>
      </c>
      <c r="D405" s="3" t="inlineStr">
        <is>
          <t>Sí</t>
        </is>
      </c>
      <c r="E405" s="3" t="inlineStr">
        <is>
          <t>Sinteplast / Tersuave</t>
        </is>
      </c>
      <c r="F405" s="3" t="inlineStr">
        <is>
          <t>equipos recargados con daño de pintura</t>
        </is>
      </c>
    </row>
    <row r="406">
      <c r="A406" s="64" t="inlineStr">
        <is>
          <t>Recarga</t>
        </is>
      </c>
      <c r="B406" s="64" t="inlineStr">
        <is>
          <t>Lubricante para ejes y cojinetes de ruedas de carros</t>
        </is>
      </c>
      <c r="C406" s="64" t="inlineStr">
        <is>
          <t>IRAM 3517-2:2020 anexo (lista de revisión)</t>
        </is>
      </c>
      <c r="D406" s="64" t="inlineStr">
        <is>
          <t>Sí</t>
        </is>
      </c>
      <c r="E406" s="64" t="inlineStr">
        <is>
          <t>A relevar</t>
        </is>
      </c>
      <c r="F406" s="64" t="inlineStr">
        <is>
          <t>rodantes en mantenimiento</t>
        </is>
      </c>
    </row>
    <row r="407">
      <c r="A407" s="3" t="inlineStr">
        <is>
          <t>Embalaje</t>
        </is>
      </c>
      <c r="B407" s="3" t="inlineStr">
        <is>
          <t>Caja, cinta, film, pallet, esquineros, separadores y etiquetas</t>
        </is>
      </c>
      <c r="C407" s="3" t="inlineStr">
        <is>
          <t>Planilla MP-59 a 64</t>
        </is>
      </c>
      <c r="D407" s="3" t="inlineStr">
        <is>
          <t>Sí</t>
        </is>
      </c>
      <c r="E407" s="3" t="inlineStr">
        <is>
          <t>Maxipack / MV Embalajes / IndusPallets</t>
        </is>
      </c>
      <c r="F407" s="3" t="inlineStr">
        <is>
          <t>por unidad (filas E de la matriz)</t>
        </is>
      </c>
    </row>
  </sheetData>
  <autoFilter ref="A6:DE39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Georgia ABC 60 1 kg Ø3" (330 × 76)</t>
        </is>
      </c>
      <c r="C5" s="5" t="n">
        <v>1.82</v>
      </c>
      <c r="D5" s="5" t="inlineStr">
        <is>
          <t>Ficha técnica Georgia</t>
        </is>
      </c>
      <c r="E5" s="21">
        <f>'BOM_FL_MAT_ABC_1kg'!G4</f>
        <v/>
      </c>
      <c r="F5" s="22">
        <f>E5/C5-1</f>
        <v/>
      </c>
    </row>
    <row r="6">
      <c r="A6" s="5" t="inlineStr">
        <is>
          <t>FL_MAT_ABC_1kg</t>
        </is>
      </c>
      <c r="B6" s="5" t="inlineStr">
        <is>
          <t>Fadesa 1 kg Ø3 (340 × 92)</t>
        </is>
      </c>
      <c r="C6" s="5" t="n">
        <v>1.9</v>
      </c>
      <c r="D6" s="5" t="inlineStr">
        <is>
          <t>Catálogo Fadesa pág. 4</t>
        </is>
      </c>
      <c r="E6" s="21">
        <f>'BOM_FL_MAT_ABC_1kg'!G4</f>
        <v/>
      </c>
      <c r="F6" s="22">
        <f>E6/C6-1</f>
        <v/>
      </c>
    </row>
    <row r="7">
      <c r="A7" s="5" t="inlineStr">
        <is>
          <t>FL_MAT_ABC_2.5kg</t>
        </is>
      </c>
      <c r="B7" s="5" t="inlineStr">
        <is>
          <t>Georgia ABC 60 2,5 kg (380 × 230 × 135)</t>
        </is>
      </c>
      <c r="C7" s="5" t="n">
        <v>5.2</v>
      </c>
      <c r="D7" s="5" t="inlineStr">
        <is>
          <t>Ficha técnica Georgia</t>
        </is>
      </c>
      <c r="E7" s="21">
        <f>'BOM_FL_MAT_ABC_2.5kg'!G4</f>
        <v/>
      </c>
      <c r="F7" s="22">
        <f>E7/C7-1</f>
        <v/>
      </c>
    </row>
    <row r="8">
      <c r="A8" s="5" t="inlineStr">
        <is>
          <t>FL_MAT_ABC_2.5kg</t>
        </is>
      </c>
      <c r="B8" s="5" t="inlineStr">
        <is>
          <t>Melisam ABC 2,5 kg (435 × 217 × 125)</t>
        </is>
      </c>
      <c r="C8" s="5" t="n">
        <v>5.1</v>
      </c>
      <c r="D8" s="5" t="inlineStr">
        <is>
          <t>Ficha técnica Melisam</t>
        </is>
      </c>
      <c r="E8" s="21">
        <f>'BOM_FL_MAT_ABC_2.5kg'!G4</f>
        <v/>
      </c>
      <c r="F8" s="22">
        <f>E8/C8-1</f>
        <v/>
      </c>
    </row>
    <row r="9">
      <c r="A9" s="5" t="inlineStr">
        <is>
          <t>FL_MAT_ABC_5kg</t>
        </is>
      </c>
      <c r="B9" s="5" t="inlineStr">
        <is>
          <t>Georgia ABC 90 5 kg (480 × 240 × 175)</t>
        </is>
      </c>
      <c r="C9" s="5" t="n">
        <v>8.9</v>
      </c>
      <c r="D9" s="5" t="inlineStr">
        <is>
          <t>Ficha técnica Georgia</t>
        </is>
      </c>
      <c r="E9" s="21">
        <f>'BOM_FL_MAT_ABC_5kg'!G4</f>
        <v/>
      </c>
      <c r="F9" s="22">
        <f>E9/C9-1</f>
        <v/>
      </c>
    </row>
    <row r="10">
      <c r="A10" s="5" t="inlineStr">
        <is>
          <t>FL_MAT_ABC_5kg</t>
        </is>
      </c>
      <c r="B10" s="5" t="inlineStr">
        <is>
          <t>Melisam ABC 5 kg (466 × 245 × 159)</t>
        </is>
      </c>
      <c r="C10" s="5" t="n">
        <v>8.449999999999999</v>
      </c>
      <c r="D10" s="5" t="inlineStr">
        <is>
          <t>Ficha técnica Melisam</t>
        </is>
      </c>
      <c r="E10" s="21">
        <f>'BOM_FL_MAT_ABC_5kg'!G4</f>
        <v/>
      </c>
      <c r="F10" s="22">
        <f>E10/C10-1</f>
        <v/>
      </c>
    </row>
    <row r="11">
      <c r="A11" s="5" t="inlineStr">
        <is>
          <t>FL_MAT_ABC_10kg</t>
        </is>
      </c>
      <c r="B11" s="5" t="inlineStr">
        <is>
          <t>Georgia ABC 90 10 kg (690 × 250 × 175)</t>
        </is>
      </c>
      <c r="C11" s="5" t="n">
        <v>16.3</v>
      </c>
      <c r="D11" s="5" t="inlineStr">
        <is>
          <t>Ficha técnica Georgia</t>
        </is>
      </c>
      <c r="E11" s="21">
        <f>'BOM_FL_MAT_ABC_10kg'!G4</f>
        <v/>
      </c>
      <c r="F11" s="22">
        <f>E11/C11-1</f>
        <v/>
      </c>
    </row>
    <row r="12">
      <c r="A12" s="5" t="inlineStr">
        <is>
          <t>FL_MAT_ABC_10kg</t>
        </is>
      </c>
      <c r="B12" s="5" t="inlineStr">
        <is>
          <t>Melisam ABC 10 kg (630 × 255 × 179)</t>
        </is>
      </c>
      <c r="C12" s="5" t="n">
        <v>15.5</v>
      </c>
      <c r="D12" s="5" t="inlineStr">
        <is>
          <t>Ficha técnica Melisam</t>
        </is>
      </c>
      <c r="E12" s="21">
        <f>'BOM_FL_MAT_ABC_10kg'!G4</f>
        <v/>
      </c>
      <c r="F12" s="22">
        <f>E12/C12-1</f>
        <v/>
      </c>
    </row>
    <row r="13">
      <c r="A13" s="5" t="inlineStr">
        <is>
          <t>FL_MAT_ABC_25kg</t>
        </is>
      </c>
      <c r="B13" s="5" t="inlineStr">
        <is>
          <t>Georgia ABC 90 25 kg</t>
        </is>
      </c>
      <c r="C13" s="5" t="n">
        <v>55</v>
      </c>
      <c r="D13" s="5" t="inlineStr">
        <is>
          <t>Ficha técnica Georgia</t>
        </is>
      </c>
      <c r="E13" s="21">
        <f>'BOM_FL_MAT_ABC_25kg'!G4</f>
        <v/>
      </c>
      <c r="F13" s="22">
        <f>E13/C13-1</f>
        <v/>
      </c>
    </row>
    <row r="14">
      <c r="A14" s="5" t="inlineStr">
        <is>
          <t>FL_MAT_ABC_50kg</t>
        </is>
      </c>
      <c r="B14" s="5" t="inlineStr">
        <is>
          <t>Georgia ABC 90 50 kg</t>
        </is>
      </c>
      <c r="C14" s="5" t="n">
        <v>100</v>
      </c>
      <c r="D14" s="5" t="inlineStr">
        <is>
          <t>Ficha técnica Georgia</t>
        </is>
      </c>
      <c r="E14" s="21">
        <f>'BOM_FL_MAT_ABC_50kg'!G4</f>
        <v/>
      </c>
      <c r="F14" s="22">
        <f>E14/C14-1</f>
        <v/>
      </c>
    </row>
    <row r="15">
      <c r="A15" s="5" t="inlineStr">
        <is>
          <t>FL_MAT_ABC_70kg</t>
        </is>
      </c>
      <c r="B15" s="5" t="inlineStr">
        <is>
          <t>Georgia ABC 90 70 kg</t>
        </is>
      </c>
      <c r="C15" s="5" t="n">
        <v>140</v>
      </c>
      <c r="D15" s="5" t="inlineStr">
        <is>
          <t>Ficha técnica Georgia</t>
        </is>
      </c>
      <c r="E15" s="21">
        <f>'BOM_FL_MAT_ABC_70kg'!G4</f>
        <v/>
      </c>
      <c r="F15" s="22">
        <f>E15/C15-1</f>
        <v/>
      </c>
    </row>
    <row r="16">
      <c r="A16" s="5" t="inlineStr">
        <is>
          <t>FL_MAT_ABC_100kg</t>
        </is>
      </c>
      <c r="B16" s="5" t="inlineStr">
        <is>
          <t>Georgia ABC 90 100 kg</t>
        </is>
      </c>
      <c r="C16" s="5" t="n">
        <v>185</v>
      </c>
      <c r="D16" s="5" t="inlineStr">
        <is>
          <t>Ficha técnica Georgia</t>
        </is>
      </c>
      <c r="E16" s="21">
        <f>'BOM_FL_MAT_ABC_100kg'!G4</f>
        <v/>
      </c>
      <c r="F16" s="22">
        <f>E16/C16-1</f>
        <v/>
      </c>
    </row>
    <row r="17">
      <c r="A17" s="5" t="inlineStr">
        <is>
          <t>FL_MAT_SALESK_6l</t>
        </is>
      </c>
      <c r="B17" s="5" t="inlineStr">
        <is>
          <t>Melisam acetato 6 L inox (450 × 235 × 179)</t>
        </is>
      </c>
      <c r="C17" s="5" t="n">
        <v>9.5</v>
      </c>
      <c r="D17" s="5" t="inlineStr">
        <is>
          <t>Ficha técnica Melisam</t>
        </is>
      </c>
      <c r="E17" s="21">
        <f>'BOM_FL_MAT_SALESK_6l'!G4</f>
        <v/>
      </c>
      <c r="F17" s="22">
        <f>E17/C17-1</f>
        <v/>
      </c>
    </row>
    <row r="18">
      <c r="A18" s="5" t="inlineStr">
        <is>
          <t>FL_MAT_SALESK_6l</t>
        </is>
      </c>
      <c r="B18" s="5" t="inlineStr">
        <is>
          <t>Georgia/Fadesa acetato 6 L (dato inconsistente con 1,30 g/ml)</t>
        </is>
      </c>
      <c r="C18" s="5" t="n">
        <v>8.25</v>
      </c>
      <c r="D18" s="5" t="inlineStr">
        <is>
          <t>Ficha Georgia / catálogo Fadesa</t>
        </is>
      </c>
      <c r="E18" s="21">
        <f>'BOM_FL_MAT_SALESK_6l'!G4</f>
        <v/>
      </c>
      <c r="F18" s="22">
        <f>E18/C18-1</f>
        <v/>
      </c>
    </row>
    <row r="19">
      <c r="A19" s="5" t="inlineStr">
        <is>
          <t>FL_MAT_CLASED_9l</t>
        </is>
      </c>
      <c r="B19" s="5" t="inlineStr">
        <is>
          <t>Georgia clase D 5 kg (480 × 225 × 153)</t>
        </is>
      </c>
      <c r="C19" s="5" t="n">
        <v>8.5</v>
      </c>
      <c r="D19" s="5" t="inlineStr">
        <is>
          <t>Ficha técnica Georgia (otra capacidad)</t>
        </is>
      </c>
      <c r="E19" s="21">
        <f>'BOM_FL_MAT_CLASED_9l'!G4</f>
        <v/>
      </c>
      <c r="F19" s="22">
        <f>E19/C19-1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65"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65"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65"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65"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65"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65"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(bastidor y ruedas), S5 Carga: agente extintor y gas impulsor, S6 Identificación y precinto, S7 Embalaje</t>
        </is>
      </c>
      <c r="H10" s="65"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65"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65"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65"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65"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65"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65"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(bastidor y ruedas), S5 Carga: agente extintor y gas impulsor, S6 Identificación y precinto, S7 Embalaje</t>
        </is>
      </c>
      <c r="H17" s="65"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(bastidor y ruedas), S5 Carga: agente extintor y gas impulsor, S6 Identificación y precinto, S7 Embalaje</t>
        </is>
      </c>
      <c r="H18" s="65"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(bastidor y ruedas), S5 Carga: agente extintor y gas impulsor, S6 Identificación y precinto, S7 Embalaje</t>
        </is>
      </c>
      <c r="H19" s="65"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(bastidor y ruedas), S5 Carga: agente extintor y gas impulsor, S6 Identificación y precinto, S7 Embalaje</t>
        </is>
      </c>
      <c r="H20" s="65"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66" t="inlineStr">
        <is>
          <t>Extintor ABC 1 kg</t>
        </is>
      </c>
    </row>
    <row r="3">
      <c r="A3" s="2" t="inlineStr">
        <is>
          <t>Plano de origen</t>
        </is>
      </c>
      <c r="C3" t="inlineStr">
        <is>
          <t>FL_MAT_ABC_1kg  (4 láminas)</t>
        </is>
      </c>
      <c r="E3" s="2" t="inlineStr">
        <is>
          <t>Peso vacío S1-S4 (kg)</t>
        </is>
      </c>
      <c r="G3" s="67">
        <f>G12+G24+G39</f>
        <v/>
      </c>
    </row>
    <row r="4">
      <c r="A4" s="2" t="inlineStr">
        <is>
          <t>Plano de despiece</t>
        </is>
      </c>
      <c r="C4" t="inlineStr">
        <is>
          <t>FL_DES_ABC_1kg (salida/despiece/)</t>
        </is>
      </c>
      <c r="E4" s="2" t="inlineStr">
        <is>
          <t>Peso cargado S1-S6 (kg)</t>
        </is>
      </c>
      <c r="G4" s="67">
        <f>G12+G24+G39+G41+G44</f>
        <v/>
      </c>
    </row>
    <row r="5">
      <c r="A5" s="2" t="inlineStr">
        <is>
          <t>Norma del producto</t>
        </is>
      </c>
      <c r="C5" t="inlineStr">
        <is>
          <t>IRAM 3523</t>
        </is>
      </c>
      <c r="E5" s="2" t="inlineStr">
        <is>
          <t>Peso con soporte y embalaje (kg)</t>
        </is>
      </c>
      <c r="G5" s="67">
        <f>G12+G24+G39+G41+G44+G53+G51</f>
        <v/>
      </c>
    </row>
    <row r="6">
      <c r="A6" s="2" t="inlineStr">
        <is>
          <t>Fabricación</t>
        </is>
      </c>
      <c r="C6" t="inlineStr">
        <is>
          <t>Fabricación propia</t>
        </is>
      </c>
      <c r="E6" s="2" t="inlineStr">
        <is>
          <t>Desvío cargado vs catálogo</t>
        </is>
      </c>
      <c r="G6" s="25">
        <f>G4/C7-1</f>
        <v/>
      </c>
    </row>
    <row r="7">
      <c r="A7" s="2" t="inlineStr">
        <is>
          <t>Peso catálogo cargado (kg)</t>
        </is>
      </c>
      <c r="C7" t="n">
        <v>1.9</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FL_MAT_ABC_1kg</t>
        </is>
      </c>
      <c r="C11" s="28" t="inlineStr">
        <is>
          <t>Extintor ABC 1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FL_MAT_ABC_1kg</t>
        </is>
      </c>
      <c r="R11" s="28" t="inlineStr">
        <is>
          <t>Fabricación propia</t>
        </is>
      </c>
    </row>
    <row r="12">
      <c r="A12" s="30" t="n">
        <v>1</v>
      </c>
      <c r="B12" s="30" t="inlineStr">
        <is>
          <t>FL_REC_ABC_1kg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8" t="n">
        <v>3</v>
      </c>
      <c r="B18" s="38" t="inlineStr">
        <is>
          <t>MP-FLEJE</t>
        </is>
      </c>
      <c r="C18" s="39" t="inlineStr">
        <is>
          <t xml:space="preserve">            Fleje e=0,9 × 106 (paso 103)</t>
        </is>
      </c>
      <c r="D18" s="38" t="n">
        <v>0.103</v>
      </c>
      <c r="E18" s="38" t="inlineStr">
        <is>
          <t>m</t>
        </is>
      </c>
      <c r="F18" s="40" t="n">
        <v>0.749</v>
      </c>
      <c r="G18" s="40">
        <f>D18*F18</f>
        <v/>
      </c>
      <c r="H18" s="38" t="inlineStr">
        <is>
          <t>Fleje SAE 1010</t>
        </is>
      </c>
      <c r="I18" s="39" t="inlineStr">
        <is>
          <t>disco Ø100 (kg por m de fleje)</t>
        </is>
      </c>
      <c r="J18" s="38" t="inlineStr">
        <is>
          <t>Compra</t>
        </is>
      </c>
      <c r="K18" s="38" t="inlineStr">
        <is>
          <t>Sí</t>
        </is>
      </c>
      <c r="L18" s="39" t="inlineStr">
        <is>
          <t>Pacheco Chapas</t>
        </is>
      </c>
      <c r="M18" s="39" t="inlineStr">
        <is>
          <t>Pradecon S.A.</t>
        </is>
      </c>
      <c r="N18" s="39" t="inlineStr">
        <is>
          <t>AL-1F porta-flejes</t>
        </is>
      </c>
      <c r="O18" s="39" t="n"/>
      <c r="P18" s="38" t="inlineStr">
        <is>
          <t>L</t>
        </is>
      </c>
      <c r="Q18" s="38" t="inlineStr">
        <is>
          <t>FL_PI_04 h2</t>
        </is>
      </c>
      <c r="R18" s="39" t="inlineStr">
        <is>
          <t>OJO: el fleje es e=0,9 y el plano e=1,25</t>
        </is>
      </c>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41" t="n">
        <v>2</v>
      </c>
      <c r="B20" s="41" t="inlineStr">
        <is>
          <t>ABC1-C1</t>
        </is>
      </c>
      <c r="C20" s="18" t="inlineStr">
        <is>
          <t xml:space="preserve">        Alambre MAG ER70S-6 Ø0,9 (AWS A5.18)</t>
        </is>
      </c>
      <c r="D20" s="41" t="n">
        <v>0.0208</v>
      </c>
      <c r="E20" s="41" t="inlineStr">
        <is>
          <t>kg</t>
        </is>
      </c>
      <c r="F20" s="42" t="n">
        <v>0.95</v>
      </c>
      <c r="G20" s="42">
        <f>D20*F20</f>
        <v/>
      </c>
      <c r="H20" s="41" t="inlineStr">
        <is>
          <t>ER70S-6</t>
        </is>
      </c>
      <c r="I20" s="18" t="inlineStr">
        <is>
          <t>metal depositado de los cordones del plano 20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ABC1-C2</t>
        </is>
      </c>
      <c r="C21" s="18" t="inlineStr">
        <is>
          <t xml:space="preserve">        Gas de protección MAG Arcal 21 / ARCAL Speed (Ar + 8 % CO₂, M20)</t>
        </is>
      </c>
      <c r="D21" s="41" t="n">
        <v>13.3</v>
      </c>
      <c r="E21" s="41" t="inlineStr">
        <is>
          <t>L</t>
        </is>
      </c>
      <c r="F21" s="42" t="n"/>
      <c r="G21" s="42" t="n"/>
      <c r="H21" s="41" t="inlineStr">
        <is>
          <t>EN ISO 14175 M20-ArC-8</t>
        </is>
      </c>
      <c r="I21" s="18" t="inlineStr">
        <is>
          <t>14 L/min × 0,95 min de arco (cordones 570 mm: long. 0 + circ. 479 + cuello 91,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ABC1-C3</t>
        </is>
      </c>
      <c r="C22" s="20" t="inlineStr">
        <is>
          <t xml:space="preserve">        Granalla de acero S330 / S390 (ISO 11124-3, SAE J444)</t>
        </is>
      </c>
      <c r="D22" s="43" t="n">
        <v>0.08</v>
      </c>
      <c r="E22" s="43" t="inlineStr">
        <is>
          <t>kg</t>
        </is>
      </c>
      <c r="F22" s="44" t="n"/>
      <c r="G22" s="44" t="n"/>
      <c r="H22" s="43" t="inlineStr">
        <is>
          <t>Granalla esférica alto C</t>
        </is>
      </c>
      <c r="I22" s="20" t="inlineStr">
        <is>
          <t>0,07 m² a Sa 2½ (ISO 8501-1); 3,4 kg/h ÷ 42,5 u/h</t>
        </is>
      </c>
      <c r="J22" s="43" t="inlineStr">
        <is>
          <t>Compra</t>
        </is>
      </c>
      <c r="K22" s="43" t="inlineStr">
        <is>
          <t>Sí</t>
        </is>
      </c>
      <c r="L22" s="20" t="inlineStr">
        <is>
          <t>CyM Materiales</t>
        </is>
      </c>
      <c r="M22" s="20" t="inlineStr">
        <is>
          <t>Roca Ingeniería</t>
        </is>
      </c>
      <c r="N22" s="20" t="inlineStr">
        <is>
          <t>14 Granallado (B08)</t>
        </is>
      </c>
      <c r="O22" s="20" t="inlineStr">
        <is>
          <t>DOC-01</t>
        </is>
      </c>
      <c r="P22" s="43" t="inlineStr">
        <is>
          <t>C</t>
        </is>
      </c>
      <c r="Q22" s="43"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FL_DES_ABC_1kg</t>
        </is>
      </c>
      <c r="R24" s="31" t="n"/>
    </row>
    <row r="25" outlineLevel="1">
      <c r="A25" s="33" t="n">
        <v>2</v>
      </c>
      <c r="B25" s="33" t="inlineStr">
        <is>
          <t>ABC1-05</t>
        </is>
      </c>
      <c r="C25" s="17" t="inlineStr">
        <is>
          <t xml:space="preserve">        Collarín de válvula</t>
        </is>
      </c>
      <c r="D25" s="33" t="n">
        <v>1</v>
      </c>
      <c r="E25" s="33" t="inlineStr">
        <is>
          <t>u</t>
        </is>
      </c>
      <c r="F25" s="34" t="n">
        <v>0.0464</v>
      </c>
      <c r="G25" s="34">
        <f>D25*F25</f>
        <v/>
      </c>
      <c r="H25" s="33" t="inlineStr">
        <is>
          <t>Latón forjado</t>
        </is>
      </c>
      <c r="I25" s="17" t="inlineStr">
        <is>
          <t>33,8 × 33,8 × 8</t>
        </is>
      </c>
      <c r="J25" s="33" t="inlineStr">
        <is>
          <t>Incluido en válvula HZ</t>
        </is>
      </c>
      <c r="K25" s="33" t="inlineStr">
        <is>
          <t>No</t>
        </is>
      </c>
      <c r="L25" s="17" t="n"/>
      <c r="M25" s="17" t="n"/>
      <c r="N25" s="17" t="inlineStr">
        <is>
          <t>19 Ensamblaje de válvula (T03/T04)</t>
        </is>
      </c>
      <c r="O25" s="17" t="n"/>
      <c r="P25" s="33" t="inlineStr">
        <is>
          <t>P</t>
        </is>
      </c>
      <c r="Q25" s="33" t="inlineStr">
        <is>
          <t>FL_DES_ABC_1kg</t>
        </is>
      </c>
      <c r="R25" s="17" t="n"/>
    </row>
    <row r="26" outlineLevel="1">
      <c r="A26" s="33" t="n">
        <v>2</v>
      </c>
      <c r="B26" s="33" t="inlineStr">
        <is>
          <t>ABC1-06</t>
        </is>
      </c>
      <c r="C26" s="17" t="inlineStr">
        <is>
          <t xml:space="preserve">        Espiga roscada</t>
        </is>
      </c>
      <c r="D26" s="33" t="n">
        <v>1</v>
      </c>
      <c r="E26" s="33" t="inlineStr">
        <is>
          <t>u</t>
        </is>
      </c>
      <c r="F26" s="34" t="n">
        <v>0.011</v>
      </c>
      <c r="G26" s="34">
        <f>D26*F26</f>
        <v/>
      </c>
      <c r="H26" s="33" t="inlineStr">
        <is>
          <t>Latón forjado</t>
        </is>
      </c>
      <c r="I26" s="17" t="inlineStr">
        <is>
          <t>20,4 × 20,4 × 9,6</t>
        </is>
      </c>
      <c r="J26" s="33" t="inlineStr">
        <is>
          <t>Incluido en válvula HZ</t>
        </is>
      </c>
      <c r="K26" s="33" t="inlineStr">
        <is>
          <t>No</t>
        </is>
      </c>
      <c r="L26" s="17" t="n"/>
      <c r="M26" s="17" t="n"/>
      <c r="N26" s="17" t="inlineStr">
        <is>
          <t>19 Ensamblaje de válvula (T03/T04)</t>
        </is>
      </c>
      <c r="O26" s="17" t="n"/>
      <c r="P26" s="33" t="inlineStr">
        <is>
          <t>P</t>
        </is>
      </c>
      <c r="Q26" s="33" t="inlineStr">
        <is>
          <t>FL_DES_ABC_1kg</t>
        </is>
      </c>
      <c r="R26" s="17" t="n"/>
    </row>
    <row r="27" outlineLevel="1">
      <c r="A27" s="33" t="n">
        <v>2</v>
      </c>
      <c r="B27" s="33" t="inlineStr">
        <is>
          <t>ABC1-07</t>
        </is>
      </c>
      <c r="C27" s="17" t="inlineStr">
        <is>
          <t xml:space="preserve">        Cuerpo de válvula</t>
        </is>
      </c>
      <c r="D27" s="33" t="n">
        <v>1</v>
      </c>
      <c r="E27" s="33" t="inlineStr">
        <is>
          <t>u</t>
        </is>
      </c>
      <c r="F27" s="34" t="n">
        <v>0.1044</v>
      </c>
      <c r="G27" s="34">
        <f>D27*F27</f>
        <v/>
      </c>
      <c r="H27" s="33" t="inlineStr">
        <is>
          <t>Latón forjado</t>
        </is>
      </c>
      <c r="I27" s="17" t="inlineStr">
        <is>
          <t>34,2 × 27 × 21,1</t>
        </is>
      </c>
      <c r="J27" s="33" t="inlineStr">
        <is>
          <t>Incluido en válvula HZ</t>
        </is>
      </c>
      <c r="K27" s="33" t="inlineStr">
        <is>
          <t>No</t>
        </is>
      </c>
      <c r="L27" s="17" t="n"/>
      <c r="M27" s="17" t="n"/>
      <c r="N27" s="17" t="inlineStr">
        <is>
          <t>19 Ensamblaje de válvula (T03/T04)</t>
        </is>
      </c>
      <c r="O27" s="17" t="n"/>
      <c r="P27" s="33" t="inlineStr">
        <is>
          <t>P</t>
        </is>
      </c>
      <c r="Q27" s="33" t="inlineStr">
        <is>
          <t>FL_DES_ABC_1kg</t>
        </is>
      </c>
      <c r="R27" s="17" t="n"/>
    </row>
    <row r="28" outlineLevel="1">
      <c r="A28" s="45" t="n">
        <v>2</v>
      </c>
      <c r="B28" s="45" t="inlineStr">
        <is>
          <t>ABC1-08</t>
        </is>
      </c>
      <c r="C28" s="19" t="inlineStr">
        <is>
          <t xml:space="preserve">        Manómetro</t>
        </is>
      </c>
      <c r="D28" s="45" t="n">
        <v>1</v>
      </c>
      <c r="E28" s="45" t="inlineStr">
        <is>
          <t>u</t>
        </is>
      </c>
      <c r="F28" s="46" t="n"/>
      <c r="G28" s="46" t="n"/>
      <c r="H28" s="45" t="inlineStr">
        <is>
          <t>Comercial</t>
        </is>
      </c>
      <c r="I28" s="19" t="inlineStr">
        <is>
          <t>Ø28 esfera, rango 0-3,5 MPa, sector verde en 1,4</t>
        </is>
      </c>
      <c r="J28" s="45" t="inlineStr">
        <is>
          <t>Compra</t>
        </is>
      </c>
      <c r="K28" s="45" t="inlineStr">
        <is>
          <t>Sí</t>
        </is>
      </c>
      <c r="L28" s="19" t="inlineStr">
        <is>
          <t>Yukon / MatafuegosYa S.R.L.</t>
        </is>
      </c>
      <c r="M28" s="19" t="inlineStr">
        <is>
          <t>Matafuegos Iglesias</t>
        </is>
      </c>
      <c r="N28" s="19" t="inlineStr">
        <is>
          <t>19 Ensamblaje de válvula (T03/T04)</t>
        </is>
      </c>
      <c r="O28" s="19" t="inlineStr">
        <is>
          <t>IRAM 3533</t>
        </is>
      </c>
      <c r="P28" s="45" t="inlineStr">
        <is>
          <t>P</t>
        </is>
      </c>
      <c r="Q28" s="45" t="inlineStr">
        <is>
          <t>FL_DES_ABC_1kg</t>
        </is>
      </c>
      <c r="R28" s="19" t="inlineStr">
        <is>
          <t>Pieza comercial; sello IRAM 3533; peso: completar con la ficha del proveedor (no afecta el MRP)</t>
        </is>
      </c>
    </row>
    <row r="29" outlineLevel="1">
      <c r="A29" s="33" t="n">
        <v>2</v>
      </c>
      <c r="B29" s="33" t="inlineStr">
        <is>
          <t>ABC1-09</t>
        </is>
      </c>
      <c r="C29" s="17" t="inlineStr">
        <is>
          <t xml:space="preserve">        Manija de transporte</t>
        </is>
      </c>
      <c r="D29" s="33" t="n">
        <v>1</v>
      </c>
      <c r="E29" s="33" t="inlineStr">
        <is>
          <t>u</t>
        </is>
      </c>
      <c r="F29" s="34" t="n">
        <v>0.0106</v>
      </c>
      <c r="G29" s="34">
        <f>D29*F29</f>
        <v/>
      </c>
      <c r="H29" s="33" t="inlineStr">
        <is>
          <t>Chapa acero SAE 1010 pintada</t>
        </is>
      </c>
      <c r="I29" s="17" t="inlineStr">
        <is>
          <t>26,6 × 16 × 5,9</t>
        </is>
      </c>
      <c r="J29" s="33" t="inlineStr">
        <is>
          <t>Incluido en válvula HZ</t>
        </is>
      </c>
      <c r="K29" s="33" t="inlineStr">
        <is>
          <t>No</t>
        </is>
      </c>
      <c r="L29" s="17" t="n"/>
      <c r="M29" s="17" t="n"/>
      <c r="N29" s="17" t="inlineStr">
        <is>
          <t>19 Ensamblaje de válvula (T03/T04)</t>
        </is>
      </c>
      <c r="O29" s="17" t="n"/>
      <c r="P29" s="33" t="inlineStr">
        <is>
          <t>P</t>
        </is>
      </c>
      <c r="Q29" s="33" t="inlineStr">
        <is>
          <t>FL_DES_ABC_1kg</t>
        </is>
      </c>
      <c r="R29" s="17" t="n"/>
    </row>
    <row r="30" outlineLevel="1">
      <c r="A30" s="33" t="n">
        <v>2</v>
      </c>
      <c r="B30" s="33" t="inlineStr">
        <is>
          <t>ABC1-10</t>
        </is>
      </c>
      <c r="C30" s="17" t="inlineStr">
        <is>
          <t xml:space="preserve">        Manija de accionamiento</t>
        </is>
      </c>
      <c r="D30" s="33" t="n">
        <v>1</v>
      </c>
      <c r="E30" s="33" t="inlineStr">
        <is>
          <t>u</t>
        </is>
      </c>
      <c r="F30" s="34" t="n">
        <v>0.0241</v>
      </c>
      <c r="G30" s="34">
        <f>D30*F30</f>
        <v/>
      </c>
      <c r="H30" s="33" t="inlineStr">
        <is>
          <t>Chapa acero SAE 1010 pintada</t>
        </is>
      </c>
      <c r="I30" s="17" t="inlineStr">
        <is>
          <t>60 × 16 × 10,5</t>
        </is>
      </c>
      <c r="J30" s="33" t="inlineStr">
        <is>
          <t>Incluido en válvula HZ</t>
        </is>
      </c>
      <c r="K30" s="33" t="inlineStr">
        <is>
          <t>No</t>
        </is>
      </c>
      <c r="L30" s="17" t="n"/>
      <c r="M30" s="17" t="n"/>
      <c r="N30" s="17" t="inlineStr">
        <is>
          <t>19 Ensamblaje de válvula (T03/T04)</t>
        </is>
      </c>
      <c r="O30" s="17" t="n"/>
      <c r="P30" s="33" t="inlineStr">
        <is>
          <t>P</t>
        </is>
      </c>
      <c r="Q30" s="33" t="inlineStr">
        <is>
          <t>FL_DES_ABC_1kg</t>
        </is>
      </c>
      <c r="R30" s="17" t="n"/>
    </row>
    <row r="31" outlineLevel="1">
      <c r="A31" s="33" t="n">
        <v>2</v>
      </c>
      <c r="B31" s="33" t="inlineStr">
        <is>
          <t>ABC1-11</t>
        </is>
      </c>
      <c r="C31" s="17" t="inlineStr">
        <is>
          <t xml:space="preserve">        Eje de palanca</t>
        </is>
      </c>
      <c r="D31" s="33" t="n">
        <v>1</v>
      </c>
      <c r="E31" s="33" t="inlineStr">
        <is>
          <t>u</t>
        </is>
      </c>
      <c r="F31" s="34" t="n">
        <v>0.0041</v>
      </c>
      <c r="G31" s="34">
        <f>D31*F31</f>
        <v/>
      </c>
      <c r="H31" s="33" t="inlineStr">
        <is>
          <t>Acero inox. AISI 304</t>
        </is>
      </c>
      <c r="I31" s="17" t="inlineStr">
        <is>
          <t>28,8 × 4,8 × 4,8</t>
        </is>
      </c>
      <c r="J31" s="33" t="inlineStr">
        <is>
          <t>Incluido en válvula HZ</t>
        </is>
      </c>
      <c r="K31" s="33" t="inlineStr">
        <is>
          <t>No</t>
        </is>
      </c>
      <c r="L31" s="17" t="n"/>
      <c r="M31" s="17" t="n"/>
      <c r="N31" s="17" t="inlineStr">
        <is>
          <t>19 Ensamblaje de válvula (T03/T04)</t>
        </is>
      </c>
      <c r="O31" s="17" t="n"/>
      <c r="P31" s="33" t="inlineStr">
        <is>
          <t>P</t>
        </is>
      </c>
      <c r="Q31" s="33" t="inlineStr">
        <is>
          <t>FL_DES_ABC_1kg</t>
        </is>
      </c>
      <c r="R31" s="17" t="n"/>
    </row>
    <row r="32" outlineLevel="1">
      <c r="A32" s="33" t="n">
        <v>2</v>
      </c>
      <c r="B32" s="33" t="inlineStr">
        <is>
          <t>ABC1-12</t>
        </is>
      </c>
      <c r="C32" s="17" t="inlineStr">
        <is>
          <t xml:space="preserve">        Vástago</t>
        </is>
      </c>
      <c r="D32" s="33" t="n">
        <v>1</v>
      </c>
      <c r="E32" s="33" t="inlineStr">
        <is>
          <t>u</t>
        </is>
      </c>
      <c r="F32" s="34" t="n">
        <v>0.0009</v>
      </c>
      <c r="G32" s="34">
        <f>D32*F32</f>
        <v/>
      </c>
      <c r="H32" s="33" t="inlineStr">
        <is>
          <t>Latón</t>
        </is>
      </c>
      <c r="I32" s="17" t="inlineStr">
        <is>
          <t>6,4 × 6,4 × 3,4</t>
        </is>
      </c>
      <c r="J32" s="33" t="inlineStr">
        <is>
          <t>Incluido en válvula HZ</t>
        </is>
      </c>
      <c r="K32" s="33" t="inlineStr">
        <is>
          <t>No</t>
        </is>
      </c>
      <c r="L32" s="17" t="n"/>
      <c r="M32" s="17" t="n"/>
      <c r="N32" s="17" t="inlineStr">
        <is>
          <t>19 Ensamblaje de válvula (T03/T04)</t>
        </is>
      </c>
      <c r="O32" s="17" t="n"/>
      <c r="P32" s="33" t="inlineStr">
        <is>
          <t>P</t>
        </is>
      </c>
      <c r="Q32" s="33" t="inlineStr">
        <is>
          <t>FL_DES_ABC_1kg</t>
        </is>
      </c>
      <c r="R32" s="17" t="inlineStr">
        <is>
          <t>con junta tórica</t>
        </is>
      </c>
    </row>
    <row r="33" outlineLevel="1">
      <c r="A33" s="33" t="n">
        <v>2</v>
      </c>
      <c r="B33" s="33" t="inlineStr">
        <is>
          <t>ABC1-13</t>
        </is>
      </c>
      <c r="C33" s="17" t="inlineStr">
        <is>
          <t xml:space="preserve">        Pasador de seguridad</t>
        </is>
      </c>
      <c r="D33" s="33" t="n">
        <v>1</v>
      </c>
      <c r="E33" s="33" t="inlineStr">
        <is>
          <t>u</t>
        </is>
      </c>
      <c r="F33" s="34" t="n">
        <v>0.0028</v>
      </c>
      <c r="G33" s="34">
        <f>D33*F33</f>
        <v/>
      </c>
      <c r="H33" s="33" t="inlineStr">
        <is>
          <t>Alambre acero inox. AISI 304</t>
        </is>
      </c>
      <c r="I33" s="17" t="inlineStr">
        <is>
          <t>36,3 × 16,8 × 16,6</t>
        </is>
      </c>
      <c r="J33" s="33" t="inlineStr">
        <is>
          <t>Incluido en válvula HZ</t>
        </is>
      </c>
      <c r="K33" s="33" t="inlineStr">
        <is>
          <t>No</t>
        </is>
      </c>
      <c r="L33" s="17" t="n"/>
      <c r="M33" s="17" t="n"/>
      <c r="N33" s="17" t="inlineStr">
        <is>
          <t>19 Ensamblaje de válvula (T03/T04)</t>
        </is>
      </c>
      <c r="O33" s="17" t="n"/>
      <c r="P33" s="33" t="inlineStr">
        <is>
          <t>P</t>
        </is>
      </c>
      <c r="Q33" s="33" t="inlineStr">
        <is>
          <t>FL_DES_ABC_1kg</t>
        </is>
      </c>
      <c r="R33" s="17" t="inlineStr">
        <is>
          <t>con precinto</t>
        </is>
      </c>
    </row>
    <row r="34" outlineLevel="1">
      <c r="A34" s="33" t="n">
        <v>2</v>
      </c>
      <c r="B34" s="33" t="inlineStr">
        <is>
          <t>ABC1-14</t>
        </is>
      </c>
      <c r="C34" s="17" t="inlineStr">
        <is>
          <t xml:space="preserve">        Caño de pesca (sifón)</t>
        </is>
      </c>
      <c r="D34" s="33" t="n">
        <v>1</v>
      </c>
      <c r="E34" s="33" t="inlineStr">
        <is>
          <t>u</t>
        </is>
      </c>
      <c r="F34" s="34" t="n">
        <v>0.0119</v>
      </c>
      <c r="G34" s="34">
        <f>D34*F34</f>
        <v/>
      </c>
      <c r="H34" s="33" t="inlineStr">
        <is>
          <t>Tubo PVC rígido</t>
        </is>
      </c>
      <c r="I34" s="17" t="inlineStr">
        <is>
          <t>Ø9,6 × 269,1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FL_DES_ABC_1kg</t>
        </is>
      </c>
      <c r="R34" s="17" t="n"/>
    </row>
    <row r="35" outlineLevel="1">
      <c r="A35" s="33" t="n">
        <v>2</v>
      </c>
      <c r="B35" s="33" t="inlineStr">
        <is>
          <t>ABC1-20</t>
        </is>
      </c>
      <c r="C35" s="17" t="inlineStr">
        <is>
          <t xml:space="preserve">        Junta tórica de asiento</t>
        </is>
      </c>
      <c r="D35" s="33" t="n">
        <v>1</v>
      </c>
      <c r="E35" s="33" t="inlineStr">
        <is>
          <t>u</t>
        </is>
      </c>
      <c r="F35" s="34" t="n">
        <v>0.0007</v>
      </c>
      <c r="G35" s="34">
        <f>D35*F35</f>
        <v/>
      </c>
      <c r="H35" s="33" t="inlineStr">
        <is>
          <t>NBR 70 Shore A</t>
        </is>
      </c>
      <c r="I35" s="17" t="inlineStr">
        <is>
          <t>Ø23,4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FL_DES_ABC_1kg</t>
        </is>
      </c>
      <c r="R35" s="17" t="inlineStr">
        <is>
          <t>cambio c/recarga</t>
        </is>
      </c>
    </row>
    <row r="36" outlineLevel="1">
      <c r="A36" s="33" t="n">
        <v>2</v>
      </c>
      <c r="B36" s="33" t="inlineStr">
        <is>
          <t>ABC1-K2</t>
        </is>
      </c>
      <c r="C36" s="17" t="inlineStr">
        <is>
          <t xml:space="preserve">        Válvula HZ armada M-22 1 kg c/tubo de pesca plástico</t>
        </is>
      </c>
      <c r="D36" s="33" t="n">
        <v>1</v>
      </c>
      <c r="E36" s="33" t="inlineStr">
        <is>
          <t>u</t>
        </is>
      </c>
      <c r="F36" s="34" t="n"/>
      <c r="G36" s="34" t="n"/>
      <c r="H36" s="33" t="inlineStr">
        <is>
          <t>Latón forjado (HZ)</t>
        </is>
      </c>
      <c r="I36" s="17" t="inlineStr">
        <is>
          <t>rosca M22x1,5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FL_DES_ABC_1kg</t>
        </is>
      </c>
      <c r="R36" s="17" t="inlineStr">
        <is>
          <t>Lista de precios HZ (Q-AGENTES); plano Fadesa usa válvula HZ (R-FADESA). Trae las piezas marcadas «Incluido en válvula HZ»</t>
        </is>
      </c>
    </row>
    <row r="37" outlineLevel="1">
      <c r="A37" s="33" t="n">
        <v>2</v>
      </c>
      <c r="B37" s="33" t="inlineStr">
        <is>
          <t>ABC1-V2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ABC1-S3</t>
        </is>
      </c>
      <c r="C39" s="31" t="inlineStr">
        <is>
          <t xml:space="preserve">    Dispositivo de descarga</t>
        </is>
      </c>
      <c r="D39" s="30" t="n">
        <v>1</v>
      </c>
      <c r="E39" s="30" t="inlineStr">
        <is>
          <t>u</t>
        </is>
      </c>
      <c r="F39" s="32" t="n"/>
      <c r="G39" s="32">
        <f>G40</f>
        <v/>
      </c>
      <c r="H39" s="30" t="n"/>
      <c r="I39" s="31" t="n"/>
      <c r="J39" s="30" t="inlineStr">
        <is>
          <t>Compra / armado</t>
        </is>
      </c>
      <c r="K39" s="30" t="n"/>
      <c r="L39" s="31" t="n"/>
      <c r="M39" s="31" t="n"/>
      <c r="N39" s="31" t="n"/>
      <c r="O39" s="31" t="n"/>
      <c r="P39" s="30" t="inlineStr">
        <is>
          <t>P</t>
        </is>
      </c>
      <c r="Q39" s="30" t="inlineStr">
        <is>
          <t>FL_DES_ABC_1kg</t>
        </is>
      </c>
      <c r="R39" s="31" t="n"/>
    </row>
    <row r="40" outlineLevel="1">
      <c r="A40" s="33" t="n">
        <v>2</v>
      </c>
      <c r="B40" s="33" t="inlineStr">
        <is>
          <t>ABC1-15</t>
        </is>
      </c>
      <c r="C40" s="17" t="inlineStr">
        <is>
          <t xml:space="preserve">        Tobera</t>
        </is>
      </c>
      <c r="D40" s="33" t="n">
        <v>1</v>
      </c>
      <c r="E40" s="33" t="inlineStr">
        <is>
          <t>u</t>
        </is>
      </c>
      <c r="F40" s="34" t="n">
        <v>0.0007</v>
      </c>
      <c r="G40" s="34">
        <f>D40*F40</f>
        <v/>
      </c>
      <c r="H40" s="33" t="inlineStr">
        <is>
          <t>Polipropileno</t>
        </is>
      </c>
      <c r="I40" s="17" t="inlineStr">
        <is>
          <t>26 × 9,6 × 9,6</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FL_DES_ABC_1kg</t>
        </is>
      </c>
      <c r="R40" s="17" t="n"/>
    </row>
    <row r="41">
      <c r="A41" s="30" t="n">
        <v>1</v>
      </c>
      <c r="B41" s="30" t="inlineStr">
        <is>
          <t>ABC1-S5</t>
        </is>
      </c>
      <c r="C41" s="31" t="inlineStr">
        <is>
          <t xml:space="preserve">    Carga: agente extintor y gas impulsor</t>
        </is>
      </c>
      <c r="D41" s="30" t="n">
        <v>1</v>
      </c>
      <c r="E41" s="30" t="inlineStr">
        <is>
          <t>u</t>
        </is>
      </c>
      <c r="F41" s="32" t="n"/>
      <c r="G41" s="32">
        <f>G42+G43</f>
        <v/>
      </c>
      <c r="H41" s="30" t="n"/>
      <c r="I41" s="31" t="n"/>
      <c r="J41" s="30" t="inlineStr">
        <is>
          <t>Carga en planta</t>
        </is>
      </c>
      <c r="K41" s="30" t="n"/>
      <c r="L41" s="31" t="n"/>
      <c r="M41" s="31" t="n"/>
      <c r="N41" s="31" t="inlineStr">
        <is>
          <t>18 Carga de polvo (T01) / C8 (T02)</t>
        </is>
      </c>
      <c r="O41" s="31" t="n"/>
      <c r="P41" s="30" t="n"/>
      <c r="Q41" s="30" t="n"/>
      <c r="R41" s="31" t="n"/>
    </row>
    <row r="42" outlineLevel="1">
      <c r="A42" s="33" t="n">
        <v>2</v>
      </c>
      <c r="B42" s="33" t="inlineStr">
        <is>
          <t>ABC1-A1</t>
        </is>
      </c>
      <c r="C42" s="17" t="inlineStr">
        <is>
          <t xml:space="preserve">        Polvo químico seco ABC 60 (Sello IRAM 3569)</t>
        </is>
      </c>
      <c r="D42" s="33" t="n">
        <v>1.05</v>
      </c>
      <c r="E42" s="33" t="inlineStr">
        <is>
          <t>kg</t>
        </is>
      </c>
      <c r="F42" s="34" t="n">
        <v>1</v>
      </c>
      <c r="G42" s="34">
        <f>D42*F42</f>
        <v/>
      </c>
      <c r="H42" s="33" t="inlineStr">
        <is>
          <t>Polvo químico seco ABC 60 (Sello IRAM 3569)</t>
        </is>
      </c>
      <c r="I42" s="17" t="inlineStr">
        <is>
          <t>nominal 1 kg; tolerancia 0 / +100 g (IRAM 3517-2:2020 tabla 3 · IRAM 3523 tabla II)</t>
        </is>
      </c>
      <c r="J42" s="33" t="inlineStr">
        <is>
          <t>Compra</t>
        </is>
      </c>
      <c r="K42" s="33" t="inlineStr">
        <is>
          <t>Sí</t>
        </is>
      </c>
      <c r="L42" s="17" t="inlineStr">
        <is>
          <t>DEM S.A. (DEMSA)</t>
        </is>
      </c>
      <c r="M42" s="17" t="inlineStr">
        <is>
          <t>Polvex S.R.L. / Sancibrao</t>
        </is>
      </c>
      <c r="N42" s="17" t="inlineStr">
        <is>
          <t>SP-1 almacén previo a la carga</t>
        </is>
      </c>
      <c r="O42" s="17" t="inlineStr">
        <is>
          <t>IRAM 3569</t>
        </is>
      </c>
      <c r="P42" s="33" t="inlineStr">
        <is>
          <t>N</t>
        </is>
      </c>
      <c r="Q42" s="33" t="n"/>
      <c r="R42"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3" outlineLevel="1">
      <c r="A43" s="41" t="n">
        <v>2</v>
      </c>
      <c r="B43" s="41" t="inlineStr">
        <is>
          <t>ABC1-A2</t>
        </is>
      </c>
      <c r="C43" s="18" t="inlineStr">
        <is>
          <t xml:space="preserve">        Gas impulsor: N₂</t>
        </is>
      </c>
      <c r="D43" s="41" t="n">
        <v>0.0047</v>
      </c>
      <c r="E43" s="41" t="inlineStr">
        <is>
          <t>kg</t>
        </is>
      </c>
      <c r="F43" s="42" t="n">
        <v>1</v>
      </c>
      <c r="G43" s="42">
        <f>D43*F43</f>
        <v/>
      </c>
      <c r="H43" s="41" t="inlineStr">
        <is>
          <t>N₂</t>
        </is>
      </c>
      <c r="I43" s="18" t="inlineStr">
        <is>
          <t>3,7 L normales para 1,4 MPa a 20 °C en 0,27 dm³ libres</t>
        </is>
      </c>
      <c r="J43" s="41" t="inlineStr">
        <is>
          <t>Compra</t>
        </is>
      </c>
      <c r="K43" s="41" t="inlineStr">
        <is>
          <t>Sí</t>
        </is>
      </c>
      <c r="L43" s="18" t="inlineStr">
        <is>
          <t>Air Liquide Argentina - sucursal Piñeyro</t>
        </is>
      </c>
      <c r="M43" s="18" t="inlineStr">
        <is>
          <t>Gogniat</t>
        </is>
      </c>
      <c r="N43" s="18" t="inlineStr">
        <is>
          <t>20 Presurización (T05) / C10</t>
        </is>
      </c>
      <c r="O43" s="18" t="inlineStr">
        <is>
          <t>IRAM 3517-2 9.4.9 (tabla 2) · IRAM 3523 2.3 y 3.10</t>
        </is>
      </c>
      <c r="P43" s="41" t="inlineStr">
        <is>
          <t>C</t>
        </is>
      </c>
      <c r="Q43" s="41" t="n"/>
      <c r="R43" s="18" t="inlineStr">
        <is>
          <t>N₂ ≥ 99,8 %, H₂O ≤ 40 ppm (Q-N2, Air Liquide) · volumen libre con ρ empacada mínima 1,1 kg/dm³ (NOM-104-STPS-2001); confirmar con descarga ≥ 85 % (IRAM 3523 4.9.1)</t>
        </is>
      </c>
    </row>
    <row r="44">
      <c r="A44" s="30" t="n">
        <v>1</v>
      </c>
      <c r="B44" s="30" t="inlineStr">
        <is>
          <t>ABC1-S6</t>
        </is>
      </c>
      <c r="C44" s="31" t="inlineStr">
        <is>
          <t xml:space="preserve">    Identificación y precinto</t>
        </is>
      </c>
      <c r="D44" s="30" t="n">
        <v>1</v>
      </c>
      <c r="E44" s="30" t="inlineStr">
        <is>
          <t>u</t>
        </is>
      </c>
      <c r="F44" s="32" t="n"/>
      <c r="G44" s="32">
        <f>G45+G46+G47+G48+G49+G50</f>
        <v/>
      </c>
      <c r="H44" s="30" t="n"/>
      <c r="I44" s="31" t="n"/>
      <c r="J44" s="30" t="inlineStr">
        <is>
          <t>Compra</t>
        </is>
      </c>
      <c r="K44" s="30" t="n"/>
      <c r="L44" s="31" t="n"/>
      <c r="M44" s="31" t="n"/>
      <c r="N44" s="31" t="inlineStr">
        <is>
          <t>22 Etiquetado (T07)</t>
        </is>
      </c>
      <c r="O44" s="31" t="n"/>
      <c r="P44" s="30" t="n"/>
      <c r="Q44" s="30" t="n"/>
      <c r="R44" s="31" t="n"/>
    </row>
    <row r="45" outlineLevel="1">
      <c r="A45" s="33" t="n">
        <v>2</v>
      </c>
      <c r="B45" s="33" t="inlineStr">
        <is>
          <t>ABC1-16</t>
        </is>
      </c>
      <c r="C45" s="17" t="inlineStr">
        <is>
          <t xml:space="preserve">        Etiqueta / placa de características</t>
        </is>
      </c>
      <c r="D45" s="33" t="n">
        <v>1</v>
      </c>
      <c r="E45" s="33" t="inlineStr">
        <is>
          <t>u</t>
        </is>
      </c>
      <c r="F45" s="34" t="n">
        <v>0.009599999999999999</v>
      </c>
      <c r="G45" s="34">
        <f>D45*F45</f>
        <v/>
      </c>
      <c r="H45" s="33" t="inlineStr">
        <is>
          <t>Vinilo autoadhesivo laminado</t>
        </is>
      </c>
      <c r="I45" s="17" t="inlineStr">
        <is>
          <t>168 × 136 (desarrollo × alto: panel central 108° + 2 alas laterales), e ≈ 0,3, laminado UV</t>
        </is>
      </c>
      <c r="J45" s="33" t="inlineStr">
        <is>
          <t>Compra</t>
        </is>
      </c>
      <c r="K45" s="33" t="inlineStr">
        <is>
          <t>Sí</t>
        </is>
      </c>
      <c r="L45" s="17" t="inlineStr">
        <is>
          <t>Astuprint</t>
        </is>
      </c>
      <c r="M45" s="17" t="inlineStr">
        <is>
          <t>Multilabel Argentina S.A.</t>
        </is>
      </c>
      <c r="N45" s="17" t="inlineStr">
        <is>
          <t>22 Etiquetado (T07)</t>
        </is>
      </c>
      <c r="O45" s="17" t="inlineStr">
        <is>
          <t>IRAM 3534 · IRAM 3523 cap. 5 · relevamiento de mercado</t>
        </is>
      </c>
      <c r="P45" s="33" t="inlineStr">
        <is>
          <t>P</t>
        </is>
      </c>
      <c r="Q45" s="33" t="inlineStr">
        <is>
          <t>FL_DES_ABC_1kg</t>
        </is>
      </c>
      <c r="R45" s="17" t="inlineStr">
        <is>
          <t>IRAM 3534</t>
        </is>
      </c>
    </row>
    <row r="46" outlineLevel="1">
      <c r="A46" s="33" t="n">
        <v>2</v>
      </c>
      <c r="B46" s="33" t="inlineStr">
        <is>
          <t>ABC1-17</t>
        </is>
      </c>
      <c r="C46" s="17" t="inlineStr">
        <is>
          <t xml:space="preserve">        Oblea de fabricación (PBA)</t>
        </is>
      </c>
      <c r="D46" s="33" t="n">
        <v>1</v>
      </c>
      <c r="E46" s="33" t="inlineStr">
        <is>
          <t>u</t>
        </is>
      </c>
      <c r="F46" s="34" t="n">
        <v>0.0009</v>
      </c>
      <c r="G46" s="34">
        <f>D46*F46</f>
        <v/>
      </c>
      <c r="H46" s="33" t="inlineStr">
        <is>
          <t>Papel de seguridad autodestructible</t>
        </is>
      </c>
      <c r="I46" s="17" t="inlineStr">
        <is>
          <t>Ø46 (Res. OPDS 522/07), numerada, autodestructible</t>
        </is>
      </c>
      <c r="J46" s="33" t="inlineStr">
        <is>
          <t>Compra</t>
        </is>
      </c>
      <c r="K46" s="33" t="inlineStr">
        <is>
          <t>Sí</t>
        </is>
      </c>
      <c r="L46" s="17" t="inlineStr">
        <is>
          <t>Ministerio de Ambiente PBA (ex OPDS)</t>
        </is>
      </c>
      <c r="M46" s="17" t="inlineStr">
        <is>
          <t>-</t>
        </is>
      </c>
      <c r="N46" s="17" t="inlineStr">
        <is>
          <t>22 Etiquetado (T07)</t>
        </is>
      </c>
      <c r="O46" s="17" t="inlineStr">
        <is>
          <t>Res. OPDS 522/07 anexos 1, 2 y 6</t>
        </is>
      </c>
      <c r="P46" s="33" t="inlineStr">
        <is>
          <t>P</t>
        </is>
      </c>
      <c r="Q46" s="33" t="inlineStr">
        <is>
          <t>FL_DES_ABC_1kg</t>
        </is>
      </c>
      <c r="R46" s="17" t="inlineStr">
        <is>
          <t>Res. 522/07</t>
        </is>
      </c>
    </row>
    <row r="47" outlineLevel="1">
      <c r="A47" s="33" t="n">
        <v>2</v>
      </c>
      <c r="B47" s="33" t="inlineStr">
        <is>
          <t>ABC1-18</t>
        </is>
      </c>
      <c r="C47" s="17" t="inlineStr">
        <is>
          <t xml:space="preserve">        Estampilla IRAM de conformidad</t>
        </is>
      </c>
      <c r="D47" s="33" t="n">
        <v>1</v>
      </c>
      <c r="E47" s="33" t="inlineStr">
        <is>
          <t>u</t>
        </is>
      </c>
      <c r="F47" s="34" t="n">
        <v>0.001</v>
      </c>
      <c r="G47" s="34">
        <f>D47*F47</f>
        <v/>
      </c>
      <c r="H47" s="33" t="inlineStr">
        <is>
          <t>Provista por IRAM (Anexo R)</t>
        </is>
      </c>
      <c r="I47" s="17" t="inlineStr">
        <is>
          <t>60 × 40</t>
        </is>
      </c>
      <c r="J47" s="33" t="inlineStr">
        <is>
          <t>Compra</t>
        </is>
      </c>
      <c r="K47" s="33" t="inlineStr">
        <is>
          <t>Sí</t>
        </is>
      </c>
      <c r="L47" s="17" t="inlineStr">
        <is>
          <t>IRAM - Instituto Argentino de Normalización</t>
        </is>
      </c>
      <c r="M47" s="17" t="inlineStr">
        <is>
          <t>-</t>
        </is>
      </c>
      <c r="N47" s="17" t="inlineStr">
        <is>
          <t>22 Etiquetado (T07)</t>
        </is>
      </c>
      <c r="O47" s="17" t="inlineStr">
        <is>
          <t>IRAM Anexo R (DC-PG-129)</t>
        </is>
      </c>
      <c r="P47" s="33" t="inlineStr">
        <is>
          <t>P</t>
        </is>
      </c>
      <c r="Q47" s="33" t="inlineStr">
        <is>
          <t>FL_DES_ABC_1kg</t>
        </is>
      </c>
      <c r="R47" s="17" t="inlineStr">
        <is>
          <t>numerada</t>
        </is>
      </c>
    </row>
    <row r="48" outlineLevel="1">
      <c r="A48" s="33" t="n">
        <v>2</v>
      </c>
      <c r="B48" s="33" t="inlineStr">
        <is>
          <t>ABC1-19</t>
        </is>
      </c>
      <c r="C48" s="17" t="inlineStr">
        <is>
          <t xml:space="preserve">        Etiqueta de n° de serie GS1</t>
        </is>
      </c>
      <c r="D48" s="33" t="n">
        <v>1</v>
      </c>
      <c r="E48" s="33" t="inlineStr">
        <is>
          <t>u</t>
        </is>
      </c>
      <c r="F48" s="34" t="n">
        <v>0.0005</v>
      </c>
      <c r="G48" s="34">
        <f>D48*F48</f>
        <v/>
      </c>
      <c r="H48" s="33" t="inlineStr">
        <is>
          <t>Poliéster autoadhesivo impreso térmico</t>
        </is>
      </c>
      <c r="I48" s="17" t="inlineStr">
        <is>
          <t>45 × 25</t>
        </is>
      </c>
      <c r="J48" s="33" t="inlineStr">
        <is>
          <t>Compra</t>
        </is>
      </c>
      <c r="K48" s="33" t="inlineStr">
        <is>
          <t>Sí</t>
        </is>
      </c>
      <c r="L48" s="17" t="inlineStr">
        <is>
          <t>Astuprint</t>
        </is>
      </c>
      <c r="M48" s="17" t="inlineStr">
        <is>
          <t>GS1 Argentina</t>
        </is>
      </c>
      <c r="N48" s="17" t="inlineStr">
        <is>
          <t>22 Etiquetado (T07)</t>
        </is>
      </c>
      <c r="O48" s="17" t="inlineStr">
        <is>
          <t>GS1 Argentina (GTIN 779) · trazabilidad IRAM 3523 5.1</t>
        </is>
      </c>
      <c r="P48" s="33" t="inlineStr">
        <is>
          <t>P</t>
        </is>
      </c>
      <c r="Q48" s="33" t="inlineStr">
        <is>
          <t>FL_DES_ABC_1kg</t>
        </is>
      </c>
      <c r="R48" s="17" t="inlineStr">
        <is>
          <t>QR GTIN + serie</t>
        </is>
      </c>
    </row>
    <row r="49" outlineLevel="1">
      <c r="A49" s="33" t="n">
        <v>2</v>
      </c>
      <c r="B49" s="33" t="inlineStr">
        <is>
          <t>ABC1-21</t>
        </is>
      </c>
      <c r="C49" s="17" t="inlineStr">
        <is>
          <t xml:space="preserve">        Faja de garantía válvula-cuello</t>
        </is>
      </c>
      <c r="D49" s="33" t="n">
        <v>1</v>
      </c>
      <c r="E49" s="33" t="inlineStr">
        <is>
          <t>u</t>
        </is>
      </c>
      <c r="F49" s="34" t="n">
        <v>0.0003</v>
      </c>
      <c r="G49" s="34">
        <f>D49*F49</f>
        <v/>
      </c>
      <c r="H49" s="33" t="inlineStr">
        <is>
          <t>Vinilo destructible rayado rojo/blanco</t>
        </is>
      </c>
      <c r="I49" s="17" t="inlineStr">
        <is>
          <t>30 × 40</t>
        </is>
      </c>
      <c r="J49" s="33" t="inlineStr">
        <is>
          <t>Compra</t>
        </is>
      </c>
      <c r="K49" s="33" t="inlineStr">
        <is>
          <t>Sí</t>
        </is>
      </c>
      <c r="L49" s="17" t="inlineStr">
        <is>
          <t>Astuprint</t>
        </is>
      </c>
      <c r="M49" s="17" t="inlineStr">
        <is>
          <t>Multilabel Argentina S.A.</t>
        </is>
      </c>
      <c r="N49" s="17" t="inlineStr">
        <is>
          <t>22 Etiquetado (T07)</t>
        </is>
      </c>
      <c r="O49" s="17" t="inlineStr">
        <is>
          <t>Sin norma: práctica de mercado (garantía de fábrica)</t>
        </is>
      </c>
      <c r="P49" s="33" t="inlineStr">
        <is>
          <t>P</t>
        </is>
      </c>
      <c r="Q49" s="33" t="inlineStr">
        <is>
          <t>FL_DES_ABC_1kg</t>
        </is>
      </c>
      <c r="R49" s="17" t="inlineStr">
        <is>
          <t>nuevo sin abrir</t>
        </is>
      </c>
    </row>
    <row r="50" outlineLevel="1">
      <c r="A50" s="33" t="n">
        <v>2</v>
      </c>
      <c r="B50" s="33" t="inlineStr">
        <is>
          <t>ABC1-22</t>
        </is>
      </c>
      <c r="C50" s="17" t="inlineStr">
        <is>
          <t xml:space="preserve">        Precinto de fábrica</t>
        </is>
      </c>
      <c r="D50" s="33" t="n">
        <v>1</v>
      </c>
      <c r="E50" s="33" t="inlineStr">
        <is>
          <t>u</t>
        </is>
      </c>
      <c r="F50" s="34" t="n">
        <v>0.0002</v>
      </c>
      <c r="G50" s="34">
        <f>D50*F50</f>
        <v/>
      </c>
      <c r="H50" s="33" t="inlineStr">
        <is>
          <t>Polipropileno color</t>
        </is>
      </c>
      <c r="I50" s="17" t="inlineStr">
        <is>
          <t>Ø5 × 10, numerado, rotura 30-50 N</t>
        </is>
      </c>
      <c r="J50" s="33" t="inlineStr">
        <is>
          <t>Compra</t>
        </is>
      </c>
      <c r="K50" s="33" t="inlineStr">
        <is>
          <t>Sí</t>
        </is>
      </c>
      <c r="L50" s="17" t="inlineStr">
        <is>
          <t>SonFuertes (vía Papelera Damián)</t>
        </is>
      </c>
      <c r="M50" s="17" t="inlineStr">
        <is>
          <t>Precinter S.R.L.</t>
        </is>
      </c>
      <c r="N50" s="17" t="inlineStr">
        <is>
          <t>20 Presurización (T05)</t>
        </is>
      </c>
      <c r="O50" s="17" t="inlineStr">
        <is>
          <t>IRAM 3523 3.3.2 · IRAM 3517-2:2020 9.4.13</t>
        </is>
      </c>
      <c r="P50" s="33" t="inlineStr">
        <is>
          <t>P</t>
        </is>
      </c>
      <c r="Q50" s="33" t="inlineStr">
        <is>
          <t>FL_DES_ABC_1kg</t>
        </is>
      </c>
      <c r="R50" s="17" t="inlineStr">
        <is>
          <t>id. FLAMA y lote</t>
        </is>
      </c>
    </row>
    <row r="51">
      <c r="A51" s="30" t="n">
        <v>1</v>
      </c>
      <c r="B51" s="30" t="inlineStr">
        <is>
          <t>ABC1-S8</t>
        </is>
      </c>
      <c r="C51" s="31" t="inlineStr">
        <is>
          <t xml:space="preserve">    Soporte (accesorio de montaje)</t>
        </is>
      </c>
      <c r="D51" s="30" t="n">
        <v>1</v>
      </c>
      <c r="E51" s="30" t="inlineStr">
        <is>
          <t>u</t>
        </is>
      </c>
      <c r="F51" s="32" t="n"/>
      <c r="G51" s="32">
        <f>G52</f>
        <v/>
      </c>
      <c r="H51" s="30" t="n"/>
      <c r="I51" s="31" t="n"/>
      <c r="J51" s="30" t="inlineStr">
        <is>
          <t>Compra</t>
        </is>
      </c>
      <c r="K51" s="30" t="n"/>
      <c r="L51" s="31" t="n"/>
      <c r="M51" s="31" t="n"/>
      <c r="N51" s="31" t="inlineStr">
        <is>
          <t>23 Embalaje (va dentro de la caja)</t>
        </is>
      </c>
      <c r="O51" s="31" t="inlineStr">
        <is>
          <t>IRAM 3517-2 7.4</t>
        </is>
      </c>
      <c r="P51" s="30" t="n"/>
      <c r="Q51" s="30" t="n"/>
      <c r="R51" s="31" t="n"/>
    </row>
    <row r="52" outlineLevel="1">
      <c r="A52" s="33" t="n">
        <v>2</v>
      </c>
      <c r="B52" s="33" t="inlineStr">
        <is>
          <t>ABC1-I7</t>
        </is>
      </c>
      <c r="C52" s="17" t="inlineStr">
        <is>
          <t xml:space="preserve">        Soporte vehicular con cierre rápido (FL_ACC_02)</t>
        </is>
      </c>
      <c r="D52" s="33" t="n">
        <v>1</v>
      </c>
      <c r="E52" s="33" t="inlineStr">
        <is>
          <t>u</t>
        </is>
      </c>
      <c r="F52" s="34" t="n">
        <v>0.631</v>
      </c>
      <c r="G52" s="34">
        <f>D52*F52</f>
        <v/>
      </c>
      <c r="H52" s="33" t="inlineStr">
        <is>
          <t>Chapa acero SAE 1010 e=2,5 pintada</t>
        </is>
      </c>
      <c r="I52" s="17" t="inlineStr">
        <is>
          <t>base 80 de ancho, 2 aros con hebilla</t>
        </is>
      </c>
      <c r="J52" s="33" t="inlineStr">
        <is>
          <t>Compra</t>
        </is>
      </c>
      <c r="K52" s="33" t="inlineStr">
        <is>
          <t>Sí</t>
        </is>
      </c>
      <c r="L52" s="17" t="inlineStr">
        <is>
          <t>Maxiseguridad</t>
        </is>
      </c>
      <c r="M52" s="17" t="inlineStr">
        <is>
          <t>CM Representaciones</t>
        </is>
      </c>
      <c r="N52" s="17" t="inlineStr">
        <is>
          <t>23 Embalaje</t>
        </is>
      </c>
      <c r="O52" s="17" t="inlineStr">
        <is>
          <t>IRAM 3517-2 7.4</t>
        </is>
      </c>
      <c r="P52" s="33" t="inlineStr">
        <is>
          <t>P</t>
        </is>
      </c>
      <c r="Q52" s="33" t="inlineStr">
        <is>
          <t>FL_ACC_02</t>
        </is>
      </c>
      <c r="R52" s="17" t="n"/>
    </row>
    <row r="53">
      <c r="A53" s="30" t="n">
        <v>1</v>
      </c>
      <c r="B53" s="30" t="inlineStr">
        <is>
          <t>ABC1-S7</t>
        </is>
      </c>
      <c r="C53" s="31" t="inlineStr">
        <is>
          <t xml:space="preserve">    Embalaje</t>
        </is>
      </c>
      <c r="D53" s="30" t="n">
        <v>1</v>
      </c>
      <c r="E53" s="30" t="inlineStr">
        <is>
          <t>u</t>
        </is>
      </c>
      <c r="F53" s="32" t="n"/>
      <c r="G53" s="32">
        <f>G57</f>
        <v/>
      </c>
      <c r="H53" s="30" t="n"/>
      <c r="I53" s="31" t="n"/>
      <c r="J53" s="30" t="inlineStr">
        <is>
          <t>Compra</t>
        </is>
      </c>
      <c r="K53" s="30" t="n"/>
      <c r="L53" s="31" t="n"/>
      <c r="M53" s="31" t="n"/>
      <c r="N53" s="31" t="inlineStr">
        <is>
          <t>23 Embalaje -&gt; 24 envolvedora (T11)</t>
        </is>
      </c>
      <c r="O53" s="31" t="n"/>
      <c r="P53" s="30" t="n"/>
      <c r="Q53" s="30" t="n"/>
      <c r="R53" s="31" t="n"/>
    </row>
    <row r="54" outlineLevel="1">
      <c r="A54" s="33" t="n">
        <v>2</v>
      </c>
      <c r="B54" s="33" t="inlineStr">
        <is>
          <t>ABC1-E1</t>
        </is>
      </c>
      <c r="C54" s="17" t="inlineStr">
        <is>
          <t xml:space="preserve">        Caja de cartón corrugado simple</t>
        </is>
      </c>
      <c r="D54" s="33" t="n">
        <v>1</v>
      </c>
      <c r="E54" s="33" t="inlineStr">
        <is>
          <t>u</t>
        </is>
      </c>
      <c r="F54" s="34" t="n"/>
      <c r="G54" s="34" t="n"/>
      <c r="H54" s="33" t="inlineStr">
        <is>
          <t>Cartón corrugado</t>
        </is>
      </c>
      <c r="I54" s="17" t="inlineStr">
        <is>
          <t>122 × 107 × 360 interior (envolvente del plano + 15 por lado)</t>
        </is>
      </c>
      <c r="J54" s="33" t="inlineStr">
        <is>
          <t>Compra</t>
        </is>
      </c>
      <c r="K54" s="33" t="inlineStr">
        <is>
          <t>Sí</t>
        </is>
      </c>
      <c r="L54" s="17" t="inlineStr">
        <is>
          <t>Maxipack</t>
        </is>
      </c>
      <c r="M54" s="17" t="inlineStr">
        <is>
          <t>Cartocan</t>
        </is>
      </c>
      <c r="N54" s="17" t="inlineStr">
        <is>
          <t>23 Embalaje</t>
        </is>
      </c>
      <c r="O54" s="17" t="n"/>
      <c r="P54" s="33" t="inlineStr">
        <is>
          <t>P</t>
        </is>
      </c>
      <c r="Q54" s="33" t="n"/>
      <c r="R54" s="17" t="inlineStr">
        <is>
          <t>Medida del plano</t>
        </is>
      </c>
    </row>
    <row r="55" outlineLevel="1">
      <c r="A55" s="33" t="n">
        <v>2</v>
      </c>
      <c r="B55" s="33" t="inlineStr">
        <is>
          <t>ABC1-E2</t>
        </is>
      </c>
      <c r="C55" s="17" t="inlineStr">
        <is>
          <t xml:space="preserve">        Instructivo de uso y mantenimiento</t>
        </is>
      </c>
      <c r="D55" s="33" t="n">
        <v>1</v>
      </c>
      <c r="E55" s="33" t="inlineStr">
        <is>
          <t>u</t>
        </is>
      </c>
      <c r="F55" s="34" t="n"/>
      <c r="G55" s="34" t="n"/>
      <c r="H55" s="33" t="inlineStr">
        <is>
          <t>Papel</t>
        </is>
      </c>
      <c r="I55" s="17" t="inlineStr">
        <is>
          <t>A5</t>
        </is>
      </c>
      <c r="J55" s="33" t="inlineStr">
        <is>
          <t>Compra</t>
        </is>
      </c>
      <c r="K55" s="33" t="inlineStr">
        <is>
          <t>Sí</t>
        </is>
      </c>
      <c r="L55" s="17" t="inlineStr">
        <is>
          <t>Astuprint</t>
        </is>
      </c>
      <c r="M55" s="17" t="inlineStr">
        <is>
          <t>-</t>
        </is>
      </c>
      <c r="N55" s="17" t="inlineStr">
        <is>
          <t>23 Embalaje</t>
        </is>
      </c>
      <c r="O55" s="17" t="n"/>
      <c r="P55" s="33" t="inlineStr">
        <is>
          <t>I</t>
        </is>
      </c>
      <c r="Q55" s="33" t="n"/>
      <c r="R55" s="17" t="inlineStr">
        <is>
          <t>Decisión comercial de FLAMA (las instrucciones de uso obligatorias van en la etiqueta, IRAM 3534)</t>
        </is>
      </c>
    </row>
    <row r="56" outlineLevel="1">
      <c r="A56" s="33" t="n">
        <v>2</v>
      </c>
      <c r="B56" s="33" t="inlineStr">
        <is>
          <t>ABC1-E3</t>
        </is>
      </c>
      <c r="C56" s="17" t="inlineStr">
        <is>
          <t xml:space="preserve">        Pallet 1200 × 1000 (fracción)</t>
        </is>
      </c>
      <c r="D56" s="33" t="n">
        <v>0.0028</v>
      </c>
      <c r="E56" s="33" t="inlineStr">
        <is>
          <t>u</t>
        </is>
      </c>
      <c r="F56" s="34" t="n"/>
      <c r="G56" s="34" t="n"/>
      <c r="H56" s="33" t="inlineStr">
        <is>
          <t>Madera</t>
        </is>
      </c>
      <c r="I56" s="17" t="inlineStr">
        <is>
          <t>352 u por pallet</t>
        </is>
      </c>
      <c r="J56" s="33" t="inlineStr">
        <is>
          <t>Compra</t>
        </is>
      </c>
      <c r="K56" s="33" t="inlineStr">
        <is>
          <t>Sí</t>
        </is>
      </c>
      <c r="L56" s="17" t="inlineStr">
        <is>
          <t>IndusPallets</t>
        </is>
      </c>
      <c r="M56" s="17" t="inlineStr">
        <is>
          <t>-</t>
        </is>
      </c>
      <c r="N56" s="17" t="inlineStr">
        <is>
          <t>23 Embalaje</t>
        </is>
      </c>
      <c r="O56" s="17" t="n"/>
      <c r="P56" s="33" t="inlineStr">
        <is>
          <t>C</t>
        </is>
      </c>
      <c r="Q56" s="33" t="n"/>
      <c r="R56" s="17" t="inlineStr">
        <is>
          <t>u por pallet = acomodo de la caja (plano) en 1200 × 1000 × 1450 de alto</t>
        </is>
      </c>
    </row>
    <row r="57" outlineLevel="1">
      <c r="A57" s="41" t="n">
        <v>2</v>
      </c>
      <c r="B57" s="41" t="inlineStr">
        <is>
          <t>ABC1-E4</t>
        </is>
      </c>
      <c r="C57" s="18" t="inlineStr">
        <is>
          <t xml:space="preserve">        Film stretch (fracción del pallet)</t>
        </is>
      </c>
      <c r="D57" s="41" t="n">
        <v>0.0003</v>
      </c>
      <c r="E57" s="41" t="inlineStr">
        <is>
          <t>kg</t>
        </is>
      </c>
      <c r="F57" s="42" t="n">
        <v>1</v>
      </c>
      <c r="G57" s="42">
        <f>D57*F57</f>
        <v/>
      </c>
      <c r="H57" s="41" t="inlineStr">
        <is>
          <t>PE lineal 23 µm</t>
        </is>
      </c>
      <c r="I57" s="18" t="inlineStr">
        <is>
          <t>0,12 kg por pallet / 352 u</t>
        </is>
      </c>
      <c r="J57" s="41" t="inlineStr">
        <is>
          <t>Compra</t>
        </is>
      </c>
      <c r="K57" s="41" t="inlineStr">
        <is>
          <t>Sí</t>
        </is>
      </c>
      <c r="L57" s="18" t="inlineStr">
        <is>
          <t>MV Embalajes</t>
        </is>
      </c>
      <c r="M57" s="18" t="inlineStr">
        <is>
          <t>Embalpack</t>
        </is>
      </c>
      <c r="N57" s="18" t="inlineStr">
        <is>
          <t>24 Envolvedora (T11)</t>
        </is>
      </c>
      <c r="O57" s="18" t="n"/>
      <c r="P57" s="41" t="inlineStr">
        <is>
          <t>C</t>
        </is>
      </c>
      <c r="Q57" s="41" t="n"/>
      <c r="R5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3" t="n">
        <v>2</v>
      </c>
      <c r="B58" s="33" t="inlineStr">
        <is>
          <t>ABC1-E5</t>
        </is>
      </c>
      <c r="C58" s="17" t="inlineStr">
        <is>
          <t xml:space="preserve">        Etiqueta de pallet (lote y destino, fracción)</t>
        </is>
      </c>
      <c r="D58" s="33" t="n">
        <v>0.0028</v>
      </c>
      <c r="E58" s="33" t="inlineStr">
        <is>
          <t>u</t>
        </is>
      </c>
      <c r="F58" s="34" t="n"/>
      <c r="G58" s="34" t="n"/>
      <c r="H58" s="33" t="inlineStr">
        <is>
          <t>Papel térmico</t>
        </is>
      </c>
      <c r="I58" s="17" t="inlineStr">
        <is>
          <t>100 × 150</t>
        </is>
      </c>
      <c r="J58" s="33" t="inlineStr">
        <is>
          <t>Compra</t>
        </is>
      </c>
      <c r="K58" s="33" t="inlineStr">
        <is>
          <t>Sí</t>
        </is>
      </c>
      <c r="L58" s="17" t="inlineStr">
        <is>
          <t>Astuprint</t>
        </is>
      </c>
      <c r="M58" s="17" t="inlineStr">
        <is>
          <t>Multilabel Argentina S.A.</t>
        </is>
      </c>
      <c r="N58" s="17" t="inlineStr">
        <is>
          <t>24 Envolvedora</t>
        </is>
      </c>
      <c r="O58" s="17" t="n"/>
      <c r="P58" s="33" t="inlineStr">
        <is>
          <t>C</t>
        </is>
      </c>
      <c r="Q58" s="33" t="n"/>
      <c r="R58" s="17" t="n"/>
    </row>
    <row r="59" outlineLevel="1">
      <c r="A59" s="41" t="n">
        <v>2</v>
      </c>
      <c r="B59" s="41" t="inlineStr">
        <is>
          <t>ABC1-E6</t>
        </is>
      </c>
      <c r="C59" s="18" t="inlineStr">
        <is>
          <t xml:space="preserve">        Cinta de embalaje PP 48 mm (cierre de la caja)</t>
        </is>
      </c>
      <c r="D59" s="41" t="n">
        <v>0.524</v>
      </c>
      <c r="E59" s="41" t="inlineStr">
        <is>
          <t>m</t>
        </is>
      </c>
      <c r="F59" s="42" t="n"/>
      <c r="G59" s="42" t="n"/>
      <c r="H59" s="41" t="inlineStr">
        <is>
          <t>Polipropileno con adhesivo acrílico</t>
        </is>
      </c>
      <c r="I59" s="18" t="inlineStr">
        <is>
          <t>cierre en I arriba y abajo: 2 × (122 + 2 × 70 de solapa)</t>
        </is>
      </c>
      <c r="J59" s="41" t="inlineStr">
        <is>
          <t>Compra</t>
        </is>
      </c>
      <c r="K59" s="41" t="inlineStr">
        <is>
          <t>Sí</t>
        </is>
      </c>
      <c r="L59" s="18" t="inlineStr">
        <is>
          <t>MV Embalajes</t>
        </is>
      </c>
      <c r="M59" s="18" t="inlineStr">
        <is>
          <t>Embalpack</t>
        </is>
      </c>
      <c r="N59" s="18" t="inlineStr">
        <is>
          <t>23 Embalaje</t>
        </is>
      </c>
      <c r="O59" s="18" t="n"/>
      <c r="P59" s="41" t="inlineStr">
        <is>
          <t>C</t>
        </is>
      </c>
      <c r="Q59" s="41" t="n"/>
      <c r="R59" s="18" t="inlineStr">
        <is>
          <t>Solapa de 70 mm por lado: práctica de cierre de cajas (medir en la línea)</t>
        </is>
      </c>
    </row>
    <row r="60" outlineLevel="1">
      <c r="A60" s="33" t="n">
        <v>2</v>
      </c>
      <c r="B60" s="33" t="inlineStr">
        <is>
          <t>ABC1-E7</t>
        </is>
      </c>
      <c r="C60" s="17" t="inlineStr">
        <is>
          <t xml:space="preserve">        Esquineros de cartón 50 × 50 × 1200 (fracción del pallet)</t>
        </is>
      </c>
      <c r="D60" s="33" t="n">
        <v>0.0114</v>
      </c>
      <c r="E60" s="33" t="inlineStr">
        <is>
          <t>u</t>
        </is>
      </c>
      <c r="F60" s="34" t="n"/>
      <c r="G60" s="34" t="n"/>
      <c r="H60" s="33" t="inlineStr">
        <is>
          <t>Cartón</t>
        </is>
      </c>
      <c r="I60" s="17" t="inlineStr">
        <is>
          <t>4 por pallet / 352 u</t>
        </is>
      </c>
      <c r="J60" s="33" t="inlineStr">
        <is>
          <t>Compra</t>
        </is>
      </c>
      <c r="K60" s="33" t="inlineStr">
        <is>
          <t>Sí</t>
        </is>
      </c>
      <c r="L60" s="17" t="inlineStr">
        <is>
          <t>Maxipack</t>
        </is>
      </c>
      <c r="M60" s="17" t="inlineStr">
        <is>
          <t>Cartocan</t>
        </is>
      </c>
      <c r="N60" s="17" t="inlineStr">
        <is>
          <t>24 Envolvedora (T11)</t>
        </is>
      </c>
      <c r="O60" s="17" t="n"/>
      <c r="P60" s="33" t="inlineStr">
        <is>
          <t>C</t>
        </is>
      </c>
      <c r="Q60" s="33" t="n"/>
      <c r="R60" s="17" t="inlineStr">
        <is>
          <t>Planilla MP-64</t>
        </is>
      </c>
    </row>
  </sheetData>
  <autoFilter ref="A10:R60"/>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6" t="inlineStr">
        <is>
          <t>Extintor ABC 2,5 kg</t>
        </is>
      </c>
    </row>
    <row r="3">
      <c r="A3" s="2" t="inlineStr">
        <is>
          <t>Plano de origen</t>
        </is>
      </c>
      <c r="C3" t="inlineStr">
        <is>
          <t>FL_MAT_ABC_2.5kg  (4 láminas)</t>
        </is>
      </c>
      <c r="E3" s="2" t="inlineStr">
        <is>
          <t>Peso vacío S1-S4 (kg)</t>
        </is>
      </c>
      <c r="G3" s="67">
        <f>G12+G24+G39</f>
        <v/>
      </c>
    </row>
    <row r="4">
      <c r="A4" s="2" t="inlineStr">
        <is>
          <t>Plano de despiece</t>
        </is>
      </c>
      <c r="C4" t="inlineStr">
        <is>
          <t>FL_DES_ABC_2.5kg (salida/despiece/)</t>
        </is>
      </c>
      <c r="E4" s="2" t="inlineStr">
        <is>
          <t>Peso cargado S1-S6 (kg)</t>
        </is>
      </c>
      <c r="G4" s="67">
        <f>G12+G24+G39+G44+G47</f>
        <v/>
      </c>
    </row>
    <row r="5">
      <c r="A5" s="2" t="inlineStr">
        <is>
          <t>Norma del producto</t>
        </is>
      </c>
      <c r="C5" t="inlineStr">
        <is>
          <t>IRAM 3523</t>
        </is>
      </c>
      <c r="E5" s="2" t="inlineStr">
        <is>
          <t>Peso con soporte y embalaje (kg)</t>
        </is>
      </c>
      <c r="G5" s="67">
        <f>G12+G24+G39+G44+G47+G59+G55</f>
        <v/>
      </c>
    </row>
    <row r="6">
      <c r="A6" s="2" t="inlineStr">
        <is>
          <t>Fabricación</t>
        </is>
      </c>
      <c r="C6" t="inlineStr">
        <is>
          <t>Fabricación propia</t>
        </is>
      </c>
      <c r="E6" s="2" t="inlineStr">
        <is>
          <t>Desvío cargado vs catálogo</t>
        </is>
      </c>
      <c r="G6" s="25">
        <f>G4/C7-1</f>
        <v/>
      </c>
    </row>
    <row r="7">
      <c r="A7" s="2" t="inlineStr">
        <is>
          <t>Peso catálogo cargado (kg)</t>
        </is>
      </c>
      <c r="C7" t="n">
        <v>4.6</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41" t="n">
        <v>2</v>
      </c>
      <c r="B20" s="41" t="inlineStr">
        <is>
          <t>ABC2.5-C1</t>
        </is>
      </c>
      <c r="C20" s="18" t="inlineStr">
        <is>
          <t xml:space="preserve">        Alambre MAG ER70S-6 Ø0,9 (AWS A5.18)</t>
        </is>
      </c>
      <c r="D20" s="41" t="n">
        <v>0.0294</v>
      </c>
      <c r="E20" s="41" t="inlineStr">
        <is>
          <t>kg</t>
        </is>
      </c>
      <c r="F20" s="42" t="n">
        <v>0.95</v>
      </c>
      <c r="G20" s="42">
        <f>D20*F20</f>
        <v/>
      </c>
      <c r="H20" s="41" t="inlineStr">
        <is>
          <t>ER70S-6</t>
        </is>
      </c>
      <c r="I20" s="18" t="inlineStr">
        <is>
          <t>metal depositado de los cordones del plano 28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ABC2.5-C2</t>
        </is>
      </c>
      <c r="C21" s="18" t="inlineStr">
        <is>
          <t xml:space="preserve">        Gas de protección MAG Arcal 21 / ARCAL Speed (Ar + 8 % CO₂, M20)</t>
        </is>
      </c>
      <c r="D21" s="41" t="n">
        <v>27</v>
      </c>
      <c r="E21" s="41" t="inlineStr">
        <is>
          <t>L</t>
        </is>
      </c>
      <c r="F21" s="42" t="n"/>
      <c r="G21" s="42" t="n"/>
      <c r="H21" s="41" t="inlineStr">
        <is>
          <t>EN ISO 14175 M20-ArC-8</t>
        </is>
      </c>
      <c r="I21" s="18" t="inlineStr">
        <is>
          <t>14 L/min × 1,93 min de arco (cordones 1.157 mm: long. 262 + circ. 779 + cuello 116,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ABC2.5-C3</t>
        </is>
      </c>
      <c r="C22" s="18" t="inlineStr">
        <is>
          <t xml:space="preserve">        Granalla de acero S330 / S390 (ISO 11124-3, SAE J444)</t>
        </is>
      </c>
      <c r="D22" s="41" t="n">
        <v>0.08</v>
      </c>
      <c r="E22" s="41" t="inlineStr">
        <is>
          <t>kg</t>
        </is>
      </c>
      <c r="F22" s="42" t="n"/>
      <c r="G22" s="42" t="n"/>
      <c r="H22" s="41" t="inlineStr">
        <is>
          <t>Granalla esférica alto C</t>
        </is>
      </c>
      <c r="I22" s="18" t="inlineStr">
        <is>
          <t>0,129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ABC2.5-S2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FL_DES_ABC_2.5kg</t>
        </is>
      </c>
      <c r="R24" s="31" t="n"/>
    </row>
    <row r="25" outlineLevel="1">
      <c r="A25" s="33" t="n">
        <v>2</v>
      </c>
      <c r="B25" s="33" t="inlineStr">
        <is>
          <t>ABC2.5-05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FL_DES_ABC_2.5kg</t>
        </is>
      </c>
      <c r="R25" s="17" t="n"/>
    </row>
    <row r="26" outlineLevel="1">
      <c r="A26" s="33" t="n">
        <v>2</v>
      </c>
      <c r="B26" s="33" t="inlineStr">
        <is>
          <t>ABC2.5-06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FL_DES_ABC_2.5kg</t>
        </is>
      </c>
      <c r="R26" s="17" t="n"/>
    </row>
    <row r="27" outlineLevel="1">
      <c r="A27" s="33" t="n">
        <v>2</v>
      </c>
      <c r="B27" s="33" t="inlineStr">
        <is>
          <t>ABC2.5-07</t>
        </is>
      </c>
      <c r="C27" s="17" t="inlineStr">
        <is>
          <t xml:space="preserve">        Cuerpo de válvula</t>
        </is>
      </c>
      <c r="D27" s="33" t="n">
        <v>1</v>
      </c>
      <c r="E27" s="33" t="inlineStr">
        <is>
          <t>u</t>
        </is>
      </c>
      <c r="F27" s="34" t="n">
        <v>0.4817</v>
      </c>
      <c r="G27" s="34">
        <f>D27*F27</f>
        <v/>
      </c>
      <c r="H27" s="33" t="inlineStr">
        <is>
          <t>Latón forjado</t>
        </is>
      </c>
      <c r="I27" s="17" t="inlineStr">
        <is>
          <t>66,1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FL_DES_ABC_2.5kg</t>
        </is>
      </c>
      <c r="R27" s="17" t="n"/>
    </row>
    <row r="28" outlineLevel="1">
      <c r="A28" s="45" t="n">
        <v>2</v>
      </c>
      <c r="B28" s="45" t="inlineStr">
        <is>
          <t>ABC2.5-08</t>
        </is>
      </c>
      <c r="C28" s="19" t="inlineStr">
        <is>
          <t xml:space="preserve">        Manómetro</t>
        </is>
      </c>
      <c r="D28" s="45" t="n">
        <v>1</v>
      </c>
      <c r="E28" s="45" t="inlineStr">
        <is>
          <t>u</t>
        </is>
      </c>
      <c r="F28" s="46" t="n"/>
      <c r="G28" s="46" t="n"/>
      <c r="H28" s="45" t="inlineStr">
        <is>
          <t>Comercial</t>
        </is>
      </c>
      <c r="I28" s="19" t="inlineStr">
        <is>
          <t>Ø38 esfera, rango 0-3,5 MPa, sector verde en 1,4</t>
        </is>
      </c>
      <c r="J28" s="45" t="inlineStr">
        <is>
          <t>Compra</t>
        </is>
      </c>
      <c r="K28" s="45" t="inlineStr">
        <is>
          <t>Sí</t>
        </is>
      </c>
      <c r="L28" s="19" t="inlineStr">
        <is>
          <t>Yukon / MatafuegosYa S.R.L.</t>
        </is>
      </c>
      <c r="M28" s="19" t="inlineStr">
        <is>
          <t>Matafuegos Iglesias</t>
        </is>
      </c>
      <c r="N28" s="19" t="inlineStr">
        <is>
          <t>19 Ensamblaje de válvula (T03/T04)</t>
        </is>
      </c>
      <c r="O28" s="19" t="inlineStr">
        <is>
          <t>IRAM 3533</t>
        </is>
      </c>
      <c r="P28" s="45" t="inlineStr">
        <is>
          <t>P</t>
        </is>
      </c>
      <c r="Q28" s="45" t="inlineStr">
        <is>
          <t>FL_DES_ABC_2.5kg</t>
        </is>
      </c>
      <c r="R28" s="19" t="inlineStr">
        <is>
          <t>Pieza comercial; sello IRAM 3533; peso: completar con la ficha del proveedor (no afecta el MRP)</t>
        </is>
      </c>
    </row>
    <row r="29" outlineLevel="1">
      <c r="A29" s="33" t="n">
        <v>2</v>
      </c>
      <c r="B29" s="33" t="inlineStr">
        <is>
          <t>ABC2.5-09</t>
        </is>
      </c>
      <c r="C29" s="17" t="inlineStr">
        <is>
          <t xml:space="preserve">        Manija de transporte</t>
        </is>
      </c>
      <c r="D29" s="33" t="n">
        <v>1</v>
      </c>
      <c r="E29" s="33" t="inlineStr">
        <is>
          <t>u</t>
        </is>
      </c>
      <c r="F29" s="34" t="n">
        <v>0.0679</v>
      </c>
      <c r="G29" s="34">
        <f>D29*F29</f>
        <v/>
      </c>
      <c r="H29" s="33" t="inlineStr">
        <is>
          <t>Chapa acero SAE 1010 pintada</t>
        </is>
      </c>
      <c r="I29" s="17" t="inlineStr">
        <is>
          <t>107,9 × 20 × 15,3</t>
        </is>
      </c>
      <c r="J29" s="33" t="inlineStr">
        <is>
          <t>Incluido en válvula HZ</t>
        </is>
      </c>
      <c r="K29" s="33" t="inlineStr">
        <is>
          <t>No</t>
        </is>
      </c>
      <c r="L29" s="17" t="n"/>
      <c r="M29" s="17" t="n"/>
      <c r="N29" s="17" t="inlineStr">
        <is>
          <t>19 Ensamblaje de válvula (T03/T04)</t>
        </is>
      </c>
      <c r="O29" s="17" t="n"/>
      <c r="P29" s="33" t="inlineStr">
        <is>
          <t>P</t>
        </is>
      </c>
      <c r="Q29" s="33" t="inlineStr">
        <is>
          <t>FL_DES_ABC_2.5kg</t>
        </is>
      </c>
      <c r="R29" s="17" t="n"/>
    </row>
    <row r="30" outlineLevel="1">
      <c r="A30" s="33" t="n">
        <v>2</v>
      </c>
      <c r="B30" s="33" t="inlineStr">
        <is>
          <t>ABC2.5-10</t>
        </is>
      </c>
      <c r="C30" s="17" t="inlineStr">
        <is>
          <t xml:space="preserve">        Manija de accionamiento</t>
        </is>
      </c>
      <c r="D30" s="33" t="n">
        <v>1</v>
      </c>
      <c r="E30" s="33" t="inlineStr">
        <is>
          <t>u</t>
        </is>
      </c>
      <c r="F30" s="34" t="n">
        <v>0.0949</v>
      </c>
      <c r="G30" s="34">
        <f>D30*F30</f>
        <v/>
      </c>
      <c r="H30" s="33" t="inlineStr">
        <is>
          <t>Chapa acero SAE 1010 pintada</t>
        </is>
      </c>
      <c r="I30" s="17" t="inlineStr">
        <is>
          <t>150,5 × 22,4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FL_DES_ABC_2.5kg</t>
        </is>
      </c>
      <c r="R30" s="17" t="n"/>
    </row>
    <row r="31" outlineLevel="1">
      <c r="A31" s="33" t="n">
        <v>2</v>
      </c>
      <c r="B31" s="33" t="inlineStr">
        <is>
          <t>ABC2.5-11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FL_DES_ABC_2.5kg</t>
        </is>
      </c>
      <c r="R31" s="17" t="n"/>
    </row>
    <row r="32" outlineLevel="1">
      <c r="A32" s="33" t="n">
        <v>2</v>
      </c>
      <c r="B32" s="33" t="inlineStr">
        <is>
          <t>ABC2.5-12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FL_DES_ABC_2.5kg</t>
        </is>
      </c>
      <c r="R32" s="17" t="inlineStr">
        <is>
          <t>con junta tórica</t>
        </is>
      </c>
    </row>
    <row r="33" outlineLevel="1">
      <c r="A33" s="33" t="n">
        <v>2</v>
      </c>
      <c r="B33" s="33" t="inlineStr">
        <is>
          <t>ABC2.5-13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FL_DES_ABC_2.5kg</t>
        </is>
      </c>
      <c r="R33" s="17" t="inlineStr">
        <is>
          <t>con precinto</t>
        </is>
      </c>
    </row>
    <row r="34" outlineLevel="1">
      <c r="A34" s="33" t="n">
        <v>2</v>
      </c>
      <c r="B34" s="33" t="inlineStr">
        <is>
          <t>ABC2.5-14</t>
        </is>
      </c>
      <c r="C34" s="17" t="inlineStr">
        <is>
          <t xml:space="preserve">        Caño de pesca (sifón)</t>
        </is>
      </c>
      <c r="D34" s="33" t="n">
        <v>1</v>
      </c>
      <c r="E34" s="33" t="inlineStr">
        <is>
          <t>u</t>
        </is>
      </c>
      <c r="F34" s="34" t="n">
        <v>0.0192</v>
      </c>
      <c r="G34" s="34">
        <f>D34*F34</f>
        <v/>
      </c>
      <c r="H34" s="33" t="inlineStr">
        <is>
          <t>Tubo PVC rígido</t>
        </is>
      </c>
      <c r="I34" s="17" t="inlineStr">
        <is>
          <t>Ø12 × 276,8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FL_DES_ABC_2.5kg</t>
        </is>
      </c>
      <c r="R34" s="17" t="n"/>
    </row>
    <row r="35" outlineLevel="1">
      <c r="A35" s="33" t="n">
        <v>2</v>
      </c>
      <c r="B35" s="33" t="inlineStr">
        <is>
          <t>ABC2.5-24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FL_DES_ABC_2.5kg</t>
        </is>
      </c>
      <c r="R35" s="17" t="inlineStr">
        <is>
          <t>cambio c/recarga</t>
        </is>
      </c>
    </row>
    <row r="36" outlineLevel="1">
      <c r="A36" s="33" t="n">
        <v>2</v>
      </c>
      <c r="B36" s="33" t="inlineStr">
        <is>
          <t>ABC2.5-K2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FL_DES_ABC_2.5kg</t>
        </is>
      </c>
      <c r="R36" s="17" t="inlineStr">
        <is>
          <t>Lista de precios HZ (Q-AGENTES); plano Fadesa usa válvula HZ (R-FADESA). Trae las piezas marcadas «Incluido en válvula HZ»</t>
        </is>
      </c>
    </row>
    <row r="37" outlineLevel="1">
      <c r="A37" s="33" t="n">
        <v>2</v>
      </c>
      <c r="B37" s="33" t="inlineStr">
        <is>
          <t>ABC2.5-V2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ABC2.5-V3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ABC2.5-S3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FL_DES_ABC_2.5kg</t>
        </is>
      </c>
      <c r="R39" s="31" t="n"/>
    </row>
    <row r="40" outlineLevel="1">
      <c r="A40" s="33" t="n">
        <v>2</v>
      </c>
      <c r="B40" s="33" t="inlineStr">
        <is>
          <t>ABC2.5-15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FL_DES_ABC_2.5kg</t>
        </is>
      </c>
      <c r="R40" s="17" t="n"/>
    </row>
    <row r="41" outlineLevel="1">
      <c r="A41" s="33" t="n">
        <v>2</v>
      </c>
      <c r="B41" s="33" t="inlineStr">
        <is>
          <t>ABC2.5-16</t>
        </is>
      </c>
      <c r="C41" s="17" t="inlineStr">
        <is>
          <t xml:space="preserve">        Manguera</t>
        </is>
      </c>
      <c r="D41" s="33" t="n">
        <v>1</v>
      </c>
      <c r="E41" s="33" t="inlineStr">
        <is>
          <t>u</t>
        </is>
      </c>
      <c r="F41" s="34" t="n">
        <v>0.0345</v>
      </c>
      <c r="G41" s="34">
        <f>D41*F41</f>
        <v/>
      </c>
      <c r="H41" s="33" t="inlineStr">
        <is>
          <t>Caucho sintético</t>
        </is>
      </c>
      <c r="I41" s="17" t="inlineStr">
        <is>
          <t>Ø16 × 224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FL_DES_ABC_2.5kg</t>
        </is>
      </c>
      <c r="R41" s="17" t="n"/>
    </row>
    <row r="42" outlineLevel="1">
      <c r="A42" s="33" t="n">
        <v>2</v>
      </c>
      <c r="B42" s="33" t="inlineStr">
        <is>
          <t>ABC2.5-17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FL_DES_ABC_2.5kg</t>
        </is>
      </c>
      <c r="R42" s="17" t="n"/>
    </row>
    <row r="43" outlineLevel="1">
      <c r="A43" s="33" t="n">
        <v>2</v>
      </c>
      <c r="B43" s="33" t="inlineStr">
        <is>
          <t>ABC2.5-18</t>
        </is>
      </c>
      <c r="C43" s="17" t="inlineStr">
        <is>
          <t xml:space="preserve">        Suncho portatobera</t>
        </is>
      </c>
      <c r="D43" s="33" t="n">
        <v>1</v>
      </c>
      <c r="E43" s="33" t="inlineStr">
        <is>
          <t>u</t>
        </is>
      </c>
      <c r="F43" s="34" t="n">
        <v>0.11</v>
      </c>
      <c r="G43" s="34">
        <f>D43*F43</f>
        <v/>
      </c>
      <c r="H43" s="33" t="inlineStr">
        <is>
          <t>Fleje acero SAE 1010 pintado</t>
        </is>
      </c>
      <c r="I43" s="17" t="inlineStr">
        <is>
          <t>130,9 × 127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FL_DES_ABC_2.5kg</t>
        </is>
      </c>
      <c r="R43" s="17" t="n"/>
    </row>
    <row r="44">
      <c r="A44" s="30" t="n">
        <v>1</v>
      </c>
      <c r="B44" s="30" t="inlineStr">
        <is>
          <t>ABC2.5-S5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ABC2.5-A1</t>
        </is>
      </c>
      <c r="C45" s="17" t="inlineStr">
        <is>
          <t xml:space="preserve">        Polvo químico seco ABC 60 (Sello IRAM 3569)</t>
        </is>
      </c>
      <c r="D45" s="33" t="n">
        <v>2.55</v>
      </c>
      <c r="E45" s="33" t="inlineStr">
        <is>
          <t>kg</t>
        </is>
      </c>
      <c r="F45" s="34" t="n">
        <v>1</v>
      </c>
      <c r="G45" s="34">
        <f>D45*F45</f>
        <v/>
      </c>
      <c r="H45" s="33" t="inlineStr">
        <is>
          <t>Polvo químico seco ABC 60 (Sello IRAM 3569)</t>
        </is>
      </c>
      <c r="I45" s="17" t="inlineStr">
        <is>
          <t>nominal 2,5 kg; tolerancia 0 / +100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6" outlineLevel="1">
      <c r="A46" s="41" t="n">
        <v>2</v>
      </c>
      <c r="B46" s="41" t="inlineStr">
        <is>
          <t>ABC2.5-A2</t>
        </is>
      </c>
      <c r="C46" s="18" t="inlineStr">
        <is>
          <t xml:space="preserve">        Gas impulsor: N₂</t>
        </is>
      </c>
      <c r="D46" s="41" t="n">
        <v>0.0212</v>
      </c>
      <c r="E46" s="41" t="inlineStr">
        <is>
          <t>kg</t>
        </is>
      </c>
      <c r="F46" s="42" t="n">
        <v>1</v>
      </c>
      <c r="G46" s="42">
        <f>D46*F46</f>
        <v/>
      </c>
      <c r="H46" s="41" t="inlineStr">
        <is>
          <t>N₂</t>
        </is>
      </c>
      <c r="I46" s="18" t="inlineStr">
        <is>
          <t>16,9 L normales para 1,4 MPa a 20 °C en 1,23 dm³ libres</t>
        </is>
      </c>
      <c r="J46" s="41" t="inlineStr">
        <is>
          <t>Compra</t>
        </is>
      </c>
      <c r="K46" s="41"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41" t="inlineStr">
        <is>
          <t>C</t>
        </is>
      </c>
      <c r="Q46" s="41" t="n"/>
      <c r="R46" s="18" t="inlineStr">
        <is>
          <t>N₂ ≥ 99,8 %, H₂O ≤ 40 ppm (Q-N2, Air Liquide) · volumen libre con ρ empacada mínima 1,1 kg/dm³ (NOM-104-STPS-2001); confirmar con descarga ≥ 85 % (IRAM 3523 4.9.1)</t>
        </is>
      </c>
    </row>
    <row r="47">
      <c r="A47" s="30" t="n">
        <v>1</v>
      </c>
      <c r="B47" s="30" t="inlineStr">
        <is>
          <t>ABC2.5-S6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ABC2.5-19</t>
        </is>
      </c>
      <c r="C48" s="17" t="inlineStr">
        <is>
          <t xml:space="preserve">        Etiqueta / placa de características</t>
        </is>
      </c>
      <c r="D48" s="33" t="n">
        <v>1</v>
      </c>
      <c r="E48" s="33" t="inlineStr">
        <is>
          <t>u</t>
        </is>
      </c>
      <c r="F48" s="34" t="n">
        <v>0.0148</v>
      </c>
      <c r="G48" s="34">
        <f>D48*F48</f>
        <v/>
      </c>
      <c r="H48" s="33" t="inlineStr">
        <is>
          <t>Vinilo autoadhesivo laminado</t>
        </is>
      </c>
      <c r="I48" s="17" t="inlineStr">
        <is>
          <t>234 × 151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FL_DES_ABC_2.5kg</t>
        </is>
      </c>
      <c r="R48" s="17" t="inlineStr">
        <is>
          <t>IRAM 3534</t>
        </is>
      </c>
    </row>
    <row r="49" outlineLevel="1">
      <c r="A49" s="33" t="n">
        <v>2</v>
      </c>
      <c r="B49" s="33" t="inlineStr">
        <is>
          <t>ABC2.5-20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FL_DES_ABC_2.5kg</t>
        </is>
      </c>
      <c r="R49" s="17" t="inlineStr">
        <is>
          <t>Res. 522/07</t>
        </is>
      </c>
    </row>
    <row r="50" outlineLevel="1">
      <c r="A50" s="33" t="n">
        <v>2</v>
      </c>
      <c r="B50" s="33" t="inlineStr">
        <is>
          <t>ABC2.5-21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FL_DES_ABC_2.5kg</t>
        </is>
      </c>
      <c r="R50" s="17" t="inlineStr">
        <is>
          <t>numerada</t>
        </is>
      </c>
    </row>
    <row r="51" outlineLevel="1">
      <c r="A51" s="33" t="n">
        <v>2</v>
      </c>
      <c r="B51" s="33" t="inlineStr">
        <is>
          <t>ABC2.5-22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FL_DES_ABC_2.5kg</t>
        </is>
      </c>
      <c r="R51" s="17" t="inlineStr">
        <is>
          <t>sólo destino CABA</t>
        </is>
      </c>
    </row>
    <row r="52" outlineLevel="1">
      <c r="A52" s="33" t="n">
        <v>2</v>
      </c>
      <c r="B52" s="33" t="inlineStr">
        <is>
          <t>ABC2.5-23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FL_DES_ABC_2.5kg</t>
        </is>
      </c>
      <c r="R52" s="17" t="inlineStr">
        <is>
          <t>QR GTIN + serie</t>
        </is>
      </c>
    </row>
    <row r="53" outlineLevel="1">
      <c r="A53" s="33" t="n">
        <v>2</v>
      </c>
      <c r="B53" s="33" t="inlineStr">
        <is>
          <t>ABC2.5-25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FL_DES_ABC_2.5kg</t>
        </is>
      </c>
      <c r="R53" s="17" t="inlineStr">
        <is>
          <t>nuevo sin abrir</t>
        </is>
      </c>
    </row>
    <row r="54" outlineLevel="1">
      <c r="A54" s="33" t="n">
        <v>2</v>
      </c>
      <c r="B54" s="33" t="inlineStr">
        <is>
          <t>ABC2.5-26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FL_DES_ABC_2.5kg</t>
        </is>
      </c>
      <c r="R54" s="17" t="inlineStr">
        <is>
          <t>id. FLAMA y lote</t>
        </is>
      </c>
    </row>
    <row r="55">
      <c r="A55" s="30" t="n">
        <v>1</v>
      </c>
      <c r="B55" s="30" t="inlineStr">
        <is>
          <t>ABC2.5-S8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ABC2.5-I5</t>
        </is>
      </c>
      <c r="C56" s="17" t="inlineStr">
        <is>
          <t xml:space="preserve">        Soporte de pared (FL_ACC_01)</t>
        </is>
      </c>
      <c r="D56" s="33" t="n">
        <v>1</v>
      </c>
      <c r="E56" s="33" t="inlineStr">
        <is>
          <t>u</t>
        </is>
      </c>
      <c r="F56" s="34" t="n">
        <v>0.264</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ABC2.5-I6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ABC2.5-I8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ABC2.5-S7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ABC2.5-E1</t>
        </is>
      </c>
      <c r="C60" s="17" t="inlineStr">
        <is>
          <t xml:space="preserve">        Caja de cartón corrugado simple</t>
        </is>
      </c>
      <c r="D60" s="33" t="n">
        <v>1</v>
      </c>
      <c r="E60" s="33" t="inlineStr">
        <is>
          <t>u</t>
        </is>
      </c>
      <c r="F60" s="34" t="n"/>
      <c r="G60" s="34" t="n"/>
      <c r="H60" s="33" t="inlineStr">
        <is>
          <t>Cartón corrugado</t>
        </is>
      </c>
      <c r="I60" s="17" t="inlineStr">
        <is>
          <t>250 × 157 × 435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ABC2.5-E2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ABC2.5-E3</t>
        </is>
      </c>
      <c r="C62" s="17" t="inlineStr">
        <is>
          <t xml:space="preserve">        Pallet 1200 × 1000 (fracción)</t>
        </is>
      </c>
      <c r="D62" s="33" t="n">
        <v>0.0119</v>
      </c>
      <c r="E62" s="33" t="inlineStr">
        <is>
          <t>u</t>
        </is>
      </c>
      <c r="F62" s="34" t="n"/>
      <c r="G62" s="34" t="n"/>
      <c r="H62" s="33" t="inlineStr">
        <is>
          <t>Madera</t>
        </is>
      </c>
      <c r="I62" s="17" t="inlineStr">
        <is>
          <t>84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41" t="n">
        <v>2</v>
      </c>
      <c r="B63" s="41" t="inlineStr">
        <is>
          <t>ABC2.5-E4</t>
        </is>
      </c>
      <c r="C63" s="18" t="inlineStr">
        <is>
          <t xml:space="preserve">        Film stretch (fracción del pallet)</t>
        </is>
      </c>
      <c r="D63" s="41" t="n">
        <v>0.0014</v>
      </c>
      <c r="E63" s="41" t="inlineStr">
        <is>
          <t>kg</t>
        </is>
      </c>
      <c r="F63" s="42" t="n">
        <v>1</v>
      </c>
      <c r="G63" s="42">
        <f>D63*F63</f>
        <v/>
      </c>
      <c r="H63" s="41" t="inlineStr">
        <is>
          <t>PE lineal 23 µm</t>
        </is>
      </c>
      <c r="I63" s="18" t="inlineStr">
        <is>
          <t>0,12 kg por pallet / 84 u</t>
        </is>
      </c>
      <c r="J63" s="41" t="inlineStr">
        <is>
          <t>Compra</t>
        </is>
      </c>
      <c r="K63" s="41" t="inlineStr">
        <is>
          <t>Sí</t>
        </is>
      </c>
      <c r="L63" s="18" t="inlineStr">
        <is>
          <t>MV Embalajes</t>
        </is>
      </c>
      <c r="M63" s="18" t="inlineStr">
        <is>
          <t>Embalpack</t>
        </is>
      </c>
      <c r="N63" s="18" t="inlineStr">
        <is>
          <t>24 Envolvedora (T11)</t>
        </is>
      </c>
      <c r="O63" s="18" t="n"/>
      <c r="P63" s="41" t="inlineStr">
        <is>
          <t>C</t>
        </is>
      </c>
      <c r="Q63" s="41"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ABC2.5-E5</t>
        </is>
      </c>
      <c r="C64" s="17" t="inlineStr">
        <is>
          <t xml:space="preserve">        Etiqueta de pallet (lote y destino, fracción)</t>
        </is>
      </c>
      <c r="D64" s="33" t="n">
        <v>0.0119</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41" t="n">
        <v>2</v>
      </c>
      <c r="B65" s="41" t="inlineStr">
        <is>
          <t>ABC2.5-E6</t>
        </is>
      </c>
      <c r="C65" s="18" t="inlineStr">
        <is>
          <t xml:space="preserve">        Cinta de embalaje PP 48 mm (cierre de la caja)</t>
        </is>
      </c>
      <c r="D65" s="41" t="n">
        <v>0.78</v>
      </c>
      <c r="E65" s="41" t="inlineStr">
        <is>
          <t>m</t>
        </is>
      </c>
      <c r="F65" s="42" t="n"/>
      <c r="G65" s="42" t="n"/>
      <c r="H65" s="41" t="inlineStr">
        <is>
          <t>Polipropileno con adhesivo acrílico</t>
        </is>
      </c>
      <c r="I65" s="18" t="inlineStr">
        <is>
          <t>cierre en I arriba y abajo: 2 × (250 + 2 × 70 de solapa)</t>
        </is>
      </c>
      <c r="J65" s="41" t="inlineStr">
        <is>
          <t>Compra</t>
        </is>
      </c>
      <c r="K65" s="41" t="inlineStr">
        <is>
          <t>Sí</t>
        </is>
      </c>
      <c r="L65" s="18" t="inlineStr">
        <is>
          <t>MV Embalajes</t>
        </is>
      </c>
      <c r="M65" s="18" t="inlineStr">
        <is>
          <t>Embalpack</t>
        </is>
      </c>
      <c r="N65" s="18" t="inlineStr">
        <is>
          <t>23 Embalaje</t>
        </is>
      </c>
      <c r="O65" s="18" t="n"/>
      <c r="P65" s="41" t="inlineStr">
        <is>
          <t>C</t>
        </is>
      </c>
      <c r="Q65" s="41" t="n"/>
      <c r="R65" s="18" t="inlineStr">
        <is>
          <t>Solapa de 70 mm por lado: práctica de cierre de cajas (medir en la línea)</t>
        </is>
      </c>
    </row>
    <row r="66" outlineLevel="1">
      <c r="A66" s="33" t="n">
        <v>2</v>
      </c>
      <c r="B66" s="33" t="inlineStr">
        <is>
          <t>ABC2.5-E7</t>
        </is>
      </c>
      <c r="C66" s="17" t="inlineStr">
        <is>
          <t xml:space="preserve">        Esquineros de cartón 50 × 50 × 1200 (fracción del pallet)</t>
        </is>
      </c>
      <c r="D66" s="33" t="n">
        <v>0.0476</v>
      </c>
      <c r="E66" s="33" t="inlineStr">
        <is>
          <t>u</t>
        </is>
      </c>
      <c r="F66" s="34" t="n"/>
      <c r="G66" s="34" t="n"/>
      <c r="H66" s="33" t="inlineStr">
        <is>
          <t>Cartón</t>
        </is>
      </c>
      <c r="I66" s="17" t="inlineStr">
        <is>
          <t>4 por pallet / 84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66" t="inlineStr">
        <is>
          <t>Extintor ABC 5 kg</t>
        </is>
      </c>
    </row>
    <row r="3">
      <c r="A3" s="2" t="inlineStr">
        <is>
          <t>Plano de origen</t>
        </is>
      </c>
      <c r="C3" t="inlineStr">
        <is>
          <t>FL_MAT_ABC_5kg  (4 láminas)</t>
        </is>
      </c>
      <c r="E3" s="2" t="inlineStr">
        <is>
          <t>Peso vacío S1-S4 (kg)</t>
        </is>
      </c>
      <c r="G3" s="67">
        <f>G12+G24+G39</f>
        <v/>
      </c>
    </row>
    <row r="4">
      <c r="A4" s="2" t="inlineStr">
        <is>
          <t>Plano de despiece</t>
        </is>
      </c>
      <c r="C4" t="inlineStr">
        <is>
          <t>FL_DES_ABC_5kg (salida/despiece/)</t>
        </is>
      </c>
      <c r="E4" s="2" t="inlineStr">
        <is>
          <t>Peso cargado S1-S6 (kg)</t>
        </is>
      </c>
      <c r="G4" s="67">
        <f>G12+G24+G39+G44+G47</f>
        <v/>
      </c>
    </row>
    <row r="5">
      <c r="A5" s="2" t="inlineStr">
        <is>
          <t>Norma del producto</t>
        </is>
      </c>
      <c r="C5" t="inlineStr">
        <is>
          <t>IRAM 3523</t>
        </is>
      </c>
      <c r="E5" s="2" t="inlineStr">
        <is>
          <t>Peso con soporte y embalaje (kg)</t>
        </is>
      </c>
      <c r="G5" s="67">
        <f>G12+G24+G39+G44+G47+G59+G55</f>
        <v/>
      </c>
    </row>
    <row r="6">
      <c r="A6" s="2" t="inlineStr">
        <is>
          <t>Fabricación</t>
        </is>
      </c>
      <c r="C6" t="inlineStr">
        <is>
          <t>Fabricación propia</t>
        </is>
      </c>
      <c r="E6" s="2" t="inlineStr">
        <is>
          <t>Desvío cargado vs catálogo</t>
        </is>
      </c>
      <c r="G6" s="25">
        <f>G4/C7-1</f>
        <v/>
      </c>
    </row>
    <row r="7">
      <c r="A7" s="2" t="inlineStr">
        <is>
          <t>Peso catálogo cargado (kg)</t>
        </is>
      </c>
      <c r="C7" t="n">
        <v>8.5</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FL_MAT_ABC_5kg</t>
        </is>
      </c>
      <c r="C11" s="28" t="inlineStr">
        <is>
          <t>Extintor ABC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FL_MAT_ABC_5kg</t>
        </is>
      </c>
      <c r="R11" s="28" t="inlineStr">
        <is>
          <t>Fabricación propia</t>
        </is>
      </c>
    </row>
    <row r="12">
      <c r="A12" s="30" t="n">
        <v>1</v>
      </c>
      <c r="B12" s="30" t="inlineStr">
        <is>
          <t>FL_REC_ABC_5kg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41" t="n">
        <v>2</v>
      </c>
      <c r="B20" s="41" t="inlineStr">
        <is>
          <t>ABC5-C1</t>
        </is>
      </c>
      <c r="C20" s="18" t="inlineStr">
        <is>
          <t xml:space="preserve">        Alambre MAG ER70S-6 Ø0,9 (AWS A5.18)</t>
        </is>
      </c>
      <c r="D20" s="41" t="n">
        <v>0.0553</v>
      </c>
      <c r="E20" s="41" t="inlineStr">
        <is>
          <t>kg</t>
        </is>
      </c>
      <c r="F20" s="42" t="n">
        <v>0.95</v>
      </c>
      <c r="G20" s="42">
        <f>D20*F20</f>
        <v/>
      </c>
      <c r="H20" s="41" t="inlineStr">
        <is>
          <t>ER70S-6</t>
        </is>
      </c>
      <c r="I20" s="18" t="inlineStr">
        <is>
          <t>metal depositado de los cordones del plano 53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ABC5-C2</t>
        </is>
      </c>
      <c r="C21" s="18" t="inlineStr">
        <is>
          <t xml:space="preserve">        Gas de protección MAG Arcal 21 / ARCAL Speed (Ar + 8 % CO₂, M20)</t>
        </is>
      </c>
      <c r="D21" s="41" t="n">
        <v>32.6</v>
      </c>
      <c r="E21" s="41" t="inlineStr">
        <is>
          <t>L</t>
        </is>
      </c>
      <c r="F21" s="42" t="n"/>
      <c r="G21" s="42" t="n"/>
      <c r="H21" s="41" t="inlineStr">
        <is>
          <t>EN ISO 14175 M20-ArC-8</t>
        </is>
      </c>
      <c r="I21" s="18" t="inlineStr">
        <is>
          <t>14 L/min × 2,33 min de arco (cordones 1.399 mm: long. 321 + circ. 961 + cuello 116,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ABC5-C3</t>
        </is>
      </c>
      <c r="C22" s="18" t="inlineStr">
        <is>
          <t xml:space="preserve">        Granalla de acero S330 / S390 (ISO 11124-3, SAE J444)</t>
        </is>
      </c>
      <c r="D22" s="41" t="n">
        <v>0.08</v>
      </c>
      <c r="E22" s="41" t="inlineStr">
        <is>
          <t>kg</t>
        </is>
      </c>
      <c r="F22" s="42" t="n"/>
      <c r="G22" s="42" t="n"/>
      <c r="H22" s="41" t="inlineStr">
        <is>
          <t>Granalla esférica alto C</t>
        </is>
      </c>
      <c r="I22" s="18" t="inlineStr">
        <is>
          <t>0,198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ABC5-S2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FL_DES_ABC_5kg</t>
        </is>
      </c>
      <c r="R24" s="31" t="n"/>
    </row>
    <row r="25" outlineLevel="1">
      <c r="A25" s="33" t="n">
        <v>2</v>
      </c>
      <c r="B25" s="33" t="inlineStr">
        <is>
          <t>ABC5-05</t>
        </is>
      </c>
      <c r="C25" s="17" t="inlineStr">
        <is>
          <t xml:space="preserve">        Collarín de válvula</t>
        </is>
      </c>
      <c r="D25" s="33" t="n">
        <v>1</v>
      </c>
      <c r="E25" s="33" t="inlineStr">
        <is>
          <t>u</t>
        </is>
      </c>
      <c r="F25" s="34" t="n">
        <v>0.0833</v>
      </c>
      <c r="G25" s="34">
        <f>D25*F25</f>
        <v/>
      </c>
      <c r="H25" s="33" t="inlineStr">
        <is>
          <t>Latón forjado</t>
        </is>
      </c>
      <c r="I25" s="17" t="inlineStr">
        <is>
          <t>43 × 43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FL_DES_ABC_5kg</t>
        </is>
      </c>
      <c r="R25" s="17" t="n"/>
    </row>
    <row r="26" outlineLevel="1">
      <c r="A26" s="33" t="n">
        <v>2</v>
      </c>
      <c r="B26" s="33" t="inlineStr">
        <is>
          <t>ABC5-06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FL_DES_ABC_5kg</t>
        </is>
      </c>
      <c r="R26" s="17" t="n"/>
    </row>
    <row r="27" outlineLevel="1">
      <c r="A27" s="33" t="n">
        <v>2</v>
      </c>
      <c r="B27" s="33" t="inlineStr">
        <is>
          <t>ABC5-07</t>
        </is>
      </c>
      <c r="C27" s="17" t="inlineStr">
        <is>
          <t xml:space="preserve">        Cuerpo de válvula</t>
        </is>
      </c>
      <c r="D27" s="33" t="n">
        <v>1</v>
      </c>
      <c r="E27" s="33" t="inlineStr">
        <is>
          <t>u</t>
        </is>
      </c>
      <c r="F27" s="34" t="n">
        <v>0.4131</v>
      </c>
      <c r="G27" s="34">
        <f>D27*F27</f>
        <v/>
      </c>
      <c r="H27" s="33" t="inlineStr">
        <is>
          <t>Latón forjado</t>
        </is>
      </c>
      <c r="I27" s="17" t="inlineStr">
        <is>
          <t>56,3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FL_DES_ABC_5kg</t>
        </is>
      </c>
      <c r="R27" s="17" t="n"/>
    </row>
    <row r="28" outlineLevel="1">
      <c r="A28" s="45" t="n">
        <v>2</v>
      </c>
      <c r="B28" s="45" t="inlineStr">
        <is>
          <t>ABC5-08</t>
        </is>
      </c>
      <c r="C28" s="19" t="inlineStr">
        <is>
          <t xml:space="preserve">        Manómetro</t>
        </is>
      </c>
      <c r="D28" s="45" t="n">
        <v>1</v>
      </c>
      <c r="E28" s="45" t="inlineStr">
        <is>
          <t>u</t>
        </is>
      </c>
      <c r="F28" s="46" t="n"/>
      <c r="G28" s="46" t="n"/>
      <c r="H28" s="45" t="inlineStr">
        <is>
          <t>Comercial</t>
        </is>
      </c>
      <c r="I28" s="19" t="inlineStr">
        <is>
          <t>Ø38 esfera, rango 0-3,5 MPa, sector verde en 1,4</t>
        </is>
      </c>
      <c r="J28" s="45" t="inlineStr">
        <is>
          <t>Compra</t>
        </is>
      </c>
      <c r="K28" s="45" t="inlineStr">
        <is>
          <t>Sí</t>
        </is>
      </c>
      <c r="L28" s="19" t="inlineStr">
        <is>
          <t>Yukon / MatafuegosYa S.R.L.</t>
        </is>
      </c>
      <c r="M28" s="19" t="inlineStr">
        <is>
          <t>Matafuegos Iglesias</t>
        </is>
      </c>
      <c r="N28" s="19" t="inlineStr">
        <is>
          <t>19 Ensamblaje de válvula (T03/T04)</t>
        </is>
      </c>
      <c r="O28" s="19" t="inlineStr">
        <is>
          <t>IRAM 3533</t>
        </is>
      </c>
      <c r="P28" s="45" t="inlineStr">
        <is>
          <t>P</t>
        </is>
      </c>
      <c r="Q28" s="45" t="inlineStr">
        <is>
          <t>FL_DES_ABC_5kg</t>
        </is>
      </c>
      <c r="R28" s="19" t="inlineStr">
        <is>
          <t>Pieza comercial; sello IRAM 3533; peso: completar con la ficha del proveedor (no afecta el MRP)</t>
        </is>
      </c>
    </row>
    <row r="29" outlineLevel="1">
      <c r="A29" s="33" t="n">
        <v>2</v>
      </c>
      <c r="B29" s="33" t="inlineStr">
        <is>
          <t>ABC5-09</t>
        </is>
      </c>
      <c r="C29" s="17" t="inlineStr">
        <is>
          <t xml:space="preserve">        Manija de transporte</t>
        </is>
      </c>
      <c r="D29" s="33" t="n">
        <v>1</v>
      </c>
      <c r="E29" s="33" t="inlineStr">
        <is>
          <t>u</t>
        </is>
      </c>
      <c r="F29" s="34" t="n">
        <v>0.0619</v>
      </c>
      <c r="G29" s="34">
        <f>D29*F29</f>
        <v/>
      </c>
      <c r="H29" s="33" t="inlineStr">
        <is>
          <t>Chapa acero SAE 1010 pintada</t>
        </is>
      </c>
      <c r="I29" s="17" t="inlineStr">
        <is>
          <t>98,4 × 20 × 14,3</t>
        </is>
      </c>
      <c r="J29" s="33" t="inlineStr">
        <is>
          <t>Incluido en válvula HZ</t>
        </is>
      </c>
      <c r="K29" s="33" t="inlineStr">
        <is>
          <t>No</t>
        </is>
      </c>
      <c r="L29" s="17" t="n"/>
      <c r="M29" s="17" t="n"/>
      <c r="N29" s="17" t="inlineStr">
        <is>
          <t>19 Ensamblaje de válvula (T03/T04)</t>
        </is>
      </c>
      <c r="O29" s="17" t="n"/>
      <c r="P29" s="33" t="inlineStr">
        <is>
          <t>P</t>
        </is>
      </c>
      <c r="Q29" s="33" t="inlineStr">
        <is>
          <t>FL_DES_ABC_5kg</t>
        </is>
      </c>
      <c r="R29" s="17" t="n"/>
    </row>
    <row r="30" outlineLevel="1">
      <c r="A30" s="33" t="n">
        <v>2</v>
      </c>
      <c r="B30" s="33" t="inlineStr">
        <is>
          <t>ABC5-10</t>
        </is>
      </c>
      <c r="C30" s="17" t="inlineStr">
        <is>
          <t xml:space="preserve">        Manija de accionamiento</t>
        </is>
      </c>
      <c r="D30" s="33" t="n">
        <v>1</v>
      </c>
      <c r="E30" s="33" t="inlineStr">
        <is>
          <t>u</t>
        </is>
      </c>
      <c r="F30" s="34" t="n">
        <v>0.08890000000000001</v>
      </c>
      <c r="G30" s="34">
        <f>D30*F30</f>
        <v/>
      </c>
      <c r="H30" s="33" t="inlineStr">
        <is>
          <t>Chapa acero SAE 1010 pintada</t>
        </is>
      </c>
      <c r="I30" s="17" t="inlineStr">
        <is>
          <t>141 × 21,2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FL_DES_ABC_5kg</t>
        </is>
      </c>
      <c r="R30" s="17" t="n"/>
    </row>
    <row r="31" outlineLevel="1">
      <c r="A31" s="33" t="n">
        <v>2</v>
      </c>
      <c r="B31" s="33" t="inlineStr">
        <is>
          <t>ABC5-11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FL_DES_ABC_5kg</t>
        </is>
      </c>
      <c r="R31" s="17" t="n"/>
    </row>
    <row r="32" outlineLevel="1">
      <c r="A32" s="33" t="n">
        <v>2</v>
      </c>
      <c r="B32" s="33" t="inlineStr">
        <is>
          <t>ABC5-12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FL_DES_ABC_5kg</t>
        </is>
      </c>
      <c r="R32" s="17" t="inlineStr">
        <is>
          <t>con junta tórica</t>
        </is>
      </c>
    </row>
    <row r="33" outlineLevel="1">
      <c r="A33" s="33" t="n">
        <v>2</v>
      </c>
      <c r="B33" s="33" t="inlineStr">
        <is>
          <t>ABC5-13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FL_DES_ABC_5kg</t>
        </is>
      </c>
      <c r="R33" s="17" t="inlineStr">
        <is>
          <t>con precinto</t>
        </is>
      </c>
    </row>
    <row r="34" outlineLevel="1">
      <c r="A34" s="33" t="n">
        <v>2</v>
      </c>
      <c r="B34" s="33" t="inlineStr">
        <is>
          <t>ABC5-14</t>
        </is>
      </c>
      <c r="C34" s="17" t="inlineStr">
        <is>
          <t xml:space="preserve">        Caño de pesca (sifón)</t>
        </is>
      </c>
      <c r="D34" s="33" t="n">
        <v>1</v>
      </c>
      <c r="E34" s="33" t="inlineStr">
        <is>
          <t>u</t>
        </is>
      </c>
      <c r="F34" s="34" t="n">
        <v>0.0244</v>
      </c>
      <c r="G34" s="34">
        <f>D34*F34</f>
        <v/>
      </c>
      <c r="H34" s="33" t="inlineStr">
        <is>
          <t>Tubo PVC rígido</t>
        </is>
      </c>
      <c r="I34" s="17" t="inlineStr">
        <is>
          <t>Ø12 × 352,4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FL_DES_ABC_5kg</t>
        </is>
      </c>
      <c r="R34" s="17" t="n"/>
    </row>
    <row r="35" outlineLevel="1">
      <c r="A35" s="33" t="n">
        <v>2</v>
      </c>
      <c r="B35" s="33" t="inlineStr">
        <is>
          <t>ABC5-24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FL_DES_ABC_5kg</t>
        </is>
      </c>
      <c r="R35" s="17" t="inlineStr">
        <is>
          <t>cambio c/recarga</t>
        </is>
      </c>
    </row>
    <row r="36" outlineLevel="1">
      <c r="A36" s="33" t="n">
        <v>2</v>
      </c>
      <c r="B36" s="33" t="inlineStr">
        <is>
          <t>ABC5-K2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FL_DES_ABC_5kg</t>
        </is>
      </c>
      <c r="R36" s="17" t="inlineStr">
        <is>
          <t>Lista de precios HZ (Q-AGENTES); plano Fadesa usa válvula HZ (R-FADESA). Trae las piezas marcadas «Incluido en válvula HZ»</t>
        </is>
      </c>
    </row>
    <row r="37" outlineLevel="1">
      <c r="A37" s="33" t="n">
        <v>2</v>
      </c>
      <c r="B37" s="33" t="inlineStr">
        <is>
          <t>ABC5-V2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ABC5-V3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ABC5-S3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FL_DES_ABC_5kg</t>
        </is>
      </c>
      <c r="R39" s="31" t="n"/>
    </row>
    <row r="40" outlineLevel="1">
      <c r="A40" s="33" t="n">
        <v>2</v>
      </c>
      <c r="B40" s="33" t="inlineStr">
        <is>
          <t>ABC5-15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FL_DES_ABC_5kg</t>
        </is>
      </c>
      <c r="R40" s="17" t="n"/>
    </row>
    <row r="41" outlineLevel="1">
      <c r="A41" s="33" t="n">
        <v>2</v>
      </c>
      <c r="B41" s="33" t="inlineStr">
        <is>
          <t>ABC5-16</t>
        </is>
      </c>
      <c r="C41" s="17" t="inlineStr">
        <is>
          <t xml:space="preserve">        Manguera</t>
        </is>
      </c>
      <c r="D41" s="33" t="n">
        <v>1</v>
      </c>
      <c r="E41" s="33" t="inlineStr">
        <is>
          <t>u</t>
        </is>
      </c>
      <c r="F41" s="34" t="n">
        <v>0.046</v>
      </c>
      <c r="G41" s="34">
        <f>D41*F41</f>
        <v/>
      </c>
      <c r="H41" s="33" t="inlineStr">
        <is>
          <t>Caucho sintético</t>
        </is>
      </c>
      <c r="I41" s="17" t="inlineStr">
        <is>
          <t>Ø16 × 298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FL_DES_ABC_5kg</t>
        </is>
      </c>
      <c r="R41" s="17" t="n"/>
    </row>
    <row r="42" outlineLevel="1">
      <c r="A42" s="33" t="n">
        <v>2</v>
      </c>
      <c r="B42" s="33" t="inlineStr">
        <is>
          <t>ABC5-17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FL_DES_ABC_5kg</t>
        </is>
      </c>
      <c r="R42" s="17" t="n"/>
    </row>
    <row r="43" outlineLevel="1">
      <c r="A43" s="33" t="n">
        <v>2</v>
      </c>
      <c r="B43" s="33" t="inlineStr">
        <is>
          <t>ABC5-18</t>
        </is>
      </c>
      <c r="C43" s="17" t="inlineStr">
        <is>
          <t xml:space="preserve">        Suncho portatobera</t>
        </is>
      </c>
      <c r="D43" s="33" t="n">
        <v>1</v>
      </c>
      <c r="E43" s="33" t="inlineStr">
        <is>
          <t>u</t>
        </is>
      </c>
      <c r="F43" s="34" t="n">
        <v>0.1319</v>
      </c>
      <c r="G43" s="34">
        <f>D43*F43</f>
        <v/>
      </c>
      <c r="H43" s="33" t="inlineStr">
        <is>
          <t>Fleje acero SAE 1010 pintado</t>
        </is>
      </c>
      <c r="I43" s="17" t="inlineStr">
        <is>
          <t>159,9 × 156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FL_DES_ABC_5kg</t>
        </is>
      </c>
      <c r="R43" s="17" t="n"/>
    </row>
    <row r="44">
      <c r="A44" s="30" t="n">
        <v>1</v>
      </c>
      <c r="B44" s="30" t="inlineStr">
        <is>
          <t>ABC5-S5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ABC5-A1</t>
        </is>
      </c>
      <c r="C45" s="17" t="inlineStr">
        <is>
          <t xml:space="preserve">        Polvo químico seco ABC 60 (Sello IRAM 3569)</t>
        </is>
      </c>
      <c r="D45" s="33" t="n">
        <v>5.15</v>
      </c>
      <c r="E45" s="33" t="inlineStr">
        <is>
          <t>kg</t>
        </is>
      </c>
      <c r="F45" s="34" t="n">
        <v>1</v>
      </c>
      <c r="G45" s="34">
        <f>D45*F45</f>
        <v/>
      </c>
      <c r="H45" s="33" t="inlineStr">
        <is>
          <t>Polvo químico seco ABC 60 (Sello IRAM 3569)</t>
        </is>
      </c>
      <c r="I45" s="17" t="inlineStr">
        <is>
          <t>nominal 5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6" outlineLevel="1">
      <c r="A46" s="41" t="n">
        <v>2</v>
      </c>
      <c r="B46" s="41" t="inlineStr">
        <is>
          <t>ABC5-A2</t>
        </is>
      </c>
      <c r="C46" s="18" t="inlineStr">
        <is>
          <t xml:space="preserve">        Gas impulsor: N₂</t>
        </is>
      </c>
      <c r="D46" s="41" t="n">
        <v>0.0251</v>
      </c>
      <c r="E46" s="41" t="inlineStr">
        <is>
          <t>kg</t>
        </is>
      </c>
      <c r="F46" s="42" t="n">
        <v>1</v>
      </c>
      <c r="G46" s="42">
        <f>D46*F46</f>
        <v/>
      </c>
      <c r="H46" s="41" t="inlineStr">
        <is>
          <t>N₂</t>
        </is>
      </c>
      <c r="I46" s="18" t="inlineStr">
        <is>
          <t>20,1 L normales para 1,4 MPa a 20 °C en 1,45 dm³ libres</t>
        </is>
      </c>
      <c r="J46" s="41" t="inlineStr">
        <is>
          <t>Compra</t>
        </is>
      </c>
      <c r="K46" s="41"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41" t="inlineStr">
        <is>
          <t>C</t>
        </is>
      </c>
      <c r="Q46" s="41" t="n"/>
      <c r="R46" s="18" t="inlineStr">
        <is>
          <t>N₂ ≥ 99,8 %, H₂O ≤ 40 ppm (Q-N2, Air Liquide) · volumen libre con ρ empacada mínima 1,1 kg/dm³ (NOM-104-STPS-2001); confirmar con descarga ≥ 85 % (IRAM 3523 4.9.1)</t>
        </is>
      </c>
    </row>
    <row r="47">
      <c r="A47" s="30" t="n">
        <v>1</v>
      </c>
      <c r="B47" s="30" t="inlineStr">
        <is>
          <t>ABC5-S6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ABC5-19</t>
        </is>
      </c>
      <c r="C48" s="17" t="inlineStr">
        <is>
          <t xml:space="preserve">        Etiqueta / placa de características</t>
        </is>
      </c>
      <c r="D48" s="33" t="n">
        <v>1</v>
      </c>
      <c r="E48" s="33" t="inlineStr">
        <is>
          <t>u</t>
        </is>
      </c>
      <c r="F48" s="34" t="n">
        <v>0.0172</v>
      </c>
      <c r="G48" s="34">
        <f>D48*F48</f>
        <v/>
      </c>
      <c r="H48" s="33" t="inlineStr">
        <is>
          <t>Vinilo autoadhesivo laminado</t>
        </is>
      </c>
      <c r="I48" s="17" t="inlineStr">
        <is>
          <t>289 × 142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FL_DES_ABC_5kg</t>
        </is>
      </c>
      <c r="R48" s="17" t="inlineStr">
        <is>
          <t>IRAM 3534</t>
        </is>
      </c>
    </row>
    <row r="49" outlineLevel="1">
      <c r="A49" s="33" t="n">
        <v>2</v>
      </c>
      <c r="B49" s="33" t="inlineStr">
        <is>
          <t>ABC5-20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FL_DES_ABC_5kg</t>
        </is>
      </c>
      <c r="R49" s="17" t="inlineStr">
        <is>
          <t>Res. 522/07</t>
        </is>
      </c>
    </row>
    <row r="50" outlineLevel="1">
      <c r="A50" s="33" t="n">
        <v>2</v>
      </c>
      <c r="B50" s="33" t="inlineStr">
        <is>
          <t>ABC5-21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FL_DES_ABC_5kg</t>
        </is>
      </c>
      <c r="R50" s="17" t="inlineStr">
        <is>
          <t>numerada</t>
        </is>
      </c>
    </row>
    <row r="51" outlineLevel="1">
      <c r="A51" s="33" t="n">
        <v>2</v>
      </c>
      <c r="B51" s="33" t="inlineStr">
        <is>
          <t>ABC5-22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FL_DES_ABC_5kg</t>
        </is>
      </c>
      <c r="R51" s="17" t="inlineStr">
        <is>
          <t>sólo destino CABA</t>
        </is>
      </c>
    </row>
    <row r="52" outlineLevel="1">
      <c r="A52" s="33" t="n">
        <v>2</v>
      </c>
      <c r="B52" s="33" t="inlineStr">
        <is>
          <t>ABC5-23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FL_DES_ABC_5kg</t>
        </is>
      </c>
      <c r="R52" s="17" t="inlineStr">
        <is>
          <t>QR GTIN + serie</t>
        </is>
      </c>
    </row>
    <row r="53" outlineLevel="1">
      <c r="A53" s="33" t="n">
        <v>2</v>
      </c>
      <c r="B53" s="33" t="inlineStr">
        <is>
          <t>ABC5-25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FL_DES_ABC_5kg</t>
        </is>
      </c>
      <c r="R53" s="17" t="inlineStr">
        <is>
          <t>nuevo sin abrir</t>
        </is>
      </c>
    </row>
    <row r="54" outlineLevel="1">
      <c r="A54" s="33" t="n">
        <v>2</v>
      </c>
      <c r="B54" s="33" t="inlineStr">
        <is>
          <t>ABC5-26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FL_DES_ABC_5kg</t>
        </is>
      </c>
      <c r="R54" s="17" t="inlineStr">
        <is>
          <t>id. FLAMA y lote</t>
        </is>
      </c>
    </row>
    <row r="55">
      <c r="A55" s="30" t="n">
        <v>1</v>
      </c>
      <c r="B55" s="30" t="inlineStr">
        <is>
          <t>ABC5-S8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ABC5-I5</t>
        </is>
      </c>
      <c r="C56" s="17" t="inlineStr">
        <is>
          <t xml:space="preserve">        Soporte de pared (FL_ACC_01)</t>
        </is>
      </c>
      <c r="D56" s="33" t="n">
        <v>1</v>
      </c>
      <c r="E56" s="33" t="inlineStr">
        <is>
          <t>u</t>
        </is>
      </c>
      <c r="F56" s="34" t="n">
        <v>0.29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ABC5-I6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ABC5-I8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ABC5-S7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ABC5-E1</t>
        </is>
      </c>
      <c r="C60" s="17" t="inlineStr">
        <is>
          <t xml:space="preserve">        Caja de cartón corrugado simple</t>
        </is>
      </c>
      <c r="D60" s="33" t="n">
        <v>1</v>
      </c>
      <c r="E60" s="33" t="inlineStr">
        <is>
          <t>u</t>
        </is>
      </c>
      <c r="F60" s="34" t="n"/>
      <c r="G60" s="34" t="n"/>
      <c r="H60" s="33" t="inlineStr">
        <is>
          <t>Cartón corrugado</t>
        </is>
      </c>
      <c r="I60" s="17" t="inlineStr">
        <is>
          <t>255 × 186 × 500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ABC5-E2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ABC5-E3</t>
        </is>
      </c>
      <c r="C62" s="17" t="inlineStr">
        <is>
          <t xml:space="preserve">        Pallet 1200 × 1000 (fracción)</t>
        </is>
      </c>
      <c r="D62" s="33" t="n">
        <v>0.025</v>
      </c>
      <c r="E62" s="33" t="inlineStr">
        <is>
          <t>u</t>
        </is>
      </c>
      <c r="F62" s="34" t="n"/>
      <c r="G62" s="34" t="n"/>
      <c r="H62" s="33" t="inlineStr">
        <is>
          <t>Madera</t>
        </is>
      </c>
      <c r="I62" s="17" t="inlineStr">
        <is>
          <t>40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41" t="n">
        <v>2</v>
      </c>
      <c r="B63" s="41" t="inlineStr">
        <is>
          <t>ABC5-E4</t>
        </is>
      </c>
      <c r="C63" s="18" t="inlineStr">
        <is>
          <t xml:space="preserve">        Film stretch (fracción del pallet)</t>
        </is>
      </c>
      <c r="D63" s="41" t="n">
        <v>0.003</v>
      </c>
      <c r="E63" s="41" t="inlineStr">
        <is>
          <t>kg</t>
        </is>
      </c>
      <c r="F63" s="42" t="n">
        <v>1</v>
      </c>
      <c r="G63" s="42">
        <f>D63*F63</f>
        <v/>
      </c>
      <c r="H63" s="41" t="inlineStr">
        <is>
          <t>PE lineal 23 µm</t>
        </is>
      </c>
      <c r="I63" s="18" t="inlineStr">
        <is>
          <t>0,12 kg por pallet / 40 u</t>
        </is>
      </c>
      <c r="J63" s="41" t="inlineStr">
        <is>
          <t>Compra</t>
        </is>
      </c>
      <c r="K63" s="41" t="inlineStr">
        <is>
          <t>Sí</t>
        </is>
      </c>
      <c r="L63" s="18" t="inlineStr">
        <is>
          <t>MV Embalajes</t>
        </is>
      </c>
      <c r="M63" s="18" t="inlineStr">
        <is>
          <t>Embalpack</t>
        </is>
      </c>
      <c r="N63" s="18" t="inlineStr">
        <is>
          <t>24 Envolvedora (T11)</t>
        </is>
      </c>
      <c r="O63" s="18" t="n"/>
      <c r="P63" s="41" t="inlineStr">
        <is>
          <t>C</t>
        </is>
      </c>
      <c r="Q63" s="41"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ABC5-E5</t>
        </is>
      </c>
      <c r="C64" s="17" t="inlineStr">
        <is>
          <t xml:space="preserve">        Etiqueta de pallet (lote y destino, fracción)</t>
        </is>
      </c>
      <c r="D64" s="33" t="n">
        <v>0.025</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41" t="n">
        <v>2</v>
      </c>
      <c r="B65" s="41" t="inlineStr">
        <is>
          <t>ABC5-E6</t>
        </is>
      </c>
      <c r="C65" s="18" t="inlineStr">
        <is>
          <t xml:space="preserve">        Cinta de embalaje PP 48 mm (cierre de la caja)</t>
        </is>
      </c>
      <c r="D65" s="41" t="n">
        <v>0.79</v>
      </c>
      <c r="E65" s="41" t="inlineStr">
        <is>
          <t>m</t>
        </is>
      </c>
      <c r="F65" s="42" t="n"/>
      <c r="G65" s="42" t="n"/>
      <c r="H65" s="41" t="inlineStr">
        <is>
          <t>Polipropileno con adhesivo acrílico</t>
        </is>
      </c>
      <c r="I65" s="18" t="inlineStr">
        <is>
          <t>cierre en I arriba y abajo: 2 × (255 + 2 × 70 de solapa)</t>
        </is>
      </c>
      <c r="J65" s="41" t="inlineStr">
        <is>
          <t>Compra</t>
        </is>
      </c>
      <c r="K65" s="41" t="inlineStr">
        <is>
          <t>Sí</t>
        </is>
      </c>
      <c r="L65" s="18" t="inlineStr">
        <is>
          <t>MV Embalajes</t>
        </is>
      </c>
      <c r="M65" s="18" t="inlineStr">
        <is>
          <t>Embalpack</t>
        </is>
      </c>
      <c r="N65" s="18" t="inlineStr">
        <is>
          <t>23 Embalaje</t>
        </is>
      </c>
      <c r="O65" s="18" t="n"/>
      <c r="P65" s="41" t="inlineStr">
        <is>
          <t>C</t>
        </is>
      </c>
      <c r="Q65" s="41" t="n"/>
      <c r="R65" s="18" t="inlineStr">
        <is>
          <t>Solapa de 70 mm por lado: práctica de cierre de cajas (medir en la línea)</t>
        </is>
      </c>
    </row>
    <row r="66" outlineLevel="1">
      <c r="A66" s="33" t="n">
        <v>2</v>
      </c>
      <c r="B66" s="33" t="inlineStr">
        <is>
          <t>ABC5-E7</t>
        </is>
      </c>
      <c r="C66" s="17" t="inlineStr">
        <is>
          <t xml:space="preserve">        Esquineros de cartón 50 × 50 × 1200 (fracción del pallet)</t>
        </is>
      </c>
      <c r="D66" s="33" t="n">
        <v>0.1</v>
      </c>
      <c r="E66" s="33" t="inlineStr">
        <is>
          <t>u</t>
        </is>
      </c>
      <c r="F66" s="34" t="n"/>
      <c r="G66" s="34" t="n"/>
      <c r="H66" s="33" t="inlineStr">
        <is>
          <t>Cartón</t>
        </is>
      </c>
      <c r="I66" s="17" t="inlineStr">
        <is>
          <t>4 por pallet / 40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66" t="inlineStr">
        <is>
          <t>Extintor ABC 10 kg</t>
        </is>
      </c>
    </row>
    <row r="3">
      <c r="A3" s="2" t="inlineStr">
        <is>
          <t>Plano de origen</t>
        </is>
      </c>
      <c r="C3" t="inlineStr">
        <is>
          <t>FL_MAT_ABC_10kg  (4 láminas)</t>
        </is>
      </c>
      <c r="E3" s="2" t="inlineStr">
        <is>
          <t>Peso vacío S1-S4 (kg)</t>
        </is>
      </c>
      <c r="G3" s="67">
        <f>G12+G24+G39</f>
        <v/>
      </c>
    </row>
    <row r="4">
      <c r="A4" s="2" t="inlineStr">
        <is>
          <t>Plano de despiece</t>
        </is>
      </c>
      <c r="C4" t="inlineStr">
        <is>
          <t>FL_DES_ABC_10kg (salida/despiece/)</t>
        </is>
      </c>
      <c r="E4" s="2" t="inlineStr">
        <is>
          <t>Peso cargado S1-S6 (kg)</t>
        </is>
      </c>
      <c r="G4" s="67">
        <f>G12+G24+G39+G44+G47</f>
        <v/>
      </c>
    </row>
    <row r="5">
      <c r="A5" s="2" t="inlineStr">
        <is>
          <t>Norma del producto</t>
        </is>
      </c>
      <c r="C5" t="inlineStr">
        <is>
          <t>IRAM 3523</t>
        </is>
      </c>
      <c r="E5" s="2" t="inlineStr">
        <is>
          <t>Peso con soporte y embalaje (kg)</t>
        </is>
      </c>
      <c r="G5" s="67">
        <f>G12+G24+G39+G44+G47+G59+G55</f>
        <v/>
      </c>
    </row>
    <row r="6">
      <c r="A6" s="2" t="inlineStr">
        <is>
          <t>Fabricación</t>
        </is>
      </c>
      <c r="C6" t="inlineStr">
        <is>
          <t>Fabricación propia</t>
        </is>
      </c>
      <c r="E6" s="2" t="inlineStr">
        <is>
          <t>Desvío cargado vs catálogo</t>
        </is>
      </c>
      <c r="G6" s="25">
        <f>G4/C7-1</f>
        <v/>
      </c>
    </row>
    <row r="7">
      <c r="A7" s="2" t="inlineStr">
        <is>
          <t>Peso catálogo cargado (kg)</t>
        </is>
      </c>
      <c r="C7" t="n">
        <v>16.5</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FL_MAT_ABC_10kg</t>
        </is>
      </c>
      <c r="C11" s="28" t="inlineStr">
        <is>
          <t>Extintor ABC 10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FL_MAT_ABC_10kg</t>
        </is>
      </c>
      <c r="R11" s="28" t="inlineStr">
        <is>
          <t>Fabricación propia</t>
        </is>
      </c>
    </row>
    <row r="12">
      <c r="A12" s="30" t="n">
        <v>1</v>
      </c>
      <c r="B12" s="30" t="inlineStr">
        <is>
          <t>FL_REC_ABC_10kg</t>
        </is>
      </c>
      <c r="C12" s="31" t="inlineStr">
        <is>
          <t xml:space="preserve">    Recipiente (cilindro)</t>
        </is>
      </c>
      <c r="D12" s="30" t="n">
        <v>1</v>
      </c>
      <c r="E12" s="30" t="inlineStr">
        <is>
          <t>u</t>
        </is>
      </c>
      <c r="F12" s="32" t="n"/>
      <c r="G12" s="32">
        <f>G13+G15+G17+G19+G20</f>
        <v/>
      </c>
      <c r="H12" s="30" t="n"/>
      <c r="I12" s="31" t="n"/>
      <c r="J12" s="30" t="inlineStr">
        <is>
          <t>Fabricación</t>
        </is>
      </c>
      <c r="K12" s="30" t="n"/>
      <c r="L12" s="31" t="n"/>
      <c r="M12" s="31" t="n"/>
      <c r="N12" s="31" t="n"/>
      <c r="O12" s="31" t="inlineStr">
        <is>
          <t>IRAM 3523 / 3550 (recipiente)</t>
        </is>
      </c>
      <c r="P12" s="30" t="inlineStr">
        <is>
          <t>P</t>
        </is>
      </c>
      <c r="Q12" s="30" t="inlineStr">
        <is>
          <t>FL_REC_ABC_10kg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8" t="n">
        <v>3</v>
      </c>
      <c r="B16" s="38" t="inlineStr">
        <is>
          <t>MP-FLEJE</t>
        </is>
      </c>
      <c r="C16" s="39" t="inlineStr">
        <is>
          <t xml:space="preserve">            Fleje e=2 × 300 (paso 261)</t>
        </is>
      </c>
      <c r="D16" s="38" t="n">
        <v>0.261</v>
      </c>
      <c r="E16" s="38" t="inlineStr">
        <is>
          <t>m</t>
        </is>
      </c>
      <c r="F16" s="40" t="n">
        <v>4.71</v>
      </c>
      <c r="G16" s="40">
        <f>D16*F16</f>
        <v/>
      </c>
      <c r="H16" s="38" t="inlineStr">
        <is>
          <t>Fleje SAE 1010</t>
        </is>
      </c>
      <c r="I16" s="39" t="inlineStr">
        <is>
          <t>disco Ø258 (kg por m de fleje)</t>
        </is>
      </c>
      <c r="J16" s="38" t="inlineStr">
        <is>
          <t>Compra</t>
        </is>
      </c>
      <c r="K16" s="38" t="inlineStr">
        <is>
          <t>Sí</t>
        </is>
      </c>
      <c r="L16" s="39" t="inlineStr">
        <is>
          <t>Pacheco Chapas</t>
        </is>
      </c>
      <c r="M16" s="39" t="inlineStr">
        <is>
          <t>Pradecon S.A.</t>
        </is>
      </c>
      <c r="N16" s="39" t="inlineStr">
        <is>
          <t>AL-1F porta-flejes</t>
        </is>
      </c>
      <c r="O16" s="39" t="n"/>
      <c r="P16" s="38" t="inlineStr">
        <is>
          <t>L</t>
        </is>
      </c>
      <c r="Q16" s="38" t="inlineStr">
        <is>
          <t>FL_PI_04 h2</t>
        </is>
      </c>
      <c r="R16" s="39" t="inlineStr">
        <is>
          <t>OJO: el fleje es e=2 y el plano e=1,6</t>
        </is>
      </c>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41" t="n">
        <v>2</v>
      </c>
      <c r="B20" s="41" t="inlineStr">
        <is>
          <t>ABC10-C1</t>
        </is>
      </c>
      <c r="C20" s="18" t="inlineStr">
        <is>
          <t xml:space="preserve">        Alambre MAG ER70S-6 Ø0,9 (AWS A5.18)</t>
        </is>
      </c>
      <c r="D20" s="41" t="n">
        <v>0.0987</v>
      </c>
      <c r="E20" s="41" t="inlineStr">
        <is>
          <t>kg</t>
        </is>
      </c>
      <c r="F20" s="42" t="n">
        <v>0.95</v>
      </c>
      <c r="G20" s="42">
        <f>D20*F20</f>
        <v/>
      </c>
      <c r="H20" s="41" t="inlineStr">
        <is>
          <t>ER70S-6</t>
        </is>
      </c>
      <c r="I20" s="18" t="inlineStr">
        <is>
          <t>metal depositado de los cordones del plano 94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ABC10-C2</t>
        </is>
      </c>
      <c r="C21" s="18" t="inlineStr">
        <is>
          <t xml:space="preserve">        Gas de protección MAG Arcal 21 / ARCAL Speed (Ar + 8 % CO₂, M20)</t>
        </is>
      </c>
      <c r="D21" s="41" t="n">
        <v>40.7</v>
      </c>
      <c r="E21" s="41" t="inlineStr">
        <is>
          <t>L</t>
        </is>
      </c>
      <c r="F21" s="42" t="n"/>
      <c r="G21" s="42" t="n"/>
      <c r="H21" s="41" t="inlineStr">
        <is>
          <t>EN ISO 14175 M20-ArC-8</t>
        </is>
      </c>
      <c r="I21" s="18" t="inlineStr">
        <is>
          <t>14 L/min × 2,91 min de arco (cordones 1.743 mm: long. 487 + circ. 1.140 + cuello 116,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ABC10-C3</t>
        </is>
      </c>
      <c r="C22" s="18" t="inlineStr">
        <is>
          <t xml:space="preserve">        Granalla de acero S330 / S390 (ISO 11124-3, SAE J444)</t>
        </is>
      </c>
      <c r="D22" s="41" t="n">
        <v>0.08</v>
      </c>
      <c r="E22" s="41" t="inlineStr">
        <is>
          <t>kg</t>
        </is>
      </c>
      <c r="F22" s="42" t="n"/>
      <c r="G22" s="42" t="n"/>
      <c r="H22" s="41" t="inlineStr">
        <is>
          <t>Granalla esférica alto C</t>
        </is>
      </c>
      <c r="I22" s="18" t="inlineStr">
        <is>
          <t>0,338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c r="A24" s="30" t="n">
        <v>1</v>
      </c>
      <c r="B24" s="30" t="inlineStr">
        <is>
          <t>ABC10-S2</t>
        </is>
      </c>
      <c r="C24" s="31" t="inlineStr">
        <is>
          <t xml:space="preserve">    Conjunto de válvula</t>
        </is>
      </c>
      <c r="D24" s="30" t="n">
        <v>1</v>
      </c>
      <c r="E24" s="30" t="inlineStr">
        <is>
          <t>u</t>
        </is>
      </c>
      <c r="F24" s="32" t="n"/>
      <c r="G24" s="32">
        <f>G25+G26+G27+G29+G30+G31+G32+G33+G34+G35</f>
        <v/>
      </c>
      <c r="H24" s="30" t="n"/>
      <c r="I24" s="31" t="n"/>
      <c r="J24" s="30" t="inlineStr">
        <is>
          <t>Compra / armado</t>
        </is>
      </c>
      <c r="K24" s="30" t="n"/>
      <c r="L24" s="31" t="n"/>
      <c r="M24" s="31" t="n"/>
      <c r="N24" s="31" t="n"/>
      <c r="O24" s="31" t="inlineStr">
        <is>
          <t>Manómetro IRAM 3533</t>
        </is>
      </c>
      <c r="P24" s="30" t="inlineStr">
        <is>
          <t>P</t>
        </is>
      </c>
      <c r="Q24" s="30" t="inlineStr">
        <is>
          <t>FL_DES_ABC_10kg</t>
        </is>
      </c>
      <c r="R24" s="31" t="n"/>
    </row>
    <row r="25" outlineLevel="1">
      <c r="A25" s="33" t="n">
        <v>2</v>
      </c>
      <c r="B25" s="33" t="inlineStr">
        <is>
          <t>ABC10-05</t>
        </is>
      </c>
      <c r="C25" s="17" t="inlineStr">
        <is>
          <t xml:space="preserve">        Collarín de válvula</t>
        </is>
      </c>
      <c r="D25" s="33" t="n">
        <v>1</v>
      </c>
      <c r="E25" s="33" t="inlineStr">
        <is>
          <t>u</t>
        </is>
      </c>
      <c r="F25" s="34" t="n">
        <v>0.08210000000000001</v>
      </c>
      <c r="G25" s="34">
        <f>D25*F25</f>
        <v/>
      </c>
      <c r="H25" s="33" t="inlineStr">
        <is>
          <t>Latón forjado</t>
        </is>
      </c>
      <c r="I25" s="17" t="inlineStr">
        <is>
          <t>42,8 × 42,8 × 10</t>
        </is>
      </c>
      <c r="J25" s="33" t="inlineStr">
        <is>
          <t>Incluido en válvula HZ</t>
        </is>
      </c>
      <c r="K25" s="33" t="inlineStr">
        <is>
          <t>No</t>
        </is>
      </c>
      <c r="L25" s="17" t="n"/>
      <c r="M25" s="17" t="n"/>
      <c r="N25" s="17" t="inlineStr">
        <is>
          <t>19 Ensamblaje de válvula (T03/T04)</t>
        </is>
      </c>
      <c r="O25" s="17" t="n"/>
      <c r="P25" s="33" t="inlineStr">
        <is>
          <t>P</t>
        </is>
      </c>
      <c r="Q25" s="33" t="inlineStr">
        <is>
          <t>FL_DES_ABC_10kg</t>
        </is>
      </c>
      <c r="R25" s="17" t="n"/>
    </row>
    <row r="26" outlineLevel="1">
      <c r="A26" s="33" t="n">
        <v>2</v>
      </c>
      <c r="B26" s="33" t="inlineStr">
        <is>
          <t>ABC10-06</t>
        </is>
      </c>
      <c r="C26" s="17" t="inlineStr">
        <is>
          <t xml:space="preserve">        Espiga roscada</t>
        </is>
      </c>
      <c r="D26" s="33" t="n">
        <v>1</v>
      </c>
      <c r="E26" s="33" t="inlineStr">
        <is>
          <t>u</t>
        </is>
      </c>
      <c r="F26" s="34" t="n">
        <v>0.0243</v>
      </c>
      <c r="G26" s="34">
        <f>D26*F26</f>
        <v/>
      </c>
      <c r="H26" s="33" t="inlineStr">
        <is>
          <t>Latón forjado</t>
        </is>
      </c>
      <c r="I26" s="17" t="inlineStr">
        <is>
          <t>28,4 × 28,4 × 12</t>
        </is>
      </c>
      <c r="J26" s="33" t="inlineStr">
        <is>
          <t>Incluido en válvula HZ</t>
        </is>
      </c>
      <c r="K26" s="33" t="inlineStr">
        <is>
          <t>No</t>
        </is>
      </c>
      <c r="L26" s="17" t="n"/>
      <c r="M26" s="17" t="n"/>
      <c r="N26" s="17" t="inlineStr">
        <is>
          <t>19 Ensamblaje de válvula (T03/T04)</t>
        </is>
      </c>
      <c r="O26" s="17" t="n"/>
      <c r="P26" s="33" t="inlineStr">
        <is>
          <t>P</t>
        </is>
      </c>
      <c r="Q26" s="33" t="inlineStr">
        <is>
          <t>FL_DES_ABC_10kg</t>
        </is>
      </c>
      <c r="R26" s="17" t="n"/>
    </row>
    <row r="27" outlineLevel="1">
      <c r="A27" s="33" t="n">
        <v>2</v>
      </c>
      <c r="B27" s="33" t="inlineStr">
        <is>
          <t>ABC10-07</t>
        </is>
      </c>
      <c r="C27" s="17" t="inlineStr">
        <is>
          <t xml:space="preserve">        Cuerpo de válvula</t>
        </is>
      </c>
      <c r="D27" s="33" t="n">
        <v>1</v>
      </c>
      <c r="E27" s="33" t="inlineStr">
        <is>
          <t>u</t>
        </is>
      </c>
      <c r="F27" s="34" t="n">
        <v>0.435</v>
      </c>
      <c r="G27" s="34">
        <f>D27*F27</f>
        <v/>
      </c>
      <c r="H27" s="33" t="inlineStr">
        <is>
          <t>Latón forjado</t>
        </is>
      </c>
      <c r="I27" s="17" t="inlineStr">
        <is>
          <t>59,4 × 43 × 34</t>
        </is>
      </c>
      <c r="J27" s="33" t="inlineStr">
        <is>
          <t>Incluido en válvula HZ</t>
        </is>
      </c>
      <c r="K27" s="33" t="inlineStr">
        <is>
          <t>No</t>
        </is>
      </c>
      <c r="L27" s="17" t="n"/>
      <c r="M27" s="17" t="n"/>
      <c r="N27" s="17" t="inlineStr">
        <is>
          <t>19 Ensamblaje de válvula (T03/T04)</t>
        </is>
      </c>
      <c r="O27" s="17" t="n"/>
      <c r="P27" s="33" t="inlineStr">
        <is>
          <t>P</t>
        </is>
      </c>
      <c r="Q27" s="33" t="inlineStr">
        <is>
          <t>FL_DES_ABC_10kg</t>
        </is>
      </c>
      <c r="R27" s="17" t="n"/>
    </row>
    <row r="28" outlineLevel="1">
      <c r="A28" s="45" t="n">
        <v>2</v>
      </c>
      <c r="B28" s="45" t="inlineStr">
        <is>
          <t>ABC10-08</t>
        </is>
      </c>
      <c r="C28" s="19" t="inlineStr">
        <is>
          <t xml:space="preserve">        Manómetro</t>
        </is>
      </c>
      <c r="D28" s="45" t="n">
        <v>1</v>
      </c>
      <c r="E28" s="45" t="inlineStr">
        <is>
          <t>u</t>
        </is>
      </c>
      <c r="F28" s="46" t="n"/>
      <c r="G28" s="46" t="n"/>
      <c r="H28" s="45" t="inlineStr">
        <is>
          <t>Comercial</t>
        </is>
      </c>
      <c r="I28" s="19" t="inlineStr">
        <is>
          <t>Ø38 esfera, rango 0-3,5 MPa, sector verde en 1,4</t>
        </is>
      </c>
      <c r="J28" s="45" t="inlineStr">
        <is>
          <t>Compra</t>
        </is>
      </c>
      <c r="K28" s="45" t="inlineStr">
        <is>
          <t>Sí</t>
        </is>
      </c>
      <c r="L28" s="19" t="inlineStr">
        <is>
          <t>Yukon / MatafuegosYa S.R.L.</t>
        </is>
      </c>
      <c r="M28" s="19" t="inlineStr">
        <is>
          <t>Matafuegos Iglesias</t>
        </is>
      </c>
      <c r="N28" s="19" t="inlineStr">
        <is>
          <t>19 Ensamblaje de válvula (T03/T04)</t>
        </is>
      </c>
      <c r="O28" s="19" t="inlineStr">
        <is>
          <t>IRAM 3533</t>
        </is>
      </c>
      <c r="P28" s="45" t="inlineStr">
        <is>
          <t>P</t>
        </is>
      </c>
      <c r="Q28" s="45" t="inlineStr">
        <is>
          <t>FL_DES_ABC_10kg</t>
        </is>
      </c>
      <c r="R28" s="19" t="inlineStr">
        <is>
          <t>Pieza comercial; sello IRAM 3533; peso: completar con la ficha del proveedor (no afecta el MRP)</t>
        </is>
      </c>
    </row>
    <row r="29" outlineLevel="1">
      <c r="A29" s="33" t="n">
        <v>2</v>
      </c>
      <c r="B29" s="33" t="inlineStr">
        <is>
          <t>ABC10-09</t>
        </is>
      </c>
      <c r="C29" s="17" t="inlineStr">
        <is>
          <t xml:space="preserve">        Manija de transporte</t>
        </is>
      </c>
      <c r="D29" s="33" t="n">
        <v>1</v>
      </c>
      <c r="E29" s="33" t="inlineStr">
        <is>
          <t>u</t>
        </is>
      </c>
      <c r="F29" s="34" t="n">
        <v>0.056</v>
      </c>
      <c r="G29" s="34">
        <f>D29*F29</f>
        <v/>
      </c>
      <c r="H29" s="33" t="inlineStr">
        <is>
          <t>Chapa acero SAE 1010 pintada</t>
        </is>
      </c>
      <c r="I29" s="17" t="inlineStr">
        <is>
          <t>89,2 × 20 × 13,3</t>
        </is>
      </c>
      <c r="J29" s="33" t="inlineStr">
        <is>
          <t>Incluido en válvula HZ</t>
        </is>
      </c>
      <c r="K29" s="33" t="inlineStr">
        <is>
          <t>No</t>
        </is>
      </c>
      <c r="L29" s="17" t="n"/>
      <c r="M29" s="17" t="n"/>
      <c r="N29" s="17" t="inlineStr">
        <is>
          <t>19 Ensamblaje de válvula (T03/T04)</t>
        </is>
      </c>
      <c r="O29" s="17" t="n"/>
      <c r="P29" s="33" t="inlineStr">
        <is>
          <t>P</t>
        </is>
      </c>
      <c r="Q29" s="33" t="inlineStr">
        <is>
          <t>FL_DES_ABC_10kg</t>
        </is>
      </c>
      <c r="R29" s="17" t="n"/>
    </row>
    <row r="30" outlineLevel="1">
      <c r="A30" s="33" t="n">
        <v>2</v>
      </c>
      <c r="B30" s="33" t="inlineStr">
        <is>
          <t>ABC10-10</t>
        </is>
      </c>
      <c r="C30" s="17" t="inlineStr">
        <is>
          <t xml:space="preserve">        Manija de accionamiento</t>
        </is>
      </c>
      <c r="D30" s="33" t="n">
        <v>1</v>
      </c>
      <c r="E30" s="33" t="inlineStr">
        <is>
          <t>u</t>
        </is>
      </c>
      <c r="F30" s="34" t="n">
        <v>0.083</v>
      </c>
      <c r="G30" s="34">
        <f>D30*F30</f>
        <v/>
      </c>
      <c r="H30" s="33" t="inlineStr">
        <is>
          <t>Chapa acero SAE 1010 pintada</t>
        </is>
      </c>
      <c r="I30" s="17" t="inlineStr">
        <is>
          <t>131,7 × 20,1 × 20</t>
        </is>
      </c>
      <c r="J30" s="33" t="inlineStr">
        <is>
          <t>Incluido en válvula HZ</t>
        </is>
      </c>
      <c r="K30" s="33" t="inlineStr">
        <is>
          <t>No</t>
        </is>
      </c>
      <c r="L30" s="17" t="n"/>
      <c r="M30" s="17" t="n"/>
      <c r="N30" s="17" t="inlineStr">
        <is>
          <t>19 Ensamblaje de válvula (T03/T04)</t>
        </is>
      </c>
      <c r="O30" s="17" t="n"/>
      <c r="P30" s="33" t="inlineStr">
        <is>
          <t>P</t>
        </is>
      </c>
      <c r="Q30" s="33" t="inlineStr">
        <is>
          <t>FL_DES_ABC_10kg</t>
        </is>
      </c>
      <c r="R30" s="17" t="n"/>
    </row>
    <row r="31" outlineLevel="1">
      <c r="A31" s="33" t="n">
        <v>2</v>
      </c>
      <c r="B31" s="33" t="inlineStr">
        <is>
          <t>ABC10-11</t>
        </is>
      </c>
      <c r="C31" s="17" t="inlineStr">
        <is>
          <t xml:space="preserve">        Eje de palanca</t>
        </is>
      </c>
      <c r="D31" s="33" t="n">
        <v>1</v>
      </c>
      <c r="E31" s="33" t="inlineStr">
        <is>
          <t>u</t>
        </is>
      </c>
      <c r="F31" s="34" t="n">
        <v>0.0081</v>
      </c>
      <c r="G31" s="34">
        <f>D31*F31</f>
        <v/>
      </c>
      <c r="H31" s="33" t="inlineStr">
        <is>
          <t>Acero inox. AISI 304</t>
        </is>
      </c>
      <c r="I31" s="17" t="inlineStr">
        <is>
          <t>36 × 6 × 6</t>
        </is>
      </c>
      <c r="J31" s="33" t="inlineStr">
        <is>
          <t>Incluido en válvula HZ</t>
        </is>
      </c>
      <c r="K31" s="33" t="inlineStr">
        <is>
          <t>No</t>
        </is>
      </c>
      <c r="L31" s="17" t="n"/>
      <c r="M31" s="17" t="n"/>
      <c r="N31" s="17" t="inlineStr">
        <is>
          <t>19 Ensamblaje de válvula (T03/T04)</t>
        </is>
      </c>
      <c r="O31" s="17" t="n"/>
      <c r="P31" s="33" t="inlineStr">
        <is>
          <t>P</t>
        </is>
      </c>
      <c r="Q31" s="33" t="inlineStr">
        <is>
          <t>FL_DES_ABC_10kg</t>
        </is>
      </c>
      <c r="R31" s="17" t="n"/>
    </row>
    <row r="32" outlineLevel="1">
      <c r="A32" s="33" t="n">
        <v>2</v>
      </c>
      <c r="B32" s="33" t="inlineStr">
        <is>
          <t>ABC10-12</t>
        </is>
      </c>
      <c r="C32" s="17" t="inlineStr">
        <is>
          <t xml:space="preserve">        Vástago</t>
        </is>
      </c>
      <c r="D32" s="33" t="n">
        <v>1</v>
      </c>
      <c r="E32" s="33" t="inlineStr">
        <is>
          <t>u</t>
        </is>
      </c>
      <c r="F32" s="34" t="n">
        <v>0.0017</v>
      </c>
      <c r="G32" s="34">
        <f>D32*F32</f>
        <v/>
      </c>
      <c r="H32" s="33" t="inlineStr">
        <is>
          <t>Latón</t>
        </is>
      </c>
      <c r="I32" s="17" t="inlineStr">
        <is>
          <t>8 × 8 × 4</t>
        </is>
      </c>
      <c r="J32" s="33" t="inlineStr">
        <is>
          <t>Incluido en válvula HZ</t>
        </is>
      </c>
      <c r="K32" s="33" t="inlineStr">
        <is>
          <t>No</t>
        </is>
      </c>
      <c r="L32" s="17" t="n"/>
      <c r="M32" s="17" t="n"/>
      <c r="N32" s="17" t="inlineStr">
        <is>
          <t>19 Ensamblaje de válvula (T03/T04)</t>
        </is>
      </c>
      <c r="O32" s="17" t="n"/>
      <c r="P32" s="33" t="inlineStr">
        <is>
          <t>P</t>
        </is>
      </c>
      <c r="Q32" s="33" t="inlineStr">
        <is>
          <t>FL_DES_ABC_10kg</t>
        </is>
      </c>
      <c r="R32" s="17" t="inlineStr">
        <is>
          <t>con junta tórica</t>
        </is>
      </c>
    </row>
    <row r="33" outlineLevel="1">
      <c r="A33" s="33" t="n">
        <v>2</v>
      </c>
      <c r="B33" s="33" t="inlineStr">
        <is>
          <t>ABC10-13</t>
        </is>
      </c>
      <c r="C33" s="17" t="inlineStr">
        <is>
          <t xml:space="preserve">        Pasador de seguridad</t>
        </is>
      </c>
      <c r="D33" s="33" t="n">
        <v>1</v>
      </c>
      <c r="E33" s="33" t="inlineStr">
        <is>
          <t>u</t>
        </is>
      </c>
      <c r="F33" s="34" t="n">
        <v>0.0055</v>
      </c>
      <c r="G33" s="34">
        <f>D33*F33</f>
        <v/>
      </c>
      <c r="H33" s="33" t="inlineStr">
        <is>
          <t>Alambre acero inox. AISI 304</t>
        </is>
      </c>
      <c r="I33" s="17" t="inlineStr">
        <is>
          <t>45,4 × 21 × 20,8</t>
        </is>
      </c>
      <c r="J33" s="33" t="inlineStr">
        <is>
          <t>Incluido en válvula HZ</t>
        </is>
      </c>
      <c r="K33" s="33" t="inlineStr">
        <is>
          <t>No</t>
        </is>
      </c>
      <c r="L33" s="17" t="n"/>
      <c r="M33" s="17" t="n"/>
      <c r="N33" s="17" t="inlineStr">
        <is>
          <t>19 Ensamblaje de válvula (T03/T04)</t>
        </is>
      </c>
      <c r="O33" s="17" t="n"/>
      <c r="P33" s="33" t="inlineStr">
        <is>
          <t>P</t>
        </is>
      </c>
      <c r="Q33" s="33" t="inlineStr">
        <is>
          <t>FL_DES_ABC_10kg</t>
        </is>
      </c>
      <c r="R33" s="17" t="inlineStr">
        <is>
          <t>con precinto</t>
        </is>
      </c>
    </row>
    <row r="34" outlineLevel="1">
      <c r="A34" s="33" t="n">
        <v>2</v>
      </c>
      <c r="B34" s="33" t="inlineStr">
        <is>
          <t>ABC10-14</t>
        </is>
      </c>
      <c r="C34" s="17" t="inlineStr">
        <is>
          <t xml:space="preserve">        Caño de pesca (sifón)</t>
        </is>
      </c>
      <c r="D34" s="33" t="n">
        <v>1</v>
      </c>
      <c r="E34" s="33" t="inlineStr">
        <is>
          <t>u</t>
        </is>
      </c>
      <c r="F34" s="34" t="n">
        <v>0.0364</v>
      </c>
      <c r="G34" s="34">
        <f>D34*F34</f>
        <v/>
      </c>
      <c r="H34" s="33" t="inlineStr">
        <is>
          <t>Tubo PVC rígido</t>
        </is>
      </c>
      <c r="I34" s="17" t="inlineStr">
        <is>
          <t>Ø12 × 525,7 de largo</t>
        </is>
      </c>
      <c r="J34" s="33" t="inlineStr">
        <is>
          <t>Incluido en válvula HZ</t>
        </is>
      </c>
      <c r="K34" s="33" t="inlineStr">
        <is>
          <t>No</t>
        </is>
      </c>
      <c r="L34" s="17" t="n"/>
      <c r="M34" s="17" t="n"/>
      <c r="N34" s="17" t="inlineStr">
        <is>
          <t>19 Ensamblaje de válvula (T03/T04)</t>
        </is>
      </c>
      <c r="O34" s="17" t="n"/>
      <c r="P34" s="33" t="inlineStr">
        <is>
          <t>P</t>
        </is>
      </c>
      <c r="Q34" s="33" t="inlineStr">
        <is>
          <t>FL_DES_ABC_10kg</t>
        </is>
      </c>
      <c r="R34" s="17" t="n"/>
    </row>
    <row r="35" outlineLevel="1">
      <c r="A35" s="33" t="n">
        <v>2</v>
      </c>
      <c r="B35" s="33" t="inlineStr">
        <is>
          <t>ABC10-24</t>
        </is>
      </c>
      <c r="C35" s="17" t="inlineStr">
        <is>
          <t xml:space="preserve">        Junta tórica de asiento</t>
        </is>
      </c>
      <c r="D35" s="33" t="n">
        <v>1</v>
      </c>
      <c r="E35" s="33" t="inlineStr">
        <is>
          <t>u</t>
        </is>
      </c>
      <c r="F35" s="34" t="n">
        <v>0.001</v>
      </c>
      <c r="G35" s="34">
        <f>D35*F35</f>
        <v/>
      </c>
      <c r="H35" s="33" t="inlineStr">
        <is>
          <t>NBR 70 Shore A</t>
        </is>
      </c>
      <c r="I35" s="17" t="inlineStr">
        <is>
          <t>Ø31,4 ext. × cordón 3</t>
        </is>
      </c>
      <c r="J35" s="33" t="inlineStr">
        <is>
          <t>Compra</t>
        </is>
      </c>
      <c r="K35" s="33" t="inlineStr">
        <is>
          <t>Sí</t>
        </is>
      </c>
      <c r="L35" s="17" t="inlineStr">
        <is>
          <t>Argensold</t>
        </is>
      </c>
      <c r="M35" s="17" t="inlineStr">
        <is>
          <t>Matafuegos Iglesias</t>
        </is>
      </c>
      <c r="N35" s="17" t="inlineStr">
        <is>
          <t>19 Ensamblaje de válvula (T03/T04)</t>
        </is>
      </c>
      <c r="O35" s="17" t="n"/>
      <c r="P35" s="33" t="inlineStr">
        <is>
          <t>P</t>
        </is>
      </c>
      <c r="Q35" s="33" t="inlineStr">
        <is>
          <t>FL_DES_ABC_10kg</t>
        </is>
      </c>
      <c r="R35" s="17" t="inlineStr">
        <is>
          <t>cambio c/recarga</t>
        </is>
      </c>
    </row>
    <row r="36" outlineLevel="1">
      <c r="A36" s="33" t="n">
        <v>2</v>
      </c>
      <c r="B36" s="33" t="inlineStr">
        <is>
          <t>ABC10-K2</t>
        </is>
      </c>
      <c r="C36" s="17" t="inlineStr">
        <is>
          <t xml:space="preserve">        Válvula HZ armada M-30 c/resorte y tubo 7/8</t>
        </is>
      </c>
      <c r="D36" s="33" t="n">
        <v>1</v>
      </c>
      <c r="E36" s="33" t="inlineStr">
        <is>
          <t>u</t>
        </is>
      </c>
      <c r="F36" s="34" t="n"/>
      <c r="G36" s="34" t="n"/>
      <c r="H36" s="33" t="inlineStr">
        <is>
          <t>Latón forjado (HZ)</t>
        </is>
      </c>
      <c r="I36" s="17" t="inlineStr">
        <is>
          <t>rosca M30x1,5</t>
        </is>
      </c>
      <c r="J36" s="33" t="inlineStr">
        <is>
          <t>Compra</t>
        </is>
      </c>
      <c r="K36" s="33" t="inlineStr">
        <is>
          <t>Sí</t>
        </is>
      </c>
      <c r="L36" s="17" t="inlineStr">
        <is>
          <t>Polvex S.R.L. / Sancibrao</t>
        </is>
      </c>
      <c r="M36" s="17" t="inlineStr">
        <is>
          <t>Mozart S.R.L.</t>
        </is>
      </c>
      <c r="N36" s="17" t="inlineStr">
        <is>
          <t>19 Ensamblaje de válvula</t>
        </is>
      </c>
      <c r="O36" s="17" t="inlineStr">
        <is>
          <t>IRAM 3523 3.3</t>
        </is>
      </c>
      <c r="P36" s="33" t="inlineStr">
        <is>
          <t>Q</t>
        </is>
      </c>
      <c r="Q36" s="33" t="inlineStr">
        <is>
          <t>FL_DES_ABC_10kg</t>
        </is>
      </c>
      <c r="R36" s="17" t="inlineStr">
        <is>
          <t>Lista de precios HZ (Q-AGENTES); plano Fadesa usa válvula HZ (R-FADESA). Trae las piezas marcadas «Incluido en válvula HZ»</t>
        </is>
      </c>
    </row>
    <row r="37" outlineLevel="1">
      <c r="A37" s="33" t="n">
        <v>2</v>
      </c>
      <c r="B37" s="33" t="inlineStr">
        <is>
          <t>ABC10-V2</t>
        </is>
      </c>
      <c r="C37" s="17" t="inlineStr">
        <is>
          <t xml:space="preserve">        Resorte de retorno del vástago</t>
        </is>
      </c>
      <c r="D37" s="33" t="n">
        <v>1</v>
      </c>
      <c r="E37" s="33" t="inlineStr">
        <is>
          <t>u</t>
        </is>
      </c>
      <c r="F37" s="34" t="n"/>
      <c r="G37" s="34" t="n"/>
      <c r="H37" s="33" t="inlineStr">
        <is>
          <t>Acero para resortes</t>
        </is>
      </c>
      <c r="I37" s="17" t="inlineStr">
        <is>
          <t>incluido en la válvula</t>
        </is>
      </c>
      <c r="J37" s="33" t="inlineStr">
        <is>
          <t>Incluido en válvula HZ</t>
        </is>
      </c>
      <c r="K37" s="33" t="inlineStr">
        <is>
          <t>No</t>
        </is>
      </c>
      <c r="L37" s="17" t="n"/>
      <c r="M37" s="17" t="n"/>
      <c r="N37" s="17" t="inlineStr">
        <is>
          <t>19 Ensamblaje</t>
        </is>
      </c>
      <c r="O37" s="17" t="n"/>
      <c r="P37" s="33" t="inlineStr">
        <is>
          <t>Q</t>
        </is>
      </c>
      <c r="Q37" s="33" t="n"/>
      <c r="R37" s="17" t="inlineStr">
        <is>
          <t>Lista de precios HZ: válvula «c/resorte» (Q-AGENTES)</t>
        </is>
      </c>
    </row>
    <row r="38" outlineLevel="1">
      <c r="A38" s="33" t="n">
        <v>2</v>
      </c>
      <c r="B38" s="33" t="inlineStr">
        <is>
          <t>ABC10-V3</t>
        </is>
      </c>
      <c r="C38" s="17" t="inlineStr">
        <is>
          <t xml:space="preserve">        Junta tórica del vástago</t>
        </is>
      </c>
      <c r="D38" s="33" t="n">
        <v>1</v>
      </c>
      <c r="E38" s="33" t="inlineStr">
        <is>
          <t>u</t>
        </is>
      </c>
      <c r="F38" s="34" t="n"/>
      <c r="G38" s="34" t="n"/>
      <c r="H38" s="33" t="inlineStr">
        <is>
          <t>NBR 70 Shore A</t>
        </is>
      </c>
      <c r="I38" s="17" t="inlineStr">
        <is>
          <t>incluida en la válvula</t>
        </is>
      </c>
      <c r="J38" s="33" t="inlineStr">
        <is>
          <t>Incluido en válvula HZ</t>
        </is>
      </c>
      <c r="K38" s="33" t="inlineStr">
        <is>
          <t>No</t>
        </is>
      </c>
      <c r="L38" s="17" t="n"/>
      <c r="M38" s="17" t="n"/>
      <c r="N38" s="17" t="inlineStr">
        <is>
          <t>19 Ensamblaje</t>
        </is>
      </c>
      <c r="O38" s="17" t="n"/>
      <c r="P38" s="33" t="inlineStr">
        <is>
          <t>P</t>
        </is>
      </c>
      <c r="Q38" s="33" t="n"/>
      <c r="R38" s="17" t="inlineStr">
        <is>
          <t>Figura en el plano como «vástago con junta tórica»</t>
        </is>
      </c>
    </row>
    <row r="39">
      <c r="A39" s="30" t="n">
        <v>1</v>
      </c>
      <c r="B39" s="30" t="inlineStr">
        <is>
          <t>ABC10-S3</t>
        </is>
      </c>
      <c r="C39" s="31" t="inlineStr">
        <is>
          <t xml:space="preserve">    Dispositivo de descarga</t>
        </is>
      </c>
      <c r="D39" s="30" t="n">
        <v>1</v>
      </c>
      <c r="E39" s="30" t="inlineStr">
        <is>
          <t>u</t>
        </is>
      </c>
      <c r="F39" s="32" t="n"/>
      <c r="G39" s="32">
        <f>G40+G41+G42+G43</f>
        <v/>
      </c>
      <c r="H39" s="30" t="n"/>
      <c r="I39" s="31" t="n"/>
      <c r="J39" s="30" t="inlineStr">
        <is>
          <t>Compra / armado</t>
        </is>
      </c>
      <c r="K39" s="30" t="n"/>
      <c r="L39" s="31" t="n"/>
      <c r="M39" s="31" t="n"/>
      <c r="N39" s="31" t="n"/>
      <c r="O39" s="31" t="n"/>
      <c r="P39" s="30" t="inlineStr">
        <is>
          <t>P</t>
        </is>
      </c>
      <c r="Q39" s="30" t="inlineStr">
        <is>
          <t>FL_DES_ABC_10kg</t>
        </is>
      </c>
      <c r="R39" s="31" t="n"/>
    </row>
    <row r="40" outlineLevel="1">
      <c r="A40" s="33" t="n">
        <v>2</v>
      </c>
      <c r="B40" s="33" t="inlineStr">
        <is>
          <t>ABC10-15</t>
        </is>
      </c>
      <c r="C40" s="17" t="inlineStr">
        <is>
          <t xml:space="preserve">        Racor de manguera</t>
        </is>
      </c>
      <c r="D40" s="33" t="n">
        <v>1</v>
      </c>
      <c r="E40" s="33" t="inlineStr">
        <is>
          <t>u</t>
        </is>
      </c>
      <c r="F40" s="34" t="n">
        <v>0.0258</v>
      </c>
      <c r="G40" s="34">
        <f>D40*F40</f>
        <v/>
      </c>
      <c r="H40" s="33" t="inlineStr">
        <is>
          <t>Latón</t>
        </is>
      </c>
      <c r="I40" s="17" t="inlineStr">
        <is>
          <t>18 × 18 × 12</t>
        </is>
      </c>
      <c r="J40" s="33" t="inlineStr">
        <is>
          <t>Compra</t>
        </is>
      </c>
      <c r="K40" s="33" t="inlineStr">
        <is>
          <t>Sí</t>
        </is>
      </c>
      <c r="L40" s="17" t="inlineStr">
        <is>
          <t>Yukon / MatafuegosYa S.R.L.</t>
        </is>
      </c>
      <c r="M40" s="17" t="inlineStr">
        <is>
          <t>Matafuegos Iglesias</t>
        </is>
      </c>
      <c r="N40" s="17" t="inlineStr">
        <is>
          <t>19 Ensamblaje (T03/T04)</t>
        </is>
      </c>
      <c r="O40" s="17" t="n"/>
      <c r="P40" s="33" t="inlineStr">
        <is>
          <t>P</t>
        </is>
      </c>
      <c r="Q40" s="33" t="inlineStr">
        <is>
          <t>FL_DES_ABC_10kg</t>
        </is>
      </c>
      <c r="R40" s="17" t="n"/>
    </row>
    <row r="41" outlineLevel="1">
      <c r="A41" s="33" t="n">
        <v>2</v>
      </c>
      <c r="B41" s="33" t="inlineStr">
        <is>
          <t>ABC10-16</t>
        </is>
      </c>
      <c r="C41" s="17" t="inlineStr">
        <is>
          <t xml:space="preserve">        Manguera</t>
        </is>
      </c>
      <c r="D41" s="33" t="n">
        <v>1</v>
      </c>
      <c r="E41" s="33" t="inlineStr">
        <is>
          <t>u</t>
        </is>
      </c>
      <c r="F41" s="34" t="n">
        <v>0.0707</v>
      </c>
      <c r="G41" s="34">
        <f>D41*F41</f>
        <v/>
      </c>
      <c r="H41" s="33" t="inlineStr">
        <is>
          <t>Caucho sintético</t>
        </is>
      </c>
      <c r="I41" s="17" t="inlineStr">
        <is>
          <t>Ø16 × 458 de largo desarrollado</t>
        </is>
      </c>
      <c r="J41" s="33" t="inlineStr">
        <is>
          <t>Compra</t>
        </is>
      </c>
      <c r="K41" s="33" t="inlineStr">
        <is>
          <t>Sí</t>
        </is>
      </c>
      <c r="L41" s="17" t="inlineStr">
        <is>
          <t>Yukon / MatafuegosYa S.R.L.</t>
        </is>
      </c>
      <c r="M41" s="17" t="inlineStr">
        <is>
          <t>Matafuegos Iglesias</t>
        </is>
      </c>
      <c r="N41" s="17" t="inlineStr">
        <is>
          <t>19 Ensamblaje (T03/T04)</t>
        </is>
      </c>
      <c r="O41" s="17" t="n"/>
      <c r="P41" s="33" t="inlineStr">
        <is>
          <t>P</t>
        </is>
      </c>
      <c r="Q41" s="33" t="inlineStr">
        <is>
          <t>FL_DES_ABC_10kg</t>
        </is>
      </c>
      <c r="R41" s="17" t="n"/>
    </row>
    <row r="42" outlineLevel="1">
      <c r="A42" s="33" t="n">
        <v>2</v>
      </c>
      <c r="B42" s="33" t="inlineStr">
        <is>
          <t>ABC10-17</t>
        </is>
      </c>
      <c r="C42" s="17" t="inlineStr">
        <is>
          <t xml:space="preserve">        Tobera con portatobera</t>
        </is>
      </c>
      <c r="D42" s="33" t="n">
        <v>1</v>
      </c>
      <c r="E42" s="33" t="inlineStr">
        <is>
          <t>u</t>
        </is>
      </c>
      <c r="F42" s="34" t="n">
        <v>0.0166</v>
      </c>
      <c r="G42" s="34">
        <f>D42*F42</f>
        <v/>
      </c>
      <c r="H42" s="33" t="inlineStr">
        <is>
          <t>Polipropileno</t>
        </is>
      </c>
      <c r="I42" s="17" t="inlineStr">
        <is>
          <t>75 × 24 × 24</t>
        </is>
      </c>
      <c r="J42" s="33" t="inlineStr">
        <is>
          <t>Compra</t>
        </is>
      </c>
      <c r="K42" s="33" t="inlineStr">
        <is>
          <t>Sí</t>
        </is>
      </c>
      <c r="L42" s="17" t="inlineStr">
        <is>
          <t>Yukon / MatafuegosYa S.R.L.</t>
        </is>
      </c>
      <c r="M42" s="17" t="inlineStr">
        <is>
          <t>Matafuegos Iglesias</t>
        </is>
      </c>
      <c r="N42" s="17" t="inlineStr">
        <is>
          <t>19 Ensamblaje (T03/T04)</t>
        </is>
      </c>
      <c r="O42" s="17" t="n"/>
      <c r="P42" s="33" t="inlineStr">
        <is>
          <t>P</t>
        </is>
      </c>
      <c r="Q42" s="33" t="inlineStr">
        <is>
          <t>FL_DES_ABC_10kg</t>
        </is>
      </c>
      <c r="R42" s="17" t="n"/>
    </row>
    <row r="43" outlineLevel="1">
      <c r="A43" s="33" t="n">
        <v>2</v>
      </c>
      <c r="B43" s="33" t="inlineStr">
        <is>
          <t>ABC10-18</t>
        </is>
      </c>
      <c r="C43" s="17" t="inlineStr">
        <is>
          <t xml:space="preserve">        Suncho portatobera</t>
        </is>
      </c>
      <c r="D43" s="33" t="n">
        <v>1</v>
      </c>
      <c r="E43" s="33" t="inlineStr">
        <is>
          <t>u</t>
        </is>
      </c>
      <c r="F43" s="34" t="n">
        <v>0.1534</v>
      </c>
      <c r="G43" s="34">
        <f>D43*F43</f>
        <v/>
      </c>
      <c r="H43" s="33" t="inlineStr">
        <is>
          <t>Fleje acero SAE 1010 pintado</t>
        </is>
      </c>
      <c r="I43" s="17" t="inlineStr">
        <is>
          <t>188,4 × 184,5 × 18</t>
        </is>
      </c>
      <c r="J43" s="33" t="inlineStr">
        <is>
          <t>Compra (estructura)</t>
        </is>
      </c>
      <c r="K43" s="33" t="inlineStr">
        <is>
          <t>Sí</t>
        </is>
      </c>
      <c r="L43" s="17" t="inlineStr">
        <is>
          <t>Yukon / MatafuegosYa S.R.L.</t>
        </is>
      </c>
      <c r="M43" s="17" t="inlineStr">
        <is>
          <t>Matafuegos Iglesias</t>
        </is>
      </c>
      <c r="N43" s="17" t="inlineStr">
        <is>
          <t>19 Ensamblaje (T03/T04)</t>
        </is>
      </c>
      <c r="O43" s="17" t="n"/>
      <c r="P43" s="33" t="inlineStr">
        <is>
          <t>P</t>
        </is>
      </c>
      <c r="Q43" s="33" t="inlineStr">
        <is>
          <t>FL_DES_ABC_10kg</t>
        </is>
      </c>
      <c r="R43" s="17" t="n"/>
    </row>
    <row r="44">
      <c r="A44" s="30" t="n">
        <v>1</v>
      </c>
      <c r="B44" s="30" t="inlineStr">
        <is>
          <t>ABC10-S5</t>
        </is>
      </c>
      <c r="C44" s="31" t="inlineStr">
        <is>
          <t xml:space="preserve">    Carga: agente extintor y gas impulsor</t>
        </is>
      </c>
      <c r="D44" s="30" t="n">
        <v>1</v>
      </c>
      <c r="E44" s="30" t="inlineStr">
        <is>
          <t>u</t>
        </is>
      </c>
      <c r="F44" s="32" t="n"/>
      <c r="G44" s="32">
        <f>G45+G46</f>
        <v/>
      </c>
      <c r="H44" s="30" t="n"/>
      <c r="I44" s="31" t="n"/>
      <c r="J44" s="30" t="inlineStr">
        <is>
          <t>Carga en planta</t>
        </is>
      </c>
      <c r="K44" s="30" t="n"/>
      <c r="L44" s="31" t="n"/>
      <c r="M44" s="31" t="n"/>
      <c r="N44" s="31" t="inlineStr">
        <is>
          <t>18 Carga de polvo (T01) / C8 (T02)</t>
        </is>
      </c>
      <c r="O44" s="31" t="n"/>
      <c r="P44" s="30" t="n"/>
      <c r="Q44" s="30" t="n"/>
      <c r="R44" s="31" t="n"/>
    </row>
    <row r="45" outlineLevel="1">
      <c r="A45" s="33" t="n">
        <v>2</v>
      </c>
      <c r="B45" s="33" t="inlineStr">
        <is>
          <t>ABC10-A1</t>
        </is>
      </c>
      <c r="C45" s="17" t="inlineStr">
        <is>
          <t xml:space="preserve">        Polvo químico seco ABC 60 (Sello IRAM 3569)</t>
        </is>
      </c>
      <c r="D45" s="33" t="n">
        <v>10.15</v>
      </c>
      <c r="E45" s="33" t="inlineStr">
        <is>
          <t>kg</t>
        </is>
      </c>
      <c r="F45" s="34" t="n">
        <v>1</v>
      </c>
      <c r="G45" s="34">
        <f>D45*F45</f>
        <v/>
      </c>
      <c r="H45" s="33" t="inlineStr">
        <is>
          <t>Polvo químico seco ABC 60 (Sello IRAM 3569)</t>
        </is>
      </c>
      <c r="I45" s="17" t="inlineStr">
        <is>
          <t>nominal 10 kg; tolerancia 0 / +300 g (IRAM 3517-2:2020 tabla 3 · IRAM 3523 tabla II)</t>
        </is>
      </c>
      <c r="J45" s="33" t="inlineStr">
        <is>
          <t>Compra</t>
        </is>
      </c>
      <c r="K45" s="33" t="inlineStr">
        <is>
          <t>Sí</t>
        </is>
      </c>
      <c r="L45" s="17" t="inlineStr">
        <is>
          <t>DEM S.A. (DEMSA)</t>
        </is>
      </c>
      <c r="M45" s="17" t="inlineStr">
        <is>
          <t>Polvex S.R.L. / Sancibrao</t>
        </is>
      </c>
      <c r="N45" s="17" t="inlineStr">
        <is>
          <t>SP-1 almacén previo a la carga</t>
        </is>
      </c>
      <c r="O45" s="17" t="inlineStr">
        <is>
          <t>IRAM 3569</t>
        </is>
      </c>
      <c r="P45" s="33" t="inlineStr">
        <is>
          <t>N</t>
        </is>
      </c>
      <c r="Q45" s="33" t="n"/>
      <c r="R4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6" outlineLevel="1">
      <c r="A46" s="41" t="n">
        <v>2</v>
      </c>
      <c r="B46" s="41" t="inlineStr">
        <is>
          <t>ABC10-A2</t>
        </is>
      </c>
      <c r="C46" s="18" t="inlineStr">
        <is>
          <t xml:space="preserve">        Gas impulsor: N₂</t>
        </is>
      </c>
      <c r="D46" s="41" t="n">
        <v>0.0588</v>
      </c>
      <c r="E46" s="41" t="inlineStr">
        <is>
          <t>kg</t>
        </is>
      </c>
      <c r="F46" s="42" t="n">
        <v>1</v>
      </c>
      <c r="G46" s="42">
        <f>D46*F46</f>
        <v/>
      </c>
      <c r="H46" s="41" t="inlineStr">
        <is>
          <t>N₂</t>
        </is>
      </c>
      <c r="I46" s="18" t="inlineStr">
        <is>
          <t>47,1 L normales para 1,4 MPa a 20 °C en 3,41 dm³ libres</t>
        </is>
      </c>
      <c r="J46" s="41" t="inlineStr">
        <is>
          <t>Compra</t>
        </is>
      </c>
      <c r="K46" s="41" t="inlineStr">
        <is>
          <t>Sí</t>
        </is>
      </c>
      <c r="L46" s="18" t="inlineStr">
        <is>
          <t>Air Liquide Argentina - sucursal Piñeyro</t>
        </is>
      </c>
      <c r="M46" s="18" t="inlineStr">
        <is>
          <t>Gogniat</t>
        </is>
      </c>
      <c r="N46" s="18" t="inlineStr">
        <is>
          <t>20 Presurización (T05) / C10</t>
        </is>
      </c>
      <c r="O46" s="18" t="inlineStr">
        <is>
          <t>IRAM 3517-2 9.4.9 (tabla 2) · IRAM 3523 2.3 y 3.10</t>
        </is>
      </c>
      <c r="P46" s="41" t="inlineStr">
        <is>
          <t>C</t>
        </is>
      </c>
      <c r="Q46" s="41" t="n"/>
      <c r="R46" s="18" t="inlineStr">
        <is>
          <t>N₂ ≥ 99,8 %, H₂O ≤ 40 ppm (Q-N2, Air Liquide) · volumen libre con ρ empacada mínima 1,1 kg/dm³ (NOM-104-STPS-2001); confirmar con descarga ≥ 85 % (IRAM 3523 4.9.1)</t>
        </is>
      </c>
    </row>
    <row r="47">
      <c r="A47" s="30" t="n">
        <v>1</v>
      </c>
      <c r="B47" s="30" t="inlineStr">
        <is>
          <t>ABC10-S6</t>
        </is>
      </c>
      <c r="C47" s="31" t="inlineStr">
        <is>
          <t xml:space="preserve">    Identificación y precinto</t>
        </is>
      </c>
      <c r="D47" s="30" t="n">
        <v>1</v>
      </c>
      <c r="E47" s="30" t="inlineStr">
        <is>
          <t>u</t>
        </is>
      </c>
      <c r="F47" s="32" t="n"/>
      <c r="G47" s="32">
        <f>G48+G49+G50+G51+G52+G53+G54</f>
        <v/>
      </c>
      <c r="H47" s="30" t="n"/>
      <c r="I47" s="31" t="n"/>
      <c r="J47" s="30" t="inlineStr">
        <is>
          <t>Compra</t>
        </is>
      </c>
      <c r="K47" s="30" t="n"/>
      <c r="L47" s="31" t="n"/>
      <c r="M47" s="31" t="n"/>
      <c r="N47" s="31" t="inlineStr">
        <is>
          <t>22 Etiquetado (T07)</t>
        </is>
      </c>
      <c r="O47" s="31" t="n"/>
      <c r="P47" s="30" t="n"/>
      <c r="Q47" s="30" t="n"/>
      <c r="R47" s="31" t="n"/>
    </row>
    <row r="48" outlineLevel="1">
      <c r="A48" s="33" t="n">
        <v>2</v>
      </c>
      <c r="B48" s="33" t="inlineStr">
        <is>
          <t>ABC10-19</t>
        </is>
      </c>
      <c r="C48" s="17" t="inlineStr">
        <is>
          <t xml:space="preserve">        Etiqueta / placa de características</t>
        </is>
      </c>
      <c r="D48" s="33" t="n">
        <v>1</v>
      </c>
      <c r="E48" s="33" t="inlineStr">
        <is>
          <t>u</t>
        </is>
      </c>
      <c r="F48" s="34" t="n">
        <v>0.0318</v>
      </c>
      <c r="G48" s="34">
        <f>D48*F48</f>
        <v/>
      </c>
      <c r="H48" s="33" t="inlineStr">
        <is>
          <t>Vinilo autoadhesivo laminado</t>
        </is>
      </c>
      <c r="I48" s="17" t="inlineStr">
        <is>
          <t>343 × 221 (desarrollo × alto: panel central 108° + 2 alas laterales), e ≈ 0,3, laminado UV</t>
        </is>
      </c>
      <c r="J48" s="33" t="inlineStr">
        <is>
          <t>Compra</t>
        </is>
      </c>
      <c r="K48" s="33" t="inlineStr">
        <is>
          <t>Sí</t>
        </is>
      </c>
      <c r="L48" s="17" t="inlineStr">
        <is>
          <t>Astuprint</t>
        </is>
      </c>
      <c r="M48" s="17" t="inlineStr">
        <is>
          <t>Multilabel Argentina S.A.</t>
        </is>
      </c>
      <c r="N48" s="17" t="inlineStr">
        <is>
          <t>22 Etiquetado (T07)</t>
        </is>
      </c>
      <c r="O48" s="17" t="inlineStr">
        <is>
          <t>IRAM 3534 · IRAM 3523 cap. 5 · relevamiento de mercado</t>
        </is>
      </c>
      <c r="P48" s="33" t="inlineStr">
        <is>
          <t>P</t>
        </is>
      </c>
      <c r="Q48" s="33" t="inlineStr">
        <is>
          <t>FL_DES_ABC_10kg</t>
        </is>
      </c>
      <c r="R48" s="17" t="inlineStr">
        <is>
          <t>IRAM 3534</t>
        </is>
      </c>
    </row>
    <row r="49" outlineLevel="1">
      <c r="A49" s="33" t="n">
        <v>2</v>
      </c>
      <c r="B49" s="33" t="inlineStr">
        <is>
          <t>ABC10-20</t>
        </is>
      </c>
      <c r="C49" s="17" t="inlineStr">
        <is>
          <t xml:space="preserve">        Oblea de fabricación (PBA)</t>
        </is>
      </c>
      <c r="D49" s="33" t="n">
        <v>1</v>
      </c>
      <c r="E49" s="33" t="inlineStr">
        <is>
          <t>u</t>
        </is>
      </c>
      <c r="F49" s="34" t="n">
        <v>0.0009</v>
      </c>
      <c r="G49" s="34">
        <f>D49*F49</f>
        <v/>
      </c>
      <c r="H49" s="33" t="inlineStr">
        <is>
          <t>Papel de seguridad autodestructible</t>
        </is>
      </c>
      <c r="I49" s="17" t="inlineStr">
        <is>
          <t>Ø46 (Res. OPDS 522/07), numerada, autodestructible</t>
        </is>
      </c>
      <c r="J49" s="33" t="inlineStr">
        <is>
          <t>Compra</t>
        </is>
      </c>
      <c r="K49" s="33" t="inlineStr">
        <is>
          <t>Sí</t>
        </is>
      </c>
      <c r="L49" s="17" t="inlineStr">
        <is>
          <t>Ministerio de Ambiente PBA (ex OPDS)</t>
        </is>
      </c>
      <c r="M49" s="17" t="inlineStr">
        <is>
          <t>-</t>
        </is>
      </c>
      <c r="N49" s="17" t="inlineStr">
        <is>
          <t>22 Etiquetado (T07)</t>
        </is>
      </c>
      <c r="O49" s="17" t="inlineStr">
        <is>
          <t>Res. OPDS 522/07 anexos 1, 2 y 6</t>
        </is>
      </c>
      <c r="P49" s="33" t="inlineStr">
        <is>
          <t>P</t>
        </is>
      </c>
      <c r="Q49" s="33" t="inlineStr">
        <is>
          <t>FL_DES_ABC_10kg</t>
        </is>
      </c>
      <c r="R49" s="17" t="inlineStr">
        <is>
          <t>Res. 522/07</t>
        </is>
      </c>
    </row>
    <row r="50" outlineLevel="1">
      <c r="A50" s="33" t="n">
        <v>2</v>
      </c>
      <c r="B50" s="33" t="inlineStr">
        <is>
          <t>ABC10-21</t>
        </is>
      </c>
      <c r="C50" s="17" t="inlineStr">
        <is>
          <t xml:space="preserve">        Estampilla IRAM de conformidad</t>
        </is>
      </c>
      <c r="D50" s="33" t="n">
        <v>1</v>
      </c>
      <c r="E50" s="33" t="inlineStr">
        <is>
          <t>u</t>
        </is>
      </c>
      <c r="F50" s="34" t="n">
        <v>0.001</v>
      </c>
      <c r="G50" s="34">
        <f>D50*F50</f>
        <v/>
      </c>
      <c r="H50" s="33" t="inlineStr">
        <is>
          <t>Provista por IRAM (Anexo R)</t>
        </is>
      </c>
      <c r="I50" s="17" t="inlineStr">
        <is>
          <t>60 × 40</t>
        </is>
      </c>
      <c r="J50" s="33" t="inlineStr">
        <is>
          <t>Compra</t>
        </is>
      </c>
      <c r="K50" s="33" t="inlineStr">
        <is>
          <t>Sí</t>
        </is>
      </c>
      <c r="L50" s="17" t="inlineStr">
        <is>
          <t>IRAM - Instituto Argentino de Normalización</t>
        </is>
      </c>
      <c r="M50" s="17" t="inlineStr">
        <is>
          <t>-</t>
        </is>
      </c>
      <c r="N50" s="17" t="inlineStr">
        <is>
          <t>22 Etiquetado (T07)</t>
        </is>
      </c>
      <c r="O50" s="17" t="inlineStr">
        <is>
          <t>IRAM Anexo R (DC-PG-129)</t>
        </is>
      </c>
      <c r="P50" s="33" t="inlineStr">
        <is>
          <t>P</t>
        </is>
      </c>
      <c r="Q50" s="33" t="inlineStr">
        <is>
          <t>FL_DES_ABC_10kg</t>
        </is>
      </c>
      <c r="R50" s="17" t="inlineStr">
        <is>
          <t>numerada</t>
        </is>
      </c>
    </row>
    <row r="51" outlineLevel="1">
      <c r="A51" s="33" t="n">
        <v>2</v>
      </c>
      <c r="B51" s="33" t="inlineStr">
        <is>
          <t>ABC10-22</t>
        </is>
      </c>
      <c r="C51" s="17" t="inlineStr">
        <is>
          <t xml:space="preserve">        Tarjeta de identificación AGC (CABA)</t>
        </is>
      </c>
      <c r="D51" s="33" t="n">
        <v>1</v>
      </c>
      <c r="E51" s="33" t="inlineStr">
        <is>
          <t>u</t>
        </is>
      </c>
      <c r="F51" s="34" t="n">
        <v>0.0032</v>
      </c>
      <c r="G51" s="34">
        <f>D51*F51</f>
        <v/>
      </c>
      <c r="H51" s="33" t="inlineStr">
        <is>
          <t>Etiqueta autoadhesiva emitida por la AGC</t>
        </is>
      </c>
      <c r="I51" s="17" t="inlineStr">
        <is>
          <t>140 × 55</t>
        </is>
      </c>
      <c r="J51" s="33" t="inlineStr">
        <is>
          <t>Compra</t>
        </is>
      </c>
      <c r="K51" s="33" t="inlineStr">
        <is>
          <t>Sí</t>
        </is>
      </c>
      <c r="L51" s="17" t="inlineStr">
        <is>
          <t>Agencia Gubernamental de Control (CABA)</t>
        </is>
      </c>
      <c r="M51" s="17" t="inlineStr">
        <is>
          <t>-</t>
        </is>
      </c>
      <c r="N51" s="17" t="inlineStr">
        <is>
          <t>22 Etiquetado (T07)</t>
        </is>
      </c>
      <c r="O51" s="17" t="inlineStr">
        <is>
          <t>Ordenanza 40.473 art. 6 · Res. AGC 32/15</t>
        </is>
      </c>
      <c r="P51" s="33" t="inlineStr">
        <is>
          <t>P</t>
        </is>
      </c>
      <c r="Q51" s="33" t="inlineStr">
        <is>
          <t>FL_DES_ABC_10kg</t>
        </is>
      </c>
      <c r="R51" s="17" t="inlineStr">
        <is>
          <t>sólo destino CABA</t>
        </is>
      </c>
    </row>
    <row r="52" outlineLevel="1">
      <c r="A52" s="33" t="n">
        <v>2</v>
      </c>
      <c r="B52" s="33" t="inlineStr">
        <is>
          <t>ABC10-23</t>
        </is>
      </c>
      <c r="C52" s="17" t="inlineStr">
        <is>
          <t xml:space="preserve">        Etiqueta de n° de serie GS1</t>
        </is>
      </c>
      <c r="D52" s="33" t="n">
        <v>1</v>
      </c>
      <c r="E52" s="33" t="inlineStr">
        <is>
          <t>u</t>
        </is>
      </c>
      <c r="F52" s="34" t="n">
        <v>0.0005</v>
      </c>
      <c r="G52" s="34">
        <f>D52*F52</f>
        <v/>
      </c>
      <c r="H52" s="33" t="inlineStr">
        <is>
          <t>Poliéster autoadhesivo impreso térmico</t>
        </is>
      </c>
      <c r="I52" s="17" t="inlineStr">
        <is>
          <t>45 × 25</t>
        </is>
      </c>
      <c r="J52" s="33" t="inlineStr">
        <is>
          <t>Compra</t>
        </is>
      </c>
      <c r="K52" s="33" t="inlineStr">
        <is>
          <t>Sí</t>
        </is>
      </c>
      <c r="L52" s="17" t="inlineStr">
        <is>
          <t>Astuprint</t>
        </is>
      </c>
      <c r="M52" s="17" t="inlineStr">
        <is>
          <t>GS1 Argentina</t>
        </is>
      </c>
      <c r="N52" s="17" t="inlineStr">
        <is>
          <t>22 Etiquetado (T07)</t>
        </is>
      </c>
      <c r="O52" s="17" t="inlineStr">
        <is>
          <t>GS1 Argentina (GTIN 779) · trazabilidad IRAM 3523 5.1</t>
        </is>
      </c>
      <c r="P52" s="33" t="inlineStr">
        <is>
          <t>P</t>
        </is>
      </c>
      <c r="Q52" s="33" t="inlineStr">
        <is>
          <t>FL_DES_ABC_10kg</t>
        </is>
      </c>
      <c r="R52" s="17" t="inlineStr">
        <is>
          <t>QR GTIN + serie</t>
        </is>
      </c>
    </row>
    <row r="53" outlineLevel="1">
      <c r="A53" s="33" t="n">
        <v>2</v>
      </c>
      <c r="B53" s="33" t="inlineStr">
        <is>
          <t>ABC10-25</t>
        </is>
      </c>
      <c r="C53" s="17" t="inlineStr">
        <is>
          <t xml:space="preserve">        Faja de garantía válvula-cuello</t>
        </is>
      </c>
      <c r="D53" s="33" t="n">
        <v>1</v>
      </c>
      <c r="E53" s="33" t="inlineStr">
        <is>
          <t>u</t>
        </is>
      </c>
      <c r="F53" s="34" t="n">
        <v>0.0003</v>
      </c>
      <c r="G53" s="34">
        <f>D53*F53</f>
        <v/>
      </c>
      <c r="H53" s="33" t="inlineStr">
        <is>
          <t>Vinilo destructible rayado rojo/blanco</t>
        </is>
      </c>
      <c r="I53" s="17" t="inlineStr">
        <is>
          <t>30 × 40</t>
        </is>
      </c>
      <c r="J53" s="33" t="inlineStr">
        <is>
          <t>Compra</t>
        </is>
      </c>
      <c r="K53" s="33" t="inlineStr">
        <is>
          <t>Sí</t>
        </is>
      </c>
      <c r="L53" s="17" t="inlineStr">
        <is>
          <t>Astuprint</t>
        </is>
      </c>
      <c r="M53" s="17" t="inlineStr">
        <is>
          <t>Multilabel Argentina S.A.</t>
        </is>
      </c>
      <c r="N53" s="17" t="inlineStr">
        <is>
          <t>22 Etiquetado (T07)</t>
        </is>
      </c>
      <c r="O53" s="17" t="inlineStr">
        <is>
          <t>Sin norma: práctica de mercado (garantía de fábrica)</t>
        </is>
      </c>
      <c r="P53" s="33" t="inlineStr">
        <is>
          <t>P</t>
        </is>
      </c>
      <c r="Q53" s="33" t="inlineStr">
        <is>
          <t>FL_DES_ABC_10kg</t>
        </is>
      </c>
      <c r="R53" s="17" t="inlineStr">
        <is>
          <t>nuevo sin abrir</t>
        </is>
      </c>
    </row>
    <row r="54" outlineLevel="1">
      <c r="A54" s="33" t="n">
        <v>2</v>
      </c>
      <c r="B54" s="33" t="inlineStr">
        <is>
          <t>ABC10-26</t>
        </is>
      </c>
      <c r="C54" s="17" t="inlineStr">
        <is>
          <t xml:space="preserve">        Precinto de fábrica</t>
        </is>
      </c>
      <c r="D54" s="33" t="n">
        <v>1</v>
      </c>
      <c r="E54" s="33" t="inlineStr">
        <is>
          <t>u</t>
        </is>
      </c>
      <c r="F54" s="34" t="n">
        <v>0.0002</v>
      </c>
      <c r="G54" s="34">
        <f>D54*F54</f>
        <v/>
      </c>
      <c r="H54" s="33" t="inlineStr">
        <is>
          <t>Polipropileno color</t>
        </is>
      </c>
      <c r="I54" s="17" t="inlineStr">
        <is>
          <t>Ø5 × 10, numerado, rotura 30-50 N</t>
        </is>
      </c>
      <c r="J54" s="33" t="inlineStr">
        <is>
          <t>Compra</t>
        </is>
      </c>
      <c r="K54" s="33" t="inlineStr">
        <is>
          <t>Sí</t>
        </is>
      </c>
      <c r="L54" s="17" t="inlineStr">
        <is>
          <t>SonFuertes (vía Papelera Damián)</t>
        </is>
      </c>
      <c r="M54" s="17" t="inlineStr">
        <is>
          <t>Precinter S.R.L.</t>
        </is>
      </c>
      <c r="N54" s="17" t="inlineStr">
        <is>
          <t>20 Presurización (T05)</t>
        </is>
      </c>
      <c r="O54" s="17" t="inlineStr">
        <is>
          <t>IRAM 3523 3.3.2 · IRAM 3517-2:2020 9.4.13</t>
        </is>
      </c>
      <c r="P54" s="33" t="inlineStr">
        <is>
          <t>P</t>
        </is>
      </c>
      <c r="Q54" s="33" t="inlineStr">
        <is>
          <t>FL_DES_ABC_10kg</t>
        </is>
      </c>
      <c r="R54" s="17" t="inlineStr">
        <is>
          <t>id. FLAMA y lote</t>
        </is>
      </c>
    </row>
    <row r="55">
      <c r="A55" s="30" t="n">
        <v>1</v>
      </c>
      <c r="B55" s="30" t="inlineStr">
        <is>
          <t>ABC10-S8</t>
        </is>
      </c>
      <c r="C55" s="31" t="inlineStr">
        <is>
          <t xml:space="preserve">    Soporte (accesorio de montaje)</t>
        </is>
      </c>
      <c r="D55" s="30" t="n">
        <v>1</v>
      </c>
      <c r="E55" s="30" t="inlineStr">
        <is>
          <t>u</t>
        </is>
      </c>
      <c r="F55" s="32" t="n"/>
      <c r="G55" s="32">
        <f>G56</f>
        <v/>
      </c>
      <c r="H55" s="30" t="n"/>
      <c r="I55" s="31" t="n"/>
      <c r="J55" s="30" t="inlineStr">
        <is>
          <t>Compra</t>
        </is>
      </c>
      <c r="K55" s="30" t="n"/>
      <c r="L55" s="31" t="n"/>
      <c r="M55" s="31" t="n"/>
      <c r="N55" s="31" t="inlineStr">
        <is>
          <t>23 Embalaje (va dentro de la caja)</t>
        </is>
      </c>
      <c r="O55" s="31" t="inlineStr">
        <is>
          <t>IRAM 3517-2 7.4</t>
        </is>
      </c>
      <c r="P55" s="30" t="n"/>
      <c r="Q55" s="30" t="n"/>
      <c r="R55" s="31" t="n"/>
    </row>
    <row r="56" outlineLevel="1">
      <c r="A56" s="33" t="n">
        <v>2</v>
      </c>
      <c r="B56" s="33" t="inlineStr">
        <is>
          <t>ABC10-I5</t>
        </is>
      </c>
      <c r="C56" s="17" t="inlineStr">
        <is>
          <t xml:space="preserve">        Soporte de pared (FL_ACC_01)</t>
        </is>
      </c>
      <c r="D56" s="33" t="n">
        <v>1</v>
      </c>
      <c r="E56" s="33" t="inlineStr">
        <is>
          <t>u</t>
        </is>
      </c>
      <c r="F56" s="34" t="n">
        <v>0.319</v>
      </c>
      <c r="G56" s="34">
        <f>D56*F56</f>
        <v/>
      </c>
      <c r="H56" s="33" t="inlineStr">
        <is>
          <t>Chapa acero SAE 1010 e=2 pintada</t>
        </is>
      </c>
      <c r="I56" s="17" t="inlineStr">
        <is>
          <t>placa 60 × 180, ala con ranura Ø cuello + 3</t>
        </is>
      </c>
      <c r="J56" s="33" t="inlineStr">
        <is>
          <t>Compra</t>
        </is>
      </c>
      <c r="K56" s="33" t="inlineStr">
        <is>
          <t>Sí</t>
        </is>
      </c>
      <c r="L56" s="17" t="inlineStr">
        <is>
          <t>Maxiseguridad</t>
        </is>
      </c>
      <c r="M56" s="17" t="inlineStr">
        <is>
          <t>CM Representaciones</t>
        </is>
      </c>
      <c r="N56" s="17" t="inlineStr">
        <is>
          <t>23 Embalaje</t>
        </is>
      </c>
      <c r="O56" s="17" t="inlineStr">
        <is>
          <t>IRAM 3517-2 7.4</t>
        </is>
      </c>
      <c r="P56" s="33" t="inlineStr">
        <is>
          <t>P</t>
        </is>
      </c>
      <c r="Q56" s="33" t="inlineStr">
        <is>
          <t>FL_ACC_01</t>
        </is>
      </c>
      <c r="R56" s="17" t="n"/>
    </row>
    <row r="57" outlineLevel="1">
      <c r="A57" s="33" t="n">
        <v>2</v>
      </c>
      <c r="B57" s="33" t="inlineStr">
        <is>
          <t>ABC10-I6</t>
        </is>
      </c>
      <c r="C57" s="17" t="inlineStr">
        <is>
          <t xml:space="preserve">        Tornillo y tarugo de fijación</t>
        </is>
      </c>
      <c r="D57" s="33" t="n">
        <v>2</v>
      </c>
      <c r="E57" s="33" t="inlineStr">
        <is>
          <t>u</t>
        </is>
      </c>
      <c r="F57" s="34" t="n"/>
      <c r="G57" s="34" t="n"/>
      <c r="H57" s="33" t="inlineStr">
        <is>
          <t>Acero cincado / nylon</t>
        </is>
      </c>
      <c r="I57" s="17" t="inlineStr">
        <is>
          <t>2 agujeros Ø8,5 del plano FL_ACC_01 → tornillo M8 + tarugo</t>
        </is>
      </c>
      <c r="J57" s="33" t="inlineStr">
        <is>
          <t>Compra</t>
        </is>
      </c>
      <c r="K57" s="33" t="inlineStr">
        <is>
          <t>Sí</t>
        </is>
      </c>
      <c r="L57" s="17" t="inlineStr">
        <is>
          <t>Würth Argentina</t>
        </is>
      </c>
      <c r="M57" s="17" t="inlineStr">
        <is>
          <t>-</t>
        </is>
      </c>
      <c r="N57" s="17" t="inlineStr">
        <is>
          <t>23 Embalaje</t>
        </is>
      </c>
      <c r="O57" s="17" t="n"/>
      <c r="P57" s="33" t="inlineStr">
        <is>
          <t>P</t>
        </is>
      </c>
      <c r="Q57" s="33" t="inlineStr">
        <is>
          <t>FL_ACC_01</t>
        </is>
      </c>
      <c r="R57" s="17" t="n"/>
    </row>
    <row r="58" outlineLevel="1">
      <c r="A58" s="33" t="n">
        <v>2</v>
      </c>
      <c r="B58" s="33" t="inlineStr">
        <is>
          <t>ABC10-I8</t>
        </is>
      </c>
      <c r="C58" s="17" t="inlineStr">
        <is>
          <t xml:space="preserve">        Soporte opcional (pared o vehicular, según pedido)</t>
        </is>
      </c>
      <c r="D58" s="33" t="n">
        <v>0</v>
      </c>
      <c r="E58" s="33" t="inlineStr">
        <is>
          <t>u</t>
        </is>
      </c>
      <c r="F58" s="34" t="n"/>
      <c r="G58" s="34" t="n"/>
      <c r="H58" s="33" t="inlineStr">
        <is>
          <t>-</t>
        </is>
      </c>
      <c r="I58" s="17" t="inlineStr">
        <is>
          <t>-</t>
        </is>
      </c>
      <c r="J58" s="33" t="inlineStr">
        <is>
          <t>Compra</t>
        </is>
      </c>
      <c r="K58" s="33" t="inlineStr">
        <is>
          <t>Sí</t>
        </is>
      </c>
      <c r="L58" s="17" t="inlineStr">
        <is>
          <t>Maxiseguridad</t>
        </is>
      </c>
      <c r="M58" s="17" t="inlineStr">
        <is>
          <t>CM Representaciones</t>
        </is>
      </c>
      <c r="N58" s="17" t="n"/>
      <c r="O58" s="17" t="inlineStr">
        <is>
          <t>IRAM 3517-2 7.4</t>
        </is>
      </c>
      <c r="P58" s="33" t="inlineStr">
        <is>
          <t>N</t>
        </is>
      </c>
      <c r="Q58" s="33" t="n"/>
      <c r="R58" s="17" t="inlineStr">
        <is>
          <t>Sólo si el pedido lo incluye</t>
        </is>
      </c>
    </row>
    <row r="59">
      <c r="A59" s="30" t="n">
        <v>1</v>
      </c>
      <c r="B59" s="30" t="inlineStr">
        <is>
          <t>ABC10-S7</t>
        </is>
      </c>
      <c r="C59" s="31" t="inlineStr">
        <is>
          <t xml:space="preserve">    Embalaje</t>
        </is>
      </c>
      <c r="D59" s="30" t="n">
        <v>1</v>
      </c>
      <c r="E59" s="30" t="inlineStr">
        <is>
          <t>u</t>
        </is>
      </c>
      <c r="F59" s="32" t="n"/>
      <c r="G59" s="32">
        <f>G63</f>
        <v/>
      </c>
      <c r="H59" s="30" t="n"/>
      <c r="I59" s="31" t="n"/>
      <c r="J59" s="30" t="inlineStr">
        <is>
          <t>Compra</t>
        </is>
      </c>
      <c r="K59" s="30" t="n"/>
      <c r="L59" s="31" t="n"/>
      <c r="M59" s="31" t="n"/>
      <c r="N59" s="31" t="inlineStr">
        <is>
          <t>23 Embalaje -&gt; 24 envolvedora (T11)</t>
        </is>
      </c>
      <c r="O59" s="31" t="n"/>
      <c r="P59" s="30" t="n"/>
      <c r="Q59" s="30" t="n"/>
      <c r="R59" s="31" t="n"/>
    </row>
    <row r="60" outlineLevel="1">
      <c r="A60" s="33" t="n">
        <v>2</v>
      </c>
      <c r="B60" s="33" t="inlineStr">
        <is>
          <t>ABC10-E1</t>
        </is>
      </c>
      <c r="C60" s="17" t="inlineStr">
        <is>
          <t xml:space="preserve">        Caja de cartón corrugado doble</t>
        </is>
      </c>
      <c r="D60" s="33" t="n">
        <v>1</v>
      </c>
      <c r="E60" s="33" t="inlineStr">
        <is>
          <t>u</t>
        </is>
      </c>
      <c r="F60" s="34" t="n"/>
      <c r="G60" s="34" t="n"/>
      <c r="H60" s="33" t="inlineStr">
        <is>
          <t>Cartón corrugado</t>
        </is>
      </c>
      <c r="I60" s="17" t="inlineStr">
        <is>
          <t>260 × 214 × 675 interior (envolvente del plano + 15 por lado)</t>
        </is>
      </c>
      <c r="J60" s="33" t="inlineStr">
        <is>
          <t>Compra</t>
        </is>
      </c>
      <c r="K60" s="33" t="inlineStr">
        <is>
          <t>Sí</t>
        </is>
      </c>
      <c r="L60" s="17" t="inlineStr">
        <is>
          <t>Maxipack</t>
        </is>
      </c>
      <c r="M60" s="17" t="inlineStr">
        <is>
          <t>Cartocan</t>
        </is>
      </c>
      <c r="N60" s="17" t="inlineStr">
        <is>
          <t>23 Embalaje</t>
        </is>
      </c>
      <c r="O60" s="17" t="n"/>
      <c r="P60" s="33" t="inlineStr">
        <is>
          <t>P</t>
        </is>
      </c>
      <c r="Q60" s="33" t="n"/>
      <c r="R60" s="17" t="inlineStr">
        <is>
          <t>Medida del plano</t>
        </is>
      </c>
    </row>
    <row r="61" outlineLevel="1">
      <c r="A61" s="33" t="n">
        <v>2</v>
      </c>
      <c r="B61" s="33" t="inlineStr">
        <is>
          <t>ABC10-E2</t>
        </is>
      </c>
      <c r="C61" s="17" t="inlineStr">
        <is>
          <t xml:space="preserve">        Instructivo de uso y mantenimiento</t>
        </is>
      </c>
      <c r="D61" s="33" t="n">
        <v>1</v>
      </c>
      <c r="E61" s="33" t="inlineStr">
        <is>
          <t>u</t>
        </is>
      </c>
      <c r="F61" s="34" t="n"/>
      <c r="G61" s="34" t="n"/>
      <c r="H61" s="33" t="inlineStr">
        <is>
          <t>Papel</t>
        </is>
      </c>
      <c r="I61" s="17" t="inlineStr">
        <is>
          <t>A5</t>
        </is>
      </c>
      <c r="J61" s="33" t="inlineStr">
        <is>
          <t>Compra</t>
        </is>
      </c>
      <c r="K61" s="33" t="inlineStr">
        <is>
          <t>Sí</t>
        </is>
      </c>
      <c r="L61" s="17" t="inlineStr">
        <is>
          <t>Astuprint</t>
        </is>
      </c>
      <c r="M61" s="17" t="inlineStr">
        <is>
          <t>-</t>
        </is>
      </c>
      <c r="N61" s="17" t="inlineStr">
        <is>
          <t>23 Embalaje</t>
        </is>
      </c>
      <c r="O61" s="17" t="n"/>
      <c r="P61" s="33" t="inlineStr">
        <is>
          <t>I</t>
        </is>
      </c>
      <c r="Q61" s="33" t="n"/>
      <c r="R61" s="17" t="inlineStr">
        <is>
          <t>Decisión comercial de FLAMA (las instrucciones de uso obligatorias van en la etiqueta, IRAM 3534)</t>
        </is>
      </c>
    </row>
    <row r="62" outlineLevel="1">
      <c r="A62" s="33" t="n">
        <v>2</v>
      </c>
      <c r="B62" s="33" t="inlineStr">
        <is>
          <t>ABC10-E3</t>
        </is>
      </c>
      <c r="C62" s="17" t="inlineStr">
        <is>
          <t xml:space="preserve">        Pallet 1200 × 1000 (fracción)</t>
        </is>
      </c>
      <c r="D62" s="33" t="n">
        <v>0.0312</v>
      </c>
      <c r="E62" s="33" t="inlineStr">
        <is>
          <t>u</t>
        </is>
      </c>
      <c r="F62" s="34" t="n"/>
      <c r="G62" s="34" t="n"/>
      <c r="H62" s="33" t="inlineStr">
        <is>
          <t>Madera</t>
        </is>
      </c>
      <c r="I62" s="17" t="inlineStr">
        <is>
          <t>32 u por pallet</t>
        </is>
      </c>
      <c r="J62" s="33" t="inlineStr">
        <is>
          <t>Compra</t>
        </is>
      </c>
      <c r="K62" s="33" t="inlineStr">
        <is>
          <t>Sí</t>
        </is>
      </c>
      <c r="L62" s="17" t="inlineStr">
        <is>
          <t>IndusPallets</t>
        </is>
      </c>
      <c r="M62" s="17" t="inlineStr">
        <is>
          <t>-</t>
        </is>
      </c>
      <c r="N62" s="17" t="inlineStr">
        <is>
          <t>23 Embalaje</t>
        </is>
      </c>
      <c r="O62" s="17" t="n"/>
      <c r="P62" s="33" t="inlineStr">
        <is>
          <t>C</t>
        </is>
      </c>
      <c r="Q62" s="33" t="n"/>
      <c r="R62" s="17" t="inlineStr">
        <is>
          <t>u por pallet = acomodo de la caja (plano) en 1200 × 1000 × 1450 de alto</t>
        </is>
      </c>
    </row>
    <row r="63" outlineLevel="1">
      <c r="A63" s="41" t="n">
        <v>2</v>
      </c>
      <c r="B63" s="41" t="inlineStr">
        <is>
          <t>ABC10-E4</t>
        </is>
      </c>
      <c r="C63" s="18" t="inlineStr">
        <is>
          <t xml:space="preserve">        Film stretch (fracción del pallet)</t>
        </is>
      </c>
      <c r="D63" s="41" t="n">
        <v>0.0037</v>
      </c>
      <c r="E63" s="41" t="inlineStr">
        <is>
          <t>kg</t>
        </is>
      </c>
      <c r="F63" s="42" t="n">
        <v>1</v>
      </c>
      <c r="G63" s="42">
        <f>D63*F63</f>
        <v/>
      </c>
      <c r="H63" s="41" t="inlineStr">
        <is>
          <t>PE lineal 23 µm</t>
        </is>
      </c>
      <c r="I63" s="18" t="inlineStr">
        <is>
          <t>0,12 kg por pallet / 32 u</t>
        </is>
      </c>
      <c r="J63" s="41" t="inlineStr">
        <is>
          <t>Compra</t>
        </is>
      </c>
      <c r="K63" s="41" t="inlineStr">
        <is>
          <t>Sí</t>
        </is>
      </c>
      <c r="L63" s="18" t="inlineStr">
        <is>
          <t>MV Embalajes</t>
        </is>
      </c>
      <c r="M63" s="18" t="inlineStr">
        <is>
          <t>Embalpack</t>
        </is>
      </c>
      <c r="N63" s="18" t="inlineStr">
        <is>
          <t>24 Envolvedora (T11)</t>
        </is>
      </c>
      <c r="O63" s="18" t="n"/>
      <c r="P63" s="41" t="inlineStr">
        <is>
          <t>C</t>
        </is>
      </c>
      <c r="Q63" s="41" t="n"/>
      <c r="R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3" t="n">
        <v>2</v>
      </c>
      <c r="B64" s="33" t="inlineStr">
        <is>
          <t>ABC10-E5</t>
        </is>
      </c>
      <c r="C64" s="17" t="inlineStr">
        <is>
          <t xml:space="preserve">        Etiqueta de pallet (lote y destino, fracción)</t>
        </is>
      </c>
      <c r="D64" s="33" t="n">
        <v>0.0312</v>
      </c>
      <c r="E64" s="33" t="inlineStr">
        <is>
          <t>u</t>
        </is>
      </c>
      <c r="F64" s="34" t="n"/>
      <c r="G64" s="34" t="n"/>
      <c r="H64" s="33" t="inlineStr">
        <is>
          <t>Papel térmico</t>
        </is>
      </c>
      <c r="I64" s="17" t="inlineStr">
        <is>
          <t>100 × 150</t>
        </is>
      </c>
      <c r="J64" s="33" t="inlineStr">
        <is>
          <t>Compra</t>
        </is>
      </c>
      <c r="K64" s="33" t="inlineStr">
        <is>
          <t>Sí</t>
        </is>
      </c>
      <c r="L64" s="17" t="inlineStr">
        <is>
          <t>Astuprint</t>
        </is>
      </c>
      <c r="M64" s="17" t="inlineStr">
        <is>
          <t>Multilabel Argentina S.A.</t>
        </is>
      </c>
      <c r="N64" s="17" t="inlineStr">
        <is>
          <t>24 Envolvedora</t>
        </is>
      </c>
      <c r="O64" s="17" t="n"/>
      <c r="P64" s="33" t="inlineStr">
        <is>
          <t>C</t>
        </is>
      </c>
      <c r="Q64" s="33" t="n"/>
      <c r="R64" s="17" t="n"/>
    </row>
    <row r="65" outlineLevel="1">
      <c r="A65" s="41" t="n">
        <v>2</v>
      </c>
      <c r="B65" s="41" t="inlineStr">
        <is>
          <t>ABC10-E6</t>
        </is>
      </c>
      <c r="C65" s="18" t="inlineStr">
        <is>
          <t xml:space="preserve">        Cinta de embalaje PP 48 mm (cierre de la caja)</t>
        </is>
      </c>
      <c r="D65" s="41" t="n">
        <v>0.8</v>
      </c>
      <c r="E65" s="41" t="inlineStr">
        <is>
          <t>m</t>
        </is>
      </c>
      <c r="F65" s="42" t="n"/>
      <c r="G65" s="42" t="n"/>
      <c r="H65" s="41" t="inlineStr">
        <is>
          <t>Polipropileno con adhesivo acrílico</t>
        </is>
      </c>
      <c r="I65" s="18" t="inlineStr">
        <is>
          <t>cierre en I arriba y abajo: 2 × (260 + 2 × 70 de solapa)</t>
        </is>
      </c>
      <c r="J65" s="41" t="inlineStr">
        <is>
          <t>Compra</t>
        </is>
      </c>
      <c r="K65" s="41" t="inlineStr">
        <is>
          <t>Sí</t>
        </is>
      </c>
      <c r="L65" s="18" t="inlineStr">
        <is>
          <t>MV Embalajes</t>
        </is>
      </c>
      <c r="M65" s="18" t="inlineStr">
        <is>
          <t>Embalpack</t>
        </is>
      </c>
      <c r="N65" s="18" t="inlineStr">
        <is>
          <t>23 Embalaje</t>
        </is>
      </c>
      <c r="O65" s="18" t="n"/>
      <c r="P65" s="41" t="inlineStr">
        <is>
          <t>C</t>
        </is>
      </c>
      <c r="Q65" s="41" t="n"/>
      <c r="R65" s="18" t="inlineStr">
        <is>
          <t>Solapa de 70 mm por lado: práctica de cierre de cajas (medir en la línea)</t>
        </is>
      </c>
    </row>
    <row r="66" outlineLevel="1">
      <c r="A66" s="33" t="n">
        <v>2</v>
      </c>
      <c r="B66" s="33" t="inlineStr">
        <is>
          <t>ABC10-E7</t>
        </is>
      </c>
      <c r="C66" s="17" t="inlineStr">
        <is>
          <t xml:space="preserve">        Esquineros de cartón 50 × 50 × 1200 (fracción del pallet)</t>
        </is>
      </c>
      <c r="D66" s="33" t="n">
        <v>0.125</v>
      </c>
      <c r="E66" s="33" t="inlineStr">
        <is>
          <t>u</t>
        </is>
      </c>
      <c r="F66" s="34" t="n"/>
      <c r="G66" s="34" t="n"/>
      <c r="H66" s="33" t="inlineStr">
        <is>
          <t>Cartón</t>
        </is>
      </c>
      <c r="I66" s="17" t="inlineStr">
        <is>
          <t>4 por pallet / 32 u</t>
        </is>
      </c>
      <c r="J66" s="33" t="inlineStr">
        <is>
          <t>Compra</t>
        </is>
      </c>
      <c r="K66" s="33" t="inlineStr">
        <is>
          <t>Sí</t>
        </is>
      </c>
      <c r="L66" s="17" t="inlineStr">
        <is>
          <t>Maxipack</t>
        </is>
      </c>
      <c r="M66" s="17" t="inlineStr">
        <is>
          <t>Cartocan</t>
        </is>
      </c>
      <c r="N66" s="17" t="inlineStr">
        <is>
          <t>24 Envolvedora (T11)</t>
        </is>
      </c>
      <c r="O66" s="17" t="n"/>
      <c r="P66" s="33" t="inlineStr">
        <is>
          <t>C</t>
        </is>
      </c>
      <c r="Q66" s="33" t="n"/>
      <c r="R66" s="17" t="inlineStr">
        <is>
          <t>Planilla MP-64</t>
        </is>
      </c>
    </row>
  </sheetData>
  <autoFilter ref="A10:R66"/>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66" t="inlineStr">
        <is>
          <t>Extintor Agua 10 l</t>
        </is>
      </c>
    </row>
    <row r="3">
      <c r="A3" s="2" t="inlineStr">
        <is>
          <t>Plano de origen</t>
        </is>
      </c>
      <c r="C3" t="inlineStr">
        <is>
          <t>FL_MAT_AGUA_10l  (4 láminas)</t>
        </is>
      </c>
      <c r="E3" s="2" t="inlineStr">
        <is>
          <t>Peso vacío S1-S4 (kg)</t>
        </is>
      </c>
      <c r="G3" s="67">
        <f>G13+G18+G32</f>
        <v/>
      </c>
    </row>
    <row r="4">
      <c r="A4" s="2" t="inlineStr">
        <is>
          <t>Plano de despiece</t>
        </is>
      </c>
      <c r="C4" t="inlineStr">
        <is>
          <t>FL_DES_AGUA_10l (salida/despiece/)</t>
        </is>
      </c>
      <c r="E4" s="2" t="inlineStr">
        <is>
          <t>Peso cargado S1-S6 (kg)</t>
        </is>
      </c>
      <c r="G4" s="67">
        <f>G13+G18+G32+G37+G40</f>
        <v/>
      </c>
    </row>
    <row r="5">
      <c r="A5" s="2" t="inlineStr">
        <is>
          <t>Norma del producto</t>
        </is>
      </c>
      <c r="C5" t="inlineStr">
        <is>
          <t>IRAM 3525</t>
        </is>
      </c>
      <c r="E5" s="2" t="inlineStr">
        <is>
          <t>Peso con soporte y embalaje (kg)</t>
        </is>
      </c>
      <c r="G5" s="67">
        <f>G13+G18+G32+G37+G40+G51+G48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12.55</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FL_MAT_AGUA_10l</t>
        </is>
      </c>
      <c r="C11" s="28" t="inlineStr">
        <is>
          <t>Extintor Agua 10 l</t>
        </is>
      </c>
      <c r="D11" s="27" t="n">
        <v>1</v>
      </c>
      <c r="E11" s="27" t="inlineStr">
        <is>
          <t>u</t>
        </is>
      </c>
      <c r="F11" s="29" t="n"/>
      <c r="G11" s="29">
        <f>G5</f>
        <v/>
      </c>
      <c r="H11" s="27" t="n"/>
      <c r="I11" s="28" t="n"/>
      <c r="J11" s="27" t="n"/>
      <c r="K11" s="27" t="n"/>
      <c r="L11" s="28" t="n"/>
      <c r="M11" s="28" t="n"/>
      <c r="N11" s="28" t="n"/>
      <c r="O11" s="28" t="inlineStr">
        <is>
          <t>IRAM 3525</t>
        </is>
      </c>
      <c r="P11" s="27" t="inlineStr">
        <is>
          <t>P</t>
        </is>
      </c>
      <c r="Q11" s="27" t="inlineStr">
        <is>
          <t>FL_MAT_AGUA_10l</t>
        </is>
      </c>
      <c r="R11" s="28" t="inlineStr">
        <is>
          <t>Revendido: se compra terminado al fabricante con Sello IRAM; las piezas internas quedan como referencia (no entran en MRP)</t>
        </is>
      </c>
    </row>
    <row r="12">
      <c r="A12" s="30" t="n">
        <v>1</v>
      </c>
      <c r="B12" s="30" t="inlineStr">
        <is>
          <t>AGUA10-S0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3525</t>
        </is>
      </c>
      <c r="P12" s="30" t="inlineStr">
        <is>
          <t>I</t>
        </is>
      </c>
      <c r="Q12" s="30" t="inlineStr">
        <is>
          <t>FL_MAT_AGUA_10l</t>
        </is>
      </c>
      <c r="R12" s="31" t="inlineStr">
        <is>
          <t>Única fila de compra del revendido (más la tarjeta AGC si el destino es CABA)</t>
        </is>
      </c>
    </row>
    <row r="13">
      <c r="A13" s="30" t="n">
        <v>1</v>
      </c>
      <c r="B13" s="30" t="inlineStr">
        <is>
          <t>AGUA10-S1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FL_DES_AGUA_10l</t>
        </is>
      </c>
      <c r="R13" s="31" t="n"/>
    </row>
    <row r="14" outlineLevel="1">
      <c r="A14" s="33" t="n">
        <v>2</v>
      </c>
      <c r="B14" s="33" t="inlineStr">
        <is>
          <t>AGUA10-01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FL_DES_AGUA_10l</t>
        </is>
      </c>
      <c r="R14" s="17" t="inlineStr">
        <is>
          <t>costura long. TIG</t>
        </is>
      </c>
    </row>
    <row r="15" outlineLevel="1">
      <c r="A15" s="33" t="n">
        <v>2</v>
      </c>
      <c r="B15" s="33" t="inlineStr">
        <is>
          <t>AGUA10-02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FL_DES_AGUA_10l</t>
        </is>
      </c>
      <c r="R15" s="17" t="inlineStr">
        <is>
          <t>embutida</t>
        </is>
      </c>
    </row>
    <row r="16" outlineLevel="1">
      <c r="A16" s="33" t="n">
        <v>2</v>
      </c>
      <c r="B16" s="33" t="inlineStr">
        <is>
          <t>AGUA10-03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FL_DES_AGUA_10l</t>
        </is>
      </c>
      <c r="R16" s="17" t="inlineStr">
        <is>
          <t>embutido</t>
        </is>
      </c>
    </row>
    <row r="17" outlineLevel="1">
      <c r="A17" s="33" t="n">
        <v>2</v>
      </c>
      <c r="B17" s="33" t="inlineStr">
        <is>
          <t>AGUA10-04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FL_DES_AGUA_10l</t>
        </is>
      </c>
      <c r="R17" s="17" t="inlineStr">
        <is>
          <t>M30x1,5</t>
        </is>
      </c>
    </row>
    <row r="18">
      <c r="A18" s="30" t="n">
        <v>1</v>
      </c>
      <c r="B18" s="30" t="inlineStr">
        <is>
          <t>AGUA10-S2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FL_DES_AGUA_10l</t>
        </is>
      </c>
      <c r="R18" s="31" t="n"/>
    </row>
    <row r="19" outlineLevel="1">
      <c r="A19" s="33" t="n">
        <v>2</v>
      </c>
      <c r="B19" s="33" t="inlineStr">
        <is>
          <t>AGUA10-05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FL_DES_AGUA_10l</t>
        </is>
      </c>
      <c r="R19" s="17" t="n"/>
    </row>
    <row r="20" outlineLevel="1">
      <c r="A20" s="33" t="n">
        <v>2</v>
      </c>
      <c r="B20" s="33" t="inlineStr">
        <is>
          <t>AGUA10-06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FL_DES_AGUA_10l</t>
        </is>
      </c>
      <c r="R20" s="17" t="n"/>
    </row>
    <row r="21" outlineLevel="1">
      <c r="A21" s="33" t="n">
        <v>2</v>
      </c>
      <c r="B21" s="33" t="inlineStr">
        <is>
          <t>AGUA10-07</t>
        </is>
      </c>
      <c r="C21" s="17" t="inlineStr">
        <is>
          <t xml:space="preserve">        Cuerpo de válvula</t>
        </is>
      </c>
      <c r="D21" s="33" t="n">
        <v>1</v>
      </c>
      <c r="E21" s="33" t="inlineStr">
        <is>
          <t>u</t>
        </is>
      </c>
      <c r="F21" s="34" t="n">
        <v>0.4879</v>
      </c>
      <c r="G21" s="34">
        <f>D21*F21</f>
        <v/>
      </c>
      <c r="H21" s="33" t="inlineStr">
        <is>
          <t>Latón forjado</t>
        </is>
      </c>
      <c r="I21" s="17" t="inlineStr">
        <is>
          <t>67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FL_DES_AGUA_10l</t>
        </is>
      </c>
      <c r="R21" s="17" t="n"/>
    </row>
    <row r="22" outlineLevel="1">
      <c r="A22" s="33" t="n">
        <v>2</v>
      </c>
      <c r="B22" s="33" t="inlineStr">
        <is>
          <t>AGUA10-08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FL_DES_AGUA_10l</t>
        </is>
      </c>
      <c r="R22" s="17" t="inlineStr">
        <is>
          <t>Pieza comercial; sello IRAM 3533; peso: completar con la ficha del proveedor (no afecta el MRP)</t>
        </is>
      </c>
    </row>
    <row r="23" outlineLevel="1">
      <c r="A23" s="33" t="n">
        <v>2</v>
      </c>
      <c r="B23" s="33" t="inlineStr">
        <is>
          <t>AGUA10-09</t>
        </is>
      </c>
      <c r="C23" s="17" t="inlineStr">
        <is>
          <t xml:space="preserve">        Manija de transporte</t>
        </is>
      </c>
      <c r="D23" s="33" t="n">
        <v>1</v>
      </c>
      <c r="E23" s="33" t="inlineStr">
        <is>
          <t>u</t>
        </is>
      </c>
      <c r="F23" s="34" t="n">
        <v>0.0609</v>
      </c>
      <c r="G23" s="34">
        <f>D23*F23</f>
        <v/>
      </c>
      <c r="H23" s="33" t="inlineStr">
        <is>
          <t>Chapa acero SAE 1010 pintada</t>
        </is>
      </c>
      <c r="I23" s="17" t="inlineStr">
        <is>
          <t>96,9 × 20 × 14,1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FL_DES_AGUA_10l</t>
        </is>
      </c>
      <c r="R23" s="17" t="n"/>
    </row>
    <row r="24" outlineLevel="1">
      <c r="A24" s="33" t="n">
        <v>2</v>
      </c>
      <c r="B24" s="33" t="inlineStr">
        <is>
          <t>AGUA10-10</t>
        </is>
      </c>
      <c r="C24" s="17" t="inlineStr">
        <is>
          <t xml:space="preserve">        Manija de accionamiento</t>
        </is>
      </c>
      <c r="D24" s="33" t="n">
        <v>1</v>
      </c>
      <c r="E24" s="33" t="inlineStr">
        <is>
          <t>u</t>
        </is>
      </c>
      <c r="F24" s="34" t="n">
        <v>0.08790000000000001</v>
      </c>
      <c r="G24" s="34">
        <f>D24*F24</f>
        <v/>
      </c>
      <c r="H24" s="33" t="inlineStr">
        <is>
          <t>Chapa acero SAE 1010 pintada</t>
        </is>
      </c>
      <c r="I24" s="17" t="inlineStr">
        <is>
          <t>139,5 × 21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FL_DES_AGUA_10l</t>
        </is>
      </c>
      <c r="R24" s="17" t="n"/>
    </row>
    <row r="25" outlineLevel="1">
      <c r="A25" s="33" t="n">
        <v>2</v>
      </c>
      <c r="B25" s="33" t="inlineStr">
        <is>
          <t>AGUA10-11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FL_DES_AGUA_10l</t>
        </is>
      </c>
      <c r="R25" s="17" t="n"/>
    </row>
    <row r="26" outlineLevel="1">
      <c r="A26" s="33" t="n">
        <v>2</v>
      </c>
      <c r="B26" s="33" t="inlineStr">
        <is>
          <t>AGUA10-12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FL_DES_AGUA_10l</t>
        </is>
      </c>
      <c r="R26" s="17" t="inlineStr">
        <is>
          <t>con junta tórica</t>
        </is>
      </c>
    </row>
    <row r="27" outlineLevel="1">
      <c r="A27" s="33" t="n">
        <v>2</v>
      </c>
      <c r="B27" s="33" t="inlineStr">
        <is>
          <t>AGUA10-13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FL_DES_AGUA_10l</t>
        </is>
      </c>
      <c r="R27" s="17" t="inlineStr">
        <is>
          <t>con precinto</t>
        </is>
      </c>
    </row>
    <row r="28" outlineLevel="1">
      <c r="A28" s="33" t="n">
        <v>2</v>
      </c>
      <c r="B28" s="33" t="inlineStr">
        <is>
          <t>AGUA10-14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FL_DES_AGUA_10l</t>
        </is>
      </c>
      <c r="R28" s="17" t="n"/>
    </row>
    <row r="29" outlineLevel="1">
      <c r="A29" s="33" t="n">
        <v>2</v>
      </c>
      <c r="B29" s="33" t="inlineStr">
        <is>
          <t>AGUA10-24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FL_DES_AGUA_10l</t>
        </is>
      </c>
      <c r="R29" s="17" t="inlineStr">
        <is>
          <t>cambio c/recarga</t>
        </is>
      </c>
    </row>
    <row r="30" outlineLevel="1">
      <c r="A30" s="33" t="n">
        <v>2</v>
      </c>
      <c r="B30" s="33" t="inlineStr">
        <is>
          <t>AGUA10-V2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AGUA10-V3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AGUA10-S3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FL_DES_AGUA_10l</t>
        </is>
      </c>
      <c r="R32" s="31" t="n"/>
    </row>
    <row r="33" outlineLevel="1">
      <c r="A33" s="33" t="n">
        <v>2</v>
      </c>
      <c r="B33" s="33" t="inlineStr">
        <is>
          <t>AGUA10-15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FL_DES_AGUA_10l</t>
        </is>
      </c>
      <c r="R33" s="17" t="n"/>
    </row>
    <row r="34" outlineLevel="1">
      <c r="A34" s="33" t="n">
        <v>2</v>
      </c>
      <c r="B34" s="33" t="inlineStr">
        <is>
          <t>AGUA10-16</t>
        </is>
      </c>
      <c r="C34" s="17" t="inlineStr">
        <is>
          <t xml:space="preserve">        Manguera</t>
        </is>
      </c>
      <c r="D34" s="33" t="n">
        <v>1</v>
      </c>
      <c r="E34" s="33" t="inlineStr">
        <is>
          <t>u</t>
        </is>
      </c>
      <c r="F34" s="34" t="n">
        <v>0.06809999999999999</v>
      </c>
      <c r="G34" s="34">
        <f>D34*F34</f>
        <v/>
      </c>
      <c r="H34" s="33" t="inlineStr">
        <is>
          <t>Caucho sintético</t>
        </is>
      </c>
      <c r="I34" s="17" t="inlineStr">
        <is>
          <t>Ø16 × 441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FL_DES_AGUA_10l</t>
        </is>
      </c>
      <c r="R34" s="17" t="n"/>
    </row>
    <row r="35" outlineLevel="1">
      <c r="A35" s="33" t="n">
        <v>2</v>
      </c>
      <c r="B35" s="33" t="inlineStr">
        <is>
          <t>AGUA10-17</t>
        </is>
      </c>
      <c r="C35" s="17" t="inlineStr">
        <is>
          <t xml:space="preserve">        Tobera de chorro pleno</t>
        </is>
      </c>
      <c r="D35" s="33" t="n">
        <v>1</v>
      </c>
      <c r="E35" s="33" t="inlineStr">
        <is>
          <t>u</t>
        </is>
      </c>
      <c r="F35" s="34" t="n">
        <v>0.0219</v>
      </c>
      <c r="G35" s="34">
        <f>D35*F35</f>
        <v/>
      </c>
      <c r="H35" s="33" t="inlineStr">
        <is>
          <t>Polipropileno</t>
        </is>
      </c>
      <c r="I35" s="17" t="inlineStr">
        <is>
          <t>85 × 22 × 22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FL_DES_AGUA_10l</t>
        </is>
      </c>
      <c r="R35" s="17" t="n"/>
    </row>
    <row r="36" outlineLevel="1">
      <c r="A36" s="33" t="n">
        <v>2</v>
      </c>
      <c r="B36" s="33" t="inlineStr">
        <is>
          <t>AGUA10-18</t>
        </is>
      </c>
      <c r="C36" s="17" t="inlineStr">
        <is>
          <t xml:space="preserve">        Suncho portatobera</t>
        </is>
      </c>
      <c r="D36" s="33" t="n">
        <v>1</v>
      </c>
      <c r="E36" s="33" t="inlineStr">
        <is>
          <t>u</t>
        </is>
      </c>
      <c r="F36" s="34" t="n">
        <v>0.159</v>
      </c>
      <c r="G36" s="34">
        <f>D36*F36</f>
        <v/>
      </c>
      <c r="H36" s="33" t="inlineStr">
        <is>
          <t>Fleje acero SAE 1010 pintado</t>
        </is>
      </c>
      <c r="I36" s="17" t="inlineStr">
        <is>
          <t>197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FL_DES_AGUA_10l</t>
        </is>
      </c>
      <c r="R36" s="17" t="n"/>
    </row>
    <row r="37">
      <c r="A37" s="30" t="n">
        <v>1</v>
      </c>
      <c r="B37" s="30" t="inlineStr">
        <is>
          <t>AGUA10-S5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AGUA10-A1</t>
        </is>
      </c>
      <c r="C38" s="17" t="inlineStr">
        <is>
          <t xml:space="preserve">        Agua</t>
        </is>
      </c>
      <c r="D38" s="33" t="n">
        <v>10</v>
      </c>
      <c r="E38" s="33" t="inlineStr">
        <is>
          <t>L</t>
        </is>
      </c>
      <c r="F38" s="34" t="n">
        <v>1</v>
      </c>
      <c r="G38" s="34">
        <f>D38*F38</f>
        <v/>
      </c>
      <c r="H38" s="33" t="inlineStr">
        <is>
          <t>Agua</t>
        </is>
      </c>
      <c r="I38" s="17" t="inlineStr">
        <is>
          <t>nominal 10 L; tolerancia ± 3 % (IRAM 3517-2:2020 tabla 3)</t>
        </is>
      </c>
      <c r="J38" s="33" t="inlineStr">
        <is>
          <t>Compra</t>
        </is>
      </c>
      <c r="K38" s="33" t="inlineStr">
        <is>
          <t>No</t>
        </is>
      </c>
      <c r="L38" s="17" t="n"/>
      <c r="M38" s="17" t="n"/>
      <c r="N38" s="17" t="inlineStr">
        <is>
          <t>SP-1 almacén previo a la carga</t>
        </is>
      </c>
      <c r="O38" s="17" t="inlineStr">
        <is>
          <t>-</t>
        </is>
      </c>
      <c r="P38" s="33" t="inlineStr">
        <is>
          <t>N</t>
        </is>
      </c>
      <c r="Q38" s="33" t="n"/>
      <c r="R38" s="17" t="n"/>
    </row>
    <row r="39" outlineLevel="1">
      <c r="A39" s="33" t="n">
        <v>2</v>
      </c>
      <c r="B39" s="33" t="inlineStr">
        <is>
          <t>AGUA10-A2</t>
        </is>
      </c>
      <c r="C39" s="17" t="inlineStr">
        <is>
          <t xml:space="preserve">        Gas impulsor: Aire comprimido</t>
        </is>
      </c>
      <c r="D39" s="33" t="n">
        <v>0.0427</v>
      </c>
      <c r="E39" s="33" t="inlineStr">
        <is>
          <t>kg</t>
        </is>
      </c>
      <c r="F39" s="34" t="n">
        <v>1</v>
      </c>
      <c r="G39" s="34">
        <f>D39*F39</f>
        <v/>
      </c>
      <c r="H39" s="33" t="inlineStr">
        <is>
          <t>Aire comprimido</t>
        </is>
      </c>
      <c r="I39" s="17" t="inlineStr">
        <is>
          <t>33 L normales para 0,8 MPa a 20 °C en 3,98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AGUA10-S6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AGUA10-19</t>
        </is>
      </c>
      <c r="C41" s="17" t="inlineStr">
        <is>
          <t xml:space="preserve">        Etiqueta / placa de características</t>
        </is>
      </c>
      <c r="D41" s="33" t="n">
        <v>1</v>
      </c>
      <c r="E41" s="33" t="inlineStr">
        <is>
          <t>u</t>
        </is>
      </c>
      <c r="F41" s="34" t="n">
        <v>0.0285</v>
      </c>
      <c r="G41" s="34">
        <f>D41*F41</f>
        <v/>
      </c>
      <c r="H41" s="33" t="inlineStr">
        <is>
          <t>Vinilo autoadhesivo laminado</t>
        </is>
      </c>
      <c r="I41" s="17" t="inlineStr">
        <is>
          <t>359 × 189 (desarrollo × alto: panel central 108° + 2 alas laterales), e ≈ 0,3, laminado UV</t>
        </is>
      </c>
      <c r="J41" s="33" t="inlineStr">
        <is>
          <t>Compra</t>
        </is>
      </c>
      <c r="K41" s="33" t="inlineStr">
        <is>
          <t>No</t>
        </is>
      </c>
      <c r="L41" s="17" t="n"/>
      <c r="M41" s="17" t="n"/>
      <c r="N41" s="17" t="inlineStr">
        <is>
          <t>22 Etiquetado (T07)</t>
        </is>
      </c>
      <c r="O41" s="17" t="inlineStr">
        <is>
          <t>IRAM 3534 · IRAM 3525 cap. 5 · relevamiento de mercado</t>
        </is>
      </c>
      <c r="P41" s="33" t="inlineStr">
        <is>
          <t>P</t>
        </is>
      </c>
      <c r="Q41" s="33" t="inlineStr">
        <is>
          <t>FL_DES_AGUA_10l</t>
        </is>
      </c>
      <c r="R41" s="17" t="inlineStr">
        <is>
          <t>IRAM 3534</t>
        </is>
      </c>
    </row>
    <row r="42" outlineLevel="1">
      <c r="A42" s="33" t="n">
        <v>2</v>
      </c>
      <c r="B42" s="33" t="inlineStr">
        <is>
          <t>AGUA10-20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FL_DES_AGUA_10l</t>
        </is>
      </c>
      <c r="R42" s="17" t="inlineStr">
        <is>
          <t>Res. 522/07</t>
        </is>
      </c>
    </row>
    <row r="43" outlineLevel="1">
      <c r="A43" s="33" t="n">
        <v>2</v>
      </c>
      <c r="B43" s="33" t="inlineStr">
        <is>
          <t>AGUA10-21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FL_DES_AGUA_10l</t>
        </is>
      </c>
      <c r="R43" s="17" t="inlineStr">
        <is>
          <t>numerada</t>
        </is>
      </c>
    </row>
    <row r="44" outlineLevel="1">
      <c r="A44" s="33" t="n">
        <v>2</v>
      </c>
      <c r="B44" s="33" t="inlineStr">
        <is>
          <t>AGUA10-22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FL_DES_AGUA_10l</t>
        </is>
      </c>
      <c r="R44" s="17" t="inlineStr">
        <is>
          <t>sólo destino CABA; sólo destino CABA</t>
        </is>
      </c>
    </row>
    <row r="45" outlineLevel="1">
      <c r="A45" s="33" t="n">
        <v>2</v>
      </c>
      <c r="B45" s="33" t="inlineStr">
        <is>
          <t>AGUA10-23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FL_DES_AGUA_10l</t>
        </is>
      </c>
      <c r="R45" s="17" t="inlineStr">
        <is>
          <t>QR GTIN + serie</t>
        </is>
      </c>
    </row>
    <row r="46" outlineLevel="1">
      <c r="A46" s="33" t="n">
        <v>2</v>
      </c>
      <c r="B46" s="33" t="inlineStr">
        <is>
          <t>AGUA10-25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FL_DES_AGUA_10l</t>
        </is>
      </c>
      <c r="R46" s="17" t="inlineStr">
        <is>
          <t>nuevo sin abrir</t>
        </is>
      </c>
    </row>
    <row r="47" outlineLevel="1">
      <c r="A47" s="33" t="n">
        <v>2</v>
      </c>
      <c r="B47" s="33" t="inlineStr">
        <is>
          <t>AGUA10-26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FL_DES_AGUA_10l</t>
        </is>
      </c>
      <c r="R47" s="17" t="inlineStr">
        <is>
          <t>id. FLAMA y lote</t>
        </is>
      </c>
    </row>
    <row r="48">
      <c r="A48" s="30" t="n">
        <v>1</v>
      </c>
      <c r="B48" s="30" t="inlineStr">
        <is>
          <t>AGUA10-S8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AGUA10-I5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AGUA10-I6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AGUA10-S7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AGUA10-E1</t>
        </is>
      </c>
      <c r="C52" s="17" t="inlineStr">
        <is>
          <t xml:space="preserve">        Caja de cartón corrugado doble</t>
        </is>
      </c>
      <c r="D52" s="33" t="n">
        <v>1</v>
      </c>
      <c r="E52" s="33" t="inlineStr">
        <is>
          <t>u</t>
        </is>
      </c>
      <c r="F52" s="34" t="n"/>
      <c r="G52" s="34" t="n"/>
      <c r="H52" s="33" t="inlineStr">
        <is>
          <t>Cartón corrugado</t>
        </is>
      </c>
      <c r="I52" s="17" t="inlineStr">
        <is>
          <t>270 × 223 × 670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AGUA10-E2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AGUA10-E3</t>
        </is>
      </c>
      <c r="C54" s="17" t="inlineStr">
        <is>
          <t xml:space="preserve">        Pallet 1200 × 1000 (fracción)</t>
        </is>
      </c>
      <c r="D54" s="33" t="n">
        <v>0.0312</v>
      </c>
      <c r="E54" s="33" t="inlineStr">
        <is>
          <t>u</t>
        </is>
      </c>
      <c r="F54" s="34" t="n"/>
      <c r="G54" s="34" t="n"/>
      <c r="H54" s="33" t="inlineStr">
        <is>
          <t>Madera</t>
        </is>
      </c>
      <c r="I54" s="17" t="inlineStr">
        <is>
          <t>32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AGUA10-E4</t>
        </is>
      </c>
      <c r="C55" s="17" t="inlineStr">
        <is>
          <t xml:space="preserve">        Film stretch (fracción del pallet)</t>
        </is>
      </c>
      <c r="D55" s="33" t="n">
        <v>0.0037</v>
      </c>
      <c r="E55" s="33" t="inlineStr">
        <is>
          <t>kg</t>
        </is>
      </c>
      <c r="F55" s="34" t="n">
        <v>1</v>
      </c>
      <c r="G55" s="34">
        <f>D55*F55</f>
        <v/>
      </c>
      <c r="H55" s="33" t="inlineStr">
        <is>
          <t>PE lineal 23 µm</t>
        </is>
      </c>
      <c r="I55" s="17" t="inlineStr">
        <is>
          <t>0,12 kg por pallet / 32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AGUA10-E5</t>
        </is>
      </c>
      <c r="C56" s="17" t="inlineStr">
        <is>
          <t xml:space="preserve">        Etiqueta de pallet (lote y destino, fracción)</t>
        </is>
      </c>
      <c r="D56" s="33" t="n">
        <v>0.0312</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row r="57" outlineLevel="1">
      <c r="A57" s="33" t="n">
        <v>2</v>
      </c>
      <c r="B57" s="33" t="inlineStr">
        <is>
          <t>AGUA10-E6</t>
        </is>
      </c>
      <c r="C57" s="17" t="inlineStr">
        <is>
          <t xml:space="preserve">        Cinta de embalaje PP 48 mm (cierre de la caja)</t>
        </is>
      </c>
      <c r="D57" s="33" t="n">
        <v>0.82</v>
      </c>
      <c r="E57" s="33" t="inlineStr">
        <is>
          <t>m</t>
        </is>
      </c>
      <c r="F57" s="34" t="n"/>
      <c r="G57" s="34" t="n"/>
      <c r="H57" s="33" t="inlineStr">
        <is>
          <t>Polipropileno con adhesivo acrílico</t>
        </is>
      </c>
      <c r="I57" s="17" t="inlineStr">
        <is>
          <t>cierre en I arriba y abajo: 2 × (270 + 2 × 70 de solapa)</t>
        </is>
      </c>
      <c r="J57" s="33" t="inlineStr">
        <is>
          <t>Compra</t>
        </is>
      </c>
      <c r="K57" s="33" t="inlineStr">
        <is>
          <t>No</t>
        </is>
      </c>
      <c r="L57" s="17" t="n"/>
      <c r="M57" s="17" t="n"/>
      <c r="N57" s="17" t="inlineStr">
        <is>
          <t>23 Embalaje</t>
        </is>
      </c>
      <c r="O57" s="17" t="n"/>
      <c r="P57" s="33" t="inlineStr">
        <is>
          <t>C</t>
        </is>
      </c>
      <c r="Q57" s="33" t="n"/>
      <c r="R57" s="17" t="inlineStr">
        <is>
          <t>Solapa de 70 mm por lado: práctica de cierre de cajas (medir en la línea)</t>
        </is>
      </c>
    </row>
    <row r="58" outlineLevel="1">
      <c r="A58" s="33" t="n">
        <v>2</v>
      </c>
      <c r="B58" s="33" t="inlineStr">
        <is>
          <t>AGUA10-E7</t>
        </is>
      </c>
      <c r="C58" s="17" t="inlineStr">
        <is>
          <t xml:space="preserve">        Esquineros de cartón 50 × 50 × 1200 (fracción del pallet)</t>
        </is>
      </c>
      <c r="D58" s="33" t="n">
        <v>0.125</v>
      </c>
      <c r="E58" s="33" t="inlineStr">
        <is>
          <t>u</t>
        </is>
      </c>
      <c r="F58" s="34" t="n"/>
      <c r="G58" s="34" t="n"/>
      <c r="H58" s="33" t="inlineStr">
        <is>
          <t>Cartón</t>
        </is>
      </c>
      <c r="I58" s="17" t="inlineStr">
        <is>
          <t>4 por pallet / 32 u</t>
        </is>
      </c>
      <c r="J58" s="33" t="inlineStr">
        <is>
          <t>Compra</t>
        </is>
      </c>
      <c r="K58" s="33" t="inlineStr">
        <is>
          <t>No</t>
        </is>
      </c>
      <c r="L58" s="17" t="n"/>
      <c r="M58" s="17" t="n"/>
      <c r="N58" s="17" t="inlineStr">
        <is>
          <t>24 Envolvedora (T11)</t>
        </is>
      </c>
      <c r="O58" s="17" t="n"/>
      <c r="P58" s="33" t="inlineStr">
        <is>
          <t>C</t>
        </is>
      </c>
      <c r="Q58" s="33" t="n"/>
      <c r="R58" s="17" t="inlineStr">
        <is>
          <t>Planilla MP-64</t>
        </is>
      </c>
    </row>
  </sheetData>
  <autoFilter ref="A10:R58"/>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66" t="inlineStr">
        <is>
          <t>Extintor AFFF 10 l</t>
        </is>
      </c>
    </row>
    <row r="3">
      <c r="A3" s="2" t="inlineStr">
        <is>
          <t>Plano de origen</t>
        </is>
      </c>
      <c r="C3" t="inlineStr">
        <is>
          <t>FL_MAT_AFFF_10l  (4 láminas)</t>
        </is>
      </c>
      <c r="E3" s="2" t="inlineStr">
        <is>
          <t>Peso vacío S1-S4 (kg)</t>
        </is>
      </c>
      <c r="G3" s="67">
        <f>G13+G18+G32</f>
        <v/>
      </c>
    </row>
    <row r="4">
      <c r="A4" s="2" t="inlineStr">
        <is>
          <t>Plano de despiece</t>
        </is>
      </c>
      <c r="C4" t="inlineStr">
        <is>
          <t>FL_DES_AFFF_10l (salida/despiece/)</t>
        </is>
      </c>
      <c r="E4" s="2" t="inlineStr">
        <is>
          <t>Peso cargado S1-S6 (kg)</t>
        </is>
      </c>
      <c r="G4" s="67">
        <f>G13+G18+G32+G37+G41</f>
        <v/>
      </c>
    </row>
    <row r="5">
      <c r="A5" s="2" t="inlineStr">
        <is>
          <t>Norma del producto</t>
        </is>
      </c>
      <c r="C5" t="inlineStr">
        <is>
          <t>IRAM 3527</t>
        </is>
      </c>
      <c r="E5" s="2" t="inlineStr">
        <is>
          <t>Peso con soporte y embalaje (kg)</t>
        </is>
      </c>
      <c r="G5" s="67">
        <f>G13+G18+G32+G37+G41+G52+G49</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12.6</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FL_MAT_AFFF_10l</t>
        </is>
      </c>
      <c r="C11" s="28" t="inlineStr">
        <is>
          <t>Extintor AFFF 10 l</t>
        </is>
      </c>
      <c r="D11" s="27" t="n">
        <v>1</v>
      </c>
      <c r="E11" s="27" t="inlineStr">
        <is>
          <t>u</t>
        </is>
      </c>
      <c r="F11" s="29" t="n"/>
      <c r="G11" s="29">
        <f>G5</f>
        <v/>
      </c>
      <c r="H11" s="27" t="n"/>
      <c r="I11" s="28" t="n"/>
      <c r="J11" s="27" t="n"/>
      <c r="K11" s="27" t="n"/>
      <c r="L11" s="28" t="n"/>
      <c r="M11" s="28" t="n"/>
      <c r="N11" s="28" t="n"/>
      <c r="O11" s="28" t="inlineStr">
        <is>
          <t>IRAM 3527</t>
        </is>
      </c>
      <c r="P11" s="27" t="inlineStr">
        <is>
          <t>P</t>
        </is>
      </c>
      <c r="Q11" s="27" t="inlineStr">
        <is>
          <t>FL_MAT_AFFF_10l</t>
        </is>
      </c>
      <c r="R11" s="28" t="inlineStr">
        <is>
          <t>Revendido: se compra terminado al fabricante con Sello IRAM; las piezas internas quedan como referencia (no entran en MRP)</t>
        </is>
      </c>
    </row>
    <row r="12">
      <c r="A12" s="30" t="n">
        <v>1</v>
      </c>
      <c r="B12" s="30" t="inlineStr">
        <is>
          <t>AFFF10-S0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3527</t>
        </is>
      </c>
      <c r="P12" s="30" t="inlineStr">
        <is>
          <t>I</t>
        </is>
      </c>
      <c r="Q12" s="30" t="inlineStr">
        <is>
          <t>FL_MAT_AFFF_10l</t>
        </is>
      </c>
      <c r="R12" s="31" t="inlineStr">
        <is>
          <t>Única fila de compra del revendido (más la tarjeta AGC si el destino es CABA)</t>
        </is>
      </c>
    </row>
    <row r="13">
      <c r="A13" s="30" t="n">
        <v>1</v>
      </c>
      <c r="B13" s="30" t="inlineStr">
        <is>
          <t>AFFF10-S1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FL_DES_AFFF_10l</t>
        </is>
      </c>
      <c r="R13" s="31" t="n"/>
    </row>
    <row r="14" outlineLevel="1">
      <c r="A14" s="33" t="n">
        <v>2</v>
      </c>
      <c r="B14" s="33" t="inlineStr">
        <is>
          <t>AFFF10-01</t>
        </is>
      </c>
      <c r="C14" s="17" t="inlineStr">
        <is>
          <t xml:space="preserve">        Cuerpo (virola)</t>
        </is>
      </c>
      <c r="D14" s="33" t="n">
        <v>1</v>
      </c>
      <c r="E14" s="33" t="inlineStr">
        <is>
          <t>u</t>
        </is>
      </c>
      <c r="F14" s="34" t="n">
        <v>1.7949</v>
      </c>
      <c r="G14" s="34">
        <f>D14*F14</f>
        <v/>
      </c>
      <c r="H14" s="33" t="inlineStr">
        <is>
          <t>Chapa acero inox. AISI 304 e=0,8</t>
        </is>
      </c>
      <c r="I14" s="17" t="inlineStr">
        <is>
          <t>Ø190 × e0,8 × 476 de alto; desarrollo 594,4 × 476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FL_DES_AFFF_10l</t>
        </is>
      </c>
      <c r="R14" s="17" t="inlineStr">
        <is>
          <t>costura long. TIG</t>
        </is>
      </c>
    </row>
    <row r="15" outlineLevel="1">
      <c r="A15" s="33" t="n">
        <v>2</v>
      </c>
      <c r="B15" s="33" t="inlineStr">
        <is>
          <t>AFFF10-02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FL_DES_AFFF_10l</t>
        </is>
      </c>
      <c r="R15" s="17" t="inlineStr">
        <is>
          <t>embutida</t>
        </is>
      </c>
    </row>
    <row r="16" outlineLevel="1">
      <c r="A16" s="33" t="n">
        <v>2</v>
      </c>
      <c r="B16" s="33" t="inlineStr">
        <is>
          <t>AFFF10-03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FL_DES_AFFF_10l</t>
        </is>
      </c>
      <c r="R16" s="17" t="inlineStr">
        <is>
          <t>embutido</t>
        </is>
      </c>
    </row>
    <row r="17" outlineLevel="1">
      <c r="A17" s="33" t="n">
        <v>2</v>
      </c>
      <c r="B17" s="33" t="inlineStr">
        <is>
          <t>AFFF10-04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FL_DES_AFFF_10l</t>
        </is>
      </c>
      <c r="R17" s="17" t="inlineStr">
        <is>
          <t>M30x1,5</t>
        </is>
      </c>
    </row>
    <row r="18">
      <c r="A18" s="30" t="n">
        <v>1</v>
      </c>
      <c r="B18" s="30" t="inlineStr">
        <is>
          <t>AFFF10-S2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FL_DES_AFFF_10l</t>
        </is>
      </c>
      <c r="R18" s="31" t="n"/>
    </row>
    <row r="19" outlineLevel="1">
      <c r="A19" s="33" t="n">
        <v>2</v>
      </c>
      <c r="B19" s="33" t="inlineStr">
        <is>
          <t>AFFF10-05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FL_DES_AFFF_10l</t>
        </is>
      </c>
      <c r="R19" s="17" t="n"/>
    </row>
    <row r="20" outlineLevel="1">
      <c r="A20" s="33" t="n">
        <v>2</v>
      </c>
      <c r="B20" s="33" t="inlineStr">
        <is>
          <t>AFFF10-06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FL_DES_AFFF_10l</t>
        </is>
      </c>
      <c r="R20" s="17" t="n"/>
    </row>
    <row r="21" outlineLevel="1">
      <c r="A21" s="33" t="n">
        <v>2</v>
      </c>
      <c r="B21" s="33" t="inlineStr">
        <is>
          <t>AFFF10-07</t>
        </is>
      </c>
      <c r="C21" s="17" t="inlineStr">
        <is>
          <t xml:space="preserve">        Cuerpo de válvula</t>
        </is>
      </c>
      <c r="D21" s="33" t="n">
        <v>1</v>
      </c>
      <c r="E21" s="33" t="inlineStr">
        <is>
          <t>u</t>
        </is>
      </c>
      <c r="F21" s="34" t="n">
        <v>0.4964</v>
      </c>
      <c r="G21" s="34">
        <f>D21*F21</f>
        <v/>
      </c>
      <c r="H21" s="33" t="inlineStr">
        <is>
          <t>Latón forjado</t>
        </is>
      </c>
      <c r="I21" s="17" t="inlineStr">
        <is>
          <t>68,2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FL_DES_AFFF_10l</t>
        </is>
      </c>
      <c r="R21" s="17" t="n"/>
    </row>
    <row r="22" outlineLevel="1">
      <c r="A22" s="33" t="n">
        <v>2</v>
      </c>
      <c r="B22" s="33" t="inlineStr">
        <is>
          <t>AFFF10-08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FL_DES_AFFF_10l</t>
        </is>
      </c>
      <c r="R22" s="17" t="inlineStr">
        <is>
          <t>Pieza comercial; sello IRAM 3533; peso: completar con la ficha del proveedor (no afecta el MRP)</t>
        </is>
      </c>
    </row>
    <row r="23" outlineLevel="1">
      <c r="A23" s="33" t="n">
        <v>2</v>
      </c>
      <c r="B23" s="33" t="inlineStr">
        <is>
          <t>AFFF10-09</t>
        </is>
      </c>
      <c r="C23" s="17" t="inlineStr">
        <is>
          <t xml:space="preserve">        Manija de transporte</t>
        </is>
      </c>
      <c r="D23" s="33" t="n">
        <v>1</v>
      </c>
      <c r="E23" s="33" t="inlineStr">
        <is>
          <t>u</t>
        </is>
      </c>
      <c r="F23" s="34" t="n">
        <v>0.0546</v>
      </c>
      <c r="G23" s="34">
        <f>D23*F23</f>
        <v/>
      </c>
      <c r="H23" s="33" t="inlineStr">
        <is>
          <t>Chapa acero SAE 1010 pintada</t>
        </is>
      </c>
      <c r="I23" s="17" t="inlineStr">
        <is>
          <t>86,9 × 20 × 13,1</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FL_DES_AFFF_10l</t>
        </is>
      </c>
      <c r="R23" s="17" t="n"/>
    </row>
    <row r="24" outlineLevel="1">
      <c r="A24" s="33" t="n">
        <v>2</v>
      </c>
      <c r="B24" s="33" t="inlineStr">
        <is>
          <t>AFFF10-10</t>
        </is>
      </c>
      <c r="C24" s="17" t="inlineStr">
        <is>
          <t xml:space="preserve">        Manija de accionamiento</t>
        </is>
      </c>
      <c r="D24" s="33" t="n">
        <v>1</v>
      </c>
      <c r="E24" s="33" t="inlineStr">
        <is>
          <t>u</t>
        </is>
      </c>
      <c r="F24" s="34" t="n">
        <v>0.08160000000000001</v>
      </c>
      <c r="G24" s="34">
        <f>D24*F24</f>
        <v/>
      </c>
      <c r="H24" s="33" t="inlineStr">
        <is>
          <t>Chapa acero SAE 1010 pintada</t>
        </is>
      </c>
      <c r="I24" s="17" t="inlineStr">
        <is>
          <t>129,5 × 20 × 19,8</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FL_DES_AFFF_10l</t>
        </is>
      </c>
      <c r="R24" s="17" t="n"/>
    </row>
    <row r="25" outlineLevel="1">
      <c r="A25" s="33" t="n">
        <v>2</v>
      </c>
      <c r="B25" s="33" t="inlineStr">
        <is>
          <t>AFFF10-11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FL_DES_AFFF_10l</t>
        </is>
      </c>
      <c r="R25" s="17" t="n"/>
    </row>
    <row r="26" outlineLevel="1">
      <c r="A26" s="33" t="n">
        <v>2</v>
      </c>
      <c r="B26" s="33" t="inlineStr">
        <is>
          <t>AFFF10-12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FL_DES_AFFF_10l</t>
        </is>
      </c>
      <c r="R26" s="17" t="inlineStr">
        <is>
          <t>con junta tórica</t>
        </is>
      </c>
    </row>
    <row r="27" outlineLevel="1">
      <c r="A27" s="33" t="n">
        <v>2</v>
      </c>
      <c r="B27" s="33" t="inlineStr">
        <is>
          <t>AFFF10-13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FL_DES_AFFF_10l</t>
        </is>
      </c>
      <c r="R27" s="17" t="inlineStr">
        <is>
          <t>con precinto</t>
        </is>
      </c>
    </row>
    <row r="28" outlineLevel="1">
      <c r="A28" s="33" t="n">
        <v>2</v>
      </c>
      <c r="B28" s="33" t="inlineStr">
        <is>
          <t>AFFF10-14</t>
        </is>
      </c>
      <c r="C28" s="17" t="inlineStr">
        <is>
          <t xml:space="preserve">        Caño de pesca (sifón)</t>
        </is>
      </c>
      <c r="D28" s="33" t="n">
        <v>1</v>
      </c>
      <c r="E28" s="33" t="inlineStr">
        <is>
          <t>u</t>
        </is>
      </c>
      <c r="F28" s="34" t="n">
        <v>0.0229</v>
      </c>
      <c r="G28" s="34">
        <f>D28*F28</f>
        <v/>
      </c>
      <c r="H28" s="33" t="inlineStr">
        <is>
          <t>Tubo polipropileno</t>
        </is>
      </c>
      <c r="I28" s="17" t="inlineStr">
        <is>
          <t>Ø12 × 514,2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FL_DES_AFFF_10l</t>
        </is>
      </c>
      <c r="R28" s="17" t="n"/>
    </row>
    <row r="29" outlineLevel="1">
      <c r="A29" s="33" t="n">
        <v>2</v>
      </c>
      <c r="B29" s="33" t="inlineStr">
        <is>
          <t>AFFF10-24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FL_DES_AFFF_10l</t>
        </is>
      </c>
      <c r="R29" s="17" t="inlineStr">
        <is>
          <t>cambio c/recarga</t>
        </is>
      </c>
    </row>
    <row r="30" outlineLevel="1">
      <c r="A30" s="33" t="n">
        <v>2</v>
      </c>
      <c r="B30" s="33" t="inlineStr">
        <is>
          <t>AFFF10-V2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AFFF10-V3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AFFF10-S3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FL_DES_AFFF_10l</t>
        </is>
      </c>
      <c r="R32" s="31" t="n"/>
    </row>
    <row r="33" outlineLevel="1">
      <c r="A33" s="33" t="n">
        <v>2</v>
      </c>
      <c r="B33" s="33" t="inlineStr">
        <is>
          <t>AFFF10-15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FL_DES_AFFF_10l</t>
        </is>
      </c>
      <c r="R33" s="17" t="n"/>
    </row>
    <row r="34" outlineLevel="1">
      <c r="A34" s="33" t="n">
        <v>2</v>
      </c>
      <c r="B34" s="33" t="inlineStr">
        <is>
          <t>AFFF10-16</t>
        </is>
      </c>
      <c r="C34" s="17" t="inlineStr">
        <is>
          <t xml:space="preserve">        Manguera</t>
        </is>
      </c>
      <c r="D34" s="33" t="n">
        <v>1</v>
      </c>
      <c r="E34" s="33" t="inlineStr">
        <is>
          <t>u</t>
        </is>
      </c>
      <c r="F34" s="34" t="n">
        <v>0.0497</v>
      </c>
      <c r="G34" s="34">
        <f>D34*F34</f>
        <v/>
      </c>
      <c r="H34" s="33" t="inlineStr">
        <is>
          <t>Caucho sintético</t>
        </is>
      </c>
      <c r="I34" s="17" t="inlineStr">
        <is>
          <t>Ø16 × 322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FL_DES_AFFF_10l</t>
        </is>
      </c>
      <c r="R34" s="17" t="n"/>
    </row>
    <row r="35" outlineLevel="1">
      <c r="A35" s="33" t="n">
        <v>2</v>
      </c>
      <c r="B35" s="33" t="inlineStr">
        <is>
          <t>AFFF10-17</t>
        </is>
      </c>
      <c r="C35" s="17" t="inlineStr">
        <is>
          <t xml:space="preserve">        Lanza espumígena</t>
        </is>
      </c>
      <c r="D35" s="33" t="n">
        <v>1</v>
      </c>
      <c r="E35" s="33" t="inlineStr">
        <is>
          <t>u</t>
        </is>
      </c>
      <c r="F35" s="34" t="n">
        <v>0.051</v>
      </c>
      <c r="G35" s="34">
        <f>D35*F35</f>
        <v/>
      </c>
      <c r="H35" s="33" t="inlineStr">
        <is>
          <t>Polipropileno</t>
        </is>
      </c>
      <c r="I35" s="17" t="inlineStr">
        <is>
          <t>210 × 32 × 32</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FL_DES_AFFF_10l</t>
        </is>
      </c>
      <c r="R35" s="17" t="n"/>
    </row>
    <row r="36" outlineLevel="1">
      <c r="A36" s="33" t="n">
        <v>2</v>
      </c>
      <c r="B36" s="33" t="inlineStr">
        <is>
          <t>AFFF10-18</t>
        </is>
      </c>
      <c r="C36" s="17" t="inlineStr">
        <is>
          <t xml:space="preserve">        Suncho portatobera</t>
        </is>
      </c>
      <c r="D36" s="33" t="n">
        <v>1</v>
      </c>
      <c r="E36" s="33" t="inlineStr">
        <is>
          <t>u</t>
        </is>
      </c>
      <c r="F36" s="34" t="n">
        <v>0.163</v>
      </c>
      <c r="G36" s="34">
        <f>D36*F36</f>
        <v/>
      </c>
      <c r="H36" s="33" t="inlineStr">
        <is>
          <t>Fleje acero SAE 1010 pintado</t>
        </is>
      </c>
      <c r="I36" s="17" t="inlineStr">
        <is>
          <t>196,5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FL_DES_AFFF_10l</t>
        </is>
      </c>
      <c r="R36" s="17" t="n"/>
    </row>
    <row r="37">
      <c r="A37" s="30" t="n">
        <v>1</v>
      </c>
      <c r="B37" s="30" t="inlineStr">
        <is>
          <t>AFFF10-S5</t>
        </is>
      </c>
      <c r="C37" s="31" t="inlineStr">
        <is>
          <t xml:space="preserve">    Carga: agente extintor y gas impulsor</t>
        </is>
      </c>
      <c r="D37" s="30" t="n">
        <v>1</v>
      </c>
      <c r="E37" s="30" t="inlineStr">
        <is>
          <t>u</t>
        </is>
      </c>
      <c r="F37" s="32" t="n"/>
      <c r="G37" s="32">
        <f>G38+G39+G40</f>
        <v/>
      </c>
      <c r="H37" s="30" t="n"/>
      <c r="I37" s="31" t="n"/>
      <c r="J37" s="30" t="inlineStr">
        <is>
          <t>Compra</t>
        </is>
      </c>
      <c r="K37" s="30" t="n"/>
      <c r="L37" s="31" t="n"/>
      <c r="M37" s="31" t="n"/>
      <c r="N37" s="31" t="n"/>
      <c r="O37" s="31" t="n"/>
      <c r="P37" s="30" t="n"/>
      <c r="Q37" s="30" t="n"/>
      <c r="R37" s="31" t="n"/>
    </row>
    <row r="38" outlineLevel="1">
      <c r="A38" s="33" t="n">
        <v>2</v>
      </c>
      <c r="B38" s="33" t="inlineStr">
        <is>
          <t>AFFF10-A1</t>
        </is>
      </c>
      <c r="C38" s="17" t="inlineStr">
        <is>
          <t xml:space="preserve">        Agua potable (premezcla)</t>
        </is>
      </c>
      <c r="D38" s="33" t="n">
        <v>9.699999999999999</v>
      </c>
      <c r="E38" s="33" t="inlineStr">
        <is>
          <t>L</t>
        </is>
      </c>
      <c r="F38" s="34" t="n">
        <v>1</v>
      </c>
      <c r="G38" s="34">
        <f>D38*F38</f>
        <v/>
      </c>
      <c r="H38" s="33" t="inlineStr">
        <is>
          <t>Agua</t>
        </is>
      </c>
      <c r="I38" s="17" t="inlineStr">
        <is>
          <t>97 % de 10 L; tolerancia ± 3 %</t>
        </is>
      </c>
      <c r="J38" s="33" t="inlineStr">
        <is>
          <t>Red</t>
        </is>
      </c>
      <c r="K38" s="33" t="inlineStr">
        <is>
          <t>No</t>
        </is>
      </c>
      <c r="L38" s="17" t="n"/>
      <c r="M38" s="17" t="n"/>
      <c r="N38" s="17" t="inlineStr">
        <is>
          <t>SP-1 premezcla</t>
        </is>
      </c>
      <c r="O38" s="17" t="inlineStr">
        <is>
          <t>IRAM 3517-2:2020 tabla 3</t>
        </is>
      </c>
      <c r="P38" s="33" t="inlineStr">
        <is>
          <t>N</t>
        </is>
      </c>
      <c r="Q38" s="33" t="n"/>
      <c r="R38" s="17" t="n"/>
    </row>
    <row r="39" outlineLevel="1">
      <c r="A39" s="33" t="n">
        <v>2</v>
      </c>
      <c r="B39" s="33" t="inlineStr">
        <is>
          <t>AFFF10-A1b</t>
        </is>
      </c>
      <c r="C39" s="17" t="inlineStr">
        <is>
          <t xml:space="preserve">        Concentrado espumígeno AFFF 3 % (IRAM 3515)</t>
        </is>
      </c>
      <c r="D39" s="33" t="n">
        <v>0.3</v>
      </c>
      <c r="E39" s="33" t="inlineStr">
        <is>
          <t>L</t>
        </is>
      </c>
      <c r="F39" s="34" t="n">
        <v>1</v>
      </c>
      <c r="G39" s="34">
        <f>D39*F39</f>
        <v/>
      </c>
      <c r="H39" s="33" t="inlineStr">
        <is>
          <t>Concentrado espumígeno AFFF 3 % (IRAM 3515)</t>
        </is>
      </c>
      <c r="I39" s="17" t="inlineStr">
        <is>
          <t>nominal 0,3 L; tolerancia ± 3 % (IRAM 3517-2:2020 tabla 3)</t>
        </is>
      </c>
      <c r="J39" s="33" t="inlineStr">
        <is>
          <t>Compra</t>
        </is>
      </c>
      <c r="K39" s="33" t="inlineStr">
        <is>
          <t>No</t>
        </is>
      </c>
      <c r="L39" s="17" t="n"/>
      <c r="M39" s="17" t="n"/>
      <c r="N39" s="17" t="inlineStr">
        <is>
          <t>SP-1 almacén previo a la carga</t>
        </is>
      </c>
      <c r="O39" s="17" t="inlineStr">
        <is>
          <t>IRAM 3515</t>
        </is>
      </c>
      <c r="P39" s="33" t="inlineStr">
        <is>
          <t>N</t>
        </is>
      </c>
      <c r="Q39" s="33" t="n"/>
      <c r="R39" s="17" t="n"/>
    </row>
    <row r="40" outlineLevel="1">
      <c r="A40" s="33" t="n">
        <v>2</v>
      </c>
      <c r="B40" s="33" t="inlineStr">
        <is>
          <t>AFFF10-A2</t>
        </is>
      </c>
      <c r="C40" s="17" t="inlineStr">
        <is>
          <t xml:space="preserve">        Gas impulsor: Aire comprimido</t>
        </is>
      </c>
      <c r="D40" s="33" t="n">
        <v>0.0427</v>
      </c>
      <c r="E40" s="33" t="inlineStr">
        <is>
          <t>kg</t>
        </is>
      </c>
      <c r="F40" s="34" t="n">
        <v>1</v>
      </c>
      <c r="G40" s="34">
        <f>D40*F40</f>
        <v/>
      </c>
      <c r="H40" s="33" t="inlineStr">
        <is>
          <t>Aire comprimido</t>
        </is>
      </c>
      <c r="I40" s="17" t="inlineStr">
        <is>
          <t>33 L normales para 0,8 MPa a 20 °C en 3,98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Batería en SP-1; punto de rocío ≤ -56,7 °C para gases limpios</t>
        </is>
      </c>
    </row>
    <row r="41">
      <c r="A41" s="30" t="n">
        <v>1</v>
      </c>
      <c r="B41" s="30" t="inlineStr">
        <is>
          <t>AFFF10-S6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AFFF10-19</t>
        </is>
      </c>
      <c r="C42" s="17" t="inlineStr">
        <is>
          <t xml:space="preserve">        Etiqueta / placa de características</t>
        </is>
      </c>
      <c r="D42" s="33" t="n">
        <v>1</v>
      </c>
      <c r="E42" s="33" t="inlineStr">
        <is>
          <t>u</t>
        </is>
      </c>
      <c r="F42" s="34" t="n">
        <v>0.0323</v>
      </c>
      <c r="G42" s="34">
        <f>D42*F42</f>
        <v/>
      </c>
      <c r="H42" s="33" t="inlineStr">
        <is>
          <t>Vinilo autoadhesivo laminado</t>
        </is>
      </c>
      <c r="I42" s="17" t="inlineStr">
        <is>
          <t>359 × 215 (desarrollo × alto: panel central 108° + 2 alas laterales), e ≈ 0,3, laminado UV</t>
        </is>
      </c>
      <c r="J42" s="33" t="inlineStr">
        <is>
          <t>Compra</t>
        </is>
      </c>
      <c r="K42" s="33" t="inlineStr">
        <is>
          <t>No</t>
        </is>
      </c>
      <c r="L42" s="17" t="n"/>
      <c r="M42" s="17" t="n"/>
      <c r="N42" s="17" t="inlineStr">
        <is>
          <t>22 Etiquetado (T07)</t>
        </is>
      </c>
      <c r="O42" s="17" t="inlineStr">
        <is>
          <t>IRAM 3534 · IRAM 3527 cap. 5 · relevamiento de mercado</t>
        </is>
      </c>
      <c r="P42" s="33" t="inlineStr">
        <is>
          <t>P</t>
        </is>
      </c>
      <c r="Q42" s="33" t="inlineStr">
        <is>
          <t>FL_DES_AFFF_10l</t>
        </is>
      </c>
      <c r="R42" s="17" t="inlineStr">
        <is>
          <t>IRAM 3534</t>
        </is>
      </c>
    </row>
    <row r="43" outlineLevel="1">
      <c r="A43" s="33" t="n">
        <v>2</v>
      </c>
      <c r="B43" s="33" t="inlineStr">
        <is>
          <t>AFFF10-20</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FL_DES_AFFF_10l</t>
        </is>
      </c>
      <c r="R43" s="17" t="inlineStr">
        <is>
          <t>Res. 522/07</t>
        </is>
      </c>
    </row>
    <row r="44" outlineLevel="1">
      <c r="A44" s="33" t="n">
        <v>2</v>
      </c>
      <c r="B44" s="33" t="inlineStr">
        <is>
          <t>AFFF10-21</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FL_DES_AFFF_10l</t>
        </is>
      </c>
      <c r="R44" s="17" t="inlineStr">
        <is>
          <t>numerada</t>
        </is>
      </c>
    </row>
    <row r="45" outlineLevel="1">
      <c r="A45" s="33" t="n">
        <v>2</v>
      </c>
      <c r="B45" s="33" t="inlineStr">
        <is>
          <t>AFFF10-22</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FL_DES_AFFF_10l</t>
        </is>
      </c>
      <c r="R45" s="17" t="inlineStr">
        <is>
          <t>sólo destino CABA; sólo destino CABA</t>
        </is>
      </c>
    </row>
    <row r="46" outlineLevel="1">
      <c r="A46" s="33" t="n">
        <v>2</v>
      </c>
      <c r="B46" s="33" t="inlineStr">
        <is>
          <t>AFFF10-23</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FL_DES_AFFF_10l</t>
        </is>
      </c>
      <c r="R46" s="17" t="inlineStr">
        <is>
          <t>QR GTIN + serie</t>
        </is>
      </c>
    </row>
    <row r="47" outlineLevel="1">
      <c r="A47" s="33" t="n">
        <v>2</v>
      </c>
      <c r="B47" s="33" t="inlineStr">
        <is>
          <t>AFFF10-25</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FL_DES_AFFF_10l</t>
        </is>
      </c>
      <c r="R47" s="17" t="inlineStr">
        <is>
          <t>nuevo sin abrir</t>
        </is>
      </c>
    </row>
    <row r="48" outlineLevel="1">
      <c r="A48" s="33" t="n">
        <v>2</v>
      </c>
      <c r="B48" s="33" t="inlineStr">
        <is>
          <t>AFFF10-26</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FL_DES_AFFF_10l</t>
        </is>
      </c>
      <c r="R48" s="17" t="inlineStr">
        <is>
          <t>id. FLAMA y lote</t>
        </is>
      </c>
    </row>
    <row r="49">
      <c r="A49" s="30" t="n">
        <v>1</v>
      </c>
      <c r="B49" s="30" t="inlineStr">
        <is>
          <t>AFFF10-S8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AFFF10-I5</t>
        </is>
      </c>
      <c r="C50" s="17" t="inlineStr">
        <is>
          <t xml:space="preserve">        Soporte de pared (FL_ACC_01)</t>
        </is>
      </c>
      <c r="D50" s="33" t="n">
        <v>1</v>
      </c>
      <c r="E50" s="33" t="inlineStr">
        <is>
          <t>u</t>
        </is>
      </c>
      <c r="F50" s="34" t="n">
        <v>0.327</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AFFF10-I6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AFFF10-S7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AFFF10-E1</t>
        </is>
      </c>
      <c r="C53" s="17" t="inlineStr">
        <is>
          <t xml:space="preserve">        Caja de cartón corrugado doble</t>
        </is>
      </c>
      <c r="D53" s="33" t="n">
        <v>1</v>
      </c>
      <c r="E53" s="33" t="inlineStr">
        <is>
          <t>u</t>
        </is>
      </c>
      <c r="F53" s="34" t="n"/>
      <c r="G53" s="34" t="n"/>
      <c r="H53" s="33" t="inlineStr">
        <is>
          <t>Cartón corrugado</t>
        </is>
      </c>
      <c r="I53" s="17" t="inlineStr">
        <is>
          <t>270 × 223 × 670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AFFF10-E2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AFFF10-E3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AFFF10-E4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AFFF10-E5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AFFF10-E6</t>
        </is>
      </c>
      <c r="C58" s="17" t="inlineStr">
        <is>
          <t xml:space="preserve">        Cinta de embalaje PP 48 mm (cierre de la caja)</t>
        </is>
      </c>
      <c r="D58" s="33" t="n">
        <v>0.82</v>
      </c>
      <c r="E58" s="33" t="inlineStr">
        <is>
          <t>m</t>
        </is>
      </c>
      <c r="F58" s="34" t="n"/>
      <c r="G58" s="34" t="n"/>
      <c r="H58" s="33" t="inlineStr">
        <is>
          <t>Polipropileno con adhesivo acrílico</t>
        </is>
      </c>
      <c r="I58" s="17" t="inlineStr">
        <is>
          <t>cierre en I arriba y abajo: 2 × (270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AFFF10-E7</t>
        </is>
      </c>
      <c r="C59" s="17" t="inlineStr">
        <is>
          <t xml:space="preserve">        Esquineros de cartón 50 × 50 × 1200 (fracción del pallet)</t>
        </is>
      </c>
      <c r="D59" s="33" t="n">
        <v>0.125</v>
      </c>
      <c r="E59" s="33" t="inlineStr">
        <is>
          <t>u</t>
        </is>
      </c>
      <c r="F59" s="34" t="n"/>
      <c r="G59" s="34" t="n"/>
      <c r="H59" s="33" t="inlineStr">
        <is>
          <t>Cartón</t>
        </is>
      </c>
      <c r="I59" s="17" t="inlineStr">
        <is>
          <t>4 por pallet / 32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66" t="inlineStr">
        <is>
          <t>Extintor AFFF 50 l sobre ruedas</t>
        </is>
      </c>
    </row>
    <row r="3">
      <c r="A3" s="2" t="inlineStr">
        <is>
          <t>Plano de origen</t>
        </is>
      </c>
      <c r="C3" t="inlineStr">
        <is>
          <t>FL_MAT_AFFF_50l  (4 láminas)</t>
        </is>
      </c>
      <c r="E3" s="2" t="inlineStr">
        <is>
          <t>Peso vacío S1-S4 (kg)</t>
        </is>
      </c>
      <c r="G3" s="67">
        <f>G13+G18+G32+G39</f>
        <v/>
      </c>
    </row>
    <row r="4">
      <c r="A4" s="2" t="inlineStr">
        <is>
          <t>Plano de despiece</t>
        </is>
      </c>
      <c r="C4" t="inlineStr">
        <is>
          <t>FL_DES_AFFF_50l (salida/despiece/)</t>
        </is>
      </c>
      <c r="E4" s="2" t="inlineStr">
        <is>
          <t>Peso cargado S1-S6 (kg)</t>
        </is>
      </c>
      <c r="G4" s="67">
        <f>G13+G18+G32+G39+G46+G50</f>
        <v/>
      </c>
    </row>
    <row r="5">
      <c r="A5" s="2" t="inlineStr">
        <is>
          <t>Norma del producto</t>
        </is>
      </c>
      <c r="C5" t="inlineStr">
        <is>
          <t>IRAM 3541</t>
        </is>
      </c>
      <c r="E5" s="2" t="inlineStr">
        <is>
          <t>Peso con soporte y embalaje (kg)</t>
        </is>
      </c>
      <c r="G5" s="67">
        <f>G13+G18+G32+G39+G46+G50+G58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100</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FL_MAT_AFFF_50l</t>
        </is>
      </c>
      <c r="C11" s="28" t="inlineStr">
        <is>
          <t>Extintor AFFF 50 l sobre ruedas</t>
        </is>
      </c>
      <c r="D11" s="27" t="n">
        <v>1</v>
      </c>
      <c r="E11" s="27" t="inlineStr">
        <is>
          <t>u</t>
        </is>
      </c>
      <c r="F11" s="29" t="n"/>
      <c r="G11" s="29">
        <f>G5</f>
        <v/>
      </c>
      <c r="H11" s="27" t="n"/>
      <c r="I11" s="28" t="n"/>
      <c r="J11" s="27" t="n"/>
      <c r="K11" s="27" t="n"/>
      <c r="L11" s="28" t="n"/>
      <c r="M11" s="28" t="n"/>
      <c r="N11" s="28" t="n"/>
      <c r="O11" s="28" t="inlineStr">
        <is>
          <t>IRAM 3541</t>
        </is>
      </c>
      <c r="P11" s="27" t="inlineStr">
        <is>
          <t>P</t>
        </is>
      </c>
      <c r="Q11" s="27" t="inlineStr">
        <is>
          <t>FL_MAT_AFFF_50l</t>
        </is>
      </c>
      <c r="R11" s="28" t="inlineStr">
        <is>
          <t>Revendido: se compra terminado al fabricante con Sello IRAM; las piezas internas quedan como referencia (no entran en MRP)</t>
        </is>
      </c>
    </row>
    <row r="12">
      <c r="A12" s="30" t="n">
        <v>1</v>
      </c>
      <c r="B12" s="30" t="inlineStr">
        <is>
          <t>AFFF50-S0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3541</t>
        </is>
      </c>
      <c r="P12" s="30" t="inlineStr">
        <is>
          <t>I</t>
        </is>
      </c>
      <c r="Q12" s="30" t="inlineStr">
        <is>
          <t>FL_MAT_AFFF_50l</t>
        </is>
      </c>
      <c r="R12" s="31" t="inlineStr">
        <is>
          <t>Única fila de compra del revendido (más la tarjeta AGC si el destino es CABA)</t>
        </is>
      </c>
    </row>
    <row r="13">
      <c r="A13" s="30" t="n">
        <v>1</v>
      </c>
      <c r="B13" s="30" t="inlineStr">
        <is>
          <t>AFFF50-S1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FL_DES_AFFF_50l</t>
        </is>
      </c>
      <c r="R13" s="31" t="n"/>
    </row>
    <row r="14" outlineLevel="1">
      <c r="A14" s="33" t="n">
        <v>2</v>
      </c>
      <c r="B14" s="33" t="inlineStr">
        <is>
          <t>AFFF50-01</t>
        </is>
      </c>
      <c r="C14" s="17" t="inlineStr">
        <is>
          <t xml:space="preserve">        Cuerpo (virola)</t>
        </is>
      </c>
      <c r="D14" s="33" t="n">
        <v>1</v>
      </c>
      <c r="E14" s="33" t="inlineStr">
        <is>
          <t>u</t>
        </is>
      </c>
      <c r="F14" s="34" t="n">
        <v>13.3755</v>
      </c>
      <c r="G14" s="34">
        <f>D14*F14</f>
        <v/>
      </c>
      <c r="H14" s="33" t="inlineStr">
        <is>
          <t>Chapa LAC IRAM-IAS U 500-04 e=3,2</t>
        </is>
      </c>
      <c r="I14" s="17" t="inlineStr">
        <is>
          <t>Ø320 × e3,2 × 535 de alto; desarrollo 995,3 × 535</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FL_DES_AFFF_50l</t>
        </is>
      </c>
      <c r="R14" s="17" t="inlineStr">
        <is>
          <t>costura long. MAG</t>
        </is>
      </c>
    </row>
    <row r="15" outlineLevel="1">
      <c r="A15" s="33" t="n">
        <v>2</v>
      </c>
      <c r="B15" s="33" t="inlineStr">
        <is>
          <t>AFFF50-02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FL_DES_AFFF_50l</t>
        </is>
      </c>
      <c r="R15" s="17" t="inlineStr">
        <is>
          <t>embutida</t>
        </is>
      </c>
    </row>
    <row r="16" outlineLevel="1">
      <c r="A16" s="33" t="n">
        <v>2</v>
      </c>
      <c r="B16" s="33" t="inlineStr">
        <is>
          <t>AFFF50-03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FL_DES_AFFF_50l</t>
        </is>
      </c>
      <c r="R16" s="17" t="inlineStr">
        <is>
          <t>embutido</t>
        </is>
      </c>
    </row>
    <row r="17" outlineLevel="1">
      <c r="A17" s="33" t="n">
        <v>2</v>
      </c>
      <c r="B17" s="33" t="inlineStr">
        <is>
          <t>AFFF50-04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FL_DES_AFFF_50l</t>
        </is>
      </c>
      <c r="R17" s="17" t="inlineStr">
        <is>
          <t>RBSP 2 1/2"-11 h</t>
        </is>
      </c>
    </row>
    <row r="18">
      <c r="A18" s="30" t="n">
        <v>1</v>
      </c>
      <c r="B18" s="30" t="inlineStr">
        <is>
          <t>AFFF50-S2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FL_DES_AFFF_50l</t>
        </is>
      </c>
      <c r="R18" s="31" t="n"/>
    </row>
    <row r="19" outlineLevel="1">
      <c r="A19" s="33" t="n">
        <v>2</v>
      </c>
      <c r="B19" s="33" t="inlineStr">
        <is>
          <t>AFFF50-11</t>
        </is>
      </c>
      <c r="C19" s="17" t="inlineStr">
        <is>
          <t xml:space="preserve">        Collarín de válvula</t>
        </is>
      </c>
      <c r="D19" s="33" t="n">
        <v>1</v>
      </c>
      <c r="E19" s="33" t="inlineStr">
        <is>
          <t>u</t>
        </is>
      </c>
      <c r="F19" s="34" t="n">
        <v>0.4107</v>
      </c>
      <c r="G19" s="34">
        <f>D19*F19</f>
        <v/>
      </c>
      <c r="H19" s="33" t="inlineStr">
        <is>
          <t>Latón forjado</t>
        </is>
      </c>
      <c r="I19" s="17" t="inlineStr">
        <is>
          <t>96,1 × 96,1 × 13,5</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FL_DES_AFFF_50l</t>
        </is>
      </c>
      <c r="R19" s="17" t="n"/>
    </row>
    <row r="20" outlineLevel="1">
      <c r="A20" s="33" t="n">
        <v>2</v>
      </c>
      <c r="B20" s="33" t="inlineStr">
        <is>
          <t>AFFF50-12</t>
        </is>
      </c>
      <c r="C20" s="17" t="inlineStr">
        <is>
          <t xml:space="preserve">        Espiga roscada</t>
        </is>
      </c>
      <c r="D20" s="33" t="n">
        <v>1</v>
      </c>
      <c r="E20" s="33" t="inlineStr">
        <is>
          <t>u</t>
        </is>
      </c>
      <c r="F20" s="34" t="n">
        <v>0.1187</v>
      </c>
      <c r="G20" s="34">
        <f>D20*F20</f>
        <v/>
      </c>
      <c r="H20" s="33" t="inlineStr">
        <is>
          <t>Latón forjado</t>
        </is>
      </c>
      <c r="I20" s="17" t="inlineStr">
        <is>
          <t>72,2 × 72,2 × 16,2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FL_DES_AFFF_50l</t>
        </is>
      </c>
      <c r="R20" s="17" t="n"/>
    </row>
    <row r="21" outlineLevel="1">
      <c r="A21" s="33" t="n">
        <v>2</v>
      </c>
      <c r="B21" s="33" t="inlineStr">
        <is>
          <t>AFFF50-13</t>
        </is>
      </c>
      <c r="C21" s="17" t="inlineStr">
        <is>
          <t xml:space="preserve">        Cuerpo de válvula</t>
        </is>
      </c>
      <c r="D21" s="33" t="n">
        <v>1</v>
      </c>
      <c r="E21" s="33" t="inlineStr">
        <is>
          <t>u</t>
        </is>
      </c>
      <c r="F21" s="34" t="n">
        <v>0.7378</v>
      </c>
      <c r="G21" s="34">
        <f>D21*F21</f>
        <v/>
      </c>
      <c r="H21" s="33" t="inlineStr">
        <is>
          <t>Latón forjado</t>
        </is>
      </c>
      <c r="I21" s="17" t="inlineStr">
        <is>
          <t>58,4 × 54 × 46,3</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FL_DES_AFFF_50l</t>
        </is>
      </c>
      <c r="R21" s="17" t="n"/>
    </row>
    <row r="22" outlineLevel="1">
      <c r="A22" s="33" t="n">
        <v>2</v>
      </c>
      <c r="B22" s="33" t="inlineStr">
        <is>
          <t>AFFF50-14</t>
        </is>
      </c>
      <c r="C22" s="17" t="inlineStr">
        <is>
          <t xml:space="preserve">        Manómetro</t>
        </is>
      </c>
      <c r="D22" s="33" t="n">
        <v>1</v>
      </c>
      <c r="E22" s="33" t="inlineStr">
        <is>
          <t>u</t>
        </is>
      </c>
      <c r="F22" s="34" t="n"/>
      <c r="G22" s="34" t="n"/>
      <c r="H22" s="33" t="inlineStr">
        <is>
          <t>Comercial</t>
        </is>
      </c>
      <c r="I22" s="17" t="inlineStr">
        <is>
          <t>Ø50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FL_DES_AFFF_50l</t>
        </is>
      </c>
      <c r="R22" s="17" t="inlineStr">
        <is>
          <t>Pieza comercial; sello IRAM 3533; peso: completar con la ficha del proveedor (no afecta el MRP)</t>
        </is>
      </c>
    </row>
    <row r="23" outlineLevel="1">
      <c r="A23" s="33" t="n">
        <v>2</v>
      </c>
      <c r="B23" s="33" t="inlineStr">
        <is>
          <t>AFFF50-15</t>
        </is>
      </c>
      <c r="C23" s="17" t="inlineStr">
        <is>
          <t xml:space="preserve">        Manija de transporte</t>
        </is>
      </c>
      <c r="D23" s="33" t="n">
        <v>1</v>
      </c>
      <c r="E23" s="33" t="inlineStr">
        <is>
          <t>u</t>
        </is>
      </c>
      <c r="F23" s="34" t="n">
        <v>0.1002</v>
      </c>
      <c r="G23" s="34">
        <f>D23*F23</f>
        <v/>
      </c>
      <c r="H23" s="33" t="inlineStr">
        <is>
          <t>Chapa acero SAE 1010 pintada</t>
        </is>
      </c>
      <c r="I23" s="17" t="inlineStr">
        <is>
          <t>87,6 × 27 × 14,5</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FL_DES_AFFF_50l</t>
        </is>
      </c>
      <c r="R23" s="17" t="n"/>
    </row>
    <row r="24" outlineLevel="1">
      <c r="A24" s="33" t="n">
        <v>2</v>
      </c>
      <c r="B24" s="33" t="inlineStr">
        <is>
          <t>AFFF50-16</t>
        </is>
      </c>
      <c r="C24" s="17" t="inlineStr">
        <is>
          <t xml:space="preserve">        Manija de accionamiento</t>
        </is>
      </c>
      <c r="D24" s="33" t="n">
        <v>1</v>
      </c>
      <c r="E24" s="33" t="inlineStr">
        <is>
          <t>u</t>
        </is>
      </c>
      <c r="F24" s="34" t="n">
        <v>0.1682</v>
      </c>
      <c r="G24" s="34">
        <f>D24*F24</f>
        <v/>
      </c>
      <c r="H24" s="33" t="inlineStr">
        <is>
          <t>Chapa acero SAE 1010 pintada</t>
        </is>
      </c>
      <c r="I24" s="17" t="inlineStr">
        <is>
          <t>146,6 × 27 × 23,3</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FL_DES_AFFF_50l</t>
        </is>
      </c>
      <c r="R24" s="17" t="n"/>
    </row>
    <row r="25" outlineLevel="1">
      <c r="A25" s="33" t="n">
        <v>2</v>
      </c>
      <c r="B25" s="33" t="inlineStr">
        <is>
          <t>AFFF50-17</t>
        </is>
      </c>
      <c r="C25" s="17" t="inlineStr">
        <is>
          <t xml:space="preserve">        Eje de palanca</t>
        </is>
      </c>
      <c r="D25" s="33" t="n">
        <v>1</v>
      </c>
      <c r="E25" s="33" t="inlineStr">
        <is>
          <t>u</t>
        </is>
      </c>
      <c r="F25" s="34" t="n">
        <v>0.0199</v>
      </c>
      <c r="G25" s="34">
        <f>D25*F25</f>
        <v/>
      </c>
      <c r="H25" s="33" t="inlineStr">
        <is>
          <t>Acero inox. AISI 304</t>
        </is>
      </c>
      <c r="I25" s="17" t="inlineStr">
        <is>
          <t>48,6 × 8,1 × 8,1</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FL_DES_AFFF_50l</t>
        </is>
      </c>
      <c r="R25" s="17" t="n"/>
    </row>
    <row r="26" outlineLevel="1">
      <c r="A26" s="33" t="n">
        <v>2</v>
      </c>
      <c r="B26" s="33" t="inlineStr">
        <is>
          <t>AFFF50-18</t>
        </is>
      </c>
      <c r="C26" s="17" t="inlineStr">
        <is>
          <t xml:space="preserve">        Vástago</t>
        </is>
      </c>
      <c r="D26" s="33" t="n">
        <v>1</v>
      </c>
      <c r="E26" s="33" t="inlineStr">
        <is>
          <t>u</t>
        </is>
      </c>
      <c r="F26" s="34" t="n">
        <v>0.0039</v>
      </c>
      <c r="G26" s="34">
        <f>D26*F26</f>
        <v/>
      </c>
      <c r="H26" s="33" t="inlineStr">
        <is>
          <t>Latón</t>
        </is>
      </c>
      <c r="I26" s="17" t="inlineStr">
        <is>
          <t>10,8 × 10,8 × 5</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FL_DES_AFFF_50l</t>
        </is>
      </c>
      <c r="R26" s="17" t="inlineStr">
        <is>
          <t>con junta tórica</t>
        </is>
      </c>
    </row>
    <row r="27" outlineLevel="1">
      <c r="A27" s="33" t="n">
        <v>2</v>
      </c>
      <c r="B27" s="33" t="inlineStr">
        <is>
          <t>AFFF50-19</t>
        </is>
      </c>
      <c r="C27" s="17" t="inlineStr">
        <is>
          <t xml:space="preserve">        Pasador de seguridad</t>
        </is>
      </c>
      <c r="D27" s="33" t="n">
        <v>1</v>
      </c>
      <c r="E27" s="33" t="inlineStr">
        <is>
          <t>u</t>
        </is>
      </c>
      <c r="F27" s="34" t="n">
        <v>0.0135</v>
      </c>
      <c r="G27" s="34">
        <f>D27*F27</f>
        <v/>
      </c>
      <c r="H27" s="33" t="inlineStr">
        <is>
          <t>Alambre acero inox. AISI 304</t>
        </is>
      </c>
      <c r="I27" s="17" t="inlineStr">
        <is>
          <t>61,3 × 28,4 × 28,1</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FL_DES_AFFF_50l</t>
        </is>
      </c>
      <c r="R27" s="17" t="inlineStr">
        <is>
          <t>con precinto</t>
        </is>
      </c>
    </row>
    <row r="28" outlineLevel="1">
      <c r="A28" s="33" t="n">
        <v>2</v>
      </c>
      <c r="B28" s="33" t="inlineStr">
        <is>
          <t>AFFF50-20</t>
        </is>
      </c>
      <c r="C28" s="17" t="inlineStr">
        <is>
          <t xml:space="preserve">        Caño de pesca (sifón)</t>
        </is>
      </c>
      <c r="D28" s="33" t="n">
        <v>1</v>
      </c>
      <c r="E28" s="33" t="inlineStr">
        <is>
          <t>u</t>
        </is>
      </c>
      <c r="F28" s="34" t="n">
        <v>0.1736</v>
      </c>
      <c r="G28" s="34">
        <f>D28*F28</f>
        <v/>
      </c>
      <c r="H28" s="33" t="inlineStr">
        <is>
          <t>Tubo PVC rígido</t>
        </is>
      </c>
      <c r="I28" s="17" t="inlineStr">
        <is>
          <t>Ø24 × 734,3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FL_DES_AFFF_50l</t>
        </is>
      </c>
      <c r="R28" s="17" t="n"/>
    </row>
    <row r="29" outlineLevel="1">
      <c r="A29" s="33" t="n">
        <v>2</v>
      </c>
      <c r="B29" s="33" t="inlineStr">
        <is>
          <t>AFFF50-32</t>
        </is>
      </c>
      <c r="C29" s="17" t="inlineStr">
        <is>
          <t xml:space="preserve">        Junta tórica de asiento</t>
        </is>
      </c>
      <c r="D29" s="33" t="n">
        <v>1</v>
      </c>
      <c r="E29" s="33" t="inlineStr">
        <is>
          <t>u</t>
        </is>
      </c>
      <c r="F29" s="34" t="n">
        <v>0.0024</v>
      </c>
      <c r="G29" s="34">
        <f>D29*F29</f>
        <v/>
      </c>
      <c r="H29" s="33" t="inlineStr">
        <is>
          <t>NBR 70 Shore A</t>
        </is>
      </c>
      <c r="I29" s="17" t="inlineStr">
        <is>
          <t>Ø75,2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FL_DES_AFFF_50l</t>
        </is>
      </c>
      <c r="R29" s="17" t="inlineStr">
        <is>
          <t>cambio c/recarga</t>
        </is>
      </c>
    </row>
    <row r="30" outlineLevel="1">
      <c r="A30" s="33" t="n">
        <v>2</v>
      </c>
      <c r="B30" s="33" t="inlineStr">
        <is>
          <t>AFFF50-V2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AFFF50-V3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AFFF50-S3</t>
        </is>
      </c>
      <c r="C32" s="31" t="inlineStr">
        <is>
          <t xml:space="preserve">    Dispositivo de descarga</t>
        </is>
      </c>
      <c r="D32" s="30" t="n">
        <v>1</v>
      </c>
      <c r="E32" s="30" t="inlineStr">
        <is>
          <t>u</t>
        </is>
      </c>
      <c r="F32" s="32" t="n"/>
      <c r="G32" s="32">
        <f>G33+G34+G35+G36+G37+G38</f>
        <v/>
      </c>
      <c r="H32" s="30" t="n"/>
      <c r="I32" s="31" t="n"/>
      <c r="J32" s="30" t="inlineStr">
        <is>
          <t>Compra / armado</t>
        </is>
      </c>
      <c r="K32" s="30" t="n"/>
      <c r="L32" s="31" t="n"/>
      <c r="M32" s="31" t="n"/>
      <c r="N32" s="31" t="n"/>
      <c r="O32" s="31" t="n"/>
      <c r="P32" s="30" t="inlineStr">
        <is>
          <t>P</t>
        </is>
      </c>
      <c r="Q32" s="30" t="inlineStr">
        <is>
          <t>FL_DES_AFFF_50l</t>
        </is>
      </c>
      <c r="R32" s="31" t="n"/>
    </row>
    <row r="33" outlineLevel="1">
      <c r="A33" s="33" t="n">
        <v>2</v>
      </c>
      <c r="B33" s="33" t="inlineStr">
        <is>
          <t>AFFF50-21</t>
        </is>
      </c>
      <c r="C33" s="17" t="inlineStr">
        <is>
          <t xml:space="preserve">        Manguera (tramo enrollado)</t>
        </is>
      </c>
      <c r="D33" s="33" t="n">
        <v>1</v>
      </c>
      <c r="E33" s="33" t="inlineStr">
        <is>
          <t>u</t>
        </is>
      </c>
      <c r="F33" s="34" t="n">
        <v>0.4763</v>
      </c>
      <c r="G33" s="34">
        <f>D33*F33</f>
        <v/>
      </c>
      <c r="H33" s="33" t="inlineStr">
        <is>
          <t>Caucho sintético</t>
        </is>
      </c>
      <c r="I33" s="17" t="inlineStr">
        <is>
          <t>Ø25 × 1.263 de largo desarrollado</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FL_DES_AFFF_50l</t>
        </is>
      </c>
      <c r="R33" s="17" t="n"/>
    </row>
    <row r="34" outlineLevel="1">
      <c r="A34" s="33" t="n">
        <v>2</v>
      </c>
      <c r="B34" s="33" t="inlineStr">
        <is>
          <t>AFFF50-22</t>
        </is>
      </c>
      <c r="C34" s="17" t="inlineStr">
        <is>
          <t xml:space="preserve">        Soporte de manguera</t>
        </is>
      </c>
      <c r="D34" s="33" t="n">
        <v>1</v>
      </c>
      <c r="E34" s="33" t="inlineStr">
        <is>
          <t>u</t>
        </is>
      </c>
      <c r="F34" s="34" t="n">
        <v>1.6857</v>
      </c>
      <c r="G34" s="34">
        <f>D34*F34</f>
        <v/>
      </c>
      <c r="H34" s="33" t="inlineStr">
        <is>
          <t>Planchuela acero SAE 1010</t>
        </is>
      </c>
      <c r="I34" s="17" t="inlineStr">
        <is>
          <t>490,8 × 217 × 40,5</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FL_DES_AFFF_50l</t>
        </is>
      </c>
      <c r="R34" s="17" t="n"/>
    </row>
    <row r="35" outlineLevel="1">
      <c r="A35" s="33" t="n">
        <v>2</v>
      </c>
      <c r="B35" s="33" t="inlineStr">
        <is>
          <t>AFFF50-23</t>
        </is>
      </c>
      <c r="C35" s="17" t="inlineStr">
        <is>
          <t xml:space="preserve">        Racor de manguera</t>
        </is>
      </c>
      <c r="D35" s="33" t="n">
        <v>1</v>
      </c>
      <c r="E35" s="33" t="inlineStr">
        <is>
          <t>u</t>
        </is>
      </c>
      <c r="F35" s="34" t="n">
        <v>0.0612</v>
      </c>
      <c r="G35" s="34">
        <f>D35*F35</f>
        <v/>
      </c>
      <c r="H35" s="33" t="inlineStr">
        <is>
          <t>Latón</t>
        </is>
      </c>
      <c r="I35" s="17" t="inlineStr">
        <is>
          <t>24 × 24 × 16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FL_DES_AFFF_50l</t>
        </is>
      </c>
      <c r="R35" s="17" t="n"/>
    </row>
    <row r="36" outlineLevel="1">
      <c r="A36" s="33" t="n">
        <v>2</v>
      </c>
      <c r="B36" s="33" t="inlineStr">
        <is>
          <t>AFFF50-24</t>
        </is>
      </c>
      <c r="C36" s="17" t="inlineStr">
        <is>
          <t xml:space="preserve">        Manguera</t>
        </is>
      </c>
      <c r="D36" s="33" t="n">
        <v>1</v>
      </c>
      <c r="E36" s="33" t="inlineStr">
        <is>
          <t>u</t>
        </is>
      </c>
      <c r="F36" s="34" t="n">
        <v>0.1766</v>
      </c>
      <c r="G36" s="34">
        <f>D36*F36</f>
        <v/>
      </c>
      <c r="H36" s="33" t="inlineStr">
        <is>
          <t>Caucho sintético</t>
        </is>
      </c>
      <c r="I36" s="17" t="inlineStr">
        <is>
          <t>Ø16 × 1.144 de largo desarrollado</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FL_DES_AFFF_50l</t>
        </is>
      </c>
      <c r="R36" s="17" t="n"/>
    </row>
    <row r="37" outlineLevel="1">
      <c r="A37" s="33" t="n">
        <v>2</v>
      </c>
      <c r="B37" s="33" t="inlineStr">
        <is>
          <t>AFFF50-25</t>
        </is>
      </c>
      <c r="C37" s="17" t="inlineStr">
        <is>
          <t xml:space="preserve">        Válvula esférica</t>
        </is>
      </c>
      <c r="D37" s="33" t="n">
        <v>1</v>
      </c>
      <c r="E37" s="33" t="inlineStr">
        <is>
          <t>u</t>
        </is>
      </c>
      <c r="F37" s="34" t="n">
        <v>0.4225</v>
      </c>
      <c r="G37" s="34">
        <f>D37*F37</f>
        <v/>
      </c>
      <c r="H37" s="33" t="inlineStr">
        <is>
          <t>Latón cromado</t>
        </is>
      </c>
      <c r="I37" s="17" t="inlineStr">
        <is>
          <t>130 × 60 × 40</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FL_DES_AFFF_50l</t>
        </is>
      </c>
      <c r="R37" s="17" t="n"/>
    </row>
    <row r="38" outlineLevel="1">
      <c r="A38" s="33" t="n">
        <v>2</v>
      </c>
      <c r="B38" s="33" t="inlineStr">
        <is>
          <t>AFFF50-26</t>
        </is>
      </c>
      <c r="C38" s="17" t="inlineStr">
        <is>
          <t xml:space="preserve">        Lanza espumígena</t>
        </is>
      </c>
      <c r="D38" s="33" t="n">
        <v>1</v>
      </c>
      <c r="E38" s="33" t="inlineStr">
        <is>
          <t>u</t>
        </is>
      </c>
      <c r="F38" s="34" t="n">
        <v>0.1023</v>
      </c>
      <c r="G38" s="34">
        <f>D38*F38</f>
        <v/>
      </c>
      <c r="H38" s="33" t="inlineStr">
        <is>
          <t>Polipropileno</t>
        </is>
      </c>
      <c r="I38" s="17" t="inlineStr">
        <is>
          <t>380 × 56 × 56</t>
        </is>
      </c>
      <c r="J38" s="33" t="inlineStr">
        <is>
          <t>Compra (en el conjunto)</t>
        </is>
      </c>
      <c r="K38" s="33" t="inlineStr">
        <is>
          <t>No</t>
        </is>
      </c>
      <c r="L38" s="17" t="n"/>
      <c r="M38" s="17" t="n"/>
      <c r="N38" s="17" t="inlineStr">
        <is>
          <t>S4 - se compra terminado (tercerizado con sello IRAM)</t>
        </is>
      </c>
      <c r="O38" s="17" t="n"/>
      <c r="P38" s="33" t="inlineStr">
        <is>
          <t>P</t>
        </is>
      </c>
      <c r="Q38" s="33" t="inlineStr">
        <is>
          <t>FL_DES_AFFF_50l</t>
        </is>
      </c>
      <c r="R38" s="17" t="n"/>
    </row>
    <row r="39">
      <c r="A39" s="30" t="n">
        <v>1</v>
      </c>
      <c r="B39" s="30" t="inlineStr">
        <is>
          <t>AFFF50-S4</t>
        </is>
      </c>
      <c r="C39" s="31" t="inlineStr">
        <is>
          <t xml:space="preserve">    Carro (bastidor y ruedas)</t>
        </is>
      </c>
      <c r="D39" s="30" t="n">
        <v>1</v>
      </c>
      <c r="E39" s="30" t="inlineStr">
        <is>
          <t>u</t>
        </is>
      </c>
      <c r="F39" s="32" t="n"/>
      <c r="G39" s="32">
        <f>G40+G41+G42+G43+G44+G45</f>
        <v/>
      </c>
      <c r="H39" s="30" t="n"/>
      <c r="I39" s="31" t="n"/>
      <c r="J39" s="30" t="inlineStr">
        <is>
          <t>Compra / armado</t>
        </is>
      </c>
      <c r="K39" s="30" t="n"/>
      <c r="L39" s="31" t="n"/>
      <c r="M39" s="31" t="n"/>
      <c r="N39" s="31" t="n"/>
      <c r="O39" s="31" t="inlineStr">
        <is>
          <t>IRAM 3550 3.12 y 4.8 (ruedas ≥ Ø300 × 50)</t>
        </is>
      </c>
      <c r="P39" s="30" t="inlineStr">
        <is>
          <t>P</t>
        </is>
      </c>
      <c r="Q39" s="30" t="inlineStr">
        <is>
          <t>FL_DES_AFFF_50l</t>
        </is>
      </c>
      <c r="R39" s="31" t="n"/>
    </row>
    <row r="40" outlineLevel="1">
      <c r="A40" s="33" t="n">
        <v>2</v>
      </c>
      <c r="B40" s="33" t="inlineStr">
        <is>
          <t>AFFF50-05</t>
        </is>
      </c>
      <c r="C40" s="17" t="inlineStr">
        <is>
          <t xml:space="preserve">        Neumático macizo</t>
        </is>
      </c>
      <c r="D40" s="33" t="n">
        <v>2</v>
      </c>
      <c r="E40" s="33" t="inlineStr">
        <is>
          <t>u</t>
        </is>
      </c>
      <c r="F40" s="34" t="n">
        <v>3.8922</v>
      </c>
      <c r="G40" s="34">
        <f>D40*F40</f>
        <v/>
      </c>
      <c r="H40" s="33" t="inlineStr">
        <is>
          <t>Caucho</t>
        </is>
      </c>
      <c r="I40" s="17" t="inlineStr">
        <is>
          <t>Ø350 × 70 de ancho</t>
        </is>
      </c>
      <c r="J40" s="33" t="inlineStr">
        <is>
          <t>Compra (en el conjunto)</t>
        </is>
      </c>
      <c r="K40" s="33" t="inlineStr">
        <is>
          <t>No</t>
        </is>
      </c>
      <c r="L40" s="17" t="n"/>
      <c r="M40" s="17" t="n"/>
      <c r="N40" s="17" t="inlineStr">
        <is>
          <t>S4 - se compra terminado (tercerizado con sello IRAM)</t>
        </is>
      </c>
      <c r="O40" s="17" t="n"/>
      <c r="P40" s="33" t="inlineStr">
        <is>
          <t>P</t>
        </is>
      </c>
      <c r="Q40" s="33" t="inlineStr">
        <is>
          <t>FL_DES_AFFF_50l</t>
        </is>
      </c>
      <c r="R40" s="17" t="inlineStr">
        <is>
          <t>IRAM 3550 4.8: Ø ≥ 300 y ancho ≥ 50</t>
        </is>
      </c>
    </row>
    <row r="41" outlineLevel="1">
      <c r="A41" s="33" t="n">
        <v>2</v>
      </c>
      <c r="B41" s="33" t="inlineStr">
        <is>
          <t>AFFF50-06</t>
        </is>
      </c>
      <c r="C41" s="17" t="inlineStr">
        <is>
          <t xml:space="preserve">        Llanta con cubo</t>
        </is>
      </c>
      <c r="D41" s="33" t="n">
        <v>2</v>
      </c>
      <c r="E41" s="33" t="inlineStr">
        <is>
          <t>u</t>
        </is>
      </c>
      <c r="F41" s="34" t="n">
        <v>4.0415</v>
      </c>
      <c r="G41" s="34">
        <f>D41*F41</f>
        <v/>
      </c>
      <c r="H41" s="33" t="inlineStr">
        <is>
          <t>Chapa acero SAE 1010</t>
        </is>
      </c>
      <c r="I41" s="17" t="inlineStr">
        <is>
          <t>Ø252 × 80 de ancho</t>
        </is>
      </c>
      <c r="J41" s="33" t="inlineStr">
        <is>
          <t>Compra (en el conjunto)</t>
        </is>
      </c>
      <c r="K41" s="33" t="inlineStr">
        <is>
          <t>No</t>
        </is>
      </c>
      <c r="L41" s="17" t="n"/>
      <c r="M41" s="17" t="n"/>
      <c r="N41" s="17" t="inlineStr">
        <is>
          <t>S4 - se compra terminado (tercerizado con sello IRAM)</t>
        </is>
      </c>
      <c r="O41" s="17" t="n"/>
      <c r="P41" s="33" t="inlineStr">
        <is>
          <t>P</t>
        </is>
      </c>
      <c r="Q41" s="33" t="inlineStr">
        <is>
          <t>FL_DES_AFFF_50l</t>
        </is>
      </c>
      <c r="R41" s="17" t="n"/>
    </row>
    <row r="42" outlineLevel="1">
      <c r="A42" s="33" t="n">
        <v>2</v>
      </c>
      <c r="B42" s="33" t="inlineStr">
        <is>
          <t>AFFF50-07</t>
        </is>
      </c>
      <c r="C42" s="17" t="inlineStr">
        <is>
          <t xml:space="preserve">        Eje de ruedas</t>
        </is>
      </c>
      <c r="D42" s="33" t="n">
        <v>1</v>
      </c>
      <c r="E42" s="33" t="inlineStr">
        <is>
          <t>u</t>
        </is>
      </c>
      <c r="F42" s="34" t="n">
        <v>1.3333</v>
      </c>
      <c r="G42" s="34">
        <f>D42*F42</f>
        <v/>
      </c>
      <c r="H42" s="33" t="inlineStr">
        <is>
          <t>Acero SAE 1045</t>
        </is>
      </c>
      <c r="I42" s="17" t="inlineStr">
        <is>
          <t>Ø25 × 346 de largo</t>
        </is>
      </c>
      <c r="J42" s="33" t="inlineStr">
        <is>
          <t>Compra (en el conjunto)</t>
        </is>
      </c>
      <c r="K42" s="33" t="inlineStr">
        <is>
          <t>No</t>
        </is>
      </c>
      <c r="L42" s="17" t="n"/>
      <c r="M42" s="17" t="n"/>
      <c r="N42" s="17" t="inlineStr">
        <is>
          <t>S4 - se compra terminado (tercerizado con sello IRAM)</t>
        </is>
      </c>
      <c r="O42" s="17" t="n"/>
      <c r="P42" s="33" t="inlineStr">
        <is>
          <t>P</t>
        </is>
      </c>
      <c r="Q42" s="33" t="inlineStr">
        <is>
          <t>FL_DES_AFFF_50l</t>
        </is>
      </c>
      <c r="R42" s="17" t="n"/>
    </row>
    <row r="43" outlineLevel="1">
      <c r="A43" s="33" t="n">
        <v>2</v>
      </c>
      <c r="B43" s="33" t="inlineStr">
        <is>
          <t>AFFF50-08</t>
        </is>
      </c>
      <c r="C43" s="17" t="inlineStr">
        <is>
          <t xml:space="preserve">        Bastidor</t>
        </is>
      </c>
      <c r="D43" s="33" t="n">
        <v>1</v>
      </c>
      <c r="E43" s="33" t="inlineStr">
        <is>
          <t>u</t>
        </is>
      </c>
      <c r="F43" s="34" t="n">
        <v>2.0504</v>
      </c>
      <c r="G43" s="34">
        <f>D43*F43</f>
        <v/>
      </c>
      <c r="H43" s="33" t="inlineStr">
        <is>
          <t>Caño acero SAE 1010 Ø25,4×1,6</t>
        </is>
      </c>
      <c r="I43" s="17" t="inlineStr">
        <is>
          <t>caño Ø25,4 × 1,6 × 2.148 de largo desarrollado</t>
        </is>
      </c>
      <c r="J43" s="33" t="inlineStr">
        <is>
          <t>Compra (en el conjunto)</t>
        </is>
      </c>
      <c r="K43" s="33" t="inlineStr">
        <is>
          <t>No</t>
        </is>
      </c>
      <c r="L43" s="17" t="n"/>
      <c r="M43" s="17" t="n"/>
      <c r="N43" s="17" t="inlineStr">
        <is>
          <t>S4 - se compra terminado (tercerizado con sello IRAM)</t>
        </is>
      </c>
      <c r="O43" s="17" t="n"/>
      <c r="P43" s="33" t="inlineStr">
        <is>
          <t>P</t>
        </is>
      </c>
      <c r="Q43" s="33" t="inlineStr">
        <is>
          <t>FL_DES_AFFF_50l</t>
        </is>
      </c>
      <c r="R43" s="17" t="n"/>
    </row>
    <row r="44" outlineLevel="1">
      <c r="A44" s="33" t="n">
        <v>2</v>
      </c>
      <c r="B44" s="33" t="inlineStr">
        <is>
          <t>AFFF50-09</t>
        </is>
      </c>
      <c r="C44" s="17" t="inlineStr">
        <is>
          <t xml:space="preserve">        Sunchos de fijación</t>
        </is>
      </c>
      <c r="D44" s="33" t="n">
        <v>1</v>
      </c>
      <c r="E44" s="33" t="inlineStr">
        <is>
          <t>u</t>
        </is>
      </c>
      <c r="F44" s="34" t="n">
        <v>5.4228</v>
      </c>
      <c r="G44" s="34">
        <f>D44*F44</f>
        <v/>
      </c>
      <c r="H44" s="33" t="inlineStr">
        <is>
          <t>Planchuela acero SAE 1010</t>
        </is>
      </c>
      <c r="I44" s="17" t="inlineStr">
        <is>
          <t>459 × 424 × 332</t>
        </is>
      </c>
      <c r="J44" s="33" t="inlineStr">
        <is>
          <t>Compra (en el conjunto)</t>
        </is>
      </c>
      <c r="K44" s="33" t="inlineStr">
        <is>
          <t>No</t>
        </is>
      </c>
      <c r="L44" s="17" t="n"/>
      <c r="M44" s="17" t="n"/>
      <c r="N44" s="17" t="inlineStr">
        <is>
          <t>S4 - se compra terminado (tercerizado con sello IRAM)</t>
        </is>
      </c>
      <c r="O44" s="17" t="n"/>
      <c r="P44" s="33" t="inlineStr">
        <is>
          <t>P</t>
        </is>
      </c>
      <c r="Q44" s="33" t="inlineStr">
        <is>
          <t>FL_DES_AFFF_50l</t>
        </is>
      </c>
      <c r="R44" s="17" t="n"/>
    </row>
    <row r="45" outlineLevel="1">
      <c r="A45" s="33" t="n">
        <v>2</v>
      </c>
      <c r="B45" s="33" t="inlineStr">
        <is>
          <t>AFFF50-10</t>
        </is>
      </c>
      <c r="C45" s="17" t="inlineStr">
        <is>
          <t xml:space="preserve">        Apoyo delantero</t>
        </is>
      </c>
      <c r="D45" s="33" t="n">
        <v>1</v>
      </c>
      <c r="E45" s="33" t="inlineStr">
        <is>
          <t>u</t>
        </is>
      </c>
      <c r="F45" s="34" t="n">
        <v>0.3022</v>
      </c>
      <c r="G45" s="34">
        <f>D45*F45</f>
        <v/>
      </c>
      <c r="H45" s="33" t="inlineStr">
        <is>
          <t>Chapa acero SAE 1010 plegada</t>
        </is>
      </c>
      <c r="I45" s="17" t="inlineStr">
        <is>
          <t>70 × 55 × 50</t>
        </is>
      </c>
      <c r="J45" s="33" t="inlineStr">
        <is>
          <t>Compra (en el conjunto)</t>
        </is>
      </c>
      <c r="K45" s="33" t="inlineStr">
        <is>
          <t>No</t>
        </is>
      </c>
      <c r="L45" s="17" t="n"/>
      <c r="M45" s="17" t="n"/>
      <c r="N45" s="17" t="inlineStr">
        <is>
          <t>S4 - se compra terminado (tercerizado con sello IRAM)</t>
        </is>
      </c>
      <c r="O45" s="17" t="n"/>
      <c r="P45" s="33" t="inlineStr">
        <is>
          <t>P</t>
        </is>
      </c>
      <c r="Q45" s="33" t="inlineStr">
        <is>
          <t>FL_DES_AFFF_50l</t>
        </is>
      </c>
      <c r="R45" s="17" t="n"/>
    </row>
    <row r="46">
      <c r="A46" s="30" t="n">
        <v>1</v>
      </c>
      <c r="B46" s="30" t="inlineStr">
        <is>
          <t>AFFF50-S5</t>
        </is>
      </c>
      <c r="C46" s="31" t="inlineStr">
        <is>
          <t xml:space="preserve">    Carga: agente extintor y gas impulsor</t>
        </is>
      </c>
      <c r="D46" s="30" t="n">
        <v>1</v>
      </c>
      <c r="E46" s="30" t="inlineStr">
        <is>
          <t>u</t>
        </is>
      </c>
      <c r="F46" s="32" t="n"/>
      <c r="G46" s="32">
        <f>G47+G48+G49</f>
        <v/>
      </c>
      <c r="H46" s="30" t="n"/>
      <c r="I46" s="31" t="n"/>
      <c r="J46" s="30" t="inlineStr">
        <is>
          <t>Compra</t>
        </is>
      </c>
      <c r="K46" s="30" t="n"/>
      <c r="L46" s="31" t="n"/>
      <c r="M46" s="31" t="n"/>
      <c r="N46" s="31" t="n"/>
      <c r="O46" s="31" t="n"/>
      <c r="P46" s="30" t="n"/>
      <c r="Q46" s="30" t="n"/>
      <c r="R46" s="31" t="n"/>
    </row>
    <row r="47" outlineLevel="1">
      <c r="A47" s="33" t="n">
        <v>2</v>
      </c>
      <c r="B47" s="33" t="inlineStr">
        <is>
          <t>AFFF50-A1</t>
        </is>
      </c>
      <c r="C47" s="17" t="inlineStr">
        <is>
          <t xml:space="preserve">        Agua potable (premezcla)</t>
        </is>
      </c>
      <c r="D47" s="33" t="n">
        <v>48.5</v>
      </c>
      <c r="E47" s="33" t="inlineStr">
        <is>
          <t>L</t>
        </is>
      </c>
      <c r="F47" s="34" t="n">
        <v>1</v>
      </c>
      <c r="G47" s="34">
        <f>D47*F47</f>
        <v/>
      </c>
      <c r="H47" s="33" t="inlineStr">
        <is>
          <t>Agua</t>
        </is>
      </c>
      <c r="I47" s="17" t="inlineStr">
        <is>
          <t>97 % de 50 L; tolerancia ± 3 %</t>
        </is>
      </c>
      <c r="J47" s="33" t="inlineStr">
        <is>
          <t>Red</t>
        </is>
      </c>
      <c r="K47" s="33" t="inlineStr">
        <is>
          <t>No</t>
        </is>
      </c>
      <c r="L47" s="17" t="n"/>
      <c r="M47" s="17" t="n"/>
      <c r="N47" s="17" t="inlineStr">
        <is>
          <t>SP-1 premezcla</t>
        </is>
      </c>
      <c r="O47" s="17" t="inlineStr">
        <is>
          <t>IRAM 3517-2:2020 tabla 3</t>
        </is>
      </c>
      <c r="P47" s="33" t="inlineStr">
        <is>
          <t>N</t>
        </is>
      </c>
      <c r="Q47" s="33" t="n"/>
      <c r="R47" s="17" t="n"/>
    </row>
    <row r="48" outlineLevel="1">
      <c r="A48" s="33" t="n">
        <v>2</v>
      </c>
      <c r="B48" s="33" t="inlineStr">
        <is>
          <t>AFFF50-A1b</t>
        </is>
      </c>
      <c r="C48" s="17" t="inlineStr">
        <is>
          <t xml:space="preserve">        Concentrado espumígeno AFFF 3 % (IRAM 3515)</t>
        </is>
      </c>
      <c r="D48" s="33" t="n">
        <v>1.5</v>
      </c>
      <c r="E48" s="33" t="inlineStr">
        <is>
          <t>L</t>
        </is>
      </c>
      <c r="F48" s="34" t="n">
        <v>1</v>
      </c>
      <c r="G48" s="34">
        <f>D48*F48</f>
        <v/>
      </c>
      <c r="H48" s="33" t="inlineStr">
        <is>
          <t>Concentrado espumígeno AFFF 3 % (IRAM 3515)</t>
        </is>
      </c>
      <c r="I48" s="17" t="inlineStr">
        <is>
          <t>nominal 1,5 L; tolerancia ± 3 % (IRAM 3517-2:2020 tabla 3)</t>
        </is>
      </c>
      <c r="J48" s="33" t="inlineStr">
        <is>
          <t>Compra</t>
        </is>
      </c>
      <c r="K48" s="33" t="inlineStr">
        <is>
          <t>No</t>
        </is>
      </c>
      <c r="L48" s="17" t="n"/>
      <c r="M48" s="17" t="n"/>
      <c r="N48" s="17" t="inlineStr">
        <is>
          <t>SP-1 almacén previo a la carga</t>
        </is>
      </c>
      <c r="O48" s="17" t="inlineStr">
        <is>
          <t>IRAM 3515</t>
        </is>
      </c>
      <c r="P48" s="33" t="inlineStr">
        <is>
          <t>N</t>
        </is>
      </c>
      <c r="Q48" s="33" t="n"/>
      <c r="R48" s="17" t="n"/>
    </row>
    <row r="49" outlineLevel="1">
      <c r="A49" s="33" t="n">
        <v>2</v>
      </c>
      <c r="B49" s="33" t="inlineStr">
        <is>
          <t>AFFF50-A2</t>
        </is>
      </c>
      <c r="C49" s="17" t="inlineStr">
        <is>
          <t xml:space="preserve">        Gas impulsor: Aire comprimido</t>
        </is>
      </c>
      <c r="D49" s="33" t="n">
        <v>0.1265</v>
      </c>
      <c r="E49" s="33" t="inlineStr">
        <is>
          <t>kg</t>
        </is>
      </c>
      <c r="F49" s="34" t="n">
        <v>1</v>
      </c>
      <c r="G49" s="34">
        <f>D49*F49</f>
        <v/>
      </c>
      <c r="H49" s="33" t="inlineStr">
        <is>
          <t>Aire comprimido</t>
        </is>
      </c>
      <c r="I49" s="17" t="inlineStr">
        <is>
          <t>97,8 L normales para 0,8 MPa a 20 °C en 11,8 dm³ libres</t>
        </is>
      </c>
      <c r="J49" s="33" t="inlineStr">
        <is>
          <t>Compra</t>
        </is>
      </c>
      <c r="K49" s="33" t="inlineStr">
        <is>
          <t>No</t>
        </is>
      </c>
      <c r="L49" s="17" t="n"/>
      <c r="M49" s="17" t="n"/>
      <c r="N49" s="17" t="inlineStr">
        <is>
          <t>20 Presurización (T05) / C10</t>
        </is>
      </c>
      <c r="O49" s="17" t="inlineStr">
        <is>
          <t>IRAM 3517-2 9.4.9 (tabla 2) · IRAM 3523 2.3 y 3.10</t>
        </is>
      </c>
      <c r="P49" s="33" t="inlineStr">
        <is>
          <t>C</t>
        </is>
      </c>
      <c r="Q49" s="33" t="n"/>
      <c r="R49" s="17" t="inlineStr">
        <is>
          <t>Batería en SP-1; punto de rocío ≤ -56,7 °C para gases limpios</t>
        </is>
      </c>
    </row>
    <row r="50">
      <c r="A50" s="30" t="n">
        <v>1</v>
      </c>
      <c r="B50" s="30" t="inlineStr">
        <is>
          <t>AFFF50-S6</t>
        </is>
      </c>
      <c r="C50" s="31" t="inlineStr">
        <is>
          <t xml:space="preserve">    Identificación y precinto</t>
        </is>
      </c>
      <c r="D50" s="30" t="n">
        <v>1</v>
      </c>
      <c r="E50" s="30" t="inlineStr">
        <is>
          <t>u</t>
        </is>
      </c>
      <c r="F50" s="32" t="n"/>
      <c r="G50" s="32">
        <f>G51+G52+G53+G54+G55+G56+G57</f>
        <v/>
      </c>
      <c r="H50" s="30" t="n"/>
      <c r="I50" s="31" t="n"/>
      <c r="J50" s="30" t="inlineStr">
        <is>
          <t>Compra</t>
        </is>
      </c>
      <c r="K50" s="30" t="n"/>
      <c r="L50" s="31" t="n"/>
      <c r="M50" s="31" t="n"/>
      <c r="N50" s="31" t="inlineStr">
        <is>
          <t>22 Etiquetado (T07)</t>
        </is>
      </c>
      <c r="O50" s="31" t="n"/>
      <c r="P50" s="30" t="n"/>
      <c r="Q50" s="30" t="n"/>
      <c r="R50" s="31" t="n"/>
    </row>
    <row r="51" outlineLevel="1">
      <c r="A51" s="33" t="n">
        <v>2</v>
      </c>
      <c r="B51" s="33" t="inlineStr">
        <is>
          <t>AFFF50-27</t>
        </is>
      </c>
      <c r="C51" s="17" t="inlineStr">
        <is>
          <t xml:space="preserve">        Etiqueta / placa de características</t>
        </is>
      </c>
      <c r="D51" s="33" t="n">
        <v>1</v>
      </c>
      <c r="E51" s="33" t="inlineStr">
        <is>
          <t>u</t>
        </is>
      </c>
      <c r="F51" s="34" t="n">
        <v>0.0543</v>
      </c>
      <c r="G51" s="34">
        <f>D51*F51</f>
        <v/>
      </c>
      <c r="H51" s="33" t="inlineStr">
        <is>
          <t>Vinilo autoadhesivo laminado</t>
        </is>
      </c>
      <c r="I51" s="17" t="inlineStr">
        <is>
          <t>604 × 214 (desarrollo × alto: panel central 108° + 2 alas laterales), e ≈ 0,3, laminado UV</t>
        </is>
      </c>
      <c r="J51" s="33" t="inlineStr">
        <is>
          <t>Compra</t>
        </is>
      </c>
      <c r="K51" s="33" t="inlineStr">
        <is>
          <t>No</t>
        </is>
      </c>
      <c r="L51" s="17" t="n"/>
      <c r="M51" s="17" t="n"/>
      <c r="N51" s="17" t="inlineStr">
        <is>
          <t>22 Etiquetado (T07)</t>
        </is>
      </c>
      <c r="O51" s="17" t="inlineStr">
        <is>
          <t>IRAM 3534 · IRAM 3541 cap. 5 · relevamiento de mercado</t>
        </is>
      </c>
      <c r="P51" s="33" t="inlineStr">
        <is>
          <t>P</t>
        </is>
      </c>
      <c r="Q51" s="33" t="inlineStr">
        <is>
          <t>FL_DES_AFFF_50l</t>
        </is>
      </c>
      <c r="R51" s="17" t="inlineStr">
        <is>
          <t>IRAM 3534</t>
        </is>
      </c>
    </row>
    <row r="52" outlineLevel="1">
      <c r="A52" s="33" t="n">
        <v>2</v>
      </c>
      <c r="B52" s="33" t="inlineStr">
        <is>
          <t>AFFF50-28</t>
        </is>
      </c>
      <c r="C52" s="17" t="inlineStr">
        <is>
          <t xml:space="preserve">        Oblea de fabricación (PBA)</t>
        </is>
      </c>
      <c r="D52" s="33" t="n">
        <v>1</v>
      </c>
      <c r="E52" s="33" t="inlineStr">
        <is>
          <t>u</t>
        </is>
      </c>
      <c r="F52" s="34" t="n">
        <v>0.0009</v>
      </c>
      <c r="G52" s="34">
        <f>D52*F52</f>
        <v/>
      </c>
      <c r="H52" s="33" t="inlineStr">
        <is>
          <t>Papel de seguridad autodestructible</t>
        </is>
      </c>
      <c r="I52" s="17" t="inlineStr">
        <is>
          <t>Ø46 (Res. OPDS 522/07), numerada, autodestructible</t>
        </is>
      </c>
      <c r="J52" s="33" t="inlineStr">
        <is>
          <t>Compra</t>
        </is>
      </c>
      <c r="K52" s="33" t="inlineStr">
        <is>
          <t>No</t>
        </is>
      </c>
      <c r="L52" s="17" t="n"/>
      <c r="M52" s="17" t="n"/>
      <c r="N52" s="17" t="inlineStr">
        <is>
          <t>22 Etiquetado (T07)</t>
        </is>
      </c>
      <c r="O52" s="17" t="inlineStr">
        <is>
          <t>Res. OPDS 522/07 anexos 1, 2 y 6</t>
        </is>
      </c>
      <c r="P52" s="33" t="inlineStr">
        <is>
          <t>P</t>
        </is>
      </c>
      <c r="Q52" s="33" t="inlineStr">
        <is>
          <t>FL_DES_AFFF_50l</t>
        </is>
      </c>
      <c r="R52" s="17" t="inlineStr">
        <is>
          <t>Res. 522/07</t>
        </is>
      </c>
    </row>
    <row r="53" outlineLevel="1">
      <c r="A53" s="33" t="n">
        <v>2</v>
      </c>
      <c r="B53" s="33" t="inlineStr">
        <is>
          <t>AFFF50-29</t>
        </is>
      </c>
      <c r="C53" s="17" t="inlineStr">
        <is>
          <t xml:space="preserve">        Estampilla IRAM de conformidad</t>
        </is>
      </c>
      <c r="D53" s="33" t="n">
        <v>1</v>
      </c>
      <c r="E53" s="33" t="inlineStr">
        <is>
          <t>u</t>
        </is>
      </c>
      <c r="F53" s="34" t="n">
        <v>0.001</v>
      </c>
      <c r="G53" s="34">
        <f>D53*F53</f>
        <v/>
      </c>
      <c r="H53" s="33" t="inlineStr">
        <is>
          <t>Provista por IRAM (Anexo R)</t>
        </is>
      </c>
      <c r="I53" s="17" t="inlineStr">
        <is>
          <t>60 × 40</t>
        </is>
      </c>
      <c r="J53" s="33" t="inlineStr">
        <is>
          <t>Compra</t>
        </is>
      </c>
      <c r="K53" s="33" t="inlineStr">
        <is>
          <t>No</t>
        </is>
      </c>
      <c r="L53" s="17" t="n"/>
      <c r="M53" s="17" t="n"/>
      <c r="N53" s="17" t="inlineStr">
        <is>
          <t>22 Etiquetado (T07)</t>
        </is>
      </c>
      <c r="O53" s="17" t="inlineStr">
        <is>
          <t>IRAM Anexo R (DC-PG-129)</t>
        </is>
      </c>
      <c r="P53" s="33" t="inlineStr">
        <is>
          <t>P</t>
        </is>
      </c>
      <c r="Q53" s="33" t="inlineStr">
        <is>
          <t>FL_DES_AFFF_50l</t>
        </is>
      </c>
      <c r="R53" s="17" t="inlineStr">
        <is>
          <t>numerada</t>
        </is>
      </c>
    </row>
    <row r="54" outlineLevel="1">
      <c r="A54" s="33" t="n">
        <v>2</v>
      </c>
      <c r="B54" s="33" t="inlineStr">
        <is>
          <t>AFFF50-30</t>
        </is>
      </c>
      <c r="C54" s="17" t="inlineStr">
        <is>
          <t xml:space="preserve">        Tarjeta de identificación AGC (CABA)</t>
        </is>
      </c>
      <c r="D54" s="33" t="n">
        <v>1</v>
      </c>
      <c r="E54" s="33" t="inlineStr">
        <is>
          <t>u</t>
        </is>
      </c>
      <c r="F54" s="34" t="n">
        <v>0.0032</v>
      </c>
      <c r="G54" s="34">
        <f>D54*F54</f>
        <v/>
      </c>
      <c r="H54" s="33" t="inlineStr">
        <is>
          <t>Etiqueta autoadhesiva emitida por la AGC</t>
        </is>
      </c>
      <c r="I54" s="17" t="inlineStr">
        <is>
          <t>140 × 55</t>
        </is>
      </c>
      <c r="J54" s="33" t="inlineStr">
        <is>
          <t>Compra</t>
        </is>
      </c>
      <c r="K54" s="33" t="inlineStr">
        <is>
          <t>Sí</t>
        </is>
      </c>
      <c r="L54" s="17" t="inlineStr">
        <is>
          <t>Agencia Gubernamental de Control (CABA)</t>
        </is>
      </c>
      <c r="M54" s="17" t="inlineStr">
        <is>
          <t>-</t>
        </is>
      </c>
      <c r="N54" s="17" t="inlineStr">
        <is>
          <t>22 Etiquetado (T07)</t>
        </is>
      </c>
      <c r="O54" s="17" t="inlineStr">
        <is>
          <t>Ordenanza 40.473 art. 6 · Res. AGC 32/15</t>
        </is>
      </c>
      <c r="P54" s="33" t="inlineStr">
        <is>
          <t>P</t>
        </is>
      </c>
      <c r="Q54" s="33" t="inlineStr">
        <is>
          <t>FL_DES_AFFF_50l</t>
        </is>
      </c>
      <c r="R54" s="17" t="inlineStr">
        <is>
          <t>sólo destino CABA; sólo destino CABA</t>
        </is>
      </c>
    </row>
    <row r="55" outlineLevel="1">
      <c r="A55" s="33" t="n">
        <v>2</v>
      </c>
      <c r="B55" s="33" t="inlineStr">
        <is>
          <t>AFFF50-31</t>
        </is>
      </c>
      <c r="C55" s="17" t="inlineStr">
        <is>
          <t xml:space="preserve">        Etiqueta de n° de serie GS1</t>
        </is>
      </c>
      <c r="D55" s="33" t="n">
        <v>1</v>
      </c>
      <c r="E55" s="33" t="inlineStr">
        <is>
          <t>u</t>
        </is>
      </c>
      <c r="F55" s="34" t="n">
        <v>0.0005</v>
      </c>
      <c r="G55" s="34">
        <f>D55*F55</f>
        <v/>
      </c>
      <c r="H55" s="33" t="inlineStr">
        <is>
          <t>Poliéster autoadhesivo impreso térmico</t>
        </is>
      </c>
      <c r="I55" s="17" t="inlineStr">
        <is>
          <t>45 × 25</t>
        </is>
      </c>
      <c r="J55" s="33" t="inlineStr">
        <is>
          <t>Compra</t>
        </is>
      </c>
      <c r="K55" s="33" t="inlineStr">
        <is>
          <t>No</t>
        </is>
      </c>
      <c r="L55" s="17" t="n"/>
      <c r="M55" s="17" t="n"/>
      <c r="N55" s="17" t="inlineStr">
        <is>
          <t>22 Etiquetado (T07)</t>
        </is>
      </c>
      <c r="O55" s="17" t="inlineStr">
        <is>
          <t>GS1 Argentina (GTIN 779) · trazabilidad IRAM 3523 5.1</t>
        </is>
      </c>
      <c r="P55" s="33" t="inlineStr">
        <is>
          <t>P</t>
        </is>
      </c>
      <c r="Q55" s="33" t="inlineStr">
        <is>
          <t>FL_DES_AFFF_50l</t>
        </is>
      </c>
      <c r="R55" s="17" t="inlineStr">
        <is>
          <t>QR GTIN + serie</t>
        </is>
      </c>
    </row>
    <row r="56" outlineLevel="1">
      <c r="A56" s="33" t="n">
        <v>2</v>
      </c>
      <c r="B56" s="33" t="inlineStr">
        <is>
          <t>AFFF50-33</t>
        </is>
      </c>
      <c r="C56" s="17" t="inlineStr">
        <is>
          <t xml:space="preserve">        Faja de garantía válvula-cuello</t>
        </is>
      </c>
      <c r="D56" s="33" t="n">
        <v>1</v>
      </c>
      <c r="E56" s="33" t="inlineStr">
        <is>
          <t>u</t>
        </is>
      </c>
      <c r="F56" s="34" t="n">
        <v>0.0003</v>
      </c>
      <c r="G56" s="34">
        <f>D56*F56</f>
        <v/>
      </c>
      <c r="H56" s="33" t="inlineStr">
        <is>
          <t>Vinilo destructible rayado rojo/blanco</t>
        </is>
      </c>
      <c r="I56" s="17" t="inlineStr">
        <is>
          <t>30 × 40</t>
        </is>
      </c>
      <c r="J56" s="33" t="inlineStr">
        <is>
          <t>Compra</t>
        </is>
      </c>
      <c r="K56" s="33" t="inlineStr">
        <is>
          <t>No</t>
        </is>
      </c>
      <c r="L56" s="17" t="n"/>
      <c r="M56" s="17" t="n"/>
      <c r="N56" s="17" t="inlineStr">
        <is>
          <t>22 Etiquetado (T07)</t>
        </is>
      </c>
      <c r="O56" s="17" t="inlineStr">
        <is>
          <t>Sin norma: práctica de mercado (garantía de fábrica)</t>
        </is>
      </c>
      <c r="P56" s="33" t="inlineStr">
        <is>
          <t>P</t>
        </is>
      </c>
      <c r="Q56" s="33" t="inlineStr">
        <is>
          <t>FL_DES_AFFF_50l</t>
        </is>
      </c>
      <c r="R56" s="17" t="inlineStr">
        <is>
          <t>nuevo sin abrir</t>
        </is>
      </c>
    </row>
    <row r="57" outlineLevel="1">
      <c r="A57" s="33" t="n">
        <v>2</v>
      </c>
      <c r="B57" s="33" t="inlineStr">
        <is>
          <t>AFFF50-34</t>
        </is>
      </c>
      <c r="C57" s="17" t="inlineStr">
        <is>
          <t xml:space="preserve">        Precinto de fábrica</t>
        </is>
      </c>
      <c r="D57" s="33" t="n">
        <v>1</v>
      </c>
      <c r="E57" s="33" t="inlineStr">
        <is>
          <t>u</t>
        </is>
      </c>
      <c r="F57" s="34" t="n">
        <v>0.0002</v>
      </c>
      <c r="G57" s="34">
        <f>D57*F57</f>
        <v/>
      </c>
      <c r="H57" s="33" t="inlineStr">
        <is>
          <t>Polipropileno color</t>
        </is>
      </c>
      <c r="I57" s="17" t="inlineStr">
        <is>
          <t>Ø5 × 10, numerado, rotura 30-50 N</t>
        </is>
      </c>
      <c r="J57" s="33" t="inlineStr">
        <is>
          <t>Compra</t>
        </is>
      </c>
      <c r="K57" s="33" t="inlineStr">
        <is>
          <t>No</t>
        </is>
      </c>
      <c r="L57" s="17" t="n"/>
      <c r="M57" s="17" t="n"/>
      <c r="N57" s="17" t="inlineStr">
        <is>
          <t>20 Presurización (T05)</t>
        </is>
      </c>
      <c r="O57" s="17" t="inlineStr">
        <is>
          <t>IRAM 3523 3.3.2 · IRAM 3517-2:2020 9.4.13</t>
        </is>
      </c>
      <c r="P57" s="33" t="inlineStr">
        <is>
          <t>P</t>
        </is>
      </c>
      <c r="Q57" s="33" t="inlineStr">
        <is>
          <t>FL_DES_AFFF_50l</t>
        </is>
      </c>
      <c r="R57" s="17" t="inlineStr">
        <is>
          <t>id. FLAMA y lote</t>
        </is>
      </c>
    </row>
    <row r="58">
      <c r="A58" s="30" t="n">
        <v>1</v>
      </c>
      <c r="B58" s="30" t="inlineStr">
        <is>
          <t>AFFF50-S7</t>
        </is>
      </c>
      <c r="C58" s="31" t="inlineStr">
        <is>
          <t xml:space="preserve">    Embalaje</t>
        </is>
      </c>
      <c r="D58" s="30" t="n">
        <v>1</v>
      </c>
      <c r="E58" s="30" t="inlineStr">
        <is>
          <t>u</t>
        </is>
      </c>
      <c r="F58" s="32" t="n"/>
      <c r="G58" s="32">
        <f>G61</f>
        <v/>
      </c>
      <c r="H58" s="30" t="n"/>
      <c r="I58" s="31" t="n"/>
      <c r="J58" s="30" t="inlineStr">
        <is>
          <t>Compra</t>
        </is>
      </c>
      <c r="K58" s="30" t="n"/>
      <c r="L58" s="31" t="n"/>
      <c r="M58" s="31" t="n"/>
      <c r="N58" s="31" t="inlineStr">
        <is>
          <t>23 Embalaje -&gt; 24 envolvedora (T11)</t>
        </is>
      </c>
      <c r="O58" s="31" t="n"/>
      <c r="P58" s="30" t="n"/>
      <c r="Q58" s="30" t="n"/>
      <c r="R58" s="31" t="n"/>
    </row>
    <row r="59" outlineLevel="1">
      <c r="A59" s="33" t="n">
        <v>2</v>
      </c>
      <c r="B59" s="33" t="inlineStr">
        <is>
          <t>AFFF50-E1</t>
        </is>
      </c>
      <c r="C59" s="17" t="inlineStr">
        <is>
          <t xml:space="preserve">        Esquineros y funda de polietileno</t>
        </is>
      </c>
      <c r="D59" s="33" t="n">
        <v>1</v>
      </c>
      <c r="E59" s="33" t="inlineStr">
        <is>
          <t>jgo</t>
        </is>
      </c>
      <c r="F59" s="34" t="n"/>
      <c r="G59" s="34" t="n"/>
      <c r="H59" s="33" t="inlineStr">
        <is>
          <t>PE / cartón</t>
        </is>
      </c>
      <c r="I59" s="17" t="inlineStr">
        <is>
          <t>a medida de la envolvente del plano</t>
        </is>
      </c>
      <c r="J59" s="33" t="inlineStr">
        <is>
          <t>Compra</t>
        </is>
      </c>
      <c r="K59" s="33" t="inlineStr">
        <is>
          <t>No</t>
        </is>
      </c>
      <c r="L59" s="17" t="n"/>
      <c r="M59" s="17" t="n"/>
      <c r="N59" s="17" t="inlineStr">
        <is>
          <t>23 Embalaje</t>
        </is>
      </c>
      <c r="O59" s="17" t="n"/>
      <c r="P59" s="33" t="inlineStr">
        <is>
          <t>P</t>
        </is>
      </c>
      <c r="Q59" s="33" t="n"/>
      <c r="R59" s="17" t="inlineStr">
        <is>
          <t>Medida del plano</t>
        </is>
      </c>
    </row>
    <row r="60" outlineLevel="1">
      <c r="A60" s="33" t="n">
        <v>2</v>
      </c>
      <c r="B60" s="33" t="inlineStr">
        <is>
          <t>AFFF50-E3</t>
        </is>
      </c>
      <c r="C60" s="17" t="inlineStr">
        <is>
          <t xml:space="preserve">        Pallet 1200 × 1000 (fracción)</t>
        </is>
      </c>
      <c r="D60" s="33" t="n">
        <v>0.5</v>
      </c>
      <c r="E60" s="33" t="inlineStr">
        <is>
          <t>u</t>
        </is>
      </c>
      <c r="F60" s="34" t="n"/>
      <c r="G60" s="34" t="n"/>
      <c r="H60" s="33" t="inlineStr">
        <is>
          <t>Madera</t>
        </is>
      </c>
      <c r="I60" s="17" t="inlineStr">
        <is>
          <t>2 u por pallet</t>
        </is>
      </c>
      <c r="J60" s="33" t="inlineStr">
        <is>
          <t>Compra</t>
        </is>
      </c>
      <c r="K60" s="33" t="inlineStr">
        <is>
          <t>No</t>
        </is>
      </c>
      <c r="L60" s="17" t="n"/>
      <c r="M60" s="17" t="n"/>
      <c r="N60" s="17" t="inlineStr">
        <is>
          <t>23 Embalaje</t>
        </is>
      </c>
      <c r="O60" s="17" t="n"/>
      <c r="P60" s="33" t="inlineStr">
        <is>
          <t>C</t>
        </is>
      </c>
      <c r="Q60" s="33" t="n"/>
      <c r="R60" s="17" t="inlineStr">
        <is>
          <t>u por pallet = acomodo de la caja (plano) en 1200 × 1000 × 1450 de alto</t>
        </is>
      </c>
    </row>
    <row r="61" outlineLevel="1">
      <c r="A61" s="33" t="n">
        <v>2</v>
      </c>
      <c r="B61" s="33" t="inlineStr">
        <is>
          <t>AFFF50-E4</t>
        </is>
      </c>
      <c r="C61" s="17" t="inlineStr">
        <is>
          <t xml:space="preserve">        Film stretch (fracción del pallet)</t>
        </is>
      </c>
      <c r="D61" s="33" t="n">
        <v>0.06</v>
      </c>
      <c r="E61" s="33" t="inlineStr">
        <is>
          <t>kg</t>
        </is>
      </c>
      <c r="F61" s="34" t="n">
        <v>1</v>
      </c>
      <c r="G61" s="34">
        <f>D61*F61</f>
        <v/>
      </c>
      <c r="H61" s="33" t="inlineStr">
        <is>
          <t>PE lineal 23 µm</t>
        </is>
      </c>
      <c r="I61" s="17" t="inlineStr">
        <is>
          <t>0,12 kg por pallet / 2 u</t>
        </is>
      </c>
      <c r="J61" s="33" t="inlineStr">
        <is>
          <t>Compra</t>
        </is>
      </c>
      <c r="K61" s="33" t="inlineStr">
        <is>
          <t>No</t>
        </is>
      </c>
      <c r="L61" s="17" t="n"/>
      <c r="M61" s="17" t="n"/>
      <c r="N61" s="17" t="inlineStr">
        <is>
          <t>24 Envolvedora (T11)</t>
        </is>
      </c>
      <c r="O61" s="17" t="n"/>
      <c r="P61" s="33" t="inlineStr">
        <is>
          <t>C</t>
        </is>
      </c>
      <c r="Q61" s="33" t="n"/>
      <c r="R6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 outlineLevel="1">
      <c r="A62" s="33" t="n">
        <v>2</v>
      </c>
      <c r="B62" s="33" t="inlineStr">
        <is>
          <t>AFFF50-E5</t>
        </is>
      </c>
      <c r="C62" s="17" t="inlineStr">
        <is>
          <t xml:space="preserve">        Etiqueta de pallet (lote y destino, fracción)</t>
        </is>
      </c>
      <c r="D62" s="33" t="n">
        <v>0.5</v>
      </c>
      <c r="E62" s="33" t="inlineStr">
        <is>
          <t>u</t>
        </is>
      </c>
      <c r="F62" s="34" t="n"/>
      <c r="G62" s="34" t="n"/>
      <c r="H62" s="33" t="inlineStr">
        <is>
          <t>Papel térmico</t>
        </is>
      </c>
      <c r="I62" s="17" t="inlineStr">
        <is>
          <t>100 × 150</t>
        </is>
      </c>
      <c r="J62" s="33" t="inlineStr">
        <is>
          <t>Compra</t>
        </is>
      </c>
      <c r="K62" s="33" t="inlineStr">
        <is>
          <t>No</t>
        </is>
      </c>
      <c r="L62" s="17" t="n"/>
      <c r="M62" s="17" t="n"/>
      <c r="N62" s="17" t="inlineStr">
        <is>
          <t>24 Envolvedora</t>
        </is>
      </c>
      <c r="O62" s="17" t="n"/>
      <c r="P62" s="33" t="inlineStr">
        <is>
          <t>C</t>
        </is>
      </c>
      <c r="Q62" s="33" t="n"/>
      <c r="R62" s="17" t="n"/>
    </row>
  </sheetData>
  <autoFilter ref="A10:R62"/>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66" t="inlineStr">
        <is>
          <t>Extintor BC 5 kg</t>
        </is>
      </c>
    </row>
    <row r="3">
      <c r="A3" s="2" t="inlineStr">
        <is>
          <t>Plano de origen</t>
        </is>
      </c>
      <c r="C3" t="inlineStr">
        <is>
          <t>FL_MAT_BC_5kg  (4 láminas)</t>
        </is>
      </c>
      <c r="E3" s="2" t="inlineStr">
        <is>
          <t>Peso vacío S1-S4 (kg)</t>
        </is>
      </c>
      <c r="G3" s="67">
        <f>G13+G18+G32</f>
        <v/>
      </c>
    </row>
    <row r="4">
      <c r="A4" s="2" t="inlineStr">
        <is>
          <t>Plano de despiece</t>
        </is>
      </c>
      <c r="C4" t="inlineStr">
        <is>
          <t>FL_DES_BC_5kg (salida/despiece/)</t>
        </is>
      </c>
      <c r="E4" s="2" t="inlineStr">
        <is>
          <t>Peso cargado S1-S6 (kg)</t>
        </is>
      </c>
      <c r="G4" s="67">
        <f>G13+G18+G32+G37+G40</f>
        <v/>
      </c>
    </row>
    <row r="5">
      <c r="A5" s="2" t="inlineStr">
        <is>
          <t>Norma del producto</t>
        </is>
      </c>
      <c r="C5" t="inlineStr">
        <is>
          <t>IRAM 3523</t>
        </is>
      </c>
      <c r="E5" s="2" t="inlineStr">
        <is>
          <t>Peso con soporte y embalaje (kg)</t>
        </is>
      </c>
      <c r="G5" s="67">
        <f>G13+G18+G32+G37+G40+G52+G48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8.5</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FL_MAT_BC_5kg</t>
        </is>
      </c>
      <c r="C11" s="28" t="inlineStr">
        <is>
          <t>Extintor BC 5 kg</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FL_MAT_BC_5kg</t>
        </is>
      </c>
      <c r="R11" s="28" t="inlineStr">
        <is>
          <t>Revendido: se compra terminado al fabricante con Sello IRAM; las piezas internas quedan como referencia (no entran en MRP)</t>
        </is>
      </c>
    </row>
    <row r="12">
      <c r="A12" s="30" t="n">
        <v>1</v>
      </c>
      <c r="B12" s="30" t="inlineStr">
        <is>
          <t>BC5-S0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FL_MAT_BC_5kg</t>
        </is>
      </c>
      <c r="R12" s="31" t="inlineStr">
        <is>
          <t>Única fila de compra del revendido (más la tarjeta AGC si el destino es CABA)</t>
        </is>
      </c>
    </row>
    <row r="13">
      <c r="A13" s="30" t="n">
        <v>1</v>
      </c>
      <c r="B13" s="30" t="inlineStr">
        <is>
          <t>BC5-S1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FL_DES_BC_5kg</t>
        </is>
      </c>
      <c r="R13" s="31" t="n"/>
    </row>
    <row r="14" outlineLevel="1">
      <c r="A14" s="33" t="n">
        <v>2</v>
      </c>
      <c r="B14" s="33" t="inlineStr">
        <is>
          <t>BC5-01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FL_DES_BC_5kg</t>
        </is>
      </c>
      <c r="R14" s="17" t="inlineStr">
        <is>
          <t>costura long. MAG</t>
        </is>
      </c>
    </row>
    <row r="15" outlineLevel="1">
      <c r="A15" s="33" t="n">
        <v>2</v>
      </c>
      <c r="B15" s="33" t="inlineStr">
        <is>
          <t>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FL_DES_BC_5kg</t>
        </is>
      </c>
      <c r="R15" s="17" t="inlineStr">
        <is>
          <t>embutida</t>
        </is>
      </c>
    </row>
    <row r="16" outlineLevel="1">
      <c r="A16" s="33" t="n">
        <v>2</v>
      </c>
      <c r="B16" s="33" t="inlineStr">
        <is>
          <t>BC5-03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FL_DES_BC_5kg</t>
        </is>
      </c>
      <c r="R16" s="17" t="inlineStr">
        <is>
          <t>embutido</t>
        </is>
      </c>
    </row>
    <row r="17" outlineLevel="1">
      <c r="A17" s="33" t="n">
        <v>2</v>
      </c>
      <c r="B17" s="33" t="inlineStr">
        <is>
          <t>BC5-04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FL_DES_BC_5kg</t>
        </is>
      </c>
      <c r="R17" s="17" t="inlineStr">
        <is>
          <t>M30x1,5</t>
        </is>
      </c>
    </row>
    <row r="18">
      <c r="A18" s="30" t="n">
        <v>1</v>
      </c>
      <c r="B18" s="30" t="inlineStr">
        <is>
          <t>BC5-S2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FL_DES_BC_5kg</t>
        </is>
      </c>
      <c r="R18" s="31" t="n"/>
    </row>
    <row r="19" outlineLevel="1">
      <c r="A19" s="33" t="n">
        <v>2</v>
      </c>
      <c r="B19" s="33" t="inlineStr">
        <is>
          <t>BC5-05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FL_DES_BC_5kg</t>
        </is>
      </c>
      <c r="R19" s="17" t="n"/>
    </row>
    <row r="20" outlineLevel="1">
      <c r="A20" s="33" t="n">
        <v>2</v>
      </c>
      <c r="B20" s="33" t="inlineStr">
        <is>
          <t>BC5-06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FL_DES_BC_5kg</t>
        </is>
      </c>
      <c r="R20" s="17" t="n"/>
    </row>
    <row r="21" outlineLevel="1">
      <c r="A21" s="33" t="n">
        <v>2</v>
      </c>
      <c r="B21" s="33" t="inlineStr">
        <is>
          <t>BC5-07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FL_DES_BC_5kg</t>
        </is>
      </c>
      <c r="R21" s="17" t="n"/>
    </row>
    <row r="22" outlineLevel="1">
      <c r="A22" s="33" t="n">
        <v>2</v>
      </c>
      <c r="B22" s="33" t="inlineStr">
        <is>
          <t>BC5-08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FL_DES_BC_5kg</t>
        </is>
      </c>
      <c r="R22" s="17" t="inlineStr">
        <is>
          <t>Pieza comercial; sello IRAM 3533; peso: completar con la ficha del proveedor (no afecta el MRP)</t>
        </is>
      </c>
    </row>
    <row r="23" outlineLevel="1">
      <c r="A23" s="33" t="n">
        <v>2</v>
      </c>
      <c r="B23" s="33" t="inlineStr">
        <is>
          <t>BC5-09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FL_DES_BC_5kg</t>
        </is>
      </c>
      <c r="R23" s="17" t="n"/>
    </row>
    <row r="24" outlineLevel="1">
      <c r="A24" s="33" t="n">
        <v>2</v>
      </c>
      <c r="B24" s="33" t="inlineStr">
        <is>
          <t>BC5-10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FL_DES_BC_5kg</t>
        </is>
      </c>
      <c r="R24" s="17" t="n"/>
    </row>
    <row r="25" outlineLevel="1">
      <c r="A25" s="33" t="n">
        <v>2</v>
      </c>
      <c r="B25" s="33" t="inlineStr">
        <is>
          <t>BC5-11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FL_DES_BC_5kg</t>
        </is>
      </c>
      <c r="R25" s="17" t="n"/>
    </row>
    <row r="26" outlineLevel="1">
      <c r="A26" s="33" t="n">
        <v>2</v>
      </c>
      <c r="B26" s="33" t="inlineStr">
        <is>
          <t>BC5-12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FL_DES_BC_5kg</t>
        </is>
      </c>
      <c r="R26" s="17" t="inlineStr">
        <is>
          <t>con junta tórica</t>
        </is>
      </c>
    </row>
    <row r="27" outlineLevel="1">
      <c r="A27" s="33" t="n">
        <v>2</v>
      </c>
      <c r="B27" s="33" t="inlineStr">
        <is>
          <t>BC5-13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FL_DES_BC_5kg</t>
        </is>
      </c>
      <c r="R27" s="17" t="inlineStr">
        <is>
          <t>con precinto</t>
        </is>
      </c>
    </row>
    <row r="28" outlineLevel="1">
      <c r="A28" s="33" t="n">
        <v>2</v>
      </c>
      <c r="B28" s="33" t="inlineStr">
        <is>
          <t>BC5-14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FL_DES_BC_5kg</t>
        </is>
      </c>
      <c r="R28" s="17" t="n"/>
    </row>
    <row r="29" outlineLevel="1">
      <c r="A29" s="33" t="n">
        <v>2</v>
      </c>
      <c r="B29" s="33" t="inlineStr">
        <is>
          <t>BC5-24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FL_DES_BC_5kg</t>
        </is>
      </c>
      <c r="R29" s="17" t="inlineStr">
        <is>
          <t>cambio c/recarga</t>
        </is>
      </c>
    </row>
    <row r="30" outlineLevel="1">
      <c r="A30" s="33" t="n">
        <v>2</v>
      </c>
      <c r="B30" s="33" t="inlineStr">
        <is>
          <t>BC5-V2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BC5-V3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BC5-S3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FL_DES_BC_5kg</t>
        </is>
      </c>
      <c r="R32" s="31" t="n"/>
    </row>
    <row r="33" outlineLevel="1">
      <c r="A33" s="33" t="n">
        <v>2</v>
      </c>
      <c r="B33" s="33" t="inlineStr">
        <is>
          <t>BC5-15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FL_DES_BC_5kg</t>
        </is>
      </c>
      <c r="R33" s="17" t="n"/>
    </row>
    <row r="34" outlineLevel="1">
      <c r="A34" s="33" t="n">
        <v>2</v>
      </c>
      <c r="B34" s="33" t="inlineStr">
        <is>
          <t>BC5-16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FL_DES_BC_5kg</t>
        </is>
      </c>
      <c r="R34" s="17" t="n"/>
    </row>
    <row r="35" outlineLevel="1">
      <c r="A35" s="33" t="n">
        <v>2</v>
      </c>
      <c r="B35" s="33" t="inlineStr">
        <is>
          <t>BC5-17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FL_DES_BC_5kg</t>
        </is>
      </c>
      <c r="R35" s="17" t="n"/>
    </row>
    <row r="36" outlineLevel="1">
      <c r="A36" s="33" t="n">
        <v>2</v>
      </c>
      <c r="B36" s="33" t="inlineStr">
        <is>
          <t>BC5-18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FL_DES_BC_5kg</t>
        </is>
      </c>
      <c r="R36" s="17" t="n"/>
    </row>
    <row r="37">
      <c r="A37" s="30" t="n">
        <v>1</v>
      </c>
      <c r="B37" s="30" t="inlineStr">
        <is>
          <t>BC5-S5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BC5-A1</t>
        </is>
      </c>
      <c r="C38" s="17" t="inlineStr">
        <is>
          <t xml:space="preserve">        Polvo químico seco BC - BC sódico (NaHCO₃ ≥ 85,5 %)</t>
        </is>
      </c>
      <c r="D38" s="33" t="n">
        <v>5.15</v>
      </c>
      <c r="E38" s="33" t="inlineStr">
        <is>
          <t>kg</t>
        </is>
      </c>
      <c r="F38" s="34" t="n">
        <v>1</v>
      </c>
      <c r="G38" s="34">
        <f>D38*F38</f>
        <v/>
      </c>
      <c r="H38" s="33" t="inlineStr">
        <is>
          <t>Polvo químico seco BC - BC sódico (NaHCO₃ ≥ 85,5 %)</t>
        </is>
      </c>
      <c r="I38" s="17" t="inlineStr">
        <is>
          <t>nominal 5 kg; tolerancia 0 / +300 g (IRAM 3517-2:2020 tabla 3 · IRAM 3523 tabla II)</t>
        </is>
      </c>
      <c r="J38" s="33" t="inlineStr">
        <is>
          <t>Compra</t>
        </is>
      </c>
      <c r="K38" s="33" t="inlineStr">
        <is>
          <t>No</t>
        </is>
      </c>
      <c r="L38" s="17" t="n"/>
      <c r="M38" s="17" t="n"/>
      <c r="N38" s="17" t="inlineStr">
        <is>
          <t>SP-1 almacén previo a la carga</t>
        </is>
      </c>
      <c r="O38" s="17" t="inlineStr">
        <is>
          <t>IRAM 3566</t>
        </is>
      </c>
      <c r="P38" s="33" t="inlineStr">
        <is>
          <t>N</t>
        </is>
      </c>
      <c r="Q38" s="33" t="n"/>
      <c r="R38" s="17" t="inlineStr">
        <is>
          <t>potencial - · alternativa BC Púrpura K (KHCO₃ 92 ± 5 %): 40B · Lote único por extintor; prohibido mezclar ABC con BC (3517-2 9.9.1.6)</t>
        </is>
      </c>
    </row>
    <row r="39" outlineLevel="1">
      <c r="A39" s="33" t="n">
        <v>2</v>
      </c>
      <c r="B39" s="33" t="inlineStr">
        <is>
          <t>BC5-A2</t>
        </is>
      </c>
      <c r="C39" s="17" t="inlineStr">
        <is>
          <t xml:space="preserve">        Gas impulsor: N₂</t>
        </is>
      </c>
      <c r="D39" s="33" t="n">
        <v>0.0077</v>
      </c>
      <c r="E39" s="33" t="inlineStr">
        <is>
          <t>kg</t>
        </is>
      </c>
      <c r="F39" s="34" t="n">
        <v>1</v>
      </c>
      <c r="G39" s="34">
        <f>D39*F39</f>
        <v/>
      </c>
      <c r="H39" s="33" t="inlineStr">
        <is>
          <t>N₂</t>
        </is>
      </c>
      <c r="I39" s="17" t="inlineStr">
        <is>
          <t>6,1 L normales para 1,4 MPa a 20 °C en 0,44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BC5-S6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BC5-19</t>
        </is>
      </c>
      <c r="C41" s="17" t="inlineStr">
        <is>
          <t xml:space="preserve">        Etiqueta / placa de características</t>
        </is>
      </c>
      <c r="D41" s="33" t="n">
        <v>1</v>
      </c>
      <c r="E41" s="33" t="inlineStr">
        <is>
          <t>u</t>
        </is>
      </c>
      <c r="F41" s="34" t="n">
        <v>0.0172</v>
      </c>
      <c r="G41" s="34">
        <f>D41*F41</f>
        <v/>
      </c>
      <c r="H41" s="33" t="inlineStr">
        <is>
          <t>Vinilo autoadhesivo laminado</t>
        </is>
      </c>
      <c r="I41" s="17" t="inlineStr">
        <is>
          <t>289 × 142 (desarrollo × alto: panel central 108° + 2 alas laterales), e ≈ 0,3, laminado UV</t>
        </is>
      </c>
      <c r="J41" s="33" t="inlineStr">
        <is>
          <t>Compra</t>
        </is>
      </c>
      <c r="K41" s="33" t="inlineStr">
        <is>
          <t>No</t>
        </is>
      </c>
      <c r="L41" s="17" t="n"/>
      <c r="M41" s="17" t="n"/>
      <c r="N41" s="17" t="inlineStr">
        <is>
          <t>22 Etiquetado (T07)</t>
        </is>
      </c>
      <c r="O41" s="17" t="inlineStr">
        <is>
          <t>IRAM 3534 · IRAM 3523 cap. 5 · relevamiento de mercado</t>
        </is>
      </c>
      <c r="P41" s="33" t="inlineStr">
        <is>
          <t>P</t>
        </is>
      </c>
      <c r="Q41" s="33" t="inlineStr">
        <is>
          <t>FL_DES_BC_5kg</t>
        </is>
      </c>
      <c r="R41" s="17" t="inlineStr">
        <is>
          <t>IRAM 3534</t>
        </is>
      </c>
    </row>
    <row r="42" outlineLevel="1">
      <c r="A42" s="33" t="n">
        <v>2</v>
      </c>
      <c r="B42" s="33" t="inlineStr">
        <is>
          <t>BC5-20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FL_DES_BC_5kg</t>
        </is>
      </c>
      <c r="R42" s="17" t="inlineStr">
        <is>
          <t>Res. 522/07</t>
        </is>
      </c>
    </row>
    <row r="43" outlineLevel="1">
      <c r="A43" s="33" t="n">
        <v>2</v>
      </c>
      <c r="B43" s="33" t="inlineStr">
        <is>
          <t>BC5-21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FL_DES_BC_5kg</t>
        </is>
      </c>
      <c r="R43" s="17" t="inlineStr">
        <is>
          <t>numerada</t>
        </is>
      </c>
    </row>
    <row r="44" outlineLevel="1">
      <c r="A44" s="33" t="n">
        <v>2</v>
      </c>
      <c r="B44" s="33" t="inlineStr">
        <is>
          <t>BC5-22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FL_DES_BC_5kg</t>
        </is>
      </c>
      <c r="R44" s="17" t="inlineStr">
        <is>
          <t>sólo destino CABA; sólo destino CABA</t>
        </is>
      </c>
    </row>
    <row r="45" outlineLevel="1">
      <c r="A45" s="33" t="n">
        <v>2</v>
      </c>
      <c r="B45" s="33" t="inlineStr">
        <is>
          <t>BC5-23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FL_DES_BC_5kg</t>
        </is>
      </c>
      <c r="R45" s="17" t="inlineStr">
        <is>
          <t>QR GTIN + serie</t>
        </is>
      </c>
    </row>
    <row r="46" outlineLevel="1">
      <c r="A46" s="33" t="n">
        <v>2</v>
      </c>
      <c r="B46" s="33" t="inlineStr">
        <is>
          <t>BC5-25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FL_DES_BC_5kg</t>
        </is>
      </c>
      <c r="R46" s="17" t="inlineStr">
        <is>
          <t>nuevo sin abrir</t>
        </is>
      </c>
    </row>
    <row r="47" outlineLevel="1">
      <c r="A47" s="33" t="n">
        <v>2</v>
      </c>
      <c r="B47" s="33" t="inlineStr">
        <is>
          <t>BC5-26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FL_DES_BC_5kg</t>
        </is>
      </c>
      <c r="R47" s="17" t="inlineStr">
        <is>
          <t>id. FLAMA y lote</t>
        </is>
      </c>
    </row>
    <row r="48">
      <c r="A48" s="30" t="n">
        <v>1</v>
      </c>
      <c r="B48" s="30" t="inlineStr">
        <is>
          <t>BC5-S8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BC5-I5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BC5-I6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BC5-I8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BC5-S7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BC5-E1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BC5-E2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BC5-E3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BC5-E4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BC5-E5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BC5-E6</t>
        </is>
      </c>
      <c r="C58" s="17" t="inlineStr">
        <is>
          <t xml:space="preserve">        Cinta de embalaje PP 48 mm (cierre de la caja)</t>
        </is>
      </c>
      <c r="D58" s="33" t="n">
        <v>0.79</v>
      </c>
      <c r="E58" s="33" t="inlineStr">
        <is>
          <t>m</t>
        </is>
      </c>
      <c r="F58" s="34" t="n"/>
      <c r="G58" s="34" t="n"/>
      <c r="H58" s="33" t="inlineStr">
        <is>
          <t>Polipropileno con adhesivo acrílico</t>
        </is>
      </c>
      <c r="I58" s="17" t="inlineStr">
        <is>
          <t>cierre en I arriba y abajo: 2 × (255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BC5-E7</t>
        </is>
      </c>
      <c r="C59" s="17" t="inlineStr">
        <is>
          <t xml:space="preserve">        Esquineros de cartón 50 × 50 × 1200 (fracción del pallet)</t>
        </is>
      </c>
      <c r="D59" s="33" t="n">
        <v>0.1</v>
      </c>
      <c r="E59" s="33" t="inlineStr">
        <is>
          <t>u</t>
        </is>
      </c>
      <c r="F59" s="34" t="n"/>
      <c r="G59" s="34" t="n"/>
      <c r="H59" s="33" t="inlineStr">
        <is>
          <t>Cartón</t>
        </is>
      </c>
      <c r="I59" s="17" t="inlineStr">
        <is>
          <t>4 por pallet / 40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66" t="inlineStr">
        <is>
          <t>Extintor Sales K 6 l</t>
        </is>
      </c>
    </row>
    <row r="3">
      <c r="A3" s="2" t="inlineStr">
        <is>
          <t>Plano de origen</t>
        </is>
      </c>
      <c r="C3" t="inlineStr">
        <is>
          <t>FL_MAT_SALESK_6l  (4 láminas)</t>
        </is>
      </c>
      <c r="E3" s="2" t="inlineStr">
        <is>
          <t>Peso vacío S1-S4 (kg)</t>
        </is>
      </c>
      <c r="G3" s="67">
        <f>G13+G18+G32</f>
        <v/>
      </c>
    </row>
    <row r="4">
      <c r="A4" s="2" t="inlineStr">
        <is>
          <t>Plano de despiece</t>
        </is>
      </c>
      <c r="C4" t="inlineStr">
        <is>
          <t>FL_DES_SALESK_6l (salida/despiece/)</t>
        </is>
      </c>
      <c r="E4" s="2" t="inlineStr">
        <is>
          <t>Peso cargado S1-S6 (kg)</t>
        </is>
      </c>
      <c r="G4" s="67">
        <f>G13+G18+G32+G37+G40</f>
        <v/>
      </c>
    </row>
    <row r="5">
      <c r="A5" s="2" t="inlineStr">
        <is>
          <t>Norma del producto</t>
        </is>
      </c>
      <c r="C5" t="inlineStr">
        <is>
          <t>IRAM 3694</t>
        </is>
      </c>
      <c r="E5" s="2" t="inlineStr">
        <is>
          <t>Peso con soporte y embalaje (kg)</t>
        </is>
      </c>
      <c r="G5" s="67">
        <f>G13+G18+G32+G37+G40+G51+G48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8.25</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FL_MAT_SALESK_6l</t>
        </is>
      </c>
      <c r="C11" s="28" t="inlineStr">
        <is>
          <t>Extintor Sales K 6 l</t>
        </is>
      </c>
      <c r="D11" s="27" t="n">
        <v>1</v>
      </c>
      <c r="E11" s="27" t="inlineStr">
        <is>
          <t>u</t>
        </is>
      </c>
      <c r="F11" s="29" t="n"/>
      <c r="G11" s="29">
        <f>G5</f>
        <v/>
      </c>
      <c r="H11" s="27" t="n"/>
      <c r="I11" s="28" t="n"/>
      <c r="J11" s="27" t="n"/>
      <c r="K11" s="27" t="n"/>
      <c r="L11" s="28" t="n"/>
      <c r="M11" s="28" t="n"/>
      <c r="N11" s="28" t="n"/>
      <c r="O11" s="28" t="inlineStr">
        <is>
          <t>IRAM 3694</t>
        </is>
      </c>
      <c r="P11" s="27" t="inlineStr">
        <is>
          <t>P</t>
        </is>
      </c>
      <c r="Q11" s="27" t="inlineStr">
        <is>
          <t>FL_MAT_SALESK_6l</t>
        </is>
      </c>
      <c r="R11" s="28" t="inlineStr">
        <is>
          <t>Revendido: se compra terminado al fabricante con Sello IRAM; las piezas internas quedan como referencia (no entran en MRP)</t>
        </is>
      </c>
    </row>
    <row r="12">
      <c r="A12" s="30" t="n">
        <v>1</v>
      </c>
      <c r="B12" s="30" t="inlineStr">
        <is>
          <t>SALESK6-S0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Drago (Luis Pasquinelli e Hijos S.A.)</t>
        </is>
      </c>
      <c r="N12" s="31" t="inlineStr">
        <is>
          <t>Recepción y control de ingreso (SP-1)</t>
        </is>
      </c>
      <c r="O12" s="31" t="inlineStr">
        <is>
          <t>IRAM 3694</t>
        </is>
      </c>
      <c r="P12" s="30" t="inlineStr">
        <is>
          <t>I</t>
        </is>
      </c>
      <c r="Q12" s="30" t="inlineStr">
        <is>
          <t>FL_MAT_SALESK_6l</t>
        </is>
      </c>
      <c r="R12" s="31" t="inlineStr">
        <is>
          <t>Única fila de compra del revendido (más la tarjeta AGC si el destino es CABA)</t>
        </is>
      </c>
    </row>
    <row r="13">
      <c r="A13" s="30" t="n">
        <v>1</v>
      </c>
      <c r="B13" s="30" t="inlineStr">
        <is>
          <t>SALESK6-S1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FL_DES_SALESK_6l</t>
        </is>
      </c>
      <c r="R13" s="31" t="n"/>
    </row>
    <row r="14" outlineLevel="1">
      <c r="A14" s="33" t="n">
        <v>2</v>
      </c>
      <c r="B14" s="33" t="inlineStr">
        <is>
          <t>SALESK6-01</t>
        </is>
      </c>
      <c r="C14" s="17" t="inlineStr">
        <is>
          <t xml:space="preserve">        Cuerpo (virola)</t>
        </is>
      </c>
      <c r="D14" s="33" t="n">
        <v>1</v>
      </c>
      <c r="E14" s="33" t="inlineStr">
        <is>
          <t>u</t>
        </is>
      </c>
      <c r="F14" s="34" t="n">
        <v>1.1162</v>
      </c>
      <c r="G14" s="34">
        <f>D14*F14</f>
        <v/>
      </c>
      <c r="H14" s="33" t="inlineStr">
        <is>
          <t>Chapa acero inox. AISI 304 e=0,8</t>
        </is>
      </c>
      <c r="I14" s="17" t="inlineStr">
        <is>
          <t>Ø190 × e0,8 × 296 de alto; desarrollo 594,4 × 296</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FL_DES_SALESK_6l</t>
        </is>
      </c>
      <c r="R14" s="17" t="inlineStr">
        <is>
          <t>costura long. TIG</t>
        </is>
      </c>
    </row>
    <row r="15" outlineLevel="1">
      <c r="A15" s="33" t="n">
        <v>2</v>
      </c>
      <c r="B15" s="33" t="inlineStr">
        <is>
          <t>SALESK6-02</t>
        </is>
      </c>
      <c r="C15" s="17" t="inlineStr">
        <is>
          <t xml:space="preserve">        Cúpula</t>
        </is>
      </c>
      <c r="D15" s="33" t="n">
        <v>1</v>
      </c>
      <c r="E15" s="33" t="inlineStr">
        <is>
          <t>u</t>
        </is>
      </c>
      <c r="F15" s="34" t="n">
        <v>0.2544</v>
      </c>
      <c r="G15" s="34">
        <f>D15*F15</f>
        <v/>
      </c>
      <c r="H15" s="33" t="inlineStr">
        <is>
          <t>Chapa acero inox. AISI 304 e=0,8</t>
        </is>
      </c>
      <c r="I15" s="17" t="inlineStr">
        <is>
          <t>Ø190 × e0,8 × 59 de alto; disco Ø232,7</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FL_DES_SALESK_6l</t>
        </is>
      </c>
      <c r="R15" s="17" t="inlineStr">
        <is>
          <t>embutida</t>
        </is>
      </c>
    </row>
    <row r="16" outlineLevel="1">
      <c r="A16" s="33" t="n">
        <v>2</v>
      </c>
      <c r="B16" s="33" t="inlineStr">
        <is>
          <t>SALESK6-03</t>
        </is>
      </c>
      <c r="C16" s="17" t="inlineStr">
        <is>
          <t xml:space="preserve">        Fondo</t>
        </is>
      </c>
      <c r="D16" s="33" t="n">
        <v>1</v>
      </c>
      <c r="E16" s="33" t="inlineStr">
        <is>
          <t>u</t>
        </is>
      </c>
      <c r="F16" s="34" t="n">
        <v>0.1769</v>
      </c>
      <c r="G16" s="34">
        <f>D16*F16</f>
        <v/>
      </c>
      <c r="H16" s="33" t="inlineStr">
        <is>
          <t>Chapa acero inox. AISI 304 e=0,8</t>
        </is>
      </c>
      <c r="I16" s="17" t="inlineStr">
        <is>
          <t>Ø190 × e0,8 × 10,8 de alto; disco Ø194,1</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FL_DES_SALESK_6l</t>
        </is>
      </c>
      <c r="R16" s="17" t="inlineStr">
        <is>
          <t>embutido</t>
        </is>
      </c>
    </row>
    <row r="17" outlineLevel="1">
      <c r="A17" s="33" t="n">
        <v>2</v>
      </c>
      <c r="B17" s="33" t="inlineStr">
        <is>
          <t>SALESK6-04</t>
        </is>
      </c>
      <c r="C17" s="17" t="inlineStr">
        <is>
          <t xml:space="preserve">        Cuello roscado</t>
        </is>
      </c>
      <c r="D17" s="33" t="n">
        <v>1</v>
      </c>
      <c r="E17" s="33" t="inlineStr">
        <is>
          <t>u</t>
        </is>
      </c>
      <c r="F17" s="34" t="n">
        <v>0.0539</v>
      </c>
      <c r="G17" s="34">
        <f>D17*F17</f>
        <v/>
      </c>
      <c r="H17" s="33" t="inlineStr">
        <is>
          <t>Acero inox. AISI 304</t>
        </is>
      </c>
      <c r="I17" s="17" t="inlineStr">
        <is>
          <t>Ø37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FL_DES_SALESK_6l</t>
        </is>
      </c>
      <c r="R17" s="17" t="inlineStr">
        <is>
          <t>M30x1,5</t>
        </is>
      </c>
    </row>
    <row r="18">
      <c r="A18" s="30" t="n">
        <v>1</v>
      </c>
      <c r="B18" s="30" t="inlineStr">
        <is>
          <t>SALESK6-S2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FL_DES_SALESK_6l</t>
        </is>
      </c>
      <c r="R18" s="31" t="n"/>
    </row>
    <row r="19" outlineLevel="1">
      <c r="A19" s="33" t="n">
        <v>2</v>
      </c>
      <c r="B19" s="33" t="inlineStr">
        <is>
          <t>SALESK6-05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FL_DES_SALESK_6l</t>
        </is>
      </c>
      <c r="R19" s="17" t="n"/>
    </row>
    <row r="20" outlineLevel="1">
      <c r="A20" s="33" t="n">
        <v>2</v>
      </c>
      <c r="B20" s="33" t="inlineStr">
        <is>
          <t>SALESK6-06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FL_DES_SALESK_6l</t>
        </is>
      </c>
      <c r="R20" s="17" t="n"/>
    </row>
    <row r="21" outlineLevel="1">
      <c r="A21" s="33" t="n">
        <v>2</v>
      </c>
      <c r="B21" s="33" t="inlineStr">
        <is>
          <t>SALESK6-07</t>
        </is>
      </c>
      <c r="C21" s="17" t="inlineStr">
        <is>
          <t xml:space="preserve">        Cuerpo de válvula</t>
        </is>
      </c>
      <c r="D21" s="33" t="n">
        <v>1</v>
      </c>
      <c r="E21" s="33" t="inlineStr">
        <is>
          <t>u</t>
        </is>
      </c>
      <c r="F21" s="34" t="n">
        <v>0.463</v>
      </c>
      <c r="G21" s="34">
        <f>D21*F21</f>
        <v/>
      </c>
      <c r="H21" s="33" t="inlineStr">
        <is>
          <t>Latón forjado</t>
        </is>
      </c>
      <c r="I21" s="17" t="inlineStr">
        <is>
          <t>63,4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FL_DES_SALESK_6l</t>
        </is>
      </c>
      <c r="R21" s="17" t="n"/>
    </row>
    <row r="22" outlineLevel="1">
      <c r="A22" s="33" t="n">
        <v>2</v>
      </c>
      <c r="B22" s="33" t="inlineStr">
        <is>
          <t>SALESK6-08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FL_DES_SALESK_6l</t>
        </is>
      </c>
      <c r="R22" s="17" t="inlineStr">
        <is>
          <t>Pieza comercial; sello IRAM 3533; peso: completar con la ficha del proveedor (no afecta el MRP)</t>
        </is>
      </c>
    </row>
    <row r="23" outlineLevel="1">
      <c r="A23" s="33" t="n">
        <v>2</v>
      </c>
      <c r="B23" s="33" t="inlineStr">
        <is>
          <t>SALESK6-09</t>
        </is>
      </c>
      <c r="C23" s="17" t="inlineStr">
        <is>
          <t xml:space="preserve">        Manija de transporte</t>
        </is>
      </c>
      <c r="D23" s="33" t="n">
        <v>1</v>
      </c>
      <c r="E23" s="33" t="inlineStr">
        <is>
          <t>u</t>
        </is>
      </c>
      <c r="F23" s="34" t="n">
        <v>0.0793</v>
      </c>
      <c r="G23" s="34">
        <f>D23*F23</f>
        <v/>
      </c>
      <c r="H23" s="33" t="inlineStr">
        <is>
          <t>Chapa acero SAE 1010 pintada</t>
        </is>
      </c>
      <c r="I23" s="17" t="inlineStr">
        <is>
          <t>126 × 20 × 17,2</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FL_DES_SALESK_6l</t>
        </is>
      </c>
      <c r="R23" s="17" t="n"/>
    </row>
    <row r="24" outlineLevel="1">
      <c r="A24" s="33" t="n">
        <v>2</v>
      </c>
      <c r="B24" s="33" t="inlineStr">
        <is>
          <t>SALESK6-10</t>
        </is>
      </c>
      <c r="C24" s="17" t="inlineStr">
        <is>
          <t xml:space="preserve">        Manija de accionamiento</t>
        </is>
      </c>
      <c r="D24" s="33" t="n">
        <v>1</v>
      </c>
      <c r="E24" s="33" t="inlineStr">
        <is>
          <t>u</t>
        </is>
      </c>
      <c r="F24" s="34" t="n">
        <v>0.1063</v>
      </c>
      <c r="G24" s="34">
        <f>D24*F24</f>
        <v/>
      </c>
      <c r="H24" s="33" t="inlineStr">
        <is>
          <t>Chapa acero SAE 1010 pintada</t>
        </is>
      </c>
      <c r="I24" s="17" t="inlineStr">
        <is>
          <t>168,5 × 24,6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FL_DES_SALESK_6l</t>
        </is>
      </c>
      <c r="R24" s="17" t="n"/>
    </row>
    <row r="25" outlineLevel="1">
      <c r="A25" s="33" t="n">
        <v>2</v>
      </c>
      <c r="B25" s="33" t="inlineStr">
        <is>
          <t>SALESK6-11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FL_DES_SALESK_6l</t>
        </is>
      </c>
      <c r="R25" s="17" t="n"/>
    </row>
    <row r="26" outlineLevel="1">
      <c r="A26" s="33" t="n">
        <v>2</v>
      </c>
      <c r="B26" s="33" t="inlineStr">
        <is>
          <t>SALESK6-12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FL_DES_SALESK_6l</t>
        </is>
      </c>
      <c r="R26" s="17" t="inlineStr">
        <is>
          <t>con junta tórica</t>
        </is>
      </c>
    </row>
    <row r="27" outlineLevel="1">
      <c r="A27" s="33" t="n">
        <v>2</v>
      </c>
      <c r="B27" s="33" t="inlineStr">
        <is>
          <t>SALESK6-13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FL_DES_SALESK_6l</t>
        </is>
      </c>
      <c r="R27" s="17" t="inlineStr">
        <is>
          <t>con precinto</t>
        </is>
      </c>
    </row>
    <row r="28" outlineLevel="1">
      <c r="A28" s="33" t="n">
        <v>2</v>
      </c>
      <c r="B28" s="33" t="inlineStr">
        <is>
          <t>SALESK6-14</t>
        </is>
      </c>
      <c r="C28" s="17" t="inlineStr">
        <is>
          <t xml:space="preserve">        Caño de pesca (sifón)</t>
        </is>
      </c>
      <c r="D28" s="33" t="n">
        <v>1</v>
      </c>
      <c r="E28" s="33" t="inlineStr">
        <is>
          <t>u</t>
        </is>
      </c>
      <c r="F28" s="34" t="n">
        <v>0.0149</v>
      </c>
      <c r="G28" s="34">
        <f>D28*F28</f>
        <v/>
      </c>
      <c r="H28" s="33" t="inlineStr">
        <is>
          <t>Tubo polipropileno</t>
        </is>
      </c>
      <c r="I28" s="17" t="inlineStr">
        <is>
          <t>Ø12 × 334,2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FL_DES_SALESK_6l</t>
        </is>
      </c>
      <c r="R28" s="17" t="n"/>
    </row>
    <row r="29" outlineLevel="1">
      <c r="A29" s="33" t="n">
        <v>2</v>
      </c>
      <c r="B29" s="33" t="inlineStr">
        <is>
          <t>SALESK6-24</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FL_DES_SALESK_6l</t>
        </is>
      </c>
      <c r="R29" s="17" t="inlineStr">
        <is>
          <t>cambio c/recarga</t>
        </is>
      </c>
    </row>
    <row r="30" outlineLevel="1">
      <c r="A30" s="33" t="n">
        <v>2</v>
      </c>
      <c r="B30" s="33" t="inlineStr">
        <is>
          <t>SALESK6-V2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SALESK6-V3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SALESK6-S3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FL_DES_SALESK_6l</t>
        </is>
      </c>
      <c r="R32" s="31" t="n"/>
    </row>
    <row r="33" outlineLevel="1">
      <c r="A33" s="33" t="n">
        <v>2</v>
      </c>
      <c r="B33" s="33" t="inlineStr">
        <is>
          <t>SALESK6-15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FL_DES_SALESK_6l</t>
        </is>
      </c>
      <c r="R33" s="17" t="n"/>
    </row>
    <row r="34" outlineLevel="1">
      <c r="A34" s="33" t="n">
        <v>2</v>
      </c>
      <c r="B34" s="33" t="inlineStr">
        <is>
          <t>SALESK6-16</t>
        </is>
      </c>
      <c r="C34" s="17" t="inlineStr">
        <is>
          <t xml:space="preserve">        Manguera</t>
        </is>
      </c>
      <c r="D34" s="33" t="n">
        <v>1</v>
      </c>
      <c r="E34" s="33" t="inlineStr">
        <is>
          <t>u</t>
        </is>
      </c>
      <c r="F34" s="34" t="n">
        <v>0.0198</v>
      </c>
      <c r="G34" s="34">
        <f>D34*F34</f>
        <v/>
      </c>
      <c r="H34" s="33" t="inlineStr">
        <is>
          <t>Caucho sintético</t>
        </is>
      </c>
      <c r="I34" s="17" t="inlineStr">
        <is>
          <t>Ø16 × 128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FL_DES_SALESK_6l</t>
        </is>
      </c>
      <c r="R34" s="17" t="n"/>
    </row>
    <row r="35" outlineLevel="1">
      <c r="A35" s="33" t="n">
        <v>2</v>
      </c>
      <c r="B35" s="33" t="inlineStr">
        <is>
          <t>SALESK6-17</t>
        </is>
      </c>
      <c r="C35" s="17" t="inlineStr">
        <is>
          <t xml:space="preserve">        Lanza aplicadora clase K</t>
        </is>
      </c>
      <c r="D35" s="33" t="n">
        <v>1</v>
      </c>
      <c r="E35" s="33" t="inlineStr">
        <is>
          <t>u</t>
        </is>
      </c>
      <c r="F35" s="34" t="n">
        <v>0.2727</v>
      </c>
      <c r="G35" s="34">
        <f>D35*F35</f>
        <v/>
      </c>
      <c r="H35" s="33" t="inlineStr">
        <is>
          <t>Acero inox. AISI 304</t>
        </is>
      </c>
      <c r="I35" s="17" t="inlineStr">
        <is>
          <t>300 × 26 × 26</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FL_DES_SALESK_6l</t>
        </is>
      </c>
      <c r="R35" s="17" t="n"/>
    </row>
    <row r="36" outlineLevel="1">
      <c r="A36" s="33" t="n">
        <v>2</v>
      </c>
      <c r="B36" s="33" t="inlineStr">
        <is>
          <t>SALESK6-18</t>
        </is>
      </c>
      <c r="C36" s="17" t="inlineStr">
        <is>
          <t xml:space="preserve">        Suncho portatobera</t>
        </is>
      </c>
      <c r="D36" s="33" t="n">
        <v>1</v>
      </c>
      <c r="E36" s="33" t="inlineStr">
        <is>
          <t>u</t>
        </is>
      </c>
      <c r="F36" s="34" t="n">
        <v>0.162</v>
      </c>
      <c r="G36" s="34">
        <f>D36*F36</f>
        <v/>
      </c>
      <c r="H36" s="33" t="inlineStr">
        <is>
          <t>Fleje acero SAE 1010 pintado</t>
        </is>
      </c>
      <c r="I36" s="17" t="inlineStr">
        <is>
          <t>199,9 × 193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FL_DES_SALESK_6l</t>
        </is>
      </c>
      <c r="R36" s="17" t="n"/>
    </row>
    <row r="37">
      <c r="A37" s="30" t="n">
        <v>1</v>
      </c>
      <c r="B37" s="30" t="inlineStr">
        <is>
          <t>SALESK6-S5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SALESK6-A1</t>
        </is>
      </c>
      <c r="C38" s="17" t="inlineStr">
        <is>
          <t xml:space="preserve">        Acetato de potasio - DEMSA Kitchen - Acetato de potasio (DEMSA Kitchen, 1,300 g/ml, pH 8,5)</t>
        </is>
      </c>
      <c r="D38" s="33" t="n">
        <v>6.09</v>
      </c>
      <c r="E38" s="33" t="inlineStr">
        <is>
          <t>L</t>
        </is>
      </c>
      <c r="F38" s="34" t="n">
        <v>1.3</v>
      </c>
      <c r="G38" s="34">
        <f>D38*F38</f>
        <v/>
      </c>
      <c r="H38" s="33" t="inlineStr">
        <is>
          <t>Acetato de potasio - DEMSA Kitchen - Acetato de potasio (DEMSA Kitchen, 1,300 g/ml, pH 8,5)</t>
        </is>
      </c>
      <c r="I38" s="17" t="inlineStr">
        <is>
          <t>nominal 6 L; tolerancia 0 / +3 % (IRAM 3517-2:2020 tabla 3)</t>
        </is>
      </c>
      <c r="J38" s="33" t="inlineStr">
        <is>
          <t>Compra</t>
        </is>
      </c>
      <c r="K38" s="33" t="inlineStr">
        <is>
          <t>No</t>
        </is>
      </c>
      <c r="L38" s="17" t="n"/>
      <c r="M38" s="17" t="n"/>
      <c r="N38" s="17" t="inlineStr">
        <is>
          <t>SP-1 almacén previo a la carga</t>
        </is>
      </c>
      <c r="O38" s="17" t="inlineStr">
        <is>
          <t>IRAM 3697</t>
        </is>
      </c>
      <c r="P38" s="33" t="inlineStr">
        <is>
          <t>N</t>
        </is>
      </c>
      <c r="Q38" s="33" t="n"/>
      <c r="R38" s="17" t="inlineStr">
        <is>
          <t>potencial 1A-K</t>
        </is>
      </c>
    </row>
    <row r="39" outlineLevel="1">
      <c r="A39" s="33" t="n">
        <v>2</v>
      </c>
      <c r="B39" s="33" t="inlineStr">
        <is>
          <t>SALESK6-A2</t>
        </is>
      </c>
      <c r="C39" s="17" t="inlineStr">
        <is>
          <t xml:space="preserve">        Gas impulsor: N₂</t>
        </is>
      </c>
      <c r="D39" s="33" t="n">
        <v>0.0306</v>
      </c>
      <c r="E39" s="33" t="inlineStr">
        <is>
          <t>kg</t>
        </is>
      </c>
      <c r="F39" s="34" t="n">
        <v>1</v>
      </c>
      <c r="G39" s="34">
        <f>D39*F39</f>
        <v/>
      </c>
      <c r="H39" s="33" t="inlineStr">
        <is>
          <t>N₂</t>
        </is>
      </c>
      <c r="I39" s="17" t="inlineStr">
        <is>
          <t>24,5 L normales para 0,8 MPa a 20 °C en 2,96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N₂ ≥ 99,8 %, H₂O ≤ 40 ppm (Q-N2, Air Liquide)</t>
        </is>
      </c>
    </row>
    <row r="40">
      <c r="A40" s="30" t="n">
        <v>1</v>
      </c>
      <c r="B40" s="30" t="inlineStr">
        <is>
          <t>SALESK6-S6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SALESK6-19</t>
        </is>
      </c>
      <c r="C41" s="17" t="inlineStr">
        <is>
          <t xml:space="preserve">        Etiqueta / placa de características</t>
        </is>
      </c>
      <c r="D41" s="33" t="n">
        <v>1</v>
      </c>
      <c r="E41" s="33" t="inlineStr">
        <is>
          <t>u</t>
        </is>
      </c>
      <c r="F41" s="34" t="n">
        <v>0.0211</v>
      </c>
      <c r="G41" s="34">
        <f>D41*F41</f>
        <v/>
      </c>
      <c r="H41" s="33" t="inlineStr">
        <is>
          <t>Vinilo autoadhesivo laminado</t>
        </is>
      </c>
      <c r="I41" s="17" t="inlineStr">
        <is>
          <t>359 × 140 (desarrollo × alto: panel central 108° + 2 alas laterales), e ≈ 0,3, laminado UV</t>
        </is>
      </c>
      <c r="J41" s="33" t="inlineStr">
        <is>
          <t>Compra</t>
        </is>
      </c>
      <c r="K41" s="33" t="inlineStr">
        <is>
          <t>No</t>
        </is>
      </c>
      <c r="L41" s="17" t="n"/>
      <c r="M41" s="17" t="n"/>
      <c r="N41" s="17" t="inlineStr">
        <is>
          <t>22 Etiquetado (T07)</t>
        </is>
      </c>
      <c r="O41" s="17" t="inlineStr">
        <is>
          <t>IRAM 3534 · IRAM 3694 cap. 5 · relevamiento de mercado</t>
        </is>
      </c>
      <c r="P41" s="33" t="inlineStr">
        <is>
          <t>P</t>
        </is>
      </c>
      <c r="Q41" s="33" t="inlineStr">
        <is>
          <t>FL_DES_SALESK_6l</t>
        </is>
      </c>
      <c r="R41" s="17" t="inlineStr">
        <is>
          <t>IRAM 3534</t>
        </is>
      </c>
    </row>
    <row r="42" outlineLevel="1">
      <c r="A42" s="33" t="n">
        <v>2</v>
      </c>
      <c r="B42" s="33" t="inlineStr">
        <is>
          <t>SALESK6-20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FL_DES_SALESK_6l</t>
        </is>
      </c>
      <c r="R42" s="17" t="inlineStr">
        <is>
          <t>Res. 522/07</t>
        </is>
      </c>
    </row>
    <row r="43" outlineLevel="1">
      <c r="A43" s="33" t="n">
        <v>2</v>
      </c>
      <c r="B43" s="33" t="inlineStr">
        <is>
          <t>SALESK6-21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FL_DES_SALESK_6l</t>
        </is>
      </c>
      <c r="R43" s="17" t="inlineStr">
        <is>
          <t>numerada</t>
        </is>
      </c>
    </row>
    <row r="44" outlineLevel="1">
      <c r="A44" s="33" t="n">
        <v>2</v>
      </c>
      <c r="B44" s="33" t="inlineStr">
        <is>
          <t>SALESK6-22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FL_DES_SALESK_6l</t>
        </is>
      </c>
      <c r="R44" s="17" t="inlineStr">
        <is>
          <t>sólo destino CABA; sólo destino CABA</t>
        </is>
      </c>
    </row>
    <row r="45" outlineLevel="1">
      <c r="A45" s="33" t="n">
        <v>2</v>
      </c>
      <c r="B45" s="33" t="inlineStr">
        <is>
          <t>SALESK6-23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FL_DES_SALESK_6l</t>
        </is>
      </c>
      <c r="R45" s="17" t="inlineStr">
        <is>
          <t>QR GTIN + serie</t>
        </is>
      </c>
    </row>
    <row r="46" outlineLevel="1">
      <c r="A46" s="33" t="n">
        <v>2</v>
      </c>
      <c r="B46" s="33" t="inlineStr">
        <is>
          <t>SALESK6-25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FL_DES_SALESK_6l</t>
        </is>
      </c>
      <c r="R46" s="17" t="inlineStr">
        <is>
          <t>nuevo sin abrir</t>
        </is>
      </c>
    </row>
    <row r="47" outlineLevel="1">
      <c r="A47" s="33" t="n">
        <v>2</v>
      </c>
      <c r="B47" s="33" t="inlineStr">
        <is>
          <t>SALESK6-26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FL_DES_SALESK_6l</t>
        </is>
      </c>
      <c r="R47" s="17" t="inlineStr">
        <is>
          <t>id. FLAMA y lote</t>
        </is>
      </c>
    </row>
    <row r="48">
      <c r="A48" s="30" t="n">
        <v>1</v>
      </c>
      <c r="B48" s="30" t="inlineStr">
        <is>
          <t>SALESK6-S8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SALESK6-I5</t>
        </is>
      </c>
      <c r="C49" s="17" t="inlineStr">
        <is>
          <t xml:space="preserve">        Soporte de pared (FL_ACC_01)</t>
        </is>
      </c>
      <c r="D49" s="33" t="n">
        <v>1</v>
      </c>
      <c r="E49" s="33" t="inlineStr">
        <is>
          <t>u</t>
        </is>
      </c>
      <c r="F49" s="34" t="n">
        <v>0.327</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SALESK6-I6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c r="A51" s="30" t="n">
        <v>1</v>
      </c>
      <c r="B51" s="30" t="inlineStr">
        <is>
          <t>SALESK6-S7</t>
        </is>
      </c>
      <c r="C51" s="31" t="inlineStr">
        <is>
          <t xml:space="preserve">    Embalaje</t>
        </is>
      </c>
      <c r="D51" s="30" t="n">
        <v>1</v>
      </c>
      <c r="E51" s="30" t="inlineStr">
        <is>
          <t>u</t>
        </is>
      </c>
      <c r="F51" s="32" t="n"/>
      <c r="G51" s="32">
        <f>G55</f>
        <v/>
      </c>
      <c r="H51" s="30" t="n"/>
      <c r="I51" s="31" t="n"/>
      <c r="J51" s="30" t="inlineStr">
        <is>
          <t>Compra</t>
        </is>
      </c>
      <c r="K51" s="30" t="n"/>
      <c r="L51" s="31" t="n"/>
      <c r="M51" s="31" t="n"/>
      <c r="N51" s="31" t="inlineStr">
        <is>
          <t>23 Embalaje -&gt; 24 envolvedora (T11)</t>
        </is>
      </c>
      <c r="O51" s="31" t="n"/>
      <c r="P51" s="30" t="n"/>
      <c r="Q51" s="30" t="n"/>
      <c r="R51" s="31" t="n"/>
    </row>
    <row r="52" outlineLevel="1">
      <c r="A52" s="33" t="n">
        <v>2</v>
      </c>
      <c r="B52" s="33" t="inlineStr">
        <is>
          <t>SALESK6-E1</t>
        </is>
      </c>
      <c r="C52" s="17" t="inlineStr">
        <is>
          <t xml:space="preserve">        Caja de cartón corrugado doble</t>
        </is>
      </c>
      <c r="D52" s="33" t="n">
        <v>1</v>
      </c>
      <c r="E52" s="33" t="inlineStr">
        <is>
          <t>u</t>
        </is>
      </c>
      <c r="F52" s="34" t="n"/>
      <c r="G52" s="34" t="n"/>
      <c r="H52" s="33" t="inlineStr">
        <is>
          <t>Cartón corrugado</t>
        </is>
      </c>
      <c r="I52" s="17" t="inlineStr">
        <is>
          <t>300 × 223 × 490 interior (envolvente del plano + 15 por lado)</t>
        </is>
      </c>
      <c r="J52" s="33" t="inlineStr">
        <is>
          <t>Compra</t>
        </is>
      </c>
      <c r="K52" s="33" t="inlineStr">
        <is>
          <t>No</t>
        </is>
      </c>
      <c r="L52" s="17" t="n"/>
      <c r="M52" s="17" t="n"/>
      <c r="N52" s="17" t="inlineStr">
        <is>
          <t>23 Embalaje</t>
        </is>
      </c>
      <c r="O52" s="17" t="n"/>
      <c r="P52" s="33" t="inlineStr">
        <is>
          <t>P</t>
        </is>
      </c>
      <c r="Q52" s="33" t="n"/>
      <c r="R52" s="17" t="inlineStr">
        <is>
          <t>Medida del plano</t>
        </is>
      </c>
    </row>
    <row r="53" outlineLevel="1">
      <c r="A53" s="33" t="n">
        <v>2</v>
      </c>
      <c r="B53" s="33" t="inlineStr">
        <is>
          <t>SALESK6-E2</t>
        </is>
      </c>
      <c r="C53" s="17" t="inlineStr">
        <is>
          <t xml:space="preserve">        Instructivo de uso y mantenimiento</t>
        </is>
      </c>
      <c r="D53" s="33" t="n">
        <v>1</v>
      </c>
      <c r="E53" s="33" t="inlineStr">
        <is>
          <t>u</t>
        </is>
      </c>
      <c r="F53" s="34" t="n"/>
      <c r="G53" s="34" t="n"/>
      <c r="H53" s="33" t="inlineStr">
        <is>
          <t>Papel</t>
        </is>
      </c>
      <c r="I53" s="17" t="inlineStr">
        <is>
          <t>A5</t>
        </is>
      </c>
      <c r="J53" s="33" t="inlineStr">
        <is>
          <t>Compra</t>
        </is>
      </c>
      <c r="K53" s="33" t="inlineStr">
        <is>
          <t>No</t>
        </is>
      </c>
      <c r="L53" s="17" t="n"/>
      <c r="M53" s="17" t="n"/>
      <c r="N53" s="17" t="inlineStr">
        <is>
          <t>23 Embalaje</t>
        </is>
      </c>
      <c r="O53" s="17" t="n"/>
      <c r="P53" s="33" t="inlineStr">
        <is>
          <t>I</t>
        </is>
      </c>
      <c r="Q53" s="33" t="n"/>
      <c r="R53" s="17" t="inlineStr">
        <is>
          <t>Decisión comercial de FLAMA (las instrucciones de uso obligatorias van en la etiqueta, IRAM 3534)</t>
        </is>
      </c>
    </row>
    <row r="54" outlineLevel="1">
      <c r="A54" s="33" t="n">
        <v>2</v>
      </c>
      <c r="B54" s="33" t="inlineStr">
        <is>
          <t>SALESK6-E3</t>
        </is>
      </c>
      <c r="C54" s="17" t="inlineStr">
        <is>
          <t xml:space="preserve">        Pallet 1200 × 1000 (fracción)</t>
        </is>
      </c>
      <c r="D54" s="33" t="n">
        <v>0.0333</v>
      </c>
      <c r="E54" s="33" t="inlineStr">
        <is>
          <t>u</t>
        </is>
      </c>
      <c r="F54" s="34" t="n"/>
      <c r="G54" s="34" t="n"/>
      <c r="H54" s="33" t="inlineStr">
        <is>
          <t>Madera</t>
        </is>
      </c>
      <c r="I54" s="17" t="inlineStr">
        <is>
          <t>30 u por pallet</t>
        </is>
      </c>
      <c r="J54" s="33" t="inlineStr">
        <is>
          <t>Compra</t>
        </is>
      </c>
      <c r="K54" s="33" t="inlineStr">
        <is>
          <t>No</t>
        </is>
      </c>
      <c r="L54" s="17" t="n"/>
      <c r="M54" s="17" t="n"/>
      <c r="N54" s="17" t="inlineStr">
        <is>
          <t>23 Embalaje</t>
        </is>
      </c>
      <c r="O54" s="17" t="n"/>
      <c r="P54" s="33" t="inlineStr">
        <is>
          <t>C</t>
        </is>
      </c>
      <c r="Q54" s="33" t="n"/>
      <c r="R54" s="17" t="inlineStr">
        <is>
          <t>u por pallet = acomodo de la caja (plano) en 1200 × 1000 × 1450 de alto</t>
        </is>
      </c>
    </row>
    <row r="55" outlineLevel="1">
      <c r="A55" s="33" t="n">
        <v>2</v>
      </c>
      <c r="B55" s="33" t="inlineStr">
        <is>
          <t>SALESK6-E4</t>
        </is>
      </c>
      <c r="C55" s="17" t="inlineStr">
        <is>
          <t xml:space="preserve">        Film stretch (fracción del pallet)</t>
        </is>
      </c>
      <c r="D55" s="33" t="n">
        <v>0.004</v>
      </c>
      <c r="E55" s="33" t="inlineStr">
        <is>
          <t>kg</t>
        </is>
      </c>
      <c r="F55" s="34" t="n">
        <v>1</v>
      </c>
      <c r="G55" s="34">
        <f>D55*F55</f>
        <v/>
      </c>
      <c r="H55" s="33" t="inlineStr">
        <is>
          <t>PE lineal 23 µm</t>
        </is>
      </c>
      <c r="I55" s="17" t="inlineStr">
        <is>
          <t>0,12 kg por pallet / 30 u</t>
        </is>
      </c>
      <c r="J55" s="33" t="inlineStr">
        <is>
          <t>Compra</t>
        </is>
      </c>
      <c r="K55" s="33" t="inlineStr">
        <is>
          <t>No</t>
        </is>
      </c>
      <c r="L55" s="17" t="n"/>
      <c r="M55" s="17" t="n"/>
      <c r="N55" s="17" t="inlineStr">
        <is>
          <t>24 Envolvedora (T11)</t>
        </is>
      </c>
      <c r="O55" s="17" t="n"/>
      <c r="P55" s="33" t="inlineStr">
        <is>
          <t>C</t>
        </is>
      </c>
      <c r="Q55" s="33" t="n"/>
      <c r="R5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 outlineLevel="1">
      <c r="A56" s="33" t="n">
        <v>2</v>
      </c>
      <c r="B56" s="33" t="inlineStr">
        <is>
          <t>SALESK6-E5</t>
        </is>
      </c>
      <c r="C56" s="17" t="inlineStr">
        <is>
          <t xml:space="preserve">        Etiqueta de pallet (lote y destino, fracción)</t>
        </is>
      </c>
      <c r="D56" s="33" t="n">
        <v>0.0333</v>
      </c>
      <c r="E56" s="33" t="inlineStr">
        <is>
          <t>u</t>
        </is>
      </c>
      <c r="F56" s="34" t="n"/>
      <c r="G56" s="34" t="n"/>
      <c r="H56" s="33" t="inlineStr">
        <is>
          <t>Papel térmico</t>
        </is>
      </c>
      <c r="I56" s="17" t="inlineStr">
        <is>
          <t>100 × 150</t>
        </is>
      </c>
      <c r="J56" s="33" t="inlineStr">
        <is>
          <t>Compra</t>
        </is>
      </c>
      <c r="K56" s="33" t="inlineStr">
        <is>
          <t>No</t>
        </is>
      </c>
      <c r="L56" s="17" t="n"/>
      <c r="M56" s="17" t="n"/>
      <c r="N56" s="17" t="inlineStr">
        <is>
          <t>24 Envolvedora</t>
        </is>
      </c>
      <c r="O56" s="17" t="n"/>
      <c r="P56" s="33" t="inlineStr">
        <is>
          <t>C</t>
        </is>
      </c>
      <c r="Q56" s="33" t="n"/>
      <c r="R56" s="17" t="n"/>
    </row>
    <row r="57" outlineLevel="1">
      <c r="A57" s="33" t="n">
        <v>2</v>
      </c>
      <c r="B57" s="33" t="inlineStr">
        <is>
          <t>SALESK6-E6</t>
        </is>
      </c>
      <c r="C57" s="17" t="inlineStr">
        <is>
          <t xml:space="preserve">        Cinta de embalaje PP 48 mm (cierre de la caja)</t>
        </is>
      </c>
      <c r="D57" s="33" t="n">
        <v>0.88</v>
      </c>
      <c r="E57" s="33" t="inlineStr">
        <is>
          <t>m</t>
        </is>
      </c>
      <c r="F57" s="34" t="n"/>
      <c r="G57" s="34" t="n"/>
      <c r="H57" s="33" t="inlineStr">
        <is>
          <t>Polipropileno con adhesivo acrílico</t>
        </is>
      </c>
      <c r="I57" s="17" t="inlineStr">
        <is>
          <t>cierre en I arriba y abajo: 2 × (300 + 2 × 70 de solapa)</t>
        </is>
      </c>
      <c r="J57" s="33" t="inlineStr">
        <is>
          <t>Compra</t>
        </is>
      </c>
      <c r="K57" s="33" t="inlineStr">
        <is>
          <t>No</t>
        </is>
      </c>
      <c r="L57" s="17" t="n"/>
      <c r="M57" s="17" t="n"/>
      <c r="N57" s="17" t="inlineStr">
        <is>
          <t>23 Embalaje</t>
        </is>
      </c>
      <c r="O57" s="17" t="n"/>
      <c r="P57" s="33" t="inlineStr">
        <is>
          <t>C</t>
        </is>
      </c>
      <c r="Q57" s="33" t="n"/>
      <c r="R57" s="17" t="inlineStr">
        <is>
          <t>Solapa de 70 mm por lado: práctica de cierre de cajas (medir en la línea)</t>
        </is>
      </c>
    </row>
    <row r="58" outlineLevel="1">
      <c r="A58" s="33" t="n">
        <v>2</v>
      </c>
      <c r="B58" s="33" t="inlineStr">
        <is>
          <t>SALESK6-E7</t>
        </is>
      </c>
      <c r="C58" s="17" t="inlineStr">
        <is>
          <t xml:space="preserve">        Esquineros de cartón 50 × 50 × 1200 (fracción del pallet)</t>
        </is>
      </c>
      <c r="D58" s="33" t="n">
        <v>0.1333</v>
      </c>
      <c r="E58" s="33" t="inlineStr">
        <is>
          <t>u</t>
        </is>
      </c>
      <c r="F58" s="34" t="n"/>
      <c r="G58" s="34" t="n"/>
      <c r="H58" s="33" t="inlineStr">
        <is>
          <t>Cartón</t>
        </is>
      </c>
      <c r="I58" s="17" t="inlineStr">
        <is>
          <t>4 por pallet / 30 u</t>
        </is>
      </c>
      <c r="J58" s="33" t="inlineStr">
        <is>
          <t>Compra</t>
        </is>
      </c>
      <c r="K58" s="33" t="inlineStr">
        <is>
          <t>No</t>
        </is>
      </c>
      <c r="L58" s="17" t="n"/>
      <c r="M58" s="17" t="n"/>
      <c r="N58" s="17" t="inlineStr">
        <is>
          <t>24 Envolvedora (T11)</t>
        </is>
      </c>
      <c r="O58" s="17" t="n"/>
      <c r="P58" s="33" t="inlineStr">
        <is>
          <t>C</t>
        </is>
      </c>
      <c r="Q58" s="33" t="n"/>
      <c r="R58" s="17" t="inlineStr">
        <is>
          <t>Planilla MP-64</t>
        </is>
      </c>
    </row>
  </sheetData>
  <autoFilter ref="A10:R58"/>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66" t="inlineStr">
        <is>
          <t>Extintor CO₂ 2 kg</t>
        </is>
      </c>
    </row>
    <row r="3">
      <c r="A3" s="2" t="inlineStr">
        <is>
          <t>Plano de origen</t>
        </is>
      </c>
      <c r="C3" t="inlineStr">
        <is>
          <t>FL_MAT_CO2_2kg  (4 láminas)</t>
        </is>
      </c>
      <c r="E3" s="2" t="inlineStr">
        <is>
          <t>Peso vacío S1-S4 (kg)</t>
        </is>
      </c>
      <c r="G3" s="67">
        <f>G13+G16+G29</f>
        <v/>
      </c>
    </row>
    <row r="4">
      <c r="A4" s="2" t="inlineStr">
        <is>
          <t>Plano de despiece</t>
        </is>
      </c>
      <c r="C4" t="inlineStr">
        <is>
          <t>FL_DES_CO2_2kg (salida/despiece/)</t>
        </is>
      </c>
      <c r="E4" s="2" t="inlineStr">
        <is>
          <t>Peso cargado S1-S6 (kg)</t>
        </is>
      </c>
      <c r="G4" s="67">
        <f>G13+G16+G29+G33+G35</f>
        <v/>
      </c>
    </row>
    <row r="5">
      <c r="A5" s="2" t="inlineStr">
        <is>
          <t>Norma del producto</t>
        </is>
      </c>
      <c r="C5" t="inlineStr">
        <is>
          <t>IRAM 3509</t>
        </is>
      </c>
      <c r="E5" s="2" t="inlineStr">
        <is>
          <t>Peso con soporte y embalaje (kg)</t>
        </is>
      </c>
      <c r="G5" s="67">
        <f>G13+G16+G29+G33+G35+G46+G43</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9</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FL_MAT_CO2_2kg</t>
        </is>
      </c>
      <c r="C11" s="28" t="inlineStr">
        <is>
          <t>Extintor CO₂ 2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FL_MAT_CO2_2kg</t>
        </is>
      </c>
      <c r="R11" s="28" t="inlineStr">
        <is>
          <t>Revendido: se compra terminado al fabricante con Sello IRAM; las piezas internas quedan como referencia (no entran en MRP)</t>
        </is>
      </c>
    </row>
    <row r="12">
      <c r="A12" s="30" t="n">
        <v>1</v>
      </c>
      <c r="B12" s="30" t="inlineStr">
        <is>
          <t>CO22-S0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FL_MAT_CO2_2kg</t>
        </is>
      </c>
      <c r="R12" s="31" t="inlineStr">
        <is>
          <t>Única fila de compra del revendido (más la tarjeta AGC si el destino es CABA)</t>
        </is>
      </c>
    </row>
    <row r="13">
      <c r="A13" s="30" t="n">
        <v>1</v>
      </c>
      <c r="B13" s="30" t="inlineStr">
        <is>
          <t>CO22-S1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FL_DES_CO2_2kg</t>
        </is>
      </c>
      <c r="R13" s="31" t="n"/>
    </row>
    <row r="14" outlineLevel="1">
      <c r="A14" s="33" t="n">
        <v>2</v>
      </c>
      <c r="B14" s="33" t="inlineStr">
        <is>
          <t>CO22-01</t>
        </is>
      </c>
      <c r="C14" s="17" t="inlineStr">
        <is>
          <t xml:space="preserve">        Cilindro sin costura</t>
        </is>
      </c>
      <c r="D14" s="33" t="n">
        <v>1</v>
      </c>
      <c r="E14" s="33" t="inlineStr">
        <is>
          <t>u</t>
        </is>
      </c>
      <c r="F14" s="34" t="n">
        <v>5.7663</v>
      </c>
      <c r="G14" s="34">
        <f>D14*F14</f>
        <v/>
      </c>
      <c r="H14" s="33" t="inlineStr">
        <is>
          <t>Tubo acero 34CrMo4 sin costura e=5,4</t>
        </is>
      </c>
      <c r="I14" s="17" t="inlineStr">
        <is>
          <t>Cilindro sin costura Ø114 × e5,4 × 411,2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FL_DES_CO2_2kg</t>
        </is>
      </c>
      <c r="R14" s="17" t="inlineStr">
        <is>
          <t>cuello integral</t>
        </is>
      </c>
    </row>
    <row r="15" outlineLevel="1">
      <c r="A15" s="33" t="n">
        <v>2</v>
      </c>
      <c r="B15" s="33" t="inlineStr">
        <is>
          <t>CO22-12</t>
        </is>
      </c>
      <c r="C15" s="17" t="inlineStr">
        <is>
          <t xml:space="preserve">        Pie de apoyo</t>
        </is>
      </c>
      <c r="D15" s="33" t="n">
        <v>1</v>
      </c>
      <c r="E15" s="33" t="inlineStr">
        <is>
          <t>u</t>
        </is>
      </c>
      <c r="F15" s="34" t="n">
        <v>0.066</v>
      </c>
      <c r="G15" s="34">
        <f>D15*F15</f>
        <v/>
      </c>
      <c r="H15" s="33" t="inlineStr">
        <is>
          <t>Polietileno AD</t>
        </is>
      </c>
      <c r="I15" s="17" t="inlineStr">
        <is>
          <t>114 × 114 × 31,4</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FL_DES_CO2_2kg</t>
        </is>
      </c>
      <c r="R15" s="17" t="n"/>
    </row>
    <row r="16">
      <c r="A16" s="30" t="n">
        <v>1</v>
      </c>
      <c r="B16" s="30" t="inlineStr">
        <is>
          <t>CO22-S2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FL_DES_CO2_2kg</t>
        </is>
      </c>
      <c r="R16" s="31" t="n"/>
    </row>
    <row r="17" outlineLevel="1">
      <c r="A17" s="33" t="n">
        <v>2</v>
      </c>
      <c r="B17" s="33" t="inlineStr">
        <is>
          <t>CO22-02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FL_DES_CO2_2kg</t>
        </is>
      </c>
      <c r="R17" s="17" t="n"/>
    </row>
    <row r="18" outlineLevel="1">
      <c r="A18" s="33" t="n">
        <v>2</v>
      </c>
      <c r="B18" s="33" t="inlineStr">
        <is>
          <t>CO22-03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FL_DES_CO2_2kg</t>
        </is>
      </c>
      <c r="R18" s="17" t="n"/>
    </row>
    <row r="19" outlineLevel="1">
      <c r="A19" s="33" t="n">
        <v>2</v>
      </c>
      <c r="B19" s="33" t="inlineStr">
        <is>
          <t>CO22-04</t>
        </is>
      </c>
      <c r="C19" s="17" t="inlineStr">
        <is>
          <t xml:space="preserve">        Cuerpo de válvula</t>
        </is>
      </c>
      <c r="D19" s="33" t="n">
        <v>1</v>
      </c>
      <c r="E19" s="33" t="inlineStr">
        <is>
          <t>u</t>
        </is>
      </c>
      <c r="F19" s="34" t="n">
        <v>0.4826</v>
      </c>
      <c r="G19" s="34">
        <f>D19*F19</f>
        <v/>
      </c>
      <c r="H19" s="33" t="inlineStr">
        <is>
          <t>Latón forjado</t>
        </is>
      </c>
      <c r="I19" s="17" t="inlineStr">
        <is>
          <t>66,2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FL_DES_CO2_2kg</t>
        </is>
      </c>
      <c r="R19" s="17" t="n"/>
    </row>
    <row r="20" outlineLevel="1">
      <c r="A20" s="33" t="n">
        <v>2</v>
      </c>
      <c r="B20" s="33" t="inlineStr">
        <is>
          <t>CO22-05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FL_DES_CO2_2kg</t>
        </is>
      </c>
      <c r="R20" s="17" t="inlineStr">
        <is>
          <t>rotura 18 a 21 MPa</t>
        </is>
      </c>
    </row>
    <row r="21" outlineLevel="1">
      <c r="A21" s="33" t="n">
        <v>2</v>
      </c>
      <c r="B21" s="33" t="inlineStr">
        <is>
          <t>CO22-06</t>
        </is>
      </c>
      <c r="C21" s="17" t="inlineStr">
        <is>
          <t xml:space="preserve">        Manija de transporte</t>
        </is>
      </c>
      <c r="D21" s="33" t="n">
        <v>1</v>
      </c>
      <c r="E21" s="33" t="inlineStr">
        <is>
          <t>u</t>
        </is>
      </c>
      <c r="F21" s="34" t="n">
        <v>0.0635</v>
      </c>
      <c r="G21" s="34">
        <f>D21*F21</f>
        <v/>
      </c>
      <c r="H21" s="33" t="inlineStr">
        <is>
          <t>Chapa acero SAE 1010 pintada</t>
        </is>
      </c>
      <c r="I21" s="17" t="inlineStr">
        <is>
          <t>100,9 × 20 × 14,5</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FL_DES_CO2_2kg</t>
        </is>
      </c>
      <c r="R21" s="17" t="n"/>
    </row>
    <row r="22" outlineLevel="1">
      <c r="A22" s="33" t="n">
        <v>2</v>
      </c>
      <c r="B22" s="33" t="inlineStr">
        <is>
          <t>CO22-07</t>
        </is>
      </c>
      <c r="C22" s="17" t="inlineStr">
        <is>
          <t xml:space="preserve">        Manija de accionamiento</t>
        </is>
      </c>
      <c r="D22" s="33" t="n">
        <v>1</v>
      </c>
      <c r="E22" s="33" t="inlineStr">
        <is>
          <t>u</t>
        </is>
      </c>
      <c r="F22" s="34" t="n">
        <v>0.0905</v>
      </c>
      <c r="G22" s="34">
        <f>D22*F22</f>
        <v/>
      </c>
      <c r="H22" s="33" t="inlineStr">
        <is>
          <t>Chapa acero SAE 1010 pintada</t>
        </is>
      </c>
      <c r="I22" s="17" t="inlineStr">
        <is>
          <t>143,5 × 21,5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FL_DES_CO2_2kg</t>
        </is>
      </c>
      <c r="R22" s="17" t="n"/>
    </row>
    <row r="23" outlineLevel="1">
      <c r="A23" s="33" t="n">
        <v>2</v>
      </c>
      <c r="B23" s="33" t="inlineStr">
        <is>
          <t>CO22-08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FL_DES_CO2_2kg</t>
        </is>
      </c>
      <c r="R23" s="17" t="n"/>
    </row>
    <row r="24" outlineLevel="1">
      <c r="A24" s="33" t="n">
        <v>2</v>
      </c>
      <c r="B24" s="33" t="inlineStr">
        <is>
          <t>CO22-09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FL_DES_CO2_2kg</t>
        </is>
      </c>
      <c r="R24" s="17" t="inlineStr">
        <is>
          <t>con junta tórica</t>
        </is>
      </c>
    </row>
    <row r="25" outlineLevel="1">
      <c r="A25" s="33" t="n">
        <v>2</v>
      </c>
      <c r="B25" s="33" t="inlineStr">
        <is>
          <t>CO22-10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FL_DES_CO2_2kg</t>
        </is>
      </c>
      <c r="R25" s="17" t="inlineStr">
        <is>
          <t>con precinto</t>
        </is>
      </c>
    </row>
    <row r="26" outlineLevel="1">
      <c r="A26" s="33" t="n">
        <v>2</v>
      </c>
      <c r="B26" s="33" t="inlineStr">
        <is>
          <t>CO22-11</t>
        </is>
      </c>
      <c r="C26" s="17" t="inlineStr">
        <is>
          <t xml:space="preserve">        Caño de pesca (sifón)</t>
        </is>
      </c>
      <c r="D26" s="33" t="n">
        <v>1</v>
      </c>
      <c r="E26" s="33" t="inlineStr">
        <is>
          <t>u</t>
        </is>
      </c>
      <c r="F26" s="34" t="n">
        <v>0.0406</v>
      </c>
      <c r="G26" s="34">
        <f>D26*F26</f>
        <v/>
      </c>
      <c r="H26" s="33" t="inlineStr">
        <is>
          <t>Tubo aluminio</t>
        </is>
      </c>
      <c r="I26" s="17" t="inlineStr">
        <is>
          <t>Ø10 × 375,8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FL_DES_CO2_2kg</t>
        </is>
      </c>
      <c r="R26" s="17" t="n"/>
    </row>
    <row r="27" outlineLevel="1">
      <c r="A27" s="33" t="n">
        <v>2</v>
      </c>
      <c r="B27" s="33" t="inlineStr">
        <is>
          <t>CO22-21</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FL_DES_CO2_2kg</t>
        </is>
      </c>
      <c r="R27" s="17" t="inlineStr">
        <is>
          <t>cambio c/recarga</t>
        </is>
      </c>
    </row>
    <row r="28" outlineLevel="1">
      <c r="A28" s="33" t="n">
        <v>2</v>
      </c>
      <c r="B28" s="33" t="inlineStr">
        <is>
          <t>CO22-V3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CO22-S3</t>
        </is>
      </c>
      <c r="C29" s="31" t="inlineStr">
        <is>
          <t xml:space="preserve">    Dispositivo de descarga</t>
        </is>
      </c>
      <c r="D29" s="30" t="n">
        <v>1</v>
      </c>
      <c r="E29" s="30" t="inlineStr">
        <is>
          <t>u</t>
        </is>
      </c>
      <c r="F29" s="32" t="n"/>
      <c r="G29" s="32">
        <f>G30+G31+G32</f>
        <v/>
      </c>
      <c r="H29" s="30" t="n"/>
      <c r="I29" s="31" t="n"/>
      <c r="J29" s="30" t="inlineStr">
        <is>
          <t>Compra / armado</t>
        </is>
      </c>
      <c r="K29" s="30" t="n"/>
      <c r="L29" s="31" t="n"/>
      <c r="M29" s="31" t="n"/>
      <c r="N29" s="31" t="n"/>
      <c r="O29" s="31" t="n"/>
      <c r="P29" s="30" t="inlineStr">
        <is>
          <t>P</t>
        </is>
      </c>
      <c r="Q29" s="30" t="inlineStr">
        <is>
          <t>FL_DES_CO2_2kg</t>
        </is>
      </c>
      <c r="R29" s="31" t="n"/>
    </row>
    <row r="30" outlineLevel="1">
      <c r="A30" s="33" t="n">
        <v>2</v>
      </c>
      <c r="B30" s="33" t="inlineStr">
        <is>
          <t>CO22-13</t>
        </is>
      </c>
      <c r="C30" s="17" t="inlineStr">
        <is>
          <t xml:space="preserve">        Brazo giratorio</t>
        </is>
      </c>
      <c r="D30" s="33" t="n">
        <v>1</v>
      </c>
      <c r="E30" s="33" t="inlineStr">
        <is>
          <t>u</t>
        </is>
      </c>
      <c r="F30" s="34" t="n">
        <v>0.0471</v>
      </c>
      <c r="G30" s="34">
        <f>D30*F30</f>
        <v/>
      </c>
      <c r="H30" s="33" t="inlineStr">
        <is>
          <t>Tubo acero SAE 1010</t>
        </is>
      </c>
      <c r="I30" s="17" t="inlineStr">
        <is>
          <t>tubo Ø12 × 118 de largo desarrollado</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FL_DES_CO2_2kg</t>
        </is>
      </c>
      <c r="R30" s="17" t="n"/>
    </row>
    <row r="31" outlineLevel="1">
      <c r="A31" s="33" t="n">
        <v>2</v>
      </c>
      <c r="B31" s="33" t="inlineStr">
        <is>
          <t>CO22-14</t>
        </is>
      </c>
      <c r="C31" s="17" t="inlineStr">
        <is>
          <t xml:space="preserve">        Difusor (bocina)</t>
        </is>
      </c>
      <c r="D31" s="33" t="n">
        <v>1</v>
      </c>
      <c r="E31" s="33" t="inlineStr">
        <is>
          <t>u</t>
        </is>
      </c>
      <c r="F31" s="34" t="n">
        <v>0.0564</v>
      </c>
      <c r="G31" s="34">
        <f>D31*F31</f>
        <v/>
      </c>
      <c r="H31" s="33" t="inlineStr">
        <is>
          <t>Polietileno AD</t>
        </is>
      </c>
      <c r="I31" s="17" t="inlineStr">
        <is>
          <t>170 × 70 × 70</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FL_DES_CO2_2kg</t>
        </is>
      </c>
      <c r="R31" s="17" t="inlineStr">
        <is>
          <t>aislante térmico y eléctrico</t>
        </is>
      </c>
    </row>
    <row r="32" outlineLevel="1">
      <c r="A32" s="33" t="n">
        <v>2</v>
      </c>
      <c r="B32" s="33" t="inlineStr">
        <is>
          <t>CO22-15</t>
        </is>
      </c>
      <c r="C32" s="17" t="inlineStr">
        <is>
          <t xml:space="preserve">        Empuñadura</t>
        </is>
      </c>
      <c r="D32" s="33" t="n">
        <v>1</v>
      </c>
      <c r="E32" s="33" t="inlineStr">
        <is>
          <t>u</t>
        </is>
      </c>
      <c r="F32" s="34" t="n">
        <v>0.0121</v>
      </c>
      <c r="G32" s="34">
        <f>D32*F32</f>
        <v/>
      </c>
      <c r="H32" s="33" t="inlineStr">
        <is>
          <t>Polipropileno</t>
        </is>
      </c>
      <c r="I32" s="17" t="inlineStr">
        <is>
          <t>34 × 34 × 30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FL_DES_CO2_2kg</t>
        </is>
      </c>
      <c r="R32" s="17" t="n"/>
    </row>
    <row r="33">
      <c r="A33" s="30" t="n">
        <v>1</v>
      </c>
      <c r="B33" s="30" t="inlineStr">
        <is>
          <t>CO22-S5</t>
        </is>
      </c>
      <c r="C33" s="31" t="inlineStr">
        <is>
          <t xml:space="preserve">    Carga: agente extintor y gas impulsor</t>
        </is>
      </c>
      <c r="D33" s="30" t="n">
        <v>1</v>
      </c>
      <c r="E33" s="30" t="inlineStr">
        <is>
          <t>u</t>
        </is>
      </c>
      <c r="F33" s="32" t="n"/>
      <c r="G33" s="32">
        <f>G34</f>
        <v/>
      </c>
      <c r="H33" s="30" t="n"/>
      <c r="I33" s="31" t="n"/>
      <c r="J33" s="30" t="inlineStr">
        <is>
          <t>Compra</t>
        </is>
      </c>
      <c r="K33" s="30" t="n"/>
      <c r="L33" s="31" t="n"/>
      <c r="M33" s="31" t="n"/>
      <c r="N33" s="31" t="n"/>
      <c r="O33" s="31" t="n"/>
      <c r="P33" s="30" t="n"/>
      <c r="Q33" s="30" t="n"/>
      <c r="R33" s="31" t="n"/>
    </row>
    <row r="34" outlineLevel="1">
      <c r="A34" s="33" t="n">
        <v>2</v>
      </c>
      <c r="B34" s="33" t="inlineStr">
        <is>
          <t>CO22-A1</t>
        </is>
      </c>
      <c r="C34" s="17" t="inlineStr">
        <is>
          <t xml:space="preserve">        Dióxido de carbono (IRAM 41170)</t>
        </is>
      </c>
      <c r="D34" s="33" t="n">
        <v>2</v>
      </c>
      <c r="E34" s="33" t="inlineStr">
        <is>
          <t>kg</t>
        </is>
      </c>
      <c r="F34" s="34" t="n">
        <v>1</v>
      </c>
      <c r="G34" s="34">
        <f>D34*F34</f>
        <v/>
      </c>
      <c r="H34" s="33" t="inlineStr">
        <is>
          <t>Dióxido de carbono (IRAM 41170)</t>
        </is>
      </c>
      <c r="I34" s="17" t="inlineStr">
        <is>
          <t>nominal 2 kg; tolerancia 0 / -5 % (IRAM 3517-2:2020 tabla 3)</t>
        </is>
      </c>
      <c r="J34" s="33" t="inlineStr">
        <is>
          <t>Compra</t>
        </is>
      </c>
      <c r="K34" s="33" t="inlineStr">
        <is>
          <t>No</t>
        </is>
      </c>
      <c r="L34" s="17" t="n"/>
      <c r="M34" s="17" t="n"/>
      <c r="N34" s="17" t="inlineStr">
        <is>
          <t>SP-1 almacén previo a la carga</t>
        </is>
      </c>
      <c r="O34" s="17" t="inlineStr">
        <is>
          <t>IRAM 41170</t>
        </is>
      </c>
      <c r="P34" s="33" t="inlineStr">
        <is>
          <t>N</t>
        </is>
      </c>
      <c r="Q34" s="33" t="n"/>
      <c r="R34" s="17" t="n"/>
    </row>
    <row r="35">
      <c r="A35" s="30" t="n">
        <v>1</v>
      </c>
      <c r="B35" s="30" t="inlineStr">
        <is>
          <t>CO22-S6</t>
        </is>
      </c>
      <c r="C35" s="31" t="inlineStr">
        <is>
          <t xml:space="preserve">    Identificación y precinto</t>
        </is>
      </c>
      <c r="D35" s="30" t="n">
        <v>1</v>
      </c>
      <c r="E35" s="30" t="inlineStr">
        <is>
          <t>u</t>
        </is>
      </c>
      <c r="F35" s="32" t="n"/>
      <c r="G35" s="32">
        <f>G36+G37+G38+G39+G40+G41+G42</f>
        <v/>
      </c>
      <c r="H35" s="30" t="n"/>
      <c r="I35" s="31" t="n"/>
      <c r="J35" s="30" t="inlineStr">
        <is>
          <t>Compra</t>
        </is>
      </c>
      <c r="K35" s="30" t="n"/>
      <c r="L35" s="31" t="n"/>
      <c r="M35" s="31" t="n"/>
      <c r="N35" s="31" t="inlineStr">
        <is>
          <t>22 Etiquetado (T07)</t>
        </is>
      </c>
      <c r="O35" s="31" t="n"/>
      <c r="P35" s="30" t="n"/>
      <c r="Q35" s="30" t="n"/>
      <c r="R35" s="31" t="n"/>
    </row>
    <row r="36" outlineLevel="1">
      <c r="A36" s="33" t="n">
        <v>2</v>
      </c>
      <c r="B36" s="33" t="inlineStr">
        <is>
          <t>CO22-16</t>
        </is>
      </c>
      <c r="C36" s="17" t="inlineStr">
        <is>
          <t xml:space="preserve">        Etiqueta / placa de características</t>
        </is>
      </c>
      <c r="D36" s="33" t="n">
        <v>1</v>
      </c>
      <c r="E36" s="33" t="inlineStr">
        <is>
          <t>u</t>
        </is>
      </c>
      <c r="F36" s="34" t="n">
        <v>0.026</v>
      </c>
      <c r="G36" s="34">
        <f>D36*F36</f>
        <v/>
      </c>
      <c r="H36" s="33" t="inlineStr">
        <is>
          <t>Vinilo autoadhesivo laminado</t>
        </is>
      </c>
      <c r="I36" s="17" t="inlineStr">
        <is>
          <t>215 × 288 (desarrollo × alto: panel central 108° + 2 alas laterales), e ≈ 0,3, laminado UV</t>
        </is>
      </c>
      <c r="J36" s="33" t="inlineStr">
        <is>
          <t>Compra</t>
        </is>
      </c>
      <c r="K36" s="33" t="inlineStr">
        <is>
          <t>No</t>
        </is>
      </c>
      <c r="L36" s="17" t="n"/>
      <c r="M36" s="17" t="n"/>
      <c r="N36" s="17" t="inlineStr">
        <is>
          <t>22 Etiquetado (T07)</t>
        </is>
      </c>
      <c r="O36" s="17" t="inlineStr">
        <is>
          <t>IRAM 3534 · IRAM 3509 cap. 5 · relevamiento de mercado</t>
        </is>
      </c>
      <c r="P36" s="33" t="inlineStr">
        <is>
          <t>P</t>
        </is>
      </c>
      <c r="Q36" s="33" t="inlineStr">
        <is>
          <t>FL_DES_CO2_2kg</t>
        </is>
      </c>
      <c r="R36" s="17" t="inlineStr">
        <is>
          <t>IRAM 3534</t>
        </is>
      </c>
    </row>
    <row r="37" outlineLevel="1">
      <c r="A37" s="33" t="n">
        <v>2</v>
      </c>
      <c r="B37" s="33" t="inlineStr">
        <is>
          <t>CO22-17</t>
        </is>
      </c>
      <c r="C37" s="17" t="inlineStr">
        <is>
          <t xml:space="preserve">        Oblea de fabricación (PBA)</t>
        </is>
      </c>
      <c r="D37" s="33" t="n">
        <v>1</v>
      </c>
      <c r="E37" s="33" t="inlineStr">
        <is>
          <t>u</t>
        </is>
      </c>
      <c r="F37" s="34" t="n">
        <v>0.0009</v>
      </c>
      <c r="G37" s="34">
        <f>D37*F37</f>
        <v/>
      </c>
      <c r="H37" s="33" t="inlineStr">
        <is>
          <t>Papel de seguridad autodestructible</t>
        </is>
      </c>
      <c r="I37" s="17" t="inlineStr">
        <is>
          <t>Ø46 (Res. OPDS 522/07), numerada, autodestructible</t>
        </is>
      </c>
      <c r="J37" s="33" t="inlineStr">
        <is>
          <t>Compra</t>
        </is>
      </c>
      <c r="K37" s="33" t="inlineStr">
        <is>
          <t>No</t>
        </is>
      </c>
      <c r="L37" s="17" t="n"/>
      <c r="M37" s="17" t="n"/>
      <c r="N37" s="17" t="inlineStr">
        <is>
          <t>22 Etiquetado (T07)</t>
        </is>
      </c>
      <c r="O37" s="17" t="inlineStr">
        <is>
          <t>Res. OPDS 522/07 anexos 1, 2 y 6</t>
        </is>
      </c>
      <c r="P37" s="33" t="inlineStr">
        <is>
          <t>P</t>
        </is>
      </c>
      <c r="Q37" s="33" t="inlineStr">
        <is>
          <t>FL_DES_CO2_2kg</t>
        </is>
      </c>
      <c r="R37" s="17" t="inlineStr">
        <is>
          <t>Res. 522/07</t>
        </is>
      </c>
    </row>
    <row r="38" outlineLevel="1">
      <c r="A38" s="33" t="n">
        <v>2</v>
      </c>
      <c r="B38" s="33" t="inlineStr">
        <is>
          <t>CO22-18</t>
        </is>
      </c>
      <c r="C38" s="17" t="inlineStr">
        <is>
          <t xml:space="preserve">        Estampilla IRAM de conformidad</t>
        </is>
      </c>
      <c r="D38" s="33" t="n">
        <v>1</v>
      </c>
      <c r="E38" s="33" t="inlineStr">
        <is>
          <t>u</t>
        </is>
      </c>
      <c r="F38" s="34" t="n">
        <v>0.001</v>
      </c>
      <c r="G38" s="34">
        <f>D38*F38</f>
        <v/>
      </c>
      <c r="H38" s="33" t="inlineStr">
        <is>
          <t>Provista por IRAM (Anexo R)</t>
        </is>
      </c>
      <c r="I38" s="17" t="inlineStr">
        <is>
          <t>60 × 40</t>
        </is>
      </c>
      <c r="J38" s="33" t="inlineStr">
        <is>
          <t>Compra</t>
        </is>
      </c>
      <c r="K38" s="33" t="inlineStr">
        <is>
          <t>No</t>
        </is>
      </c>
      <c r="L38" s="17" t="n"/>
      <c r="M38" s="17" t="n"/>
      <c r="N38" s="17" t="inlineStr">
        <is>
          <t>22 Etiquetado (T07)</t>
        </is>
      </c>
      <c r="O38" s="17" t="inlineStr">
        <is>
          <t>IRAM Anexo R (DC-PG-129)</t>
        </is>
      </c>
      <c r="P38" s="33" t="inlineStr">
        <is>
          <t>P</t>
        </is>
      </c>
      <c r="Q38" s="33" t="inlineStr">
        <is>
          <t>FL_DES_CO2_2kg</t>
        </is>
      </c>
      <c r="R38" s="17" t="inlineStr">
        <is>
          <t>numerada</t>
        </is>
      </c>
    </row>
    <row r="39" outlineLevel="1">
      <c r="A39" s="33" t="n">
        <v>2</v>
      </c>
      <c r="B39" s="33" t="inlineStr">
        <is>
          <t>CO22-19</t>
        </is>
      </c>
      <c r="C39" s="17" t="inlineStr">
        <is>
          <t xml:space="preserve">        Tarjeta de identificación AGC (CABA)</t>
        </is>
      </c>
      <c r="D39" s="33" t="n">
        <v>1</v>
      </c>
      <c r="E39" s="33" t="inlineStr">
        <is>
          <t>u</t>
        </is>
      </c>
      <c r="F39" s="34" t="n">
        <v>0.0032</v>
      </c>
      <c r="G39" s="34">
        <f>D39*F39</f>
        <v/>
      </c>
      <c r="H39" s="33" t="inlineStr">
        <is>
          <t>Etiqueta autoadhesiva emitida por la AGC</t>
        </is>
      </c>
      <c r="I39" s="17" t="inlineStr">
        <is>
          <t>140 × 55</t>
        </is>
      </c>
      <c r="J39" s="33" t="inlineStr">
        <is>
          <t>Compra</t>
        </is>
      </c>
      <c r="K39" s="33" t="inlineStr">
        <is>
          <t>Sí</t>
        </is>
      </c>
      <c r="L39" s="17" t="inlineStr">
        <is>
          <t>Agencia Gubernamental de Control (CABA)</t>
        </is>
      </c>
      <c r="M39" s="17" t="inlineStr">
        <is>
          <t>-</t>
        </is>
      </c>
      <c r="N39" s="17" t="inlineStr">
        <is>
          <t>22 Etiquetado (T07)</t>
        </is>
      </c>
      <c r="O39" s="17" t="inlineStr">
        <is>
          <t>Ordenanza 40.473 art. 6 · Res. AGC 32/15</t>
        </is>
      </c>
      <c r="P39" s="33" t="inlineStr">
        <is>
          <t>P</t>
        </is>
      </c>
      <c r="Q39" s="33" t="inlineStr">
        <is>
          <t>FL_DES_CO2_2kg</t>
        </is>
      </c>
      <c r="R39" s="17" t="inlineStr">
        <is>
          <t>sólo destino CABA; sólo destino CABA</t>
        </is>
      </c>
    </row>
    <row r="40" outlineLevel="1">
      <c r="A40" s="33" t="n">
        <v>2</v>
      </c>
      <c r="B40" s="33" t="inlineStr">
        <is>
          <t>CO22-20</t>
        </is>
      </c>
      <c r="C40" s="17" t="inlineStr">
        <is>
          <t xml:space="preserve">        Etiqueta de n° de serie GS1</t>
        </is>
      </c>
      <c r="D40" s="33" t="n">
        <v>1</v>
      </c>
      <c r="E40" s="33" t="inlineStr">
        <is>
          <t>u</t>
        </is>
      </c>
      <c r="F40" s="34" t="n">
        <v>0.0005</v>
      </c>
      <c r="G40" s="34">
        <f>D40*F40</f>
        <v/>
      </c>
      <c r="H40" s="33" t="inlineStr">
        <is>
          <t>Poliéster autoadhesivo impreso térmico</t>
        </is>
      </c>
      <c r="I40" s="17" t="inlineStr">
        <is>
          <t>45 × 25</t>
        </is>
      </c>
      <c r="J40" s="33" t="inlineStr">
        <is>
          <t>Compra</t>
        </is>
      </c>
      <c r="K40" s="33" t="inlineStr">
        <is>
          <t>No</t>
        </is>
      </c>
      <c r="L40" s="17" t="n"/>
      <c r="M40" s="17" t="n"/>
      <c r="N40" s="17" t="inlineStr">
        <is>
          <t>22 Etiquetado (T07)</t>
        </is>
      </c>
      <c r="O40" s="17" t="inlineStr">
        <is>
          <t>GS1 Argentina (GTIN 779) · trazabilidad IRAM 3523 5.1</t>
        </is>
      </c>
      <c r="P40" s="33" t="inlineStr">
        <is>
          <t>P</t>
        </is>
      </c>
      <c r="Q40" s="33" t="inlineStr">
        <is>
          <t>FL_DES_CO2_2kg</t>
        </is>
      </c>
      <c r="R40" s="17" t="inlineStr">
        <is>
          <t>QR GTIN + serie</t>
        </is>
      </c>
    </row>
    <row r="41" outlineLevel="1">
      <c r="A41" s="33" t="n">
        <v>2</v>
      </c>
      <c r="B41" s="33" t="inlineStr">
        <is>
          <t>CO22-22</t>
        </is>
      </c>
      <c r="C41" s="17" t="inlineStr">
        <is>
          <t xml:space="preserve">        Faja de garantía válvula-cuello</t>
        </is>
      </c>
      <c r="D41" s="33" t="n">
        <v>1</v>
      </c>
      <c r="E41" s="33" t="inlineStr">
        <is>
          <t>u</t>
        </is>
      </c>
      <c r="F41" s="34" t="n">
        <v>0.0003</v>
      </c>
      <c r="G41" s="34">
        <f>D41*F41</f>
        <v/>
      </c>
      <c r="H41" s="33" t="inlineStr">
        <is>
          <t>Vinilo destructible rayado rojo/blanco</t>
        </is>
      </c>
      <c r="I41" s="17" t="inlineStr">
        <is>
          <t>30 × 40</t>
        </is>
      </c>
      <c r="J41" s="33" t="inlineStr">
        <is>
          <t>Compra</t>
        </is>
      </c>
      <c r="K41" s="33" t="inlineStr">
        <is>
          <t>No</t>
        </is>
      </c>
      <c r="L41" s="17" t="n"/>
      <c r="M41" s="17" t="n"/>
      <c r="N41" s="17" t="inlineStr">
        <is>
          <t>22 Etiquetado (T07)</t>
        </is>
      </c>
      <c r="O41" s="17" t="inlineStr">
        <is>
          <t>Sin norma: práctica de mercado (garantía de fábrica)</t>
        </is>
      </c>
      <c r="P41" s="33" t="inlineStr">
        <is>
          <t>P</t>
        </is>
      </c>
      <c r="Q41" s="33" t="inlineStr">
        <is>
          <t>FL_DES_CO2_2kg</t>
        </is>
      </c>
      <c r="R41" s="17" t="inlineStr">
        <is>
          <t>nuevo sin abrir</t>
        </is>
      </c>
    </row>
    <row r="42" outlineLevel="1">
      <c r="A42" s="33" t="n">
        <v>2</v>
      </c>
      <c r="B42" s="33" t="inlineStr">
        <is>
          <t>CO22-23</t>
        </is>
      </c>
      <c r="C42" s="17" t="inlineStr">
        <is>
          <t xml:space="preserve">        Precinto de fábrica</t>
        </is>
      </c>
      <c r="D42" s="33" t="n">
        <v>1</v>
      </c>
      <c r="E42" s="33" t="inlineStr">
        <is>
          <t>u</t>
        </is>
      </c>
      <c r="F42" s="34" t="n">
        <v>0.0002</v>
      </c>
      <c r="G42" s="34">
        <f>D42*F42</f>
        <v/>
      </c>
      <c r="H42" s="33" t="inlineStr">
        <is>
          <t>Polipropileno color</t>
        </is>
      </c>
      <c r="I42" s="17" t="inlineStr">
        <is>
          <t>Ø5 × 10, numerado, rotura 30-50 N</t>
        </is>
      </c>
      <c r="J42" s="33" t="inlineStr">
        <is>
          <t>Compra</t>
        </is>
      </c>
      <c r="K42" s="33" t="inlineStr">
        <is>
          <t>No</t>
        </is>
      </c>
      <c r="L42" s="17" t="n"/>
      <c r="M42" s="17" t="n"/>
      <c r="N42" s="17" t="inlineStr">
        <is>
          <t>20 Presurización (T05)</t>
        </is>
      </c>
      <c r="O42" s="17" t="inlineStr">
        <is>
          <t>IRAM 3523 3.3.2 · IRAM 3517-2:2020 9.4.13</t>
        </is>
      </c>
      <c r="P42" s="33" t="inlineStr">
        <is>
          <t>P</t>
        </is>
      </c>
      <c r="Q42" s="33" t="inlineStr">
        <is>
          <t>FL_DES_CO2_2kg</t>
        </is>
      </c>
      <c r="R42" s="17" t="inlineStr">
        <is>
          <t>id. FLAMA y lote</t>
        </is>
      </c>
    </row>
    <row r="43">
      <c r="A43" s="30" t="n">
        <v>1</v>
      </c>
      <c r="B43" s="30" t="inlineStr">
        <is>
          <t>CO22-S8</t>
        </is>
      </c>
      <c r="C43" s="31" t="inlineStr">
        <is>
          <t xml:space="preserve">    Soporte (accesorio de montaje)</t>
        </is>
      </c>
      <c r="D43" s="30" t="n">
        <v>1</v>
      </c>
      <c r="E43" s="30" t="inlineStr">
        <is>
          <t>u</t>
        </is>
      </c>
      <c r="F43" s="32" t="n"/>
      <c r="G43" s="32">
        <f>G44</f>
        <v/>
      </c>
      <c r="H43" s="30" t="n"/>
      <c r="I43" s="31" t="n"/>
      <c r="J43" s="30" t="inlineStr">
        <is>
          <t>Compra</t>
        </is>
      </c>
      <c r="K43" s="30" t="n"/>
      <c r="L43" s="31" t="n"/>
      <c r="M43" s="31" t="n"/>
      <c r="N43" s="31" t="inlineStr">
        <is>
          <t>23 Embalaje (va dentro de la caja)</t>
        </is>
      </c>
      <c r="O43" s="31" t="inlineStr">
        <is>
          <t>IRAM 3517-2 7.4</t>
        </is>
      </c>
      <c r="P43" s="30" t="n"/>
      <c r="Q43" s="30" t="n"/>
      <c r="R43" s="31" t="n"/>
    </row>
    <row r="44" outlineLevel="1">
      <c r="A44" s="33" t="n">
        <v>2</v>
      </c>
      <c r="B44" s="33" t="inlineStr">
        <is>
          <t>CO22-I5</t>
        </is>
      </c>
      <c r="C44" s="17" t="inlineStr">
        <is>
          <t xml:space="preserve">        Soporte de pared (FL_ACC_01)</t>
        </is>
      </c>
      <c r="D44" s="33" t="n">
        <v>1</v>
      </c>
      <c r="E44" s="33" t="inlineStr">
        <is>
          <t>u</t>
        </is>
      </c>
      <c r="F44" s="34" t="n">
        <v>0.26</v>
      </c>
      <c r="G44" s="34">
        <f>D44*F44</f>
        <v/>
      </c>
      <c r="H44" s="33" t="inlineStr">
        <is>
          <t>Chapa acero SAE 1010 e=2 pintada</t>
        </is>
      </c>
      <c r="I44" s="17" t="inlineStr">
        <is>
          <t>placa 60 × 180, ala con ranura Ø cuello + 3</t>
        </is>
      </c>
      <c r="J44" s="33" t="inlineStr">
        <is>
          <t>Compra</t>
        </is>
      </c>
      <c r="K44" s="33" t="inlineStr">
        <is>
          <t>No</t>
        </is>
      </c>
      <c r="L44" s="17" t="n"/>
      <c r="M44" s="17" t="n"/>
      <c r="N44" s="17" t="inlineStr">
        <is>
          <t>23 Embalaje</t>
        </is>
      </c>
      <c r="O44" s="17" t="inlineStr">
        <is>
          <t>IRAM 3517-2 7.4</t>
        </is>
      </c>
      <c r="P44" s="33" t="inlineStr">
        <is>
          <t>P</t>
        </is>
      </c>
      <c r="Q44" s="33" t="inlineStr">
        <is>
          <t>FL_ACC_01</t>
        </is>
      </c>
      <c r="R44" s="17" t="n"/>
    </row>
    <row r="45" outlineLevel="1">
      <c r="A45" s="33" t="n">
        <v>2</v>
      </c>
      <c r="B45" s="33" t="inlineStr">
        <is>
          <t>CO22-I6</t>
        </is>
      </c>
      <c r="C45" s="17" t="inlineStr">
        <is>
          <t xml:space="preserve">        Tornillo y tarugo de fijación</t>
        </is>
      </c>
      <c r="D45" s="33" t="n">
        <v>2</v>
      </c>
      <c r="E45" s="33" t="inlineStr">
        <is>
          <t>u</t>
        </is>
      </c>
      <c r="F45" s="34" t="n"/>
      <c r="G45" s="34" t="n"/>
      <c r="H45" s="33" t="inlineStr">
        <is>
          <t>Acero cincado / nylon</t>
        </is>
      </c>
      <c r="I45" s="17" t="inlineStr">
        <is>
          <t>2 agujeros Ø8,5 del plano FL_ACC_01 → tornillo M8 + tarugo</t>
        </is>
      </c>
      <c r="J45" s="33" t="inlineStr">
        <is>
          <t>Compra</t>
        </is>
      </c>
      <c r="K45" s="33" t="inlineStr">
        <is>
          <t>No</t>
        </is>
      </c>
      <c r="L45" s="17" t="n"/>
      <c r="M45" s="17" t="n"/>
      <c r="N45" s="17" t="inlineStr">
        <is>
          <t>23 Embalaje</t>
        </is>
      </c>
      <c r="O45" s="17" t="n"/>
      <c r="P45" s="33" t="inlineStr">
        <is>
          <t>P</t>
        </is>
      </c>
      <c r="Q45" s="33" t="inlineStr">
        <is>
          <t>FL_ACC_01</t>
        </is>
      </c>
      <c r="R45" s="17" t="n"/>
    </row>
    <row r="46">
      <c r="A46" s="30" t="n">
        <v>1</v>
      </c>
      <c r="B46" s="30" t="inlineStr">
        <is>
          <t>CO22-S7</t>
        </is>
      </c>
      <c r="C46" s="31" t="inlineStr">
        <is>
          <t xml:space="preserve">    Embalaje</t>
        </is>
      </c>
      <c r="D46" s="30" t="n">
        <v>1</v>
      </c>
      <c r="E46" s="30" t="inlineStr">
        <is>
          <t>u</t>
        </is>
      </c>
      <c r="F46" s="32" t="n"/>
      <c r="G46" s="32">
        <f>G50</f>
        <v/>
      </c>
      <c r="H46" s="30" t="n"/>
      <c r="I46" s="31" t="n"/>
      <c r="J46" s="30" t="inlineStr">
        <is>
          <t>Compra</t>
        </is>
      </c>
      <c r="K46" s="30" t="n"/>
      <c r="L46" s="31" t="n"/>
      <c r="M46" s="31" t="n"/>
      <c r="N46" s="31" t="inlineStr">
        <is>
          <t>23 Embalaje -&gt; 24 envolvedora (T11)</t>
        </is>
      </c>
      <c r="O46" s="31" t="n"/>
      <c r="P46" s="30" t="n"/>
      <c r="Q46" s="30" t="n"/>
      <c r="R46" s="31" t="n"/>
    </row>
    <row r="47" outlineLevel="1">
      <c r="A47" s="33" t="n">
        <v>2</v>
      </c>
      <c r="B47" s="33" t="inlineStr">
        <is>
          <t>CO22-E1</t>
        </is>
      </c>
      <c r="C47" s="17" t="inlineStr">
        <is>
          <t xml:space="preserve">        Caja de cartón corrugado doble</t>
        </is>
      </c>
      <c r="D47" s="33" t="n">
        <v>1</v>
      </c>
      <c r="E47" s="33" t="inlineStr">
        <is>
          <t>u</t>
        </is>
      </c>
      <c r="F47" s="34" t="n"/>
      <c r="G47" s="34" t="n"/>
      <c r="H47" s="33" t="inlineStr">
        <is>
          <t>Cartón corrugado</t>
        </is>
      </c>
      <c r="I47" s="17" t="inlineStr">
        <is>
          <t>284 × 145 × 540 interior (envolvente del plano + 15 por lado)</t>
        </is>
      </c>
      <c r="J47" s="33" t="inlineStr">
        <is>
          <t>Compra</t>
        </is>
      </c>
      <c r="K47" s="33" t="inlineStr">
        <is>
          <t>No</t>
        </is>
      </c>
      <c r="L47" s="17" t="n"/>
      <c r="M47" s="17" t="n"/>
      <c r="N47" s="17" t="inlineStr">
        <is>
          <t>23 Embalaje</t>
        </is>
      </c>
      <c r="O47" s="17" t="n"/>
      <c r="P47" s="33" t="inlineStr">
        <is>
          <t>P</t>
        </is>
      </c>
      <c r="Q47" s="33" t="n"/>
      <c r="R47" s="17" t="inlineStr">
        <is>
          <t>Medida del plano</t>
        </is>
      </c>
    </row>
    <row r="48" outlineLevel="1">
      <c r="A48" s="33" t="n">
        <v>2</v>
      </c>
      <c r="B48" s="33" t="inlineStr">
        <is>
          <t>CO22-E2</t>
        </is>
      </c>
      <c r="C48" s="17" t="inlineStr">
        <is>
          <t xml:space="preserve">        Instructivo de uso y mantenimiento</t>
        </is>
      </c>
      <c r="D48" s="33" t="n">
        <v>1</v>
      </c>
      <c r="E48" s="33" t="inlineStr">
        <is>
          <t>u</t>
        </is>
      </c>
      <c r="F48" s="34" t="n"/>
      <c r="G48" s="34" t="n"/>
      <c r="H48" s="33" t="inlineStr">
        <is>
          <t>Papel</t>
        </is>
      </c>
      <c r="I48" s="17" t="inlineStr">
        <is>
          <t>A5</t>
        </is>
      </c>
      <c r="J48" s="33" t="inlineStr">
        <is>
          <t>Compra</t>
        </is>
      </c>
      <c r="K48" s="33" t="inlineStr">
        <is>
          <t>No</t>
        </is>
      </c>
      <c r="L48" s="17" t="n"/>
      <c r="M48" s="17" t="n"/>
      <c r="N48" s="17" t="inlineStr">
        <is>
          <t>23 Embalaje</t>
        </is>
      </c>
      <c r="O48" s="17" t="n"/>
      <c r="P48" s="33" t="inlineStr">
        <is>
          <t>I</t>
        </is>
      </c>
      <c r="Q48" s="33" t="n"/>
      <c r="R48" s="17" t="inlineStr">
        <is>
          <t>Decisión comercial de FLAMA (las instrucciones de uso obligatorias van en la etiqueta, IRAM 3534)</t>
        </is>
      </c>
    </row>
    <row r="49" outlineLevel="1">
      <c r="A49" s="33" t="n">
        <v>2</v>
      </c>
      <c r="B49" s="33" t="inlineStr">
        <is>
          <t>CO22-E3</t>
        </is>
      </c>
      <c r="C49" s="17" t="inlineStr">
        <is>
          <t xml:space="preserve">        Pallet 1200 × 1000 (fracción)</t>
        </is>
      </c>
      <c r="D49" s="33" t="n">
        <v>0.0208</v>
      </c>
      <c r="E49" s="33" t="inlineStr">
        <is>
          <t>u</t>
        </is>
      </c>
      <c r="F49" s="34" t="n"/>
      <c r="G49" s="34" t="n"/>
      <c r="H49" s="33" t="inlineStr">
        <is>
          <t>Madera</t>
        </is>
      </c>
      <c r="I49" s="17" t="inlineStr">
        <is>
          <t>48 u por pallet</t>
        </is>
      </c>
      <c r="J49" s="33" t="inlineStr">
        <is>
          <t>Compra</t>
        </is>
      </c>
      <c r="K49" s="33" t="inlineStr">
        <is>
          <t>No</t>
        </is>
      </c>
      <c r="L49" s="17" t="n"/>
      <c r="M49" s="17" t="n"/>
      <c r="N49" s="17" t="inlineStr">
        <is>
          <t>23 Embalaje</t>
        </is>
      </c>
      <c r="O49" s="17" t="n"/>
      <c r="P49" s="33" t="inlineStr">
        <is>
          <t>C</t>
        </is>
      </c>
      <c r="Q49" s="33" t="n"/>
      <c r="R49" s="17" t="inlineStr">
        <is>
          <t>u por pallet = acomodo de la caja (plano) en 1200 × 1000 × 1450 de alto</t>
        </is>
      </c>
    </row>
    <row r="50" outlineLevel="1">
      <c r="A50" s="33" t="n">
        <v>2</v>
      </c>
      <c r="B50" s="33" t="inlineStr">
        <is>
          <t>CO22-E4</t>
        </is>
      </c>
      <c r="C50" s="17" t="inlineStr">
        <is>
          <t xml:space="preserve">        Film stretch (fracción del pallet)</t>
        </is>
      </c>
      <c r="D50" s="33" t="n">
        <v>0.0025</v>
      </c>
      <c r="E50" s="33" t="inlineStr">
        <is>
          <t>kg</t>
        </is>
      </c>
      <c r="F50" s="34" t="n">
        <v>1</v>
      </c>
      <c r="G50" s="34">
        <f>D50*F50</f>
        <v/>
      </c>
      <c r="H50" s="33" t="inlineStr">
        <is>
          <t>PE lineal 23 µm</t>
        </is>
      </c>
      <c r="I50" s="17" t="inlineStr">
        <is>
          <t>0,12 kg por pallet / 48 u</t>
        </is>
      </c>
      <c r="J50" s="33" t="inlineStr">
        <is>
          <t>Compra</t>
        </is>
      </c>
      <c r="K50" s="33" t="inlineStr">
        <is>
          <t>No</t>
        </is>
      </c>
      <c r="L50" s="17" t="n"/>
      <c r="M50" s="17" t="n"/>
      <c r="N50" s="17" t="inlineStr">
        <is>
          <t>24 Envolvedora (T11)</t>
        </is>
      </c>
      <c r="O50" s="17" t="n"/>
      <c r="P50" s="33" t="inlineStr">
        <is>
          <t>C</t>
        </is>
      </c>
      <c r="Q50" s="33" t="n"/>
      <c r="R5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outlineLevel="1">
      <c r="A51" s="33" t="n">
        <v>2</v>
      </c>
      <c r="B51" s="33" t="inlineStr">
        <is>
          <t>CO22-E5</t>
        </is>
      </c>
      <c r="C51" s="17" t="inlineStr">
        <is>
          <t xml:space="preserve">        Etiqueta de pallet (lote y destino, fracción)</t>
        </is>
      </c>
      <c r="D51" s="33" t="n">
        <v>0.0208</v>
      </c>
      <c r="E51" s="33" t="inlineStr">
        <is>
          <t>u</t>
        </is>
      </c>
      <c r="F51" s="34" t="n"/>
      <c r="G51" s="34" t="n"/>
      <c r="H51" s="33" t="inlineStr">
        <is>
          <t>Papel térmico</t>
        </is>
      </c>
      <c r="I51" s="17" t="inlineStr">
        <is>
          <t>100 × 150</t>
        </is>
      </c>
      <c r="J51" s="33" t="inlineStr">
        <is>
          <t>Compra</t>
        </is>
      </c>
      <c r="K51" s="33" t="inlineStr">
        <is>
          <t>No</t>
        </is>
      </c>
      <c r="L51" s="17" t="n"/>
      <c r="M51" s="17" t="n"/>
      <c r="N51" s="17" t="inlineStr">
        <is>
          <t>24 Envolvedora</t>
        </is>
      </c>
      <c r="O51" s="17" t="n"/>
      <c r="P51" s="33" t="inlineStr">
        <is>
          <t>C</t>
        </is>
      </c>
      <c r="Q51" s="33" t="n"/>
      <c r="R51" s="17" t="n"/>
    </row>
    <row r="52" outlineLevel="1">
      <c r="A52" s="33" t="n">
        <v>2</v>
      </c>
      <c r="B52" s="33" t="inlineStr">
        <is>
          <t>CO22-E6</t>
        </is>
      </c>
      <c r="C52" s="17" t="inlineStr">
        <is>
          <t xml:space="preserve">        Cinta de embalaje PP 48 mm (cierre de la caja)</t>
        </is>
      </c>
      <c r="D52" s="33" t="n">
        <v>0.848</v>
      </c>
      <c r="E52" s="33" t="inlineStr">
        <is>
          <t>m</t>
        </is>
      </c>
      <c r="F52" s="34" t="n"/>
      <c r="G52" s="34" t="n"/>
      <c r="H52" s="33" t="inlineStr">
        <is>
          <t>Polipropileno con adhesivo acrílico</t>
        </is>
      </c>
      <c r="I52" s="17" t="inlineStr">
        <is>
          <t>cierre en I arriba y abajo: 2 × (284 + 2 × 70 de solapa)</t>
        </is>
      </c>
      <c r="J52" s="33" t="inlineStr">
        <is>
          <t>Compra</t>
        </is>
      </c>
      <c r="K52" s="33" t="inlineStr">
        <is>
          <t>No</t>
        </is>
      </c>
      <c r="L52" s="17" t="n"/>
      <c r="M52" s="17" t="n"/>
      <c r="N52" s="17" t="inlineStr">
        <is>
          <t>23 Embalaje</t>
        </is>
      </c>
      <c r="O52" s="17" t="n"/>
      <c r="P52" s="33" t="inlineStr">
        <is>
          <t>C</t>
        </is>
      </c>
      <c r="Q52" s="33" t="n"/>
      <c r="R52" s="17" t="inlineStr">
        <is>
          <t>Solapa de 70 mm por lado: práctica de cierre de cajas (medir en la línea)</t>
        </is>
      </c>
    </row>
    <row r="53" outlineLevel="1">
      <c r="A53" s="33" t="n">
        <v>2</v>
      </c>
      <c r="B53" s="33" t="inlineStr">
        <is>
          <t>CO22-E7</t>
        </is>
      </c>
      <c r="C53" s="17" t="inlineStr">
        <is>
          <t xml:space="preserve">        Esquineros de cartón 50 × 50 × 1200 (fracción del pallet)</t>
        </is>
      </c>
      <c r="D53" s="33" t="n">
        <v>0.0833</v>
      </c>
      <c r="E53" s="33" t="inlineStr">
        <is>
          <t>u</t>
        </is>
      </c>
      <c r="F53" s="34" t="n"/>
      <c r="G53" s="34" t="n"/>
      <c r="H53" s="33" t="inlineStr">
        <is>
          <t>Cartón</t>
        </is>
      </c>
      <c r="I53" s="17" t="inlineStr">
        <is>
          <t>4 por pallet / 48 u</t>
        </is>
      </c>
      <c r="J53" s="33" t="inlineStr">
        <is>
          <t>Compra</t>
        </is>
      </c>
      <c r="K53" s="33" t="inlineStr">
        <is>
          <t>No</t>
        </is>
      </c>
      <c r="L53" s="17" t="n"/>
      <c r="M53" s="17" t="n"/>
      <c r="N53" s="17" t="inlineStr">
        <is>
          <t>24 Envolvedora (T11)</t>
        </is>
      </c>
      <c r="O53" s="17" t="n"/>
      <c r="P53" s="33" t="inlineStr">
        <is>
          <t>C</t>
        </is>
      </c>
      <c r="Q53" s="33" t="n"/>
      <c r="R53" s="17" t="inlineStr">
        <is>
          <t>Planilla MP-64</t>
        </is>
      </c>
    </row>
  </sheetData>
  <autoFilter ref="A10:R53"/>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66" t="inlineStr">
        <is>
          <t>Extintor CO₂ 5 kg</t>
        </is>
      </c>
    </row>
    <row r="3">
      <c r="A3" s="2" t="inlineStr">
        <is>
          <t>Plano de origen</t>
        </is>
      </c>
      <c r="C3" t="inlineStr">
        <is>
          <t>FL_MAT_CO2_5kg  (4 láminas)</t>
        </is>
      </c>
      <c r="E3" s="2" t="inlineStr">
        <is>
          <t>Peso vacío S1-S4 (kg)</t>
        </is>
      </c>
      <c r="G3" s="67">
        <f>G13+G16+G29</f>
        <v/>
      </c>
    </row>
    <row r="4">
      <c r="A4" s="2" t="inlineStr">
        <is>
          <t>Plano de despiece</t>
        </is>
      </c>
      <c r="C4" t="inlineStr">
        <is>
          <t>FL_DES_CO2_5kg (salida/despiece/)</t>
        </is>
      </c>
      <c r="E4" s="2" t="inlineStr">
        <is>
          <t>Peso cargado S1-S6 (kg)</t>
        </is>
      </c>
      <c r="G4" s="67">
        <f>G13+G16+G29+G35+G37</f>
        <v/>
      </c>
    </row>
    <row r="5">
      <c r="A5" s="2" t="inlineStr">
        <is>
          <t>Norma del producto</t>
        </is>
      </c>
      <c r="C5" t="inlineStr">
        <is>
          <t>IRAM 3509</t>
        </is>
      </c>
      <c r="E5" s="2" t="inlineStr">
        <is>
          <t>Peso con soporte y embalaje (kg)</t>
        </is>
      </c>
      <c r="G5" s="67">
        <f>G13+G16+G29+G35+G37+G48+G45</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20</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FL_MAT_CO2_5kg</t>
        </is>
      </c>
      <c r="C11" s="28" t="inlineStr">
        <is>
          <t>Extintor CO₂ 5 kg</t>
        </is>
      </c>
      <c r="D11" s="27" t="n">
        <v>1</v>
      </c>
      <c r="E11" s="27" t="inlineStr">
        <is>
          <t>u</t>
        </is>
      </c>
      <c r="F11" s="29" t="n"/>
      <c r="G11" s="29">
        <f>G5</f>
        <v/>
      </c>
      <c r="H11" s="27" t="n"/>
      <c r="I11" s="28" t="n"/>
      <c r="J11" s="27" t="n"/>
      <c r="K11" s="27" t="n"/>
      <c r="L11" s="28" t="n"/>
      <c r="M11" s="28" t="n"/>
      <c r="N11" s="28" t="n"/>
      <c r="O11" s="28" t="inlineStr">
        <is>
          <t>IRAM 3509</t>
        </is>
      </c>
      <c r="P11" s="27" t="inlineStr">
        <is>
          <t>P</t>
        </is>
      </c>
      <c r="Q11" s="27" t="inlineStr">
        <is>
          <t>FL_MAT_CO2_5kg</t>
        </is>
      </c>
      <c r="R11" s="28" t="inlineStr">
        <is>
          <t>Revendido: se compra terminado al fabricante con Sello IRAM; las piezas internas quedan como referencia (no entran en MRP)</t>
        </is>
      </c>
    </row>
    <row r="12">
      <c r="A12" s="30" t="n">
        <v>1</v>
      </c>
      <c r="B12" s="30" t="inlineStr">
        <is>
          <t>CO25-S0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Mozart S.R.L.</t>
        </is>
      </c>
      <c r="M12" s="31" t="inlineStr">
        <is>
          <t>Matafuegos Georgia - venta mayorista</t>
        </is>
      </c>
      <c r="N12" s="31" t="inlineStr">
        <is>
          <t>Recepción y control de ingreso (SP-1)</t>
        </is>
      </c>
      <c r="O12" s="31" t="inlineStr">
        <is>
          <t>IRAM 3509</t>
        </is>
      </c>
      <c r="P12" s="30" t="inlineStr">
        <is>
          <t>I</t>
        </is>
      </c>
      <c r="Q12" s="30" t="inlineStr">
        <is>
          <t>FL_MAT_CO2_5kg</t>
        </is>
      </c>
      <c r="R12" s="31" t="inlineStr">
        <is>
          <t>Única fila de compra del revendido (más la tarjeta AGC si el destino es CABA)</t>
        </is>
      </c>
    </row>
    <row r="13">
      <c r="A13" s="30" t="n">
        <v>1</v>
      </c>
      <c r="B13" s="30" t="inlineStr">
        <is>
          <t>CO25-S1</t>
        </is>
      </c>
      <c r="C13" s="31" t="inlineStr">
        <is>
          <t xml:space="preserve">    Recipiente (cilindro)</t>
        </is>
      </c>
      <c r="D13" s="30" t="n">
        <v>1</v>
      </c>
      <c r="E13" s="30" t="inlineStr">
        <is>
          <t>u</t>
        </is>
      </c>
      <c r="F13" s="32" t="n"/>
      <c r="G13" s="32">
        <f>G14+G15</f>
        <v/>
      </c>
      <c r="H13" s="30" t="n"/>
      <c r="I13" s="31" t="n"/>
      <c r="J13" s="30" t="inlineStr">
        <is>
          <t>Compra / armado</t>
        </is>
      </c>
      <c r="K13" s="30" t="n"/>
      <c r="L13" s="31" t="n"/>
      <c r="M13" s="31" t="n"/>
      <c r="N13" s="31" t="n"/>
      <c r="O13" s="31" t="inlineStr">
        <is>
          <t>IRAM 3523 / 3550 (recipiente)</t>
        </is>
      </c>
      <c r="P13" s="30" t="inlineStr">
        <is>
          <t>P</t>
        </is>
      </c>
      <c r="Q13" s="30" t="inlineStr">
        <is>
          <t>FL_DES_CO2_5kg</t>
        </is>
      </c>
      <c r="R13" s="31" t="n"/>
    </row>
    <row r="14" outlineLevel="1">
      <c r="A14" s="33" t="n">
        <v>2</v>
      </c>
      <c r="B14" s="33" t="inlineStr">
        <is>
          <t>CO25-01</t>
        </is>
      </c>
      <c r="C14" s="17" t="inlineStr">
        <is>
          <t xml:space="preserve">        Cilindro sin costura</t>
        </is>
      </c>
      <c r="D14" s="33" t="n">
        <v>1</v>
      </c>
      <c r="E14" s="33" t="inlineStr">
        <is>
          <t>u</t>
        </is>
      </c>
      <c r="F14" s="34" t="n">
        <v>13.2591</v>
      </c>
      <c r="G14" s="34">
        <f>D14*F14</f>
        <v/>
      </c>
      <c r="H14" s="33" t="inlineStr">
        <is>
          <t>Tubo acero 34CrMo4 sin costura e=6</t>
        </is>
      </c>
      <c r="I14" s="17" t="inlineStr">
        <is>
          <t>Cilindro sin costura Ø140 × e6 × 681,4 de alto (cuello integral)</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FL_DES_CO2_5kg</t>
        </is>
      </c>
      <c r="R14" s="17" t="inlineStr">
        <is>
          <t>cuello integral</t>
        </is>
      </c>
    </row>
    <row r="15" outlineLevel="1">
      <c r="A15" s="33" t="n">
        <v>2</v>
      </c>
      <c r="B15" s="33" t="inlineStr">
        <is>
          <t>CO25-12</t>
        </is>
      </c>
      <c r="C15" s="17" t="inlineStr">
        <is>
          <t xml:space="preserve">        Pie de apoyo</t>
        </is>
      </c>
      <c r="D15" s="33" t="n">
        <v>1</v>
      </c>
      <c r="E15" s="33" t="inlineStr">
        <is>
          <t>u</t>
        </is>
      </c>
      <c r="F15" s="34" t="n">
        <v>0.1008</v>
      </c>
      <c r="G15" s="34">
        <f>D15*F15</f>
        <v/>
      </c>
      <c r="H15" s="33" t="inlineStr">
        <is>
          <t>Polietileno AD</t>
        </is>
      </c>
      <c r="I15" s="17" t="inlineStr">
        <is>
          <t>140 × 140 × 38,5</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FL_DES_CO2_5kg</t>
        </is>
      </c>
      <c r="R15" s="17" t="n"/>
    </row>
    <row r="16">
      <c r="A16" s="30" t="n">
        <v>1</v>
      </c>
      <c r="B16" s="30" t="inlineStr">
        <is>
          <t>CO25-S2</t>
        </is>
      </c>
      <c r="C16" s="31" t="inlineStr">
        <is>
          <t xml:space="preserve">    Conjunto de válvula</t>
        </is>
      </c>
      <c r="D16" s="30" t="n">
        <v>1</v>
      </c>
      <c r="E16" s="30" t="inlineStr">
        <is>
          <t>u</t>
        </is>
      </c>
      <c r="F16" s="32" t="n"/>
      <c r="G16" s="32">
        <f>G17+G18+G19+G20+G21+G22+G23+G24+G25+G26+G27</f>
        <v/>
      </c>
      <c r="H16" s="30" t="n"/>
      <c r="I16" s="31" t="n"/>
      <c r="J16" s="30" t="inlineStr">
        <is>
          <t>Compra / armado</t>
        </is>
      </c>
      <c r="K16" s="30" t="n"/>
      <c r="L16" s="31" t="n"/>
      <c r="M16" s="31" t="n"/>
      <c r="N16" s="31" t="n"/>
      <c r="O16" s="31" t="inlineStr">
        <is>
          <t>Manómetro IRAM 3533</t>
        </is>
      </c>
      <c r="P16" s="30" t="inlineStr">
        <is>
          <t>P</t>
        </is>
      </c>
      <c r="Q16" s="30" t="inlineStr">
        <is>
          <t>FL_DES_CO2_5kg</t>
        </is>
      </c>
      <c r="R16" s="31" t="n"/>
    </row>
    <row r="17" outlineLevel="1">
      <c r="A17" s="33" t="n">
        <v>2</v>
      </c>
      <c r="B17" s="33" t="inlineStr">
        <is>
          <t>CO25-02</t>
        </is>
      </c>
      <c r="C17" s="17" t="inlineStr">
        <is>
          <t xml:space="preserve">        Collarín de válvula</t>
        </is>
      </c>
      <c r="D17" s="33" t="n">
        <v>1</v>
      </c>
      <c r="E17" s="33" t="inlineStr">
        <is>
          <t>u</t>
        </is>
      </c>
      <c r="F17" s="34" t="n">
        <v>0.0809</v>
      </c>
      <c r="G17" s="34">
        <f>D17*F17</f>
        <v/>
      </c>
      <c r="H17" s="33" t="inlineStr">
        <is>
          <t>Latón forjado</t>
        </is>
      </c>
      <c r="I17" s="17" t="inlineStr">
        <is>
          <t>38 × 38 × 10</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FL_DES_CO2_5kg</t>
        </is>
      </c>
      <c r="R17" s="17" t="n"/>
    </row>
    <row r="18" outlineLevel="1">
      <c r="A18" s="33" t="n">
        <v>2</v>
      </c>
      <c r="B18" s="33" t="inlineStr">
        <is>
          <t>CO25-03</t>
        </is>
      </c>
      <c r="C18" s="17" t="inlineStr">
        <is>
          <t xml:space="preserve">        Espiga roscada</t>
        </is>
      </c>
      <c r="D18" s="33" t="n">
        <v>1</v>
      </c>
      <c r="E18" s="33" t="inlineStr">
        <is>
          <t>u</t>
        </is>
      </c>
      <c r="F18" s="34" t="n">
        <v>0.0153</v>
      </c>
      <c r="G18" s="34">
        <f>D18*F18</f>
        <v/>
      </c>
      <c r="H18" s="33" t="inlineStr">
        <is>
          <t>Latón forjado</t>
        </is>
      </c>
      <c r="I18" s="17" t="inlineStr">
        <is>
          <t>19 × 19 × 12</t>
        </is>
      </c>
      <c r="J18" s="33" t="inlineStr">
        <is>
          <t>Compra (en el conjunto)</t>
        </is>
      </c>
      <c r="K18" s="33" t="inlineStr">
        <is>
          <t>No</t>
        </is>
      </c>
      <c r="L18" s="17" t="n"/>
      <c r="M18" s="17" t="n"/>
      <c r="N18" s="17" t="inlineStr">
        <is>
          <t>S4 - se compra terminado (tercerizado con sello IRAM)</t>
        </is>
      </c>
      <c r="O18" s="17" t="n"/>
      <c r="P18" s="33" t="inlineStr">
        <is>
          <t>P</t>
        </is>
      </c>
      <c r="Q18" s="33" t="inlineStr">
        <is>
          <t>FL_DES_CO2_5kg</t>
        </is>
      </c>
      <c r="R18" s="17" t="n"/>
    </row>
    <row r="19" outlineLevel="1">
      <c r="A19" s="33" t="n">
        <v>2</v>
      </c>
      <c r="B19" s="33" t="inlineStr">
        <is>
          <t>CO25-04</t>
        </is>
      </c>
      <c r="C19" s="17" t="inlineStr">
        <is>
          <t xml:space="preserve">        Cuerpo de válvula</t>
        </is>
      </c>
      <c r="D19" s="33" t="n">
        <v>1</v>
      </c>
      <c r="E19" s="33" t="inlineStr">
        <is>
          <t>u</t>
        </is>
      </c>
      <c r="F19" s="34" t="n">
        <v>0.4619</v>
      </c>
      <c r="G19" s="34">
        <f>D19*F19</f>
        <v/>
      </c>
      <c r="H19" s="33" t="inlineStr">
        <is>
          <t>Latón forjado</t>
        </is>
      </c>
      <c r="I19" s="17" t="inlineStr">
        <is>
          <t>63,3 × 43 × 34</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FL_DES_CO2_5kg</t>
        </is>
      </c>
      <c r="R19" s="17" t="n"/>
    </row>
    <row r="20" outlineLevel="1">
      <c r="A20" s="33" t="n">
        <v>2</v>
      </c>
      <c r="B20" s="33" t="inlineStr">
        <is>
          <t>CO25-05</t>
        </is>
      </c>
      <c r="C20" s="17" t="inlineStr">
        <is>
          <t xml:space="preserve">        Disco de seguridad</t>
        </is>
      </c>
      <c r="D20" s="33" t="n">
        <v>1</v>
      </c>
      <c r="E20" s="33" t="inlineStr">
        <is>
          <t>u</t>
        </is>
      </c>
      <c r="F20" s="34" t="n">
        <v>0.0097</v>
      </c>
      <c r="G20" s="34">
        <f>D20*F20</f>
        <v/>
      </c>
      <c r="H20" s="33" t="inlineStr">
        <is>
          <t>Latón / disco de cobre</t>
        </is>
      </c>
      <c r="I20" s="17" t="inlineStr">
        <is>
          <t>14 × 12,1 × 9</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FL_DES_CO2_5kg</t>
        </is>
      </c>
      <c r="R20" s="17" t="inlineStr">
        <is>
          <t>rotura 18 a 21 MPa</t>
        </is>
      </c>
    </row>
    <row r="21" outlineLevel="1">
      <c r="A21" s="33" t="n">
        <v>2</v>
      </c>
      <c r="B21" s="33" t="inlineStr">
        <is>
          <t>CO25-06</t>
        </is>
      </c>
      <c r="C21" s="17" t="inlineStr">
        <is>
          <t xml:space="preserve">        Manija de transporte</t>
        </is>
      </c>
      <c r="D21" s="33" t="n">
        <v>1</v>
      </c>
      <c r="E21" s="33" t="inlineStr">
        <is>
          <t>u</t>
        </is>
      </c>
      <c r="F21" s="34" t="n">
        <v>0.078</v>
      </c>
      <c r="G21" s="34">
        <f>D21*F21</f>
        <v/>
      </c>
      <c r="H21" s="33" t="inlineStr">
        <is>
          <t>Chapa acero SAE 1010 pintada</t>
        </is>
      </c>
      <c r="I21" s="17" t="inlineStr">
        <is>
          <t>124 × 20 × 17</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FL_DES_CO2_5kg</t>
        </is>
      </c>
      <c r="R21" s="17" t="n"/>
    </row>
    <row r="22" outlineLevel="1">
      <c r="A22" s="33" t="n">
        <v>2</v>
      </c>
      <c r="B22" s="33" t="inlineStr">
        <is>
          <t>CO25-07</t>
        </is>
      </c>
      <c r="C22" s="17" t="inlineStr">
        <is>
          <t xml:space="preserve">        Manija de accionamiento</t>
        </is>
      </c>
      <c r="D22" s="33" t="n">
        <v>1</v>
      </c>
      <c r="E22" s="33" t="inlineStr">
        <is>
          <t>u</t>
        </is>
      </c>
      <c r="F22" s="34" t="n">
        <v>0.105</v>
      </c>
      <c r="G22" s="34">
        <f>D22*F22</f>
        <v/>
      </c>
      <c r="H22" s="33" t="inlineStr">
        <is>
          <t>Chapa acero SAE 1010 pintada</t>
        </is>
      </c>
      <c r="I22" s="17" t="inlineStr">
        <is>
          <t>166,5 × 24,4 × 20</t>
        </is>
      </c>
      <c r="J22" s="33" t="inlineStr">
        <is>
          <t>Compra (en el conjunto)</t>
        </is>
      </c>
      <c r="K22" s="33" t="inlineStr">
        <is>
          <t>No</t>
        </is>
      </c>
      <c r="L22" s="17" t="n"/>
      <c r="M22" s="17" t="n"/>
      <c r="N22" s="17" t="inlineStr">
        <is>
          <t>S4 - se compra terminado (tercerizado con sello IRAM)</t>
        </is>
      </c>
      <c r="O22" s="17" t="n"/>
      <c r="P22" s="33" t="inlineStr">
        <is>
          <t>P</t>
        </is>
      </c>
      <c r="Q22" s="33" t="inlineStr">
        <is>
          <t>FL_DES_CO2_5kg</t>
        </is>
      </c>
      <c r="R22" s="17" t="n"/>
    </row>
    <row r="23" outlineLevel="1">
      <c r="A23" s="33" t="n">
        <v>2</v>
      </c>
      <c r="B23" s="33" t="inlineStr">
        <is>
          <t>CO25-08</t>
        </is>
      </c>
      <c r="C23" s="17" t="inlineStr">
        <is>
          <t xml:space="preserve">        Eje de palanca</t>
        </is>
      </c>
      <c r="D23" s="33" t="n">
        <v>1</v>
      </c>
      <c r="E23" s="33" t="inlineStr">
        <is>
          <t>u</t>
        </is>
      </c>
      <c r="F23" s="34" t="n">
        <v>0.0081</v>
      </c>
      <c r="G23" s="34">
        <f>D23*F23</f>
        <v/>
      </c>
      <c r="H23" s="33" t="inlineStr">
        <is>
          <t>Acero inox. AISI 304</t>
        </is>
      </c>
      <c r="I23" s="17" t="inlineStr">
        <is>
          <t>36 × 6 × 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FL_DES_CO2_5kg</t>
        </is>
      </c>
      <c r="R23" s="17" t="n"/>
    </row>
    <row r="24" outlineLevel="1">
      <c r="A24" s="33" t="n">
        <v>2</v>
      </c>
      <c r="B24" s="33" t="inlineStr">
        <is>
          <t>CO25-09</t>
        </is>
      </c>
      <c r="C24" s="17" t="inlineStr">
        <is>
          <t xml:space="preserve">        Vástago</t>
        </is>
      </c>
      <c r="D24" s="33" t="n">
        <v>1</v>
      </c>
      <c r="E24" s="33" t="inlineStr">
        <is>
          <t>u</t>
        </is>
      </c>
      <c r="F24" s="34" t="n">
        <v>0.0017</v>
      </c>
      <c r="G24" s="34">
        <f>D24*F24</f>
        <v/>
      </c>
      <c r="H24" s="33" t="inlineStr">
        <is>
          <t>Latón</t>
        </is>
      </c>
      <c r="I24" s="17" t="inlineStr">
        <is>
          <t>8 × 8 × 4</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FL_DES_CO2_5kg</t>
        </is>
      </c>
      <c r="R24" s="17" t="inlineStr">
        <is>
          <t>con junta tórica</t>
        </is>
      </c>
    </row>
    <row r="25" outlineLevel="1">
      <c r="A25" s="33" t="n">
        <v>2</v>
      </c>
      <c r="B25" s="33" t="inlineStr">
        <is>
          <t>CO25-10</t>
        </is>
      </c>
      <c r="C25" s="17" t="inlineStr">
        <is>
          <t xml:space="preserve">        Pasador de seguridad</t>
        </is>
      </c>
      <c r="D25" s="33" t="n">
        <v>1</v>
      </c>
      <c r="E25" s="33" t="inlineStr">
        <is>
          <t>u</t>
        </is>
      </c>
      <c r="F25" s="34" t="n">
        <v>0.0055</v>
      </c>
      <c r="G25" s="34">
        <f>D25*F25</f>
        <v/>
      </c>
      <c r="H25" s="33" t="inlineStr">
        <is>
          <t>Alambre acero inox. AISI 304</t>
        </is>
      </c>
      <c r="I25" s="17" t="inlineStr">
        <is>
          <t>45,4 × 21 × 20,8</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FL_DES_CO2_5kg</t>
        </is>
      </c>
      <c r="R25" s="17" t="inlineStr">
        <is>
          <t>con precinto</t>
        </is>
      </c>
    </row>
    <row r="26" outlineLevel="1">
      <c r="A26" s="33" t="n">
        <v>2</v>
      </c>
      <c r="B26" s="33" t="inlineStr">
        <is>
          <t>CO25-11</t>
        </is>
      </c>
      <c r="C26" s="17" t="inlineStr">
        <is>
          <t xml:space="preserve">        Caño de pesca (sifón)</t>
        </is>
      </c>
      <c r="D26" s="33" t="n">
        <v>1</v>
      </c>
      <c r="E26" s="33" t="inlineStr">
        <is>
          <t>u</t>
        </is>
      </c>
      <c r="F26" s="34" t="n">
        <v>0.0698</v>
      </c>
      <c r="G26" s="34">
        <f>D26*F26</f>
        <v/>
      </c>
      <c r="H26" s="33" t="inlineStr">
        <is>
          <t>Tubo aluminio</t>
        </is>
      </c>
      <c r="I26" s="17" t="inlineStr">
        <is>
          <t>Ø10 × 645,4 de largo</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FL_DES_CO2_5kg</t>
        </is>
      </c>
      <c r="R26" s="17" t="n"/>
    </row>
    <row r="27" outlineLevel="1">
      <c r="A27" s="33" t="n">
        <v>2</v>
      </c>
      <c r="B27" s="33" t="inlineStr">
        <is>
          <t>CO25-23</t>
        </is>
      </c>
      <c r="C27" s="17" t="inlineStr">
        <is>
          <t xml:space="preserve">        Junta tórica de asiento</t>
        </is>
      </c>
      <c r="D27" s="33" t="n">
        <v>1</v>
      </c>
      <c r="E27" s="33" t="inlineStr">
        <is>
          <t>u</t>
        </is>
      </c>
      <c r="F27" s="34" t="n">
        <v>0.0005999999999999999</v>
      </c>
      <c r="G27" s="34">
        <f>D27*F27</f>
        <v/>
      </c>
      <c r="H27" s="33" t="inlineStr">
        <is>
          <t>NBR 70 Shore A</t>
        </is>
      </c>
      <c r="I27" s="17" t="inlineStr">
        <is>
          <t>Ø22 ext. × cordón 3</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FL_DES_CO2_5kg</t>
        </is>
      </c>
      <c r="R27" s="17" t="inlineStr">
        <is>
          <t>cambio c/recarga</t>
        </is>
      </c>
    </row>
    <row r="28" outlineLevel="1">
      <c r="A28" s="33" t="n">
        <v>2</v>
      </c>
      <c r="B28" s="33" t="inlineStr">
        <is>
          <t>CO25-V3</t>
        </is>
      </c>
      <c r="C28" s="17" t="inlineStr">
        <is>
          <t xml:space="preserve">        Junta tórica del vástago</t>
        </is>
      </c>
      <c r="D28" s="33" t="n">
        <v>1</v>
      </c>
      <c r="E28" s="33" t="inlineStr">
        <is>
          <t>u</t>
        </is>
      </c>
      <c r="F28" s="34" t="n"/>
      <c r="G28" s="34" t="n"/>
      <c r="H28" s="33" t="inlineStr">
        <is>
          <t>NBR 70 Shore A</t>
        </is>
      </c>
      <c r="I28" s="17" t="inlineStr">
        <is>
          <t>incluida en la válvula</t>
        </is>
      </c>
      <c r="J28" s="33" t="inlineStr">
        <is>
          <t>Compra (en el conjunto)</t>
        </is>
      </c>
      <c r="K28" s="33" t="inlineStr">
        <is>
          <t>No</t>
        </is>
      </c>
      <c r="L28" s="17" t="n"/>
      <c r="M28" s="17" t="n"/>
      <c r="N28" s="17" t="inlineStr">
        <is>
          <t>19 Ensamblaje</t>
        </is>
      </c>
      <c r="O28" s="17" t="n"/>
      <c r="P28" s="33" t="inlineStr">
        <is>
          <t>P</t>
        </is>
      </c>
      <c r="Q28" s="33" t="n"/>
      <c r="R28" s="17" t="inlineStr">
        <is>
          <t>Figura en el plano como «vástago con junta tórica»</t>
        </is>
      </c>
    </row>
    <row r="29">
      <c r="A29" s="30" t="n">
        <v>1</v>
      </c>
      <c r="B29" s="30" t="inlineStr">
        <is>
          <t>CO25-S3</t>
        </is>
      </c>
      <c r="C29" s="31" t="inlineStr">
        <is>
          <t xml:space="preserve">    Dispositivo de descarga</t>
        </is>
      </c>
      <c r="D29" s="30" t="n">
        <v>1</v>
      </c>
      <c r="E29" s="30" t="inlineStr">
        <is>
          <t>u</t>
        </is>
      </c>
      <c r="F29" s="32" t="n"/>
      <c r="G29" s="32">
        <f>G30+G31+G32+G33+G34</f>
        <v/>
      </c>
      <c r="H29" s="30" t="n"/>
      <c r="I29" s="31" t="n"/>
      <c r="J29" s="30" t="inlineStr">
        <is>
          <t>Compra / armado</t>
        </is>
      </c>
      <c r="K29" s="30" t="n"/>
      <c r="L29" s="31" t="n"/>
      <c r="M29" s="31" t="n"/>
      <c r="N29" s="31" t="n"/>
      <c r="O29" s="31" t="n"/>
      <c r="P29" s="30" t="inlineStr">
        <is>
          <t>P</t>
        </is>
      </c>
      <c r="Q29" s="30" t="inlineStr">
        <is>
          <t>FL_DES_CO2_5kg</t>
        </is>
      </c>
      <c r="R29" s="31" t="n"/>
    </row>
    <row r="30" outlineLevel="1">
      <c r="A30" s="33" t="n">
        <v>2</v>
      </c>
      <c r="B30" s="33" t="inlineStr">
        <is>
          <t>CO25-13</t>
        </is>
      </c>
      <c r="C30" s="17" t="inlineStr">
        <is>
          <t xml:space="preserve">        Racor de manguera</t>
        </is>
      </c>
      <c r="D30" s="33" t="n">
        <v>1</v>
      </c>
      <c r="E30" s="33" t="inlineStr">
        <is>
          <t>u</t>
        </is>
      </c>
      <c r="F30" s="34" t="n">
        <v>0.0258</v>
      </c>
      <c r="G30" s="34">
        <f>D30*F30</f>
        <v/>
      </c>
      <c r="H30" s="33" t="inlineStr">
        <is>
          <t>Latón</t>
        </is>
      </c>
      <c r="I30" s="17" t="inlineStr">
        <is>
          <t>18 × 18 × 12</t>
        </is>
      </c>
      <c r="J30" s="33" t="inlineStr">
        <is>
          <t>Compra (en el conjunto)</t>
        </is>
      </c>
      <c r="K30" s="33" t="inlineStr">
        <is>
          <t>No</t>
        </is>
      </c>
      <c r="L30" s="17" t="n"/>
      <c r="M30" s="17" t="n"/>
      <c r="N30" s="17" t="inlineStr">
        <is>
          <t>S4 - se compra terminado (tercerizado con sello IRAM)</t>
        </is>
      </c>
      <c r="O30" s="17" t="n"/>
      <c r="P30" s="33" t="inlineStr">
        <is>
          <t>P</t>
        </is>
      </c>
      <c r="Q30" s="33" t="inlineStr">
        <is>
          <t>FL_DES_CO2_5kg</t>
        </is>
      </c>
      <c r="R30" s="17" t="n"/>
    </row>
    <row r="31" outlineLevel="1">
      <c r="A31" s="33" t="n">
        <v>2</v>
      </c>
      <c r="B31" s="33" t="inlineStr">
        <is>
          <t>CO25-14</t>
        </is>
      </c>
      <c r="C31" s="17" t="inlineStr">
        <is>
          <t xml:space="preserve">        Manguera</t>
        </is>
      </c>
      <c r="D31" s="33" t="n">
        <v>1</v>
      </c>
      <c r="E31" s="33" t="inlineStr">
        <is>
          <t>u</t>
        </is>
      </c>
      <c r="F31" s="34" t="n">
        <v>0.0463</v>
      </c>
      <c r="G31" s="34">
        <f>D31*F31</f>
        <v/>
      </c>
      <c r="H31" s="33" t="inlineStr">
        <is>
          <t>Manga alta presión c/malla acero</t>
        </is>
      </c>
      <c r="I31" s="17" t="inlineStr">
        <is>
          <t>Ø16 × 300 de largo desarrollado</t>
        </is>
      </c>
      <c r="J31" s="33" t="inlineStr">
        <is>
          <t>Compra (en el conjunto)</t>
        </is>
      </c>
      <c r="K31" s="33" t="inlineStr">
        <is>
          <t>No</t>
        </is>
      </c>
      <c r="L31" s="17" t="n"/>
      <c r="M31" s="17" t="n"/>
      <c r="N31" s="17" t="inlineStr">
        <is>
          <t>S4 - se compra terminado (tercerizado con sello IRAM)</t>
        </is>
      </c>
      <c r="O31" s="17" t="n"/>
      <c r="P31" s="33" t="inlineStr">
        <is>
          <t>P</t>
        </is>
      </c>
      <c r="Q31" s="33" t="inlineStr">
        <is>
          <t>FL_DES_CO2_5kg</t>
        </is>
      </c>
      <c r="R31" s="17" t="n"/>
    </row>
    <row r="32" outlineLevel="1">
      <c r="A32" s="33" t="n">
        <v>2</v>
      </c>
      <c r="B32" s="33" t="inlineStr">
        <is>
          <t>CO25-15</t>
        </is>
      </c>
      <c r="C32" s="17" t="inlineStr">
        <is>
          <t xml:space="preserve">        Difusor (bocina)</t>
        </is>
      </c>
      <c r="D32" s="33" t="n">
        <v>1</v>
      </c>
      <c r="E32" s="33" t="inlineStr">
        <is>
          <t>u</t>
        </is>
      </c>
      <c r="F32" s="34" t="n">
        <v>0.09429999999999999</v>
      </c>
      <c r="G32" s="34">
        <f>D32*F32</f>
        <v/>
      </c>
      <c r="H32" s="33" t="inlineStr">
        <is>
          <t>Polietileno AD</t>
        </is>
      </c>
      <c r="I32" s="17" t="inlineStr">
        <is>
          <t>260 × 90 × 90</t>
        </is>
      </c>
      <c r="J32" s="33" t="inlineStr">
        <is>
          <t>Compra (en el conjunto)</t>
        </is>
      </c>
      <c r="K32" s="33" t="inlineStr">
        <is>
          <t>No</t>
        </is>
      </c>
      <c r="L32" s="17" t="n"/>
      <c r="M32" s="17" t="n"/>
      <c r="N32" s="17" t="inlineStr">
        <is>
          <t>S4 - se compra terminado (tercerizado con sello IRAM)</t>
        </is>
      </c>
      <c r="O32" s="17" t="n"/>
      <c r="P32" s="33" t="inlineStr">
        <is>
          <t>P</t>
        </is>
      </c>
      <c r="Q32" s="33" t="inlineStr">
        <is>
          <t>FL_DES_CO2_5kg</t>
        </is>
      </c>
      <c r="R32" s="17" t="inlineStr">
        <is>
          <t>aislante térmico y eléctrico</t>
        </is>
      </c>
    </row>
    <row r="33" outlineLevel="1">
      <c r="A33" s="33" t="n">
        <v>2</v>
      </c>
      <c r="B33" s="33" t="inlineStr">
        <is>
          <t>CO25-16</t>
        </is>
      </c>
      <c r="C33" s="17" t="inlineStr">
        <is>
          <t xml:space="preserve">        Empuñadura</t>
        </is>
      </c>
      <c r="D33" s="33" t="n">
        <v>1</v>
      </c>
      <c r="E33" s="33" t="inlineStr">
        <is>
          <t>u</t>
        </is>
      </c>
      <c r="F33" s="34" t="n">
        <v>0.0201</v>
      </c>
      <c r="G33" s="34">
        <f>D33*F33</f>
        <v/>
      </c>
      <c r="H33" s="33" t="inlineStr">
        <is>
          <t>Polipropileno</t>
        </is>
      </c>
      <c r="I33" s="17" t="inlineStr">
        <is>
          <t>40 × 36 × 36</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FL_DES_CO2_5kg</t>
        </is>
      </c>
      <c r="R33" s="17" t="n"/>
    </row>
    <row r="34" outlineLevel="1">
      <c r="A34" s="33" t="n">
        <v>2</v>
      </c>
      <c r="B34" s="33" t="inlineStr">
        <is>
          <t>CO25-17</t>
        </is>
      </c>
      <c r="C34" s="17" t="inlineStr">
        <is>
          <t xml:space="preserve">        Suncho soporte de difusor</t>
        </is>
      </c>
      <c r="D34" s="33" t="n">
        <v>1</v>
      </c>
      <c r="E34" s="33" t="inlineStr">
        <is>
          <t>u</t>
        </is>
      </c>
      <c r="F34" s="34" t="n">
        <v>0.1762</v>
      </c>
      <c r="G34" s="34">
        <f>D34*F34</f>
        <v/>
      </c>
      <c r="H34" s="33" t="inlineStr">
        <is>
          <t>Fleje acero SAE 1010 pintado</t>
        </is>
      </c>
      <c r="I34" s="17" t="inlineStr">
        <is>
          <t>161,7 × 143 × 18</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FL_DES_CO2_5kg</t>
        </is>
      </c>
      <c r="R34" s="17" t="n"/>
    </row>
    <row r="35">
      <c r="A35" s="30" t="n">
        <v>1</v>
      </c>
      <c r="B35" s="30" t="inlineStr">
        <is>
          <t>CO25-S5</t>
        </is>
      </c>
      <c r="C35" s="31" t="inlineStr">
        <is>
          <t xml:space="preserve">    Carga: agente extintor y gas impulsor</t>
        </is>
      </c>
      <c r="D35" s="30" t="n">
        <v>1</v>
      </c>
      <c r="E35" s="30" t="inlineStr">
        <is>
          <t>u</t>
        </is>
      </c>
      <c r="F35" s="32" t="n"/>
      <c r="G35" s="32">
        <f>G36</f>
        <v/>
      </c>
      <c r="H35" s="30" t="n"/>
      <c r="I35" s="31" t="n"/>
      <c r="J35" s="30" t="inlineStr">
        <is>
          <t>Compra</t>
        </is>
      </c>
      <c r="K35" s="30" t="n"/>
      <c r="L35" s="31" t="n"/>
      <c r="M35" s="31" t="n"/>
      <c r="N35" s="31" t="n"/>
      <c r="O35" s="31" t="n"/>
      <c r="P35" s="30" t="n"/>
      <c r="Q35" s="30" t="n"/>
      <c r="R35" s="31" t="n"/>
    </row>
    <row r="36" outlineLevel="1">
      <c r="A36" s="33" t="n">
        <v>2</v>
      </c>
      <c r="B36" s="33" t="inlineStr">
        <is>
          <t>CO25-A1</t>
        </is>
      </c>
      <c r="C36" s="17" t="inlineStr">
        <is>
          <t xml:space="preserve">        Dióxido de carbono (IRAM 41170)</t>
        </is>
      </c>
      <c r="D36" s="33" t="n">
        <v>5</v>
      </c>
      <c r="E36" s="33" t="inlineStr">
        <is>
          <t>kg</t>
        </is>
      </c>
      <c r="F36" s="34" t="n">
        <v>1</v>
      </c>
      <c r="G36" s="34">
        <f>D36*F36</f>
        <v/>
      </c>
      <c r="H36" s="33" t="inlineStr">
        <is>
          <t>Dióxido de carbono (IRAM 41170)</t>
        </is>
      </c>
      <c r="I36" s="17" t="inlineStr">
        <is>
          <t>nominal 5 kg; tolerancia 0 / -5 % (IRAM 3517-2:2020 tabla 3)</t>
        </is>
      </c>
      <c r="J36" s="33" t="inlineStr">
        <is>
          <t>Compra</t>
        </is>
      </c>
      <c r="K36" s="33" t="inlineStr">
        <is>
          <t>No</t>
        </is>
      </c>
      <c r="L36" s="17" t="n"/>
      <c r="M36" s="17" t="n"/>
      <c r="N36" s="17" t="inlineStr">
        <is>
          <t>SP-1 almacén previo a la carga</t>
        </is>
      </c>
      <c r="O36" s="17" t="inlineStr">
        <is>
          <t>IRAM 41170</t>
        </is>
      </c>
      <c r="P36" s="33" t="inlineStr">
        <is>
          <t>N</t>
        </is>
      </c>
      <c r="Q36" s="33" t="n"/>
      <c r="R36" s="17" t="n"/>
    </row>
    <row r="37">
      <c r="A37" s="30" t="n">
        <v>1</v>
      </c>
      <c r="B37" s="30" t="inlineStr">
        <is>
          <t>CO25-S6</t>
        </is>
      </c>
      <c r="C37" s="31" t="inlineStr">
        <is>
          <t xml:space="preserve">    Identificación y precinto</t>
        </is>
      </c>
      <c r="D37" s="30" t="n">
        <v>1</v>
      </c>
      <c r="E37" s="30" t="inlineStr">
        <is>
          <t>u</t>
        </is>
      </c>
      <c r="F37" s="32" t="n"/>
      <c r="G37" s="32">
        <f>G38+G39+G40+G41+G42+G43+G44</f>
        <v/>
      </c>
      <c r="H37" s="30" t="n"/>
      <c r="I37" s="31" t="n"/>
      <c r="J37" s="30" t="inlineStr">
        <is>
          <t>Compra</t>
        </is>
      </c>
      <c r="K37" s="30" t="n"/>
      <c r="L37" s="31" t="n"/>
      <c r="M37" s="31" t="n"/>
      <c r="N37" s="31" t="inlineStr">
        <is>
          <t>22 Etiquetado (T07)</t>
        </is>
      </c>
      <c r="O37" s="31" t="n"/>
      <c r="P37" s="30" t="n"/>
      <c r="Q37" s="30" t="n"/>
      <c r="R37" s="31" t="n"/>
    </row>
    <row r="38" outlineLevel="1">
      <c r="A38" s="33" t="n">
        <v>2</v>
      </c>
      <c r="B38" s="33" t="inlineStr">
        <is>
          <t>CO25-18</t>
        </is>
      </c>
      <c r="C38" s="17" t="inlineStr">
        <is>
          <t xml:space="preserve">        Etiqueta / placa de características</t>
        </is>
      </c>
      <c r="D38" s="33" t="n">
        <v>1</v>
      </c>
      <c r="E38" s="33" t="inlineStr">
        <is>
          <t>u</t>
        </is>
      </c>
      <c r="F38" s="34" t="n">
        <v>0.0257</v>
      </c>
      <c r="G38" s="34">
        <f>D38*F38</f>
        <v/>
      </c>
      <c r="H38" s="33" t="inlineStr">
        <is>
          <t>Vinilo autoadhesivo laminado</t>
        </is>
      </c>
      <c r="I38" s="17" t="inlineStr">
        <is>
          <t>264 × 232 (desarrollo × alto: panel central 108° + 2 alas laterales), e ≈ 0,3, laminado UV</t>
        </is>
      </c>
      <c r="J38" s="33" t="inlineStr">
        <is>
          <t>Compra</t>
        </is>
      </c>
      <c r="K38" s="33" t="inlineStr">
        <is>
          <t>No</t>
        </is>
      </c>
      <c r="L38" s="17" t="n"/>
      <c r="M38" s="17" t="n"/>
      <c r="N38" s="17" t="inlineStr">
        <is>
          <t>22 Etiquetado (T07)</t>
        </is>
      </c>
      <c r="O38" s="17" t="inlineStr">
        <is>
          <t>IRAM 3534 · IRAM 3509 cap. 5 · relevamiento de mercado</t>
        </is>
      </c>
      <c r="P38" s="33" t="inlineStr">
        <is>
          <t>P</t>
        </is>
      </c>
      <c r="Q38" s="33" t="inlineStr">
        <is>
          <t>FL_DES_CO2_5kg</t>
        </is>
      </c>
      <c r="R38" s="17" t="inlineStr">
        <is>
          <t>IRAM 3534</t>
        </is>
      </c>
    </row>
    <row r="39" outlineLevel="1">
      <c r="A39" s="33" t="n">
        <v>2</v>
      </c>
      <c r="B39" s="33" t="inlineStr">
        <is>
          <t>CO25-19</t>
        </is>
      </c>
      <c r="C39" s="17" t="inlineStr">
        <is>
          <t xml:space="preserve">        Oblea de fabricación (PBA)</t>
        </is>
      </c>
      <c r="D39" s="33" t="n">
        <v>1</v>
      </c>
      <c r="E39" s="33" t="inlineStr">
        <is>
          <t>u</t>
        </is>
      </c>
      <c r="F39" s="34" t="n">
        <v>0.0009</v>
      </c>
      <c r="G39" s="34">
        <f>D39*F39</f>
        <v/>
      </c>
      <c r="H39" s="33" t="inlineStr">
        <is>
          <t>Papel de seguridad autodestructible</t>
        </is>
      </c>
      <c r="I39" s="17" t="inlineStr">
        <is>
          <t>Ø46 (Res. OPDS 522/07), numerada, autodestructible</t>
        </is>
      </c>
      <c r="J39" s="33" t="inlineStr">
        <is>
          <t>Compra</t>
        </is>
      </c>
      <c r="K39" s="33" t="inlineStr">
        <is>
          <t>No</t>
        </is>
      </c>
      <c r="L39" s="17" t="n"/>
      <c r="M39" s="17" t="n"/>
      <c r="N39" s="17" t="inlineStr">
        <is>
          <t>22 Etiquetado (T07)</t>
        </is>
      </c>
      <c r="O39" s="17" t="inlineStr">
        <is>
          <t>Res. OPDS 522/07 anexos 1, 2 y 6</t>
        </is>
      </c>
      <c r="P39" s="33" t="inlineStr">
        <is>
          <t>P</t>
        </is>
      </c>
      <c r="Q39" s="33" t="inlineStr">
        <is>
          <t>FL_DES_CO2_5kg</t>
        </is>
      </c>
      <c r="R39" s="17" t="inlineStr">
        <is>
          <t>Res. 522/07</t>
        </is>
      </c>
    </row>
    <row r="40" outlineLevel="1">
      <c r="A40" s="33" t="n">
        <v>2</v>
      </c>
      <c r="B40" s="33" t="inlineStr">
        <is>
          <t>CO25-20</t>
        </is>
      </c>
      <c r="C40" s="17" t="inlineStr">
        <is>
          <t xml:space="preserve">        Estampilla IRAM de conformidad</t>
        </is>
      </c>
      <c r="D40" s="33" t="n">
        <v>1</v>
      </c>
      <c r="E40" s="33" t="inlineStr">
        <is>
          <t>u</t>
        </is>
      </c>
      <c r="F40" s="34" t="n">
        <v>0.001</v>
      </c>
      <c r="G40" s="34">
        <f>D40*F40</f>
        <v/>
      </c>
      <c r="H40" s="33" t="inlineStr">
        <is>
          <t>Provista por IRAM (Anexo R)</t>
        </is>
      </c>
      <c r="I40" s="17" t="inlineStr">
        <is>
          <t>60 × 40</t>
        </is>
      </c>
      <c r="J40" s="33" t="inlineStr">
        <is>
          <t>Compra</t>
        </is>
      </c>
      <c r="K40" s="33" t="inlineStr">
        <is>
          <t>No</t>
        </is>
      </c>
      <c r="L40" s="17" t="n"/>
      <c r="M40" s="17" t="n"/>
      <c r="N40" s="17" t="inlineStr">
        <is>
          <t>22 Etiquetado (T07)</t>
        </is>
      </c>
      <c r="O40" s="17" t="inlineStr">
        <is>
          <t>IRAM Anexo R (DC-PG-129)</t>
        </is>
      </c>
      <c r="P40" s="33" t="inlineStr">
        <is>
          <t>P</t>
        </is>
      </c>
      <c r="Q40" s="33" t="inlineStr">
        <is>
          <t>FL_DES_CO2_5kg</t>
        </is>
      </c>
      <c r="R40" s="17" t="inlineStr">
        <is>
          <t>numerada</t>
        </is>
      </c>
    </row>
    <row r="41" outlineLevel="1">
      <c r="A41" s="33" t="n">
        <v>2</v>
      </c>
      <c r="B41" s="33" t="inlineStr">
        <is>
          <t>CO25-21</t>
        </is>
      </c>
      <c r="C41" s="17" t="inlineStr">
        <is>
          <t xml:space="preserve">        Tarjeta de identificación AGC (CABA)</t>
        </is>
      </c>
      <c r="D41" s="33" t="n">
        <v>1</v>
      </c>
      <c r="E41" s="33" t="inlineStr">
        <is>
          <t>u</t>
        </is>
      </c>
      <c r="F41" s="34" t="n">
        <v>0.0032</v>
      </c>
      <c r="G41" s="34">
        <f>D41*F41</f>
        <v/>
      </c>
      <c r="H41" s="33" t="inlineStr">
        <is>
          <t>Etiqueta autoadhesiva emitida por la AGC</t>
        </is>
      </c>
      <c r="I41" s="17" t="inlineStr">
        <is>
          <t>140 × 55</t>
        </is>
      </c>
      <c r="J41" s="33" t="inlineStr">
        <is>
          <t>Compra</t>
        </is>
      </c>
      <c r="K41" s="33" t="inlineStr">
        <is>
          <t>Sí</t>
        </is>
      </c>
      <c r="L41" s="17" t="inlineStr">
        <is>
          <t>Agencia Gubernamental de Control (CABA)</t>
        </is>
      </c>
      <c r="M41" s="17" t="inlineStr">
        <is>
          <t>-</t>
        </is>
      </c>
      <c r="N41" s="17" t="inlineStr">
        <is>
          <t>22 Etiquetado (T07)</t>
        </is>
      </c>
      <c r="O41" s="17" t="inlineStr">
        <is>
          <t>Ordenanza 40.473 art. 6 · Res. AGC 32/15</t>
        </is>
      </c>
      <c r="P41" s="33" t="inlineStr">
        <is>
          <t>P</t>
        </is>
      </c>
      <c r="Q41" s="33" t="inlineStr">
        <is>
          <t>FL_DES_CO2_5kg</t>
        </is>
      </c>
      <c r="R41" s="17" t="inlineStr">
        <is>
          <t>sólo destino CABA; sólo destino CABA</t>
        </is>
      </c>
    </row>
    <row r="42" outlineLevel="1">
      <c r="A42" s="33" t="n">
        <v>2</v>
      </c>
      <c r="B42" s="33" t="inlineStr">
        <is>
          <t>CO25-22</t>
        </is>
      </c>
      <c r="C42" s="17" t="inlineStr">
        <is>
          <t xml:space="preserve">        Etiqueta de n° de serie GS1</t>
        </is>
      </c>
      <c r="D42" s="33" t="n">
        <v>1</v>
      </c>
      <c r="E42" s="33" t="inlineStr">
        <is>
          <t>u</t>
        </is>
      </c>
      <c r="F42" s="34" t="n">
        <v>0.0005</v>
      </c>
      <c r="G42" s="34">
        <f>D42*F42</f>
        <v/>
      </c>
      <c r="H42" s="33" t="inlineStr">
        <is>
          <t>Poliéster autoadhesivo impreso térmico</t>
        </is>
      </c>
      <c r="I42" s="17" t="inlineStr">
        <is>
          <t>45 × 25</t>
        </is>
      </c>
      <c r="J42" s="33" t="inlineStr">
        <is>
          <t>Compra</t>
        </is>
      </c>
      <c r="K42" s="33" t="inlineStr">
        <is>
          <t>No</t>
        </is>
      </c>
      <c r="L42" s="17" t="n"/>
      <c r="M42" s="17" t="n"/>
      <c r="N42" s="17" t="inlineStr">
        <is>
          <t>22 Etiquetado (T07)</t>
        </is>
      </c>
      <c r="O42" s="17" t="inlineStr">
        <is>
          <t>GS1 Argentina (GTIN 779) · trazabilidad IRAM 3523 5.1</t>
        </is>
      </c>
      <c r="P42" s="33" t="inlineStr">
        <is>
          <t>P</t>
        </is>
      </c>
      <c r="Q42" s="33" t="inlineStr">
        <is>
          <t>FL_DES_CO2_5kg</t>
        </is>
      </c>
      <c r="R42" s="17" t="inlineStr">
        <is>
          <t>QR GTIN + serie</t>
        </is>
      </c>
    </row>
    <row r="43" outlineLevel="1">
      <c r="A43" s="33" t="n">
        <v>2</v>
      </c>
      <c r="B43" s="33" t="inlineStr">
        <is>
          <t>CO25-24</t>
        </is>
      </c>
      <c r="C43" s="17" t="inlineStr">
        <is>
          <t xml:space="preserve">        Faja de garantía válvula-cuello</t>
        </is>
      </c>
      <c r="D43" s="33" t="n">
        <v>1</v>
      </c>
      <c r="E43" s="33" t="inlineStr">
        <is>
          <t>u</t>
        </is>
      </c>
      <c r="F43" s="34" t="n">
        <v>0.0003</v>
      </c>
      <c r="G43" s="34">
        <f>D43*F43</f>
        <v/>
      </c>
      <c r="H43" s="33" t="inlineStr">
        <is>
          <t>Vinilo destructible rayado rojo/blanco</t>
        </is>
      </c>
      <c r="I43" s="17" t="inlineStr">
        <is>
          <t>30 × 40</t>
        </is>
      </c>
      <c r="J43" s="33" t="inlineStr">
        <is>
          <t>Compra</t>
        </is>
      </c>
      <c r="K43" s="33" t="inlineStr">
        <is>
          <t>No</t>
        </is>
      </c>
      <c r="L43" s="17" t="n"/>
      <c r="M43" s="17" t="n"/>
      <c r="N43" s="17" t="inlineStr">
        <is>
          <t>22 Etiquetado (T07)</t>
        </is>
      </c>
      <c r="O43" s="17" t="inlineStr">
        <is>
          <t>Sin norma: práctica de mercado (garantía de fábrica)</t>
        </is>
      </c>
      <c r="P43" s="33" t="inlineStr">
        <is>
          <t>P</t>
        </is>
      </c>
      <c r="Q43" s="33" t="inlineStr">
        <is>
          <t>FL_DES_CO2_5kg</t>
        </is>
      </c>
      <c r="R43" s="17" t="inlineStr">
        <is>
          <t>nuevo sin abrir</t>
        </is>
      </c>
    </row>
    <row r="44" outlineLevel="1">
      <c r="A44" s="33" t="n">
        <v>2</v>
      </c>
      <c r="B44" s="33" t="inlineStr">
        <is>
          <t>CO25-25</t>
        </is>
      </c>
      <c r="C44" s="17" t="inlineStr">
        <is>
          <t xml:space="preserve">        Precinto de fábrica</t>
        </is>
      </c>
      <c r="D44" s="33" t="n">
        <v>1</v>
      </c>
      <c r="E44" s="33" t="inlineStr">
        <is>
          <t>u</t>
        </is>
      </c>
      <c r="F44" s="34" t="n">
        <v>0.0002</v>
      </c>
      <c r="G44" s="34">
        <f>D44*F44</f>
        <v/>
      </c>
      <c r="H44" s="33" t="inlineStr">
        <is>
          <t>Polipropileno color</t>
        </is>
      </c>
      <c r="I44" s="17" t="inlineStr">
        <is>
          <t>Ø5 × 10, numerado, rotura 30-50 N</t>
        </is>
      </c>
      <c r="J44" s="33" t="inlineStr">
        <is>
          <t>Compra</t>
        </is>
      </c>
      <c r="K44" s="33" t="inlineStr">
        <is>
          <t>No</t>
        </is>
      </c>
      <c r="L44" s="17" t="n"/>
      <c r="M44" s="17" t="n"/>
      <c r="N44" s="17" t="inlineStr">
        <is>
          <t>20 Presurización (T05)</t>
        </is>
      </c>
      <c r="O44" s="17" t="inlineStr">
        <is>
          <t>IRAM 3523 3.3.2 · IRAM 3517-2:2020 9.4.13</t>
        </is>
      </c>
      <c r="P44" s="33" t="inlineStr">
        <is>
          <t>P</t>
        </is>
      </c>
      <c r="Q44" s="33" t="inlineStr">
        <is>
          <t>FL_DES_CO2_5kg</t>
        </is>
      </c>
      <c r="R44" s="17" t="inlineStr">
        <is>
          <t>id. FLAMA y lote</t>
        </is>
      </c>
    </row>
    <row r="45">
      <c r="A45" s="30" t="n">
        <v>1</v>
      </c>
      <c r="B45" s="30" t="inlineStr">
        <is>
          <t>CO25-S8</t>
        </is>
      </c>
      <c r="C45" s="31" t="inlineStr">
        <is>
          <t xml:space="preserve">    Soporte (accesorio de montaje)</t>
        </is>
      </c>
      <c r="D45" s="30" t="n">
        <v>1</v>
      </c>
      <c r="E45" s="30" t="inlineStr">
        <is>
          <t>u</t>
        </is>
      </c>
      <c r="F45" s="32" t="n"/>
      <c r="G45" s="32">
        <f>G46</f>
        <v/>
      </c>
      <c r="H45" s="30" t="n"/>
      <c r="I45" s="31" t="n"/>
      <c r="J45" s="30" t="inlineStr">
        <is>
          <t>Compra</t>
        </is>
      </c>
      <c r="K45" s="30" t="n"/>
      <c r="L45" s="31" t="n"/>
      <c r="M45" s="31" t="n"/>
      <c r="N45" s="31" t="inlineStr">
        <is>
          <t>23 Embalaje (va dentro de la caja)</t>
        </is>
      </c>
      <c r="O45" s="31" t="inlineStr">
        <is>
          <t>IRAM 3517-2 7.4</t>
        </is>
      </c>
      <c r="P45" s="30" t="n"/>
      <c r="Q45" s="30" t="n"/>
      <c r="R45" s="31" t="n"/>
    </row>
    <row r="46" outlineLevel="1">
      <c r="A46" s="33" t="n">
        <v>2</v>
      </c>
      <c r="B46" s="33" t="inlineStr">
        <is>
          <t>CO25-I5</t>
        </is>
      </c>
      <c r="C46" s="17" t="inlineStr">
        <is>
          <t xml:space="preserve">        Soporte de pared (FL_ACC_01)</t>
        </is>
      </c>
      <c r="D46" s="33" t="n">
        <v>1</v>
      </c>
      <c r="E46" s="33" t="inlineStr">
        <is>
          <t>u</t>
        </is>
      </c>
      <c r="F46" s="34" t="n">
        <v>0.283</v>
      </c>
      <c r="G46" s="34">
        <f>D46*F46</f>
        <v/>
      </c>
      <c r="H46" s="33" t="inlineStr">
        <is>
          <t>Chapa acero SAE 1010 e=2 pintada</t>
        </is>
      </c>
      <c r="I46" s="17" t="inlineStr">
        <is>
          <t>placa 60 × 180, ala con ranura Ø cuello + 3</t>
        </is>
      </c>
      <c r="J46" s="33" t="inlineStr">
        <is>
          <t>Compra</t>
        </is>
      </c>
      <c r="K46" s="33" t="inlineStr">
        <is>
          <t>No</t>
        </is>
      </c>
      <c r="L46" s="17" t="n"/>
      <c r="M46" s="17" t="n"/>
      <c r="N46" s="17" t="inlineStr">
        <is>
          <t>23 Embalaje</t>
        </is>
      </c>
      <c r="O46" s="17" t="inlineStr">
        <is>
          <t>IRAM 3517-2 7.4</t>
        </is>
      </c>
      <c r="P46" s="33" t="inlineStr">
        <is>
          <t>P</t>
        </is>
      </c>
      <c r="Q46" s="33" t="inlineStr">
        <is>
          <t>FL_ACC_01</t>
        </is>
      </c>
      <c r="R46" s="17" t="n"/>
    </row>
    <row r="47" outlineLevel="1">
      <c r="A47" s="33" t="n">
        <v>2</v>
      </c>
      <c r="B47" s="33" t="inlineStr">
        <is>
          <t>CO25-I6</t>
        </is>
      </c>
      <c r="C47" s="17" t="inlineStr">
        <is>
          <t xml:space="preserve">        Tornillo y tarugo de fijación</t>
        </is>
      </c>
      <c r="D47" s="33" t="n">
        <v>2</v>
      </c>
      <c r="E47" s="33" t="inlineStr">
        <is>
          <t>u</t>
        </is>
      </c>
      <c r="F47" s="34" t="n"/>
      <c r="G47" s="34" t="n"/>
      <c r="H47" s="33" t="inlineStr">
        <is>
          <t>Acero cincado / nylon</t>
        </is>
      </c>
      <c r="I47" s="17" t="inlineStr">
        <is>
          <t>2 agujeros Ø8,5 del plano FL_ACC_01 → tornillo M8 + tarugo</t>
        </is>
      </c>
      <c r="J47" s="33" t="inlineStr">
        <is>
          <t>Compra</t>
        </is>
      </c>
      <c r="K47" s="33" t="inlineStr">
        <is>
          <t>No</t>
        </is>
      </c>
      <c r="L47" s="17" t="n"/>
      <c r="M47" s="17" t="n"/>
      <c r="N47" s="17" t="inlineStr">
        <is>
          <t>23 Embalaje</t>
        </is>
      </c>
      <c r="O47" s="17" t="n"/>
      <c r="P47" s="33" t="inlineStr">
        <is>
          <t>P</t>
        </is>
      </c>
      <c r="Q47" s="33" t="inlineStr">
        <is>
          <t>FL_ACC_01</t>
        </is>
      </c>
      <c r="R47" s="17" t="n"/>
    </row>
    <row r="48">
      <c r="A48" s="30" t="n">
        <v>1</v>
      </c>
      <c r="B48" s="30" t="inlineStr">
        <is>
          <t>CO25-S7</t>
        </is>
      </c>
      <c r="C48" s="31" t="inlineStr">
        <is>
          <t xml:space="preserve">    Embalaje</t>
        </is>
      </c>
      <c r="D48" s="30" t="n">
        <v>1</v>
      </c>
      <c r="E48" s="30" t="inlineStr">
        <is>
          <t>u</t>
        </is>
      </c>
      <c r="F48" s="32" t="n"/>
      <c r="G48" s="32">
        <f>G52</f>
        <v/>
      </c>
      <c r="H48" s="30" t="n"/>
      <c r="I48" s="31" t="n"/>
      <c r="J48" s="30" t="inlineStr">
        <is>
          <t>Compra</t>
        </is>
      </c>
      <c r="K48" s="30" t="n"/>
      <c r="L48" s="31" t="n"/>
      <c r="M48" s="31" t="n"/>
      <c r="N48" s="31" t="inlineStr">
        <is>
          <t>23 Embalaje -&gt; 24 envolvedora (T11)</t>
        </is>
      </c>
      <c r="O48" s="31" t="n"/>
      <c r="P48" s="30" t="n"/>
      <c r="Q48" s="30" t="n"/>
      <c r="R48" s="31" t="n"/>
    </row>
    <row r="49" outlineLevel="1">
      <c r="A49" s="33" t="n">
        <v>2</v>
      </c>
      <c r="B49" s="33" t="inlineStr">
        <is>
          <t>CO25-E1</t>
        </is>
      </c>
      <c r="C49" s="17" t="inlineStr">
        <is>
          <t xml:space="preserve">        Caja de cartón corrugado doble</t>
        </is>
      </c>
      <c r="D49" s="33" t="n">
        <v>1</v>
      </c>
      <c r="E49" s="33" t="inlineStr">
        <is>
          <t>u</t>
        </is>
      </c>
      <c r="F49" s="34" t="n"/>
      <c r="G49" s="34" t="n"/>
      <c r="H49" s="33" t="inlineStr">
        <is>
          <t>Cartón corrugado</t>
        </is>
      </c>
      <c r="I49" s="17" t="inlineStr">
        <is>
          <t>340 × 173 × 810 interior (envolvente del plano + 15 por lado)</t>
        </is>
      </c>
      <c r="J49" s="33" t="inlineStr">
        <is>
          <t>Compra</t>
        </is>
      </c>
      <c r="K49" s="33" t="inlineStr">
        <is>
          <t>No</t>
        </is>
      </c>
      <c r="L49" s="17" t="n"/>
      <c r="M49" s="17" t="n"/>
      <c r="N49" s="17" t="inlineStr">
        <is>
          <t>23 Embalaje</t>
        </is>
      </c>
      <c r="O49" s="17" t="n"/>
      <c r="P49" s="33" t="inlineStr">
        <is>
          <t>P</t>
        </is>
      </c>
      <c r="Q49" s="33" t="n"/>
      <c r="R49" s="17" t="inlineStr">
        <is>
          <t>Medida del plano</t>
        </is>
      </c>
    </row>
    <row r="50" outlineLevel="1">
      <c r="A50" s="33" t="n">
        <v>2</v>
      </c>
      <c r="B50" s="33" t="inlineStr">
        <is>
          <t>CO25-E2</t>
        </is>
      </c>
      <c r="C50" s="17" t="inlineStr">
        <is>
          <t xml:space="preserve">        Instructivo de uso y mantenimiento</t>
        </is>
      </c>
      <c r="D50" s="33" t="n">
        <v>1</v>
      </c>
      <c r="E50" s="33" t="inlineStr">
        <is>
          <t>u</t>
        </is>
      </c>
      <c r="F50" s="34" t="n"/>
      <c r="G50" s="34" t="n"/>
      <c r="H50" s="33" t="inlineStr">
        <is>
          <t>Papel</t>
        </is>
      </c>
      <c r="I50" s="17" t="inlineStr">
        <is>
          <t>A5</t>
        </is>
      </c>
      <c r="J50" s="33" t="inlineStr">
        <is>
          <t>Compra</t>
        </is>
      </c>
      <c r="K50" s="33" t="inlineStr">
        <is>
          <t>No</t>
        </is>
      </c>
      <c r="L50" s="17" t="n"/>
      <c r="M50" s="17" t="n"/>
      <c r="N50" s="17" t="inlineStr">
        <is>
          <t>23 Embalaje</t>
        </is>
      </c>
      <c r="O50" s="17" t="n"/>
      <c r="P50" s="33" t="inlineStr">
        <is>
          <t>I</t>
        </is>
      </c>
      <c r="Q50" s="33" t="n"/>
      <c r="R50" s="17" t="inlineStr">
        <is>
          <t>Decisión comercial de FLAMA (las instrucciones de uso obligatorias van en la etiqueta, IRAM 3534)</t>
        </is>
      </c>
    </row>
    <row r="51" outlineLevel="1">
      <c r="A51" s="33" t="n">
        <v>2</v>
      </c>
      <c r="B51" s="33" t="inlineStr">
        <is>
          <t>CO25-E3</t>
        </is>
      </c>
      <c r="C51" s="17" t="inlineStr">
        <is>
          <t xml:space="preserve">        Pallet 1200 × 1000 (fracción)</t>
        </is>
      </c>
      <c r="D51" s="33" t="n">
        <v>0.0667</v>
      </c>
      <c r="E51" s="33" t="inlineStr">
        <is>
          <t>u</t>
        </is>
      </c>
      <c r="F51" s="34" t="n"/>
      <c r="G51" s="34" t="n"/>
      <c r="H51" s="33" t="inlineStr">
        <is>
          <t>Madera</t>
        </is>
      </c>
      <c r="I51" s="17" t="inlineStr">
        <is>
          <t>15 u por pallet</t>
        </is>
      </c>
      <c r="J51" s="33" t="inlineStr">
        <is>
          <t>Compra</t>
        </is>
      </c>
      <c r="K51" s="33" t="inlineStr">
        <is>
          <t>No</t>
        </is>
      </c>
      <c r="L51" s="17" t="n"/>
      <c r="M51" s="17" t="n"/>
      <c r="N51" s="17" t="inlineStr">
        <is>
          <t>23 Embalaje</t>
        </is>
      </c>
      <c r="O51" s="17" t="n"/>
      <c r="P51" s="33" t="inlineStr">
        <is>
          <t>C</t>
        </is>
      </c>
      <c r="Q51" s="33" t="n"/>
      <c r="R51" s="17" t="inlineStr">
        <is>
          <t>u por pallet = acomodo de la caja (plano) en 1200 × 1000 × 1450 de alto</t>
        </is>
      </c>
    </row>
    <row r="52" outlineLevel="1">
      <c r="A52" s="33" t="n">
        <v>2</v>
      </c>
      <c r="B52" s="33" t="inlineStr">
        <is>
          <t>CO25-E4</t>
        </is>
      </c>
      <c r="C52" s="17" t="inlineStr">
        <is>
          <t xml:space="preserve">        Film stretch (fracción del pallet)</t>
        </is>
      </c>
      <c r="D52" s="33" t="n">
        <v>0.008</v>
      </c>
      <c r="E52" s="33" t="inlineStr">
        <is>
          <t>kg</t>
        </is>
      </c>
      <c r="F52" s="34" t="n">
        <v>1</v>
      </c>
      <c r="G52" s="34">
        <f>D52*F52</f>
        <v/>
      </c>
      <c r="H52" s="33" t="inlineStr">
        <is>
          <t>PE lineal 23 µm</t>
        </is>
      </c>
      <c r="I52" s="17" t="inlineStr">
        <is>
          <t>0,12 kg por pallet / 15 u</t>
        </is>
      </c>
      <c r="J52" s="33" t="inlineStr">
        <is>
          <t>Compra</t>
        </is>
      </c>
      <c r="K52" s="33" t="inlineStr">
        <is>
          <t>No</t>
        </is>
      </c>
      <c r="L52" s="17" t="n"/>
      <c r="M52" s="17" t="n"/>
      <c r="N52" s="17" t="inlineStr">
        <is>
          <t>24 Envolvedora (T11)</t>
        </is>
      </c>
      <c r="O52" s="17" t="n"/>
      <c r="P52" s="33" t="inlineStr">
        <is>
          <t>C</t>
        </is>
      </c>
      <c r="Q52" s="33" t="n"/>
      <c r="R5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outlineLevel="1">
      <c r="A53" s="33" t="n">
        <v>2</v>
      </c>
      <c r="B53" s="33" t="inlineStr">
        <is>
          <t>CO25-E5</t>
        </is>
      </c>
      <c r="C53" s="17" t="inlineStr">
        <is>
          <t xml:space="preserve">        Etiqueta de pallet (lote y destino, fracción)</t>
        </is>
      </c>
      <c r="D53" s="33" t="n">
        <v>0.0667</v>
      </c>
      <c r="E53" s="33" t="inlineStr">
        <is>
          <t>u</t>
        </is>
      </c>
      <c r="F53" s="34" t="n"/>
      <c r="G53" s="34" t="n"/>
      <c r="H53" s="33" t="inlineStr">
        <is>
          <t>Papel térmico</t>
        </is>
      </c>
      <c r="I53" s="17" t="inlineStr">
        <is>
          <t>100 × 150</t>
        </is>
      </c>
      <c r="J53" s="33" t="inlineStr">
        <is>
          <t>Compra</t>
        </is>
      </c>
      <c r="K53" s="33" t="inlineStr">
        <is>
          <t>No</t>
        </is>
      </c>
      <c r="L53" s="17" t="n"/>
      <c r="M53" s="17" t="n"/>
      <c r="N53" s="17" t="inlineStr">
        <is>
          <t>24 Envolvedora</t>
        </is>
      </c>
      <c r="O53" s="17" t="n"/>
      <c r="P53" s="33" t="inlineStr">
        <is>
          <t>C</t>
        </is>
      </c>
      <c r="Q53" s="33" t="n"/>
      <c r="R53" s="17" t="n"/>
    </row>
    <row r="54" outlineLevel="1">
      <c r="A54" s="33" t="n">
        <v>2</v>
      </c>
      <c r="B54" s="33" t="inlineStr">
        <is>
          <t>CO25-E6</t>
        </is>
      </c>
      <c r="C54" s="17" t="inlineStr">
        <is>
          <t xml:space="preserve">        Cinta de embalaje PP 48 mm (cierre de la caja)</t>
        </is>
      </c>
      <c r="D54" s="33" t="n">
        <v>0.96</v>
      </c>
      <c r="E54" s="33" t="inlineStr">
        <is>
          <t>m</t>
        </is>
      </c>
      <c r="F54" s="34" t="n"/>
      <c r="G54" s="34" t="n"/>
      <c r="H54" s="33" t="inlineStr">
        <is>
          <t>Polipropileno con adhesivo acrílico</t>
        </is>
      </c>
      <c r="I54" s="17" t="inlineStr">
        <is>
          <t>cierre en I arriba y abajo: 2 × (340 + 2 × 70 de solapa)</t>
        </is>
      </c>
      <c r="J54" s="33" t="inlineStr">
        <is>
          <t>Compra</t>
        </is>
      </c>
      <c r="K54" s="33" t="inlineStr">
        <is>
          <t>No</t>
        </is>
      </c>
      <c r="L54" s="17" t="n"/>
      <c r="M54" s="17" t="n"/>
      <c r="N54" s="17" t="inlineStr">
        <is>
          <t>23 Embalaje</t>
        </is>
      </c>
      <c r="O54" s="17" t="n"/>
      <c r="P54" s="33" t="inlineStr">
        <is>
          <t>C</t>
        </is>
      </c>
      <c r="Q54" s="33" t="n"/>
      <c r="R54" s="17" t="inlineStr">
        <is>
          <t>Solapa de 70 mm por lado: práctica de cierre de cajas (medir en la línea)</t>
        </is>
      </c>
    </row>
    <row r="55" outlineLevel="1">
      <c r="A55" s="33" t="n">
        <v>2</v>
      </c>
      <c r="B55" s="33" t="inlineStr">
        <is>
          <t>CO25-E7</t>
        </is>
      </c>
      <c r="C55" s="17" t="inlineStr">
        <is>
          <t xml:space="preserve">        Esquineros de cartón 50 × 50 × 1200 (fracción del pallet)</t>
        </is>
      </c>
      <c r="D55" s="33" t="n">
        <v>0.2667</v>
      </c>
      <c r="E55" s="33" t="inlineStr">
        <is>
          <t>u</t>
        </is>
      </c>
      <c r="F55" s="34" t="n"/>
      <c r="G55" s="34" t="n"/>
      <c r="H55" s="33" t="inlineStr">
        <is>
          <t>Cartón</t>
        </is>
      </c>
      <c r="I55" s="17" t="inlineStr">
        <is>
          <t>4 por pallet / 15 u</t>
        </is>
      </c>
      <c r="J55" s="33" t="inlineStr">
        <is>
          <t>Compra</t>
        </is>
      </c>
      <c r="K55" s="33" t="inlineStr">
        <is>
          <t>No</t>
        </is>
      </c>
      <c r="L55" s="17" t="n"/>
      <c r="M55" s="17" t="n"/>
      <c r="N55" s="17" t="inlineStr">
        <is>
          <t>24 Envolvedora (T11)</t>
        </is>
      </c>
      <c r="O55" s="17" t="n"/>
      <c r="P55" s="33" t="inlineStr">
        <is>
          <t>C</t>
        </is>
      </c>
      <c r="Q55" s="33" t="n"/>
      <c r="R55" s="17" t="inlineStr">
        <is>
          <t>Planilla MP-64</t>
        </is>
      </c>
    </row>
  </sheetData>
  <autoFilter ref="A10:R55"/>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66" t="inlineStr">
        <is>
          <t>Extintor HCFC/HFC 5 kg</t>
        </is>
      </c>
    </row>
    <row r="3">
      <c r="A3" s="2" t="inlineStr">
        <is>
          <t>Plano de origen</t>
        </is>
      </c>
      <c r="C3" t="inlineStr">
        <is>
          <t>FL_MAT_HCFC-HFC_5kg  (4 láminas)</t>
        </is>
      </c>
      <c r="E3" s="2" t="inlineStr">
        <is>
          <t>Peso vacío S1-S4 (kg)</t>
        </is>
      </c>
      <c r="G3" s="67">
        <f>G13+G18+G32</f>
        <v/>
      </c>
    </row>
    <row r="4">
      <c r="A4" s="2" t="inlineStr">
        <is>
          <t>Plano de despiece</t>
        </is>
      </c>
      <c r="C4" t="inlineStr">
        <is>
          <t>FL_DES_HCFC-HFC_5kg (salida/despiece/)</t>
        </is>
      </c>
      <c r="E4" s="2" t="inlineStr">
        <is>
          <t>Peso cargado S1-S6 (kg)</t>
        </is>
      </c>
      <c r="G4" s="67">
        <f>G13+G18+G32+G37+G40</f>
        <v/>
      </c>
    </row>
    <row r="5">
      <c r="A5" s="2" t="inlineStr">
        <is>
          <t>Norma del producto</t>
        </is>
      </c>
      <c r="C5" t="inlineStr">
        <is>
          <t>IRAM 3504</t>
        </is>
      </c>
      <c r="E5" s="2" t="inlineStr">
        <is>
          <t>Peso con soporte y embalaje (kg)</t>
        </is>
      </c>
      <c r="G5" s="67">
        <f>G13+G18+G32+G37+G40+G52+G48</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8.5</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FL_MAT_HCFC-HFC_5kg</t>
        </is>
      </c>
      <c r="C11" s="28" t="inlineStr">
        <is>
          <t>Extintor HCFC/HFC 5 kg</t>
        </is>
      </c>
      <c r="D11" s="27" t="n">
        <v>1</v>
      </c>
      <c r="E11" s="27" t="inlineStr">
        <is>
          <t>u</t>
        </is>
      </c>
      <c r="F11" s="29" t="n"/>
      <c r="G11" s="29">
        <f>G5</f>
        <v/>
      </c>
      <c r="H11" s="27" t="n"/>
      <c r="I11" s="28" t="n"/>
      <c r="J11" s="27" t="n"/>
      <c r="K11" s="27" t="n"/>
      <c r="L11" s="28" t="n"/>
      <c r="M11" s="28" t="n"/>
      <c r="N11" s="28" t="n"/>
      <c r="O11" s="28" t="inlineStr">
        <is>
          <t>IRAM 3504</t>
        </is>
      </c>
      <c r="P11" s="27" t="inlineStr">
        <is>
          <t>P</t>
        </is>
      </c>
      <c r="Q11" s="27" t="inlineStr">
        <is>
          <t>FL_MAT_HCFC-HFC_5kg</t>
        </is>
      </c>
      <c r="R11" s="28" t="inlineStr">
        <is>
          <t>Revendido: se compra terminado al fabricante con Sello IRAM; las piezas internas quedan como referencia (no entran en MRP)</t>
        </is>
      </c>
    </row>
    <row r="12">
      <c r="A12" s="30" t="n">
        <v>1</v>
      </c>
      <c r="B12" s="30" t="inlineStr">
        <is>
          <t>HCFCHFC5-S0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3504</t>
        </is>
      </c>
      <c r="P12" s="30" t="inlineStr">
        <is>
          <t>I</t>
        </is>
      </c>
      <c r="Q12" s="30" t="inlineStr">
        <is>
          <t>FL_MAT_HCFC-HFC_5kg</t>
        </is>
      </c>
      <c r="R12" s="31" t="inlineStr">
        <is>
          <t>Única fila de compra del revendido (más la tarjeta AGC si el destino es CABA)</t>
        </is>
      </c>
    </row>
    <row r="13">
      <c r="A13" s="30" t="n">
        <v>1</v>
      </c>
      <c r="B13" s="30" t="inlineStr">
        <is>
          <t>HCFCHFC5-S1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FL_DES_HCFC-HFC_5kg</t>
        </is>
      </c>
      <c r="R13" s="31" t="n"/>
    </row>
    <row r="14" outlineLevel="1">
      <c r="A14" s="33" t="n">
        <v>2</v>
      </c>
      <c r="B14" s="33" t="inlineStr">
        <is>
          <t>HCFCHFC5-01</t>
        </is>
      </c>
      <c r="C14" s="17" t="inlineStr">
        <is>
          <t xml:space="preserve">        Cuerpo (virola)</t>
        </is>
      </c>
      <c r="D14" s="33" t="n">
        <v>1</v>
      </c>
      <c r="E14" s="33" t="inlineStr">
        <is>
          <t>u</t>
        </is>
      </c>
      <c r="F14" s="34" t="n">
        <v>1.9203</v>
      </c>
      <c r="G14" s="34">
        <f>D14*F14</f>
        <v/>
      </c>
      <c r="H14" s="33" t="inlineStr">
        <is>
          <t>Chapa LAF IRAM-IAS U 500-05 e=1,6</t>
        </is>
      </c>
      <c r="I14" s="17" t="inlineStr">
        <is>
          <t>Ø153 × e1,6 × 321,4 de alto; desarrollo 475,6 × 321,4</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FL_DES_HCFC-HFC_5kg</t>
        </is>
      </c>
      <c r="R14" s="17" t="inlineStr">
        <is>
          <t>costura long. MAG</t>
        </is>
      </c>
    </row>
    <row r="15" outlineLevel="1">
      <c r="A15" s="33" t="n">
        <v>2</v>
      </c>
      <c r="B15" s="33" t="inlineStr">
        <is>
          <t>HCFCHFC5-02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FL_DES_HCFC-HFC_5kg</t>
        </is>
      </c>
      <c r="R15" s="17" t="inlineStr">
        <is>
          <t>embutida</t>
        </is>
      </c>
    </row>
    <row r="16" outlineLevel="1">
      <c r="A16" s="33" t="n">
        <v>2</v>
      </c>
      <c r="B16" s="33" t="inlineStr">
        <is>
          <t>HCFCHFC5-03</t>
        </is>
      </c>
      <c r="C16" s="17" t="inlineStr">
        <is>
          <t xml:space="preserve">        Fondo</t>
        </is>
      </c>
      <c r="D16" s="33" t="n">
        <v>1</v>
      </c>
      <c r="E16" s="33" t="inlineStr">
        <is>
          <t>u</t>
        </is>
      </c>
      <c r="F16" s="34" t="n">
        <v>0.2214</v>
      </c>
      <c r="G16" s="34">
        <f>D16*F16</f>
        <v/>
      </c>
      <c r="H16" s="33" t="inlineStr">
        <is>
          <t>Chapa LAF IRAM-IAS U 500-05 e=1,6</t>
        </is>
      </c>
      <c r="I16" s="17" t="inlineStr">
        <is>
          <t>Ø153 × e1,6 × 17,6 de alto; disco Ø177</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FL_DES_HCFC-HFC_5kg</t>
        </is>
      </c>
      <c r="R16" s="17" t="inlineStr">
        <is>
          <t>embutido</t>
        </is>
      </c>
    </row>
    <row r="17" outlineLevel="1">
      <c r="A17" s="33" t="n">
        <v>2</v>
      </c>
      <c r="B17" s="33" t="inlineStr">
        <is>
          <t>HCFCHFC5-04</t>
        </is>
      </c>
      <c r="C17" s="17" t="inlineStr">
        <is>
          <t xml:space="preserve">        Cuello roscado</t>
        </is>
      </c>
      <c r="D17" s="33" t="n">
        <v>1</v>
      </c>
      <c r="E17" s="33" t="inlineStr">
        <is>
          <t>u</t>
        </is>
      </c>
      <c r="F17" s="34" t="n">
        <v>0.0589</v>
      </c>
      <c r="G17" s="34">
        <f>D17*F17</f>
        <v/>
      </c>
      <c r="H17" s="33" t="inlineStr">
        <is>
          <t>Acero SAE 1010</t>
        </is>
      </c>
      <c r="I17" s="17" t="inlineStr">
        <is>
          <t>Ø37 × 15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FL_DES_HCFC-HFC_5kg</t>
        </is>
      </c>
      <c r="R17" s="17" t="inlineStr">
        <is>
          <t>M30x1,5</t>
        </is>
      </c>
    </row>
    <row r="18">
      <c r="A18" s="30" t="n">
        <v>1</v>
      </c>
      <c r="B18" s="30" t="inlineStr">
        <is>
          <t>HCFCHFC5-S2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FL_DES_HCFC-HFC_5kg</t>
        </is>
      </c>
      <c r="R18" s="31" t="n"/>
    </row>
    <row r="19" outlineLevel="1">
      <c r="A19" s="33" t="n">
        <v>2</v>
      </c>
      <c r="B19" s="33" t="inlineStr">
        <is>
          <t>HCFCHFC5-05</t>
        </is>
      </c>
      <c r="C19" s="17" t="inlineStr">
        <is>
          <t xml:space="preserve">        Collarín de válvula</t>
        </is>
      </c>
      <c r="D19" s="33" t="n">
        <v>1</v>
      </c>
      <c r="E19" s="33" t="inlineStr">
        <is>
          <t>u</t>
        </is>
      </c>
      <c r="F19" s="34" t="n">
        <v>0.0833</v>
      </c>
      <c r="G19" s="34">
        <f>D19*F19</f>
        <v/>
      </c>
      <c r="H19" s="33" t="inlineStr">
        <is>
          <t>Latón forjado</t>
        </is>
      </c>
      <c r="I19" s="17" t="inlineStr">
        <is>
          <t>43 × 43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FL_DES_HCFC-HFC_5kg</t>
        </is>
      </c>
      <c r="R19" s="17" t="n"/>
    </row>
    <row r="20" outlineLevel="1">
      <c r="A20" s="33" t="n">
        <v>2</v>
      </c>
      <c r="B20" s="33" t="inlineStr">
        <is>
          <t>HCFCHFC5-06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FL_DES_HCFC-HFC_5kg</t>
        </is>
      </c>
      <c r="R20" s="17" t="n"/>
    </row>
    <row r="21" outlineLevel="1">
      <c r="A21" s="33" t="n">
        <v>2</v>
      </c>
      <c r="B21" s="33" t="inlineStr">
        <is>
          <t>HCFCHFC5-07</t>
        </is>
      </c>
      <c r="C21" s="17" t="inlineStr">
        <is>
          <t xml:space="preserve">        Cuerpo de válvula</t>
        </is>
      </c>
      <c r="D21" s="33" t="n">
        <v>1</v>
      </c>
      <c r="E21" s="33" t="inlineStr">
        <is>
          <t>u</t>
        </is>
      </c>
      <c r="F21" s="34" t="n">
        <v>0.4131</v>
      </c>
      <c r="G21" s="34">
        <f>D21*F21</f>
        <v/>
      </c>
      <c r="H21" s="33" t="inlineStr">
        <is>
          <t>Latón forjado</t>
        </is>
      </c>
      <c r="I21" s="17" t="inlineStr">
        <is>
          <t>56,3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FL_DES_HCFC-HFC_5kg</t>
        </is>
      </c>
      <c r="R21" s="17" t="n"/>
    </row>
    <row r="22" outlineLevel="1">
      <c r="A22" s="33" t="n">
        <v>2</v>
      </c>
      <c r="B22" s="33" t="inlineStr">
        <is>
          <t>HCFCHFC5-08</t>
        </is>
      </c>
      <c r="C22" s="17" t="inlineStr">
        <is>
          <t xml:space="preserve">        Manómetro</t>
        </is>
      </c>
      <c r="D22" s="33" t="n">
        <v>1</v>
      </c>
      <c r="E22" s="33" t="inlineStr">
        <is>
          <t>u</t>
        </is>
      </c>
      <c r="F22" s="34" t="n"/>
      <c r="G22" s="34" t="n"/>
      <c r="H22" s="33" t="inlineStr">
        <is>
          <t>Comercial</t>
        </is>
      </c>
      <c r="I22" s="17" t="inlineStr">
        <is>
          <t>Ø38 esfera, rango 0-2 MPa, sector verde en 0,8</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FL_DES_HCFC-HFC_5kg</t>
        </is>
      </c>
      <c r="R22" s="17" t="inlineStr">
        <is>
          <t>Pieza comercial; sello IRAM 3533; peso: completar con la ficha del proveedor (no afecta el MRP)</t>
        </is>
      </c>
    </row>
    <row r="23" outlineLevel="1">
      <c r="A23" s="33" t="n">
        <v>2</v>
      </c>
      <c r="B23" s="33" t="inlineStr">
        <is>
          <t>HCFCHFC5-09</t>
        </is>
      </c>
      <c r="C23" s="17" t="inlineStr">
        <is>
          <t xml:space="preserve">        Manija de transporte</t>
        </is>
      </c>
      <c r="D23" s="33" t="n">
        <v>1</v>
      </c>
      <c r="E23" s="33" t="inlineStr">
        <is>
          <t>u</t>
        </is>
      </c>
      <c r="F23" s="34" t="n">
        <v>0.0619</v>
      </c>
      <c r="G23" s="34">
        <f>D23*F23</f>
        <v/>
      </c>
      <c r="H23" s="33" t="inlineStr">
        <is>
          <t>Chapa acero SAE 1010 pintada</t>
        </is>
      </c>
      <c r="I23" s="17" t="inlineStr">
        <is>
          <t>98,4 × 20 × 14,3</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FL_DES_HCFC-HFC_5kg</t>
        </is>
      </c>
      <c r="R23" s="17" t="n"/>
    </row>
    <row r="24" outlineLevel="1">
      <c r="A24" s="33" t="n">
        <v>2</v>
      </c>
      <c r="B24" s="33" t="inlineStr">
        <is>
          <t>HCFCHFC5-10</t>
        </is>
      </c>
      <c r="C24" s="17" t="inlineStr">
        <is>
          <t xml:space="preserve">        Manija de accionamiento</t>
        </is>
      </c>
      <c r="D24" s="33" t="n">
        <v>1</v>
      </c>
      <c r="E24" s="33" t="inlineStr">
        <is>
          <t>u</t>
        </is>
      </c>
      <c r="F24" s="34" t="n">
        <v>0.08890000000000001</v>
      </c>
      <c r="G24" s="34">
        <f>D24*F24</f>
        <v/>
      </c>
      <c r="H24" s="33" t="inlineStr">
        <is>
          <t>Chapa acero SAE 1010 pintada</t>
        </is>
      </c>
      <c r="I24" s="17" t="inlineStr">
        <is>
          <t>141 × 21,2 × 20</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FL_DES_HCFC-HFC_5kg</t>
        </is>
      </c>
      <c r="R24" s="17" t="n"/>
    </row>
    <row r="25" outlineLevel="1">
      <c r="A25" s="33" t="n">
        <v>2</v>
      </c>
      <c r="B25" s="33" t="inlineStr">
        <is>
          <t>HCFCHFC5-11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FL_DES_HCFC-HFC_5kg</t>
        </is>
      </c>
      <c r="R25" s="17" t="n"/>
    </row>
    <row r="26" outlineLevel="1">
      <c r="A26" s="33" t="n">
        <v>2</v>
      </c>
      <c r="B26" s="33" t="inlineStr">
        <is>
          <t>HCFCHFC5-12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FL_DES_HCFC-HFC_5kg</t>
        </is>
      </c>
      <c r="R26" s="17" t="inlineStr">
        <is>
          <t>con junta tórica</t>
        </is>
      </c>
    </row>
    <row r="27" outlineLevel="1">
      <c r="A27" s="33" t="n">
        <v>2</v>
      </c>
      <c r="B27" s="33" t="inlineStr">
        <is>
          <t>HCFCHFC5-13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FL_DES_HCFC-HFC_5kg</t>
        </is>
      </c>
      <c r="R27" s="17" t="inlineStr">
        <is>
          <t>con precinto</t>
        </is>
      </c>
    </row>
    <row r="28" outlineLevel="1">
      <c r="A28" s="33" t="n">
        <v>2</v>
      </c>
      <c r="B28" s="33" t="inlineStr">
        <is>
          <t>HCFCHFC5-14</t>
        </is>
      </c>
      <c r="C28" s="17" t="inlineStr">
        <is>
          <t xml:space="preserve">        Caño de pesca (sifón)</t>
        </is>
      </c>
      <c r="D28" s="33" t="n">
        <v>1</v>
      </c>
      <c r="E28" s="33" t="inlineStr">
        <is>
          <t>u</t>
        </is>
      </c>
      <c r="F28" s="34" t="n">
        <v>0.0244</v>
      </c>
      <c r="G28" s="34">
        <f>D28*F28</f>
        <v/>
      </c>
      <c r="H28" s="33" t="inlineStr">
        <is>
          <t>Tubo PVC rígido</t>
        </is>
      </c>
      <c r="I28" s="17" t="inlineStr">
        <is>
          <t>Ø12 × 352,4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FL_DES_HCFC-HFC_5kg</t>
        </is>
      </c>
      <c r="R28" s="17" t="n"/>
    </row>
    <row r="29" outlineLevel="1">
      <c r="A29" s="33" t="n">
        <v>2</v>
      </c>
      <c r="B29" s="33" t="inlineStr">
        <is>
          <t>HCFCHFC5-24</t>
        </is>
      </c>
      <c r="C29" s="17" t="inlineStr">
        <is>
          <t xml:space="preserve">        Junta tórica de asiento</t>
        </is>
      </c>
      <c r="D29" s="33" t="n">
        <v>1</v>
      </c>
      <c r="E29" s="33" t="inlineStr">
        <is>
          <t>u</t>
        </is>
      </c>
      <c r="F29" s="34" t="n">
        <v>0.001</v>
      </c>
      <c r="G29" s="34">
        <f>D29*F29</f>
        <v/>
      </c>
      <c r="H29" s="33" t="inlineStr">
        <is>
          <t>EPDM (compatible con HCFC/HFC)</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FL_DES_HCFC-HFC_5kg</t>
        </is>
      </c>
      <c r="R29" s="17" t="inlineStr">
        <is>
          <t>cambio c/recarga</t>
        </is>
      </c>
    </row>
    <row r="30" outlineLevel="1">
      <c r="A30" s="33" t="n">
        <v>2</v>
      </c>
      <c r="B30" s="33" t="inlineStr">
        <is>
          <t>HCFCHFC5-V2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HCFCHFC5-V3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HCFCHFC5-S3</t>
        </is>
      </c>
      <c r="C32" s="31" t="inlineStr">
        <is>
          <t xml:space="preserve">    Dispositivo de descarga</t>
        </is>
      </c>
      <c r="D32" s="30" t="n">
        <v>1</v>
      </c>
      <c r="E32" s="30" t="inlineStr">
        <is>
          <t>u</t>
        </is>
      </c>
      <c r="F32" s="32" t="n"/>
      <c r="G32" s="32">
        <f>G33+G34+G35+G36</f>
        <v/>
      </c>
      <c r="H32" s="30" t="n"/>
      <c r="I32" s="31" t="n"/>
      <c r="J32" s="30" t="inlineStr">
        <is>
          <t>Compra / armado</t>
        </is>
      </c>
      <c r="K32" s="30" t="n"/>
      <c r="L32" s="31" t="n"/>
      <c r="M32" s="31" t="n"/>
      <c r="N32" s="31" t="n"/>
      <c r="O32" s="31" t="n"/>
      <c r="P32" s="30" t="inlineStr">
        <is>
          <t>P</t>
        </is>
      </c>
      <c r="Q32" s="30" t="inlineStr">
        <is>
          <t>FL_DES_HCFC-HFC_5kg</t>
        </is>
      </c>
      <c r="R32" s="31" t="n"/>
    </row>
    <row r="33" outlineLevel="1">
      <c r="A33" s="33" t="n">
        <v>2</v>
      </c>
      <c r="B33" s="33" t="inlineStr">
        <is>
          <t>HCFCHFC5-15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FL_DES_HCFC-HFC_5kg</t>
        </is>
      </c>
      <c r="R33" s="17" t="n"/>
    </row>
    <row r="34" outlineLevel="1">
      <c r="A34" s="33" t="n">
        <v>2</v>
      </c>
      <c r="B34" s="33" t="inlineStr">
        <is>
          <t>HCFCHFC5-16</t>
        </is>
      </c>
      <c r="C34" s="17" t="inlineStr">
        <is>
          <t xml:space="preserve">        Manguera</t>
        </is>
      </c>
      <c r="D34" s="33" t="n">
        <v>1</v>
      </c>
      <c r="E34" s="33" t="inlineStr">
        <is>
          <t>u</t>
        </is>
      </c>
      <c r="F34" s="34" t="n">
        <v>0.046</v>
      </c>
      <c r="G34" s="34">
        <f>D34*F34</f>
        <v/>
      </c>
      <c r="H34" s="33" t="inlineStr">
        <is>
          <t>Caucho sintético</t>
        </is>
      </c>
      <c r="I34" s="17" t="inlineStr">
        <is>
          <t>Ø16 × 298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FL_DES_HCFC-HFC_5kg</t>
        </is>
      </c>
      <c r="R34" s="17" t="n"/>
    </row>
    <row r="35" outlineLevel="1">
      <c r="A35" s="33" t="n">
        <v>2</v>
      </c>
      <c r="B35" s="33" t="inlineStr">
        <is>
          <t>HCFCHFC5-17</t>
        </is>
      </c>
      <c r="C35" s="17" t="inlineStr">
        <is>
          <t xml:space="preserve">        Tobera con portatobera</t>
        </is>
      </c>
      <c r="D35" s="33" t="n">
        <v>1</v>
      </c>
      <c r="E35" s="33" t="inlineStr">
        <is>
          <t>u</t>
        </is>
      </c>
      <c r="F35" s="34" t="n">
        <v>0.0166</v>
      </c>
      <c r="G35" s="34">
        <f>D35*F35</f>
        <v/>
      </c>
      <c r="H35" s="33" t="inlineStr">
        <is>
          <t>Polipropileno</t>
        </is>
      </c>
      <c r="I35" s="17" t="inlineStr">
        <is>
          <t>75 × 24 × 24</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FL_DES_HCFC-HFC_5kg</t>
        </is>
      </c>
      <c r="R35" s="17" t="n"/>
    </row>
    <row r="36" outlineLevel="1">
      <c r="A36" s="33" t="n">
        <v>2</v>
      </c>
      <c r="B36" s="33" t="inlineStr">
        <is>
          <t>HCFCHFC5-18</t>
        </is>
      </c>
      <c r="C36" s="17" t="inlineStr">
        <is>
          <t xml:space="preserve">        Suncho portatobera</t>
        </is>
      </c>
      <c r="D36" s="33" t="n">
        <v>1</v>
      </c>
      <c r="E36" s="33" t="inlineStr">
        <is>
          <t>u</t>
        </is>
      </c>
      <c r="F36" s="34" t="n">
        <v>0.1319</v>
      </c>
      <c r="G36" s="34">
        <f>D36*F36</f>
        <v/>
      </c>
      <c r="H36" s="33" t="inlineStr">
        <is>
          <t>Fleje acero SAE 1010 pintado</t>
        </is>
      </c>
      <c r="I36" s="17" t="inlineStr">
        <is>
          <t>159,9 × 156 × 18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FL_DES_HCFC-HFC_5kg</t>
        </is>
      </c>
      <c r="R36" s="17" t="n"/>
    </row>
    <row r="37">
      <c r="A37" s="30" t="n">
        <v>1</v>
      </c>
      <c r="B37" s="30" t="inlineStr">
        <is>
          <t>HCFCHFC5-S5</t>
        </is>
      </c>
      <c r="C37" s="31" t="inlineStr">
        <is>
          <t xml:space="preserve">    Carga: agente extintor y gas impulsor</t>
        </is>
      </c>
      <c r="D37" s="30" t="n">
        <v>1</v>
      </c>
      <c r="E37" s="30" t="inlineStr">
        <is>
          <t>u</t>
        </is>
      </c>
      <c r="F37" s="32" t="n"/>
      <c r="G37" s="32">
        <f>G38+G39</f>
        <v/>
      </c>
      <c r="H37" s="30" t="n"/>
      <c r="I37" s="31" t="n"/>
      <c r="J37" s="30" t="inlineStr">
        <is>
          <t>Compra</t>
        </is>
      </c>
      <c r="K37" s="30" t="n"/>
      <c r="L37" s="31" t="n"/>
      <c r="M37" s="31" t="n"/>
      <c r="N37" s="31" t="n"/>
      <c r="O37" s="31" t="n"/>
      <c r="P37" s="30" t="n"/>
      <c r="Q37" s="30" t="n"/>
      <c r="R37" s="31" t="n"/>
    </row>
    <row r="38" outlineLevel="1">
      <c r="A38" s="33" t="n">
        <v>2</v>
      </c>
      <c r="B38" s="33" t="inlineStr">
        <is>
          <t>HCFCHFC5-A1</t>
        </is>
      </c>
      <c r="C38" s="17" t="inlineStr">
        <is>
          <t xml:space="preserve">        HCFC 123 / HFC 236fa - HCFC-123 (Mezcla B) &gt; 93 %</t>
        </is>
      </c>
      <c r="D38" s="33" t="n">
        <v>5</v>
      </c>
      <c r="E38" s="33" t="inlineStr">
        <is>
          <t>kg</t>
        </is>
      </c>
      <c r="F38" s="34" t="n">
        <v>1</v>
      </c>
      <c r="G38" s="34">
        <f>D38*F38</f>
        <v/>
      </c>
      <c r="H38" s="33" t="inlineStr">
        <is>
          <t>HCFC 123 / HFC 236fa - HCFC-123 (Mezcla B) &gt; 93 %</t>
        </is>
      </c>
      <c r="I38" s="17" t="inlineStr">
        <is>
          <t>nominal 5 kg; tolerancia 0 / -3 % (IRAM 3517-2:2020 tabla 3)</t>
        </is>
      </c>
      <c r="J38" s="33" t="inlineStr">
        <is>
          <t>Compra</t>
        </is>
      </c>
      <c r="K38" s="33" t="inlineStr">
        <is>
          <t>No</t>
        </is>
      </c>
      <c r="L38" s="17" t="n"/>
      <c r="M38" s="17" t="n"/>
      <c r="N38" s="17" t="inlineStr">
        <is>
          <t>SP-1 almacén previo a la carga</t>
        </is>
      </c>
      <c r="O38" s="17" t="inlineStr">
        <is>
          <t>IRAM 3526-1</t>
        </is>
      </c>
      <c r="P38" s="33" t="inlineStr">
        <is>
          <t>N</t>
        </is>
      </c>
      <c r="Q38" s="33" t="n"/>
      <c r="R38" s="17" t="inlineStr">
        <is>
          <t>potencial -</t>
        </is>
      </c>
    </row>
    <row r="39" outlineLevel="1">
      <c r="A39" s="33" t="n">
        <v>2</v>
      </c>
      <c r="B39" s="33" t="inlineStr">
        <is>
          <t>HCFCHFC5-A2</t>
        </is>
      </c>
      <c r="C39" s="17" t="inlineStr">
        <is>
          <t xml:space="preserve">        Gas impulsor: Argón</t>
        </is>
      </c>
      <c r="D39" s="33" t="n">
        <v>0.0388</v>
      </c>
      <c r="E39" s="33" t="inlineStr">
        <is>
          <t>kg</t>
        </is>
      </c>
      <c r="F39" s="34" t="n">
        <v>1</v>
      </c>
      <c r="G39" s="34">
        <f>D39*F39</f>
        <v/>
      </c>
      <c r="H39" s="33" t="inlineStr">
        <is>
          <t>Argón</t>
        </is>
      </c>
      <c r="I39" s="17" t="inlineStr">
        <is>
          <t>21,7 L normales para 0,8 MPa a 20 °C en 2,62 dm³ libres</t>
        </is>
      </c>
      <c r="J39" s="33" t="inlineStr">
        <is>
          <t>Compra</t>
        </is>
      </c>
      <c r="K39" s="33" t="inlineStr">
        <is>
          <t>No</t>
        </is>
      </c>
      <c r="L39" s="17" t="n"/>
      <c r="M39" s="17" t="n"/>
      <c r="N39" s="17" t="inlineStr">
        <is>
          <t>20 Presurización (T05) / C10</t>
        </is>
      </c>
      <c r="O39" s="17" t="inlineStr">
        <is>
          <t>IRAM 3517-2 9.4.9 (tabla 2) · IRAM 3523 2.3 y 3.10</t>
        </is>
      </c>
      <c r="P39" s="33" t="inlineStr">
        <is>
          <t>C</t>
        </is>
      </c>
      <c r="Q39" s="33" t="n"/>
      <c r="R39" s="17" t="inlineStr">
        <is>
          <t>Batería en SP-1; punto de rocío ≤ -56,7 °C para gases limpios</t>
        </is>
      </c>
    </row>
    <row r="40">
      <c r="A40" s="30" t="n">
        <v>1</v>
      </c>
      <c r="B40" s="30" t="inlineStr">
        <is>
          <t>HCFCHFC5-S6</t>
        </is>
      </c>
      <c r="C40" s="31" t="inlineStr">
        <is>
          <t xml:space="preserve">    Identificación y precinto</t>
        </is>
      </c>
      <c r="D40" s="30" t="n">
        <v>1</v>
      </c>
      <c r="E40" s="30" t="inlineStr">
        <is>
          <t>u</t>
        </is>
      </c>
      <c r="F40" s="32" t="n"/>
      <c r="G40" s="32">
        <f>G41+G42+G43+G44+G45+G46+G47</f>
        <v/>
      </c>
      <c r="H40" s="30" t="n"/>
      <c r="I40" s="31" t="n"/>
      <c r="J40" s="30" t="inlineStr">
        <is>
          <t>Compra</t>
        </is>
      </c>
      <c r="K40" s="30" t="n"/>
      <c r="L40" s="31" t="n"/>
      <c r="M40" s="31" t="n"/>
      <c r="N40" s="31" t="inlineStr">
        <is>
          <t>22 Etiquetado (T07)</t>
        </is>
      </c>
      <c r="O40" s="31" t="n"/>
      <c r="P40" s="30" t="n"/>
      <c r="Q40" s="30" t="n"/>
      <c r="R40" s="31" t="n"/>
    </row>
    <row r="41" outlineLevel="1">
      <c r="A41" s="33" t="n">
        <v>2</v>
      </c>
      <c r="B41" s="33" t="inlineStr">
        <is>
          <t>HCFCHFC5-19</t>
        </is>
      </c>
      <c r="C41" s="17" t="inlineStr">
        <is>
          <t xml:space="preserve">        Etiqueta / placa de características</t>
        </is>
      </c>
      <c r="D41" s="33" t="n">
        <v>1</v>
      </c>
      <c r="E41" s="33" t="inlineStr">
        <is>
          <t>u</t>
        </is>
      </c>
      <c r="F41" s="34" t="n">
        <v>0.0182</v>
      </c>
      <c r="G41" s="34">
        <f>D41*F41</f>
        <v/>
      </c>
      <c r="H41" s="33" t="inlineStr">
        <is>
          <t>Vinilo autoadhesivo laminado</t>
        </is>
      </c>
      <c r="I41" s="17" t="inlineStr">
        <is>
          <t>289 × 150 (desarrollo × alto: panel central 108° + 2 alas laterales), e ≈ 0,3, laminado UV</t>
        </is>
      </c>
      <c r="J41" s="33" t="inlineStr">
        <is>
          <t>Compra</t>
        </is>
      </c>
      <c r="K41" s="33" t="inlineStr">
        <is>
          <t>No</t>
        </is>
      </c>
      <c r="L41" s="17" t="n"/>
      <c r="M41" s="17" t="n"/>
      <c r="N41" s="17" t="inlineStr">
        <is>
          <t>22 Etiquetado (T07)</t>
        </is>
      </c>
      <c r="O41" s="17" t="inlineStr">
        <is>
          <t>IRAM 3534 · IRAM 3504 cap. 5 · relevamiento de mercado</t>
        </is>
      </c>
      <c r="P41" s="33" t="inlineStr">
        <is>
          <t>P</t>
        </is>
      </c>
      <c r="Q41" s="33" t="inlineStr">
        <is>
          <t>FL_DES_HCFC-HFC_5kg</t>
        </is>
      </c>
      <c r="R41" s="17" t="inlineStr">
        <is>
          <t>IRAM 3534</t>
        </is>
      </c>
    </row>
    <row r="42" outlineLevel="1">
      <c r="A42" s="33" t="n">
        <v>2</v>
      </c>
      <c r="B42" s="33" t="inlineStr">
        <is>
          <t>HCFCHFC5-20</t>
        </is>
      </c>
      <c r="C42" s="17" t="inlineStr">
        <is>
          <t xml:space="preserve">        Oblea de fabricación (PBA)</t>
        </is>
      </c>
      <c r="D42" s="33" t="n">
        <v>1</v>
      </c>
      <c r="E42" s="33" t="inlineStr">
        <is>
          <t>u</t>
        </is>
      </c>
      <c r="F42" s="34" t="n">
        <v>0.0009</v>
      </c>
      <c r="G42" s="34">
        <f>D42*F42</f>
        <v/>
      </c>
      <c r="H42" s="33" t="inlineStr">
        <is>
          <t>Papel de seguridad autodestructible</t>
        </is>
      </c>
      <c r="I42" s="17" t="inlineStr">
        <is>
          <t>Ø46 (Res. OPDS 522/07), numerada, autodestructible</t>
        </is>
      </c>
      <c r="J42" s="33" t="inlineStr">
        <is>
          <t>Compra</t>
        </is>
      </c>
      <c r="K42" s="33" t="inlineStr">
        <is>
          <t>No</t>
        </is>
      </c>
      <c r="L42" s="17" t="n"/>
      <c r="M42" s="17" t="n"/>
      <c r="N42" s="17" t="inlineStr">
        <is>
          <t>22 Etiquetado (T07)</t>
        </is>
      </c>
      <c r="O42" s="17" t="inlineStr">
        <is>
          <t>Res. OPDS 522/07 anexos 1, 2 y 6</t>
        </is>
      </c>
      <c r="P42" s="33" t="inlineStr">
        <is>
          <t>P</t>
        </is>
      </c>
      <c r="Q42" s="33" t="inlineStr">
        <is>
          <t>FL_DES_HCFC-HFC_5kg</t>
        </is>
      </c>
      <c r="R42" s="17" t="inlineStr">
        <is>
          <t>Res. 522/07</t>
        </is>
      </c>
    </row>
    <row r="43" outlineLevel="1">
      <c r="A43" s="33" t="n">
        <v>2</v>
      </c>
      <c r="B43" s="33" t="inlineStr">
        <is>
          <t>HCFCHFC5-21</t>
        </is>
      </c>
      <c r="C43" s="17" t="inlineStr">
        <is>
          <t xml:space="preserve">        Estampilla IRAM de conformidad</t>
        </is>
      </c>
      <c r="D43" s="33" t="n">
        <v>1</v>
      </c>
      <c r="E43" s="33" t="inlineStr">
        <is>
          <t>u</t>
        </is>
      </c>
      <c r="F43" s="34" t="n">
        <v>0.001</v>
      </c>
      <c r="G43" s="34">
        <f>D43*F43</f>
        <v/>
      </c>
      <c r="H43" s="33" t="inlineStr">
        <is>
          <t>Provista por IRAM (Anexo R)</t>
        </is>
      </c>
      <c r="I43" s="17" t="inlineStr">
        <is>
          <t>60 × 40</t>
        </is>
      </c>
      <c r="J43" s="33" t="inlineStr">
        <is>
          <t>Compra</t>
        </is>
      </c>
      <c r="K43" s="33" t="inlineStr">
        <is>
          <t>No</t>
        </is>
      </c>
      <c r="L43" s="17" t="n"/>
      <c r="M43" s="17" t="n"/>
      <c r="N43" s="17" t="inlineStr">
        <is>
          <t>22 Etiquetado (T07)</t>
        </is>
      </c>
      <c r="O43" s="17" t="inlineStr">
        <is>
          <t>IRAM Anexo R (DC-PG-129)</t>
        </is>
      </c>
      <c r="P43" s="33" t="inlineStr">
        <is>
          <t>P</t>
        </is>
      </c>
      <c r="Q43" s="33" t="inlineStr">
        <is>
          <t>FL_DES_HCFC-HFC_5kg</t>
        </is>
      </c>
      <c r="R43" s="17" t="inlineStr">
        <is>
          <t>numerada</t>
        </is>
      </c>
    </row>
    <row r="44" outlineLevel="1">
      <c r="A44" s="33" t="n">
        <v>2</v>
      </c>
      <c r="B44" s="33" t="inlineStr">
        <is>
          <t>HCFCHFC5-22</t>
        </is>
      </c>
      <c r="C44" s="17" t="inlineStr">
        <is>
          <t xml:space="preserve">        Tarjeta de identificación AGC (CABA)</t>
        </is>
      </c>
      <c r="D44" s="33" t="n">
        <v>1</v>
      </c>
      <c r="E44" s="33" t="inlineStr">
        <is>
          <t>u</t>
        </is>
      </c>
      <c r="F44" s="34" t="n">
        <v>0.0032</v>
      </c>
      <c r="G44" s="34">
        <f>D44*F44</f>
        <v/>
      </c>
      <c r="H44" s="33" t="inlineStr">
        <is>
          <t>Etiqueta autoadhesiva emitida por la AGC</t>
        </is>
      </c>
      <c r="I44" s="17" t="inlineStr">
        <is>
          <t>140 × 55</t>
        </is>
      </c>
      <c r="J44" s="33" t="inlineStr">
        <is>
          <t>Compra</t>
        </is>
      </c>
      <c r="K44" s="33" t="inlineStr">
        <is>
          <t>Sí</t>
        </is>
      </c>
      <c r="L44" s="17" t="inlineStr">
        <is>
          <t>Agencia Gubernamental de Control (CABA)</t>
        </is>
      </c>
      <c r="M44" s="17" t="inlineStr">
        <is>
          <t>-</t>
        </is>
      </c>
      <c r="N44" s="17" t="inlineStr">
        <is>
          <t>22 Etiquetado (T07)</t>
        </is>
      </c>
      <c r="O44" s="17" t="inlineStr">
        <is>
          <t>Ordenanza 40.473 art. 6 · Res. AGC 32/15</t>
        </is>
      </c>
      <c r="P44" s="33" t="inlineStr">
        <is>
          <t>P</t>
        </is>
      </c>
      <c r="Q44" s="33" t="inlineStr">
        <is>
          <t>FL_DES_HCFC-HFC_5kg</t>
        </is>
      </c>
      <c r="R44" s="17" t="inlineStr">
        <is>
          <t>sólo destino CABA; sólo destino CABA</t>
        </is>
      </c>
    </row>
    <row r="45" outlineLevel="1">
      <c r="A45" s="33" t="n">
        <v>2</v>
      </c>
      <c r="B45" s="33" t="inlineStr">
        <is>
          <t>HCFCHFC5-23</t>
        </is>
      </c>
      <c r="C45" s="17" t="inlineStr">
        <is>
          <t xml:space="preserve">        Etiqueta de n° de serie GS1</t>
        </is>
      </c>
      <c r="D45" s="33" t="n">
        <v>1</v>
      </c>
      <c r="E45" s="33" t="inlineStr">
        <is>
          <t>u</t>
        </is>
      </c>
      <c r="F45" s="34" t="n">
        <v>0.0005</v>
      </c>
      <c r="G45" s="34">
        <f>D45*F45</f>
        <v/>
      </c>
      <c r="H45" s="33" t="inlineStr">
        <is>
          <t>Poliéster autoadhesivo impreso térmico</t>
        </is>
      </c>
      <c r="I45" s="17" t="inlineStr">
        <is>
          <t>45 × 25</t>
        </is>
      </c>
      <c r="J45" s="33" t="inlineStr">
        <is>
          <t>Compra</t>
        </is>
      </c>
      <c r="K45" s="33" t="inlineStr">
        <is>
          <t>No</t>
        </is>
      </c>
      <c r="L45" s="17" t="n"/>
      <c r="M45" s="17" t="n"/>
      <c r="N45" s="17" t="inlineStr">
        <is>
          <t>22 Etiquetado (T07)</t>
        </is>
      </c>
      <c r="O45" s="17" t="inlineStr">
        <is>
          <t>GS1 Argentina (GTIN 779) · trazabilidad IRAM 3523 5.1</t>
        </is>
      </c>
      <c r="P45" s="33" t="inlineStr">
        <is>
          <t>P</t>
        </is>
      </c>
      <c r="Q45" s="33" t="inlineStr">
        <is>
          <t>FL_DES_HCFC-HFC_5kg</t>
        </is>
      </c>
      <c r="R45" s="17" t="inlineStr">
        <is>
          <t>QR GTIN + serie</t>
        </is>
      </c>
    </row>
    <row r="46" outlineLevel="1">
      <c r="A46" s="33" t="n">
        <v>2</v>
      </c>
      <c r="B46" s="33" t="inlineStr">
        <is>
          <t>HCFCHFC5-25</t>
        </is>
      </c>
      <c r="C46" s="17" t="inlineStr">
        <is>
          <t xml:space="preserve">        Faja de garantía válvula-cuello</t>
        </is>
      </c>
      <c r="D46" s="33" t="n">
        <v>1</v>
      </c>
      <c r="E46" s="33" t="inlineStr">
        <is>
          <t>u</t>
        </is>
      </c>
      <c r="F46" s="34" t="n">
        <v>0.0003</v>
      </c>
      <c r="G46" s="34">
        <f>D46*F46</f>
        <v/>
      </c>
      <c r="H46" s="33" t="inlineStr">
        <is>
          <t>Vinilo destructible rayado rojo/blanco</t>
        </is>
      </c>
      <c r="I46" s="17" t="inlineStr">
        <is>
          <t>30 × 40</t>
        </is>
      </c>
      <c r="J46" s="33" t="inlineStr">
        <is>
          <t>Compra</t>
        </is>
      </c>
      <c r="K46" s="33" t="inlineStr">
        <is>
          <t>No</t>
        </is>
      </c>
      <c r="L46" s="17" t="n"/>
      <c r="M46" s="17" t="n"/>
      <c r="N46" s="17" t="inlineStr">
        <is>
          <t>22 Etiquetado (T07)</t>
        </is>
      </c>
      <c r="O46" s="17" t="inlineStr">
        <is>
          <t>Sin norma: práctica de mercado (garantía de fábrica)</t>
        </is>
      </c>
      <c r="P46" s="33" t="inlineStr">
        <is>
          <t>P</t>
        </is>
      </c>
      <c r="Q46" s="33" t="inlineStr">
        <is>
          <t>FL_DES_HCFC-HFC_5kg</t>
        </is>
      </c>
      <c r="R46" s="17" t="inlineStr">
        <is>
          <t>nuevo sin abrir</t>
        </is>
      </c>
    </row>
    <row r="47" outlineLevel="1">
      <c r="A47" s="33" t="n">
        <v>2</v>
      </c>
      <c r="B47" s="33" t="inlineStr">
        <is>
          <t>HCFCHFC5-26</t>
        </is>
      </c>
      <c r="C47" s="17" t="inlineStr">
        <is>
          <t xml:space="preserve">        Precinto de fábrica</t>
        </is>
      </c>
      <c r="D47" s="33" t="n">
        <v>1</v>
      </c>
      <c r="E47" s="33" t="inlineStr">
        <is>
          <t>u</t>
        </is>
      </c>
      <c r="F47" s="34" t="n">
        <v>0.0002</v>
      </c>
      <c r="G47" s="34">
        <f>D47*F47</f>
        <v/>
      </c>
      <c r="H47" s="33" t="inlineStr">
        <is>
          <t>Polipropileno color</t>
        </is>
      </c>
      <c r="I47" s="17" t="inlineStr">
        <is>
          <t>Ø5 × 10, numerado, rotura 30-50 N</t>
        </is>
      </c>
      <c r="J47" s="33" t="inlineStr">
        <is>
          <t>Compra</t>
        </is>
      </c>
      <c r="K47" s="33" t="inlineStr">
        <is>
          <t>No</t>
        </is>
      </c>
      <c r="L47" s="17" t="n"/>
      <c r="M47" s="17" t="n"/>
      <c r="N47" s="17" t="inlineStr">
        <is>
          <t>20 Presurización (T05)</t>
        </is>
      </c>
      <c r="O47" s="17" t="inlineStr">
        <is>
          <t>IRAM 3523 3.3.2 · IRAM 3517-2:2020 9.4.13</t>
        </is>
      </c>
      <c r="P47" s="33" t="inlineStr">
        <is>
          <t>P</t>
        </is>
      </c>
      <c r="Q47" s="33" t="inlineStr">
        <is>
          <t>FL_DES_HCFC-HFC_5kg</t>
        </is>
      </c>
      <c r="R47" s="17" t="inlineStr">
        <is>
          <t>id. FLAMA y lote</t>
        </is>
      </c>
    </row>
    <row r="48">
      <c r="A48" s="30" t="n">
        <v>1</v>
      </c>
      <c r="B48" s="30" t="inlineStr">
        <is>
          <t>HCFCHFC5-S8</t>
        </is>
      </c>
      <c r="C48" s="31" t="inlineStr">
        <is>
          <t xml:space="preserve">    Soporte (accesorio de montaje)</t>
        </is>
      </c>
      <c r="D48" s="30" t="n">
        <v>1</v>
      </c>
      <c r="E48" s="30" t="inlineStr">
        <is>
          <t>u</t>
        </is>
      </c>
      <c r="F48" s="32" t="n"/>
      <c r="G48" s="32">
        <f>G49</f>
        <v/>
      </c>
      <c r="H48" s="30" t="n"/>
      <c r="I48" s="31" t="n"/>
      <c r="J48" s="30" t="inlineStr">
        <is>
          <t>Compra</t>
        </is>
      </c>
      <c r="K48" s="30" t="n"/>
      <c r="L48" s="31" t="n"/>
      <c r="M48" s="31" t="n"/>
      <c r="N48" s="31" t="inlineStr">
        <is>
          <t>23 Embalaje (va dentro de la caja)</t>
        </is>
      </c>
      <c r="O48" s="31" t="inlineStr">
        <is>
          <t>IRAM 3517-2 7.4</t>
        </is>
      </c>
      <c r="P48" s="30" t="n"/>
      <c r="Q48" s="30" t="n"/>
      <c r="R48" s="31" t="n"/>
    </row>
    <row r="49" outlineLevel="1">
      <c r="A49" s="33" t="n">
        <v>2</v>
      </c>
      <c r="B49" s="33" t="inlineStr">
        <is>
          <t>HCFCHFC5-I5</t>
        </is>
      </c>
      <c r="C49" s="17" t="inlineStr">
        <is>
          <t xml:space="preserve">        Soporte de pared (FL_ACC_01)</t>
        </is>
      </c>
      <c r="D49" s="33" t="n">
        <v>1</v>
      </c>
      <c r="E49" s="33" t="inlineStr">
        <is>
          <t>u</t>
        </is>
      </c>
      <c r="F49" s="34" t="n">
        <v>0.29</v>
      </c>
      <c r="G49" s="34">
        <f>D49*F49</f>
        <v/>
      </c>
      <c r="H49" s="33" t="inlineStr">
        <is>
          <t>Chapa acero SAE 1010 e=2 pintada</t>
        </is>
      </c>
      <c r="I49" s="17" t="inlineStr">
        <is>
          <t>placa 60 × 180, ala con ranura Ø cuello + 3</t>
        </is>
      </c>
      <c r="J49" s="33" t="inlineStr">
        <is>
          <t>Compra</t>
        </is>
      </c>
      <c r="K49" s="33" t="inlineStr">
        <is>
          <t>No</t>
        </is>
      </c>
      <c r="L49" s="17" t="n"/>
      <c r="M49" s="17" t="n"/>
      <c r="N49" s="17" t="inlineStr">
        <is>
          <t>23 Embalaje</t>
        </is>
      </c>
      <c r="O49" s="17" t="inlineStr">
        <is>
          <t>IRAM 3517-2 7.4</t>
        </is>
      </c>
      <c r="P49" s="33" t="inlineStr">
        <is>
          <t>P</t>
        </is>
      </c>
      <c r="Q49" s="33" t="inlineStr">
        <is>
          <t>FL_ACC_01</t>
        </is>
      </c>
      <c r="R49" s="17" t="n"/>
    </row>
    <row r="50" outlineLevel="1">
      <c r="A50" s="33" t="n">
        <v>2</v>
      </c>
      <c r="B50" s="33" t="inlineStr">
        <is>
          <t>HCFCHFC5-I6</t>
        </is>
      </c>
      <c r="C50" s="17" t="inlineStr">
        <is>
          <t xml:space="preserve">        Tornillo y tarugo de fijación</t>
        </is>
      </c>
      <c r="D50" s="33" t="n">
        <v>2</v>
      </c>
      <c r="E50" s="33" t="inlineStr">
        <is>
          <t>u</t>
        </is>
      </c>
      <c r="F50" s="34" t="n"/>
      <c r="G50" s="34" t="n"/>
      <c r="H50" s="33" t="inlineStr">
        <is>
          <t>Acero cincado / nylon</t>
        </is>
      </c>
      <c r="I50" s="17" t="inlineStr">
        <is>
          <t>2 agujeros Ø8,5 del plano FL_ACC_01 → tornillo M8 + tarugo</t>
        </is>
      </c>
      <c r="J50" s="33" t="inlineStr">
        <is>
          <t>Compra</t>
        </is>
      </c>
      <c r="K50" s="33" t="inlineStr">
        <is>
          <t>No</t>
        </is>
      </c>
      <c r="L50" s="17" t="n"/>
      <c r="M50" s="17" t="n"/>
      <c r="N50" s="17" t="inlineStr">
        <is>
          <t>23 Embalaje</t>
        </is>
      </c>
      <c r="O50" s="17" t="n"/>
      <c r="P50" s="33" t="inlineStr">
        <is>
          <t>P</t>
        </is>
      </c>
      <c r="Q50" s="33" t="inlineStr">
        <is>
          <t>FL_ACC_01</t>
        </is>
      </c>
      <c r="R50" s="17" t="n"/>
    </row>
    <row r="51" outlineLevel="1">
      <c r="A51" s="33" t="n">
        <v>2</v>
      </c>
      <c r="B51" s="33" t="inlineStr">
        <is>
          <t>HCFCHFC5-I8</t>
        </is>
      </c>
      <c r="C51" s="17" t="inlineStr">
        <is>
          <t xml:space="preserve">        Soporte opcional (pared o vehicular, según pedido)</t>
        </is>
      </c>
      <c r="D51" s="33" t="n">
        <v>0</v>
      </c>
      <c r="E51" s="33" t="inlineStr">
        <is>
          <t>u</t>
        </is>
      </c>
      <c r="F51" s="34" t="n"/>
      <c r="G51" s="34" t="n"/>
      <c r="H51" s="33" t="inlineStr">
        <is>
          <t>-</t>
        </is>
      </c>
      <c r="I51" s="17" t="inlineStr">
        <is>
          <t>-</t>
        </is>
      </c>
      <c r="J51" s="33" t="inlineStr">
        <is>
          <t>Compra</t>
        </is>
      </c>
      <c r="K51" s="33" t="inlineStr">
        <is>
          <t>No</t>
        </is>
      </c>
      <c r="L51" s="17" t="n"/>
      <c r="M51" s="17" t="n"/>
      <c r="N51" s="17" t="n"/>
      <c r="O51" s="17" t="inlineStr">
        <is>
          <t>IRAM 3517-2 7.4</t>
        </is>
      </c>
      <c r="P51" s="33" t="inlineStr">
        <is>
          <t>N</t>
        </is>
      </c>
      <c r="Q51" s="33" t="n"/>
      <c r="R51" s="17" t="inlineStr">
        <is>
          <t>Sólo si el pedido lo incluye</t>
        </is>
      </c>
    </row>
    <row r="52">
      <c r="A52" s="30" t="n">
        <v>1</v>
      </c>
      <c r="B52" s="30" t="inlineStr">
        <is>
          <t>HCFCHFC5-S7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HCFCHFC5-E1</t>
        </is>
      </c>
      <c r="C53" s="17" t="inlineStr">
        <is>
          <t xml:space="preserve">        Caja de cartón corrugado simple</t>
        </is>
      </c>
      <c r="D53" s="33" t="n">
        <v>1</v>
      </c>
      <c r="E53" s="33" t="inlineStr">
        <is>
          <t>u</t>
        </is>
      </c>
      <c r="F53" s="34" t="n"/>
      <c r="G53" s="34" t="n"/>
      <c r="H53" s="33" t="inlineStr">
        <is>
          <t>Cartón corrugado</t>
        </is>
      </c>
      <c r="I53" s="17" t="inlineStr">
        <is>
          <t>255 × 186 × 500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HCFCHFC5-E2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HCFCHFC5-E3</t>
        </is>
      </c>
      <c r="C55" s="17" t="inlineStr">
        <is>
          <t xml:space="preserve">        Pallet 1200 × 1000 (fracción)</t>
        </is>
      </c>
      <c r="D55" s="33" t="n">
        <v>0.025</v>
      </c>
      <c r="E55" s="33" t="inlineStr">
        <is>
          <t>u</t>
        </is>
      </c>
      <c r="F55" s="34" t="n"/>
      <c r="G55" s="34" t="n"/>
      <c r="H55" s="33" t="inlineStr">
        <is>
          <t>Madera</t>
        </is>
      </c>
      <c r="I55" s="17" t="inlineStr">
        <is>
          <t>40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HCFCHFC5-E4</t>
        </is>
      </c>
      <c r="C56" s="17" t="inlineStr">
        <is>
          <t xml:space="preserve">        Film stretch (fracción del pallet)</t>
        </is>
      </c>
      <c r="D56" s="33" t="n">
        <v>0.003</v>
      </c>
      <c r="E56" s="33" t="inlineStr">
        <is>
          <t>kg</t>
        </is>
      </c>
      <c r="F56" s="34" t="n">
        <v>1</v>
      </c>
      <c r="G56" s="34">
        <f>D56*F56</f>
        <v/>
      </c>
      <c r="H56" s="33" t="inlineStr">
        <is>
          <t>PE lineal 23 µm</t>
        </is>
      </c>
      <c r="I56" s="17" t="inlineStr">
        <is>
          <t>0,12 kg por pallet / 40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HCFCHFC5-E5</t>
        </is>
      </c>
      <c r="C57" s="17" t="inlineStr">
        <is>
          <t xml:space="preserve">        Etiqueta de pallet (lote y destino, fracción)</t>
        </is>
      </c>
      <c r="D57" s="33" t="n">
        <v>0.025</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HCFCHFC5-E6</t>
        </is>
      </c>
      <c r="C58" s="17" t="inlineStr">
        <is>
          <t xml:space="preserve">        Cinta de embalaje PP 48 mm (cierre de la caja)</t>
        </is>
      </c>
      <c r="D58" s="33" t="n">
        <v>0.79</v>
      </c>
      <c r="E58" s="33" t="inlineStr">
        <is>
          <t>m</t>
        </is>
      </c>
      <c r="F58" s="34" t="n"/>
      <c r="G58" s="34" t="n"/>
      <c r="H58" s="33" t="inlineStr">
        <is>
          <t>Polipropileno con adhesivo acrílico</t>
        </is>
      </c>
      <c r="I58" s="17" t="inlineStr">
        <is>
          <t>cierre en I arriba y abajo: 2 × (255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HCFCHFC5-E7</t>
        </is>
      </c>
      <c r="C59" s="17" t="inlineStr">
        <is>
          <t xml:space="preserve">        Esquineros de cartón 50 × 50 × 1200 (fracción del pallet)</t>
        </is>
      </c>
      <c r="D59" s="33" t="n">
        <v>0.1</v>
      </c>
      <c r="E59" s="33" t="inlineStr">
        <is>
          <t>u</t>
        </is>
      </c>
      <c r="F59" s="34" t="n"/>
      <c r="G59" s="34" t="n"/>
      <c r="H59" s="33" t="inlineStr">
        <is>
          <t>Cartón</t>
        </is>
      </c>
      <c r="I59" s="17" t="inlineStr">
        <is>
          <t>4 por pallet / 40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66" t="inlineStr">
        <is>
          <t>Extintor Clase D 9 l</t>
        </is>
      </c>
    </row>
    <row r="3">
      <c r="A3" s="2" t="inlineStr">
        <is>
          <t>Plano de origen</t>
        </is>
      </c>
      <c r="C3" t="inlineStr">
        <is>
          <t>FL_MAT_CLASED_9l  (4 láminas)</t>
        </is>
      </c>
      <c r="E3" s="2" t="inlineStr">
        <is>
          <t>Peso vacío S1-S4 (kg)</t>
        </is>
      </c>
      <c r="G3" s="67">
        <f>G13+G18+G32</f>
        <v/>
      </c>
    </row>
    <row r="4">
      <c r="A4" s="2" t="inlineStr">
        <is>
          <t>Plano de despiece</t>
        </is>
      </c>
      <c r="C4" t="inlineStr">
        <is>
          <t>FL_DES_CLASED_9l (salida/despiece/)</t>
        </is>
      </c>
      <c r="E4" s="2" t="inlineStr">
        <is>
          <t>Peso cargado S1-S6 (kg)</t>
        </is>
      </c>
      <c r="G4" s="67">
        <f>G13+G18+G32+G38+G41</f>
        <v/>
      </c>
    </row>
    <row r="5">
      <c r="A5" s="2" t="inlineStr">
        <is>
          <t>Norma del producto</t>
        </is>
      </c>
      <c r="C5" t="inlineStr">
        <is>
          <t>IRAM 3523</t>
        </is>
      </c>
      <c r="E5" s="2" t="inlineStr">
        <is>
          <t>Peso con soporte y embalaje (kg)</t>
        </is>
      </c>
      <c r="G5" s="67">
        <f>G13+G18+G32+G38+G41+G52+G49</f>
        <v/>
      </c>
    </row>
    <row r="6">
      <c r="A6" s="2" t="inlineStr">
        <is>
          <t>Fabricación</t>
        </is>
      </c>
      <c r="C6" t="inlineStr">
        <is>
          <t>Revendido: se compra terminado al fabricante con Sello IRAM; las piezas internas quedan como referencia (no entran en MRP)</t>
        </is>
      </c>
      <c r="E6" s="2" t="inlineStr">
        <is>
          <t>Desvío cargado vs catálogo</t>
        </is>
      </c>
      <c r="G6" s="25">
        <f>G4/C7-1</f>
        <v/>
      </c>
    </row>
    <row r="7">
      <c r="A7" s="2" t="inlineStr">
        <is>
          <t>Peso catálogo cargado (kg)</t>
        </is>
      </c>
      <c r="C7" t="n">
        <v>16.5</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FL_MAT_CLASED_9l</t>
        </is>
      </c>
      <c r="C11" s="28" t="inlineStr">
        <is>
          <t>Extintor Clase D 9 l</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FL_MAT_CLASED_9l</t>
        </is>
      </c>
      <c r="R11" s="28" t="inlineStr">
        <is>
          <t>Revendido: se compra terminado al fabricante con Sello IRAM; las piezas internas quedan como referencia (no entran en MRP)</t>
        </is>
      </c>
    </row>
    <row r="12">
      <c r="A12" s="30" t="n">
        <v>1</v>
      </c>
      <c r="B12" s="30" t="inlineStr">
        <is>
          <t>CLASED9-S0</t>
        </is>
      </c>
      <c r="C12" s="31" t="inlineStr">
        <is>
          <t xml:space="preserve">    Equipo terminado comprado (fabricante con Sello IRAM)</t>
        </is>
      </c>
      <c r="D12" s="30" t="n">
        <v>1</v>
      </c>
      <c r="E12" s="30" t="inlineStr">
        <is>
          <t>u</t>
        </is>
      </c>
      <c r="F12" s="32" t="n"/>
      <c r="G12" s="32" t="n"/>
      <c r="H12" s="30" t="n"/>
      <c r="I12" s="31" t="n"/>
      <c r="J12" s="30" t="inlineStr">
        <is>
          <t>Compra</t>
        </is>
      </c>
      <c r="K12" s="30" t="inlineStr">
        <is>
          <t>Sí</t>
        </is>
      </c>
      <c r="L12" s="31" t="inlineStr">
        <is>
          <t>Matafuegos Georgia - venta mayorista</t>
        </is>
      </c>
      <c r="M12" s="31" t="inlineStr">
        <is>
          <t>Melisam</t>
        </is>
      </c>
      <c r="N12" s="31" t="inlineStr">
        <is>
          <t>Recepción y control de ingreso (SP-1)</t>
        </is>
      </c>
      <c r="O12" s="31" t="inlineStr">
        <is>
          <t>IRAM 3523</t>
        </is>
      </c>
      <c r="P12" s="30" t="inlineStr">
        <is>
          <t>I</t>
        </is>
      </c>
      <c r="Q12" s="30" t="inlineStr">
        <is>
          <t>FL_MAT_CLASED_9l</t>
        </is>
      </c>
      <c r="R12" s="31" t="inlineStr">
        <is>
          <t>Única fila de compra del revendido (más la tarjeta AGC si el destino es CABA)</t>
        </is>
      </c>
    </row>
    <row r="13">
      <c r="A13" s="30" t="n">
        <v>1</v>
      </c>
      <c r="B13" s="30" t="inlineStr">
        <is>
          <t>CLASED9-S1</t>
        </is>
      </c>
      <c r="C13" s="31" t="inlineStr">
        <is>
          <t xml:space="preserve">    Recipiente (cilindro)</t>
        </is>
      </c>
      <c r="D13" s="30" t="n">
        <v>1</v>
      </c>
      <c r="E13" s="30" t="inlineStr">
        <is>
          <t>u</t>
        </is>
      </c>
      <c r="F13" s="32" t="n"/>
      <c r="G13" s="32">
        <f>G14+G15+G16+G17</f>
        <v/>
      </c>
      <c r="H13" s="30" t="n"/>
      <c r="I13" s="31" t="n"/>
      <c r="J13" s="30" t="inlineStr">
        <is>
          <t>Compra / armado</t>
        </is>
      </c>
      <c r="K13" s="30" t="n"/>
      <c r="L13" s="31" t="n"/>
      <c r="M13" s="31" t="n"/>
      <c r="N13" s="31" t="n"/>
      <c r="O13" s="31" t="inlineStr">
        <is>
          <t>IRAM 3523 / 3550 (recipiente)</t>
        </is>
      </c>
      <c r="P13" s="30" t="inlineStr">
        <is>
          <t>P</t>
        </is>
      </c>
      <c r="Q13" s="30" t="inlineStr">
        <is>
          <t>FL_DES_CLASED_9l</t>
        </is>
      </c>
      <c r="R13" s="31" t="n"/>
    </row>
    <row r="14" outlineLevel="1">
      <c r="A14" s="33" t="n">
        <v>2</v>
      </c>
      <c r="B14" s="33" t="inlineStr">
        <is>
          <t>CLASED9-01</t>
        </is>
      </c>
      <c r="C14" s="17" t="inlineStr">
        <is>
          <t xml:space="preserve">        Cuerpo (virola)</t>
        </is>
      </c>
      <c r="D14" s="33" t="n">
        <v>1</v>
      </c>
      <c r="E14" s="33" t="inlineStr">
        <is>
          <t>u</t>
        </is>
      </c>
      <c r="F14" s="34" t="n">
        <v>4.3132</v>
      </c>
      <c r="G14" s="34">
        <f>D14*F14</f>
        <v/>
      </c>
      <c r="H14" s="33" t="inlineStr">
        <is>
          <t>Chapa LAF IRAM-IAS U 500-05 e=2</t>
        </is>
      </c>
      <c r="I14" s="17" t="inlineStr">
        <is>
          <t>Ø181,5 × e2 × 487,2 de alto; desarrollo 563,9 × 487,2</t>
        </is>
      </c>
      <c r="J14" s="33" t="inlineStr">
        <is>
          <t>Compra (en el conjunto)</t>
        </is>
      </c>
      <c r="K14" s="33" t="inlineStr">
        <is>
          <t>No</t>
        </is>
      </c>
      <c r="L14" s="17" t="n"/>
      <c r="M14" s="17" t="n"/>
      <c r="N14" s="17" t="inlineStr">
        <is>
          <t>S4 - se compra terminado (tercerizado con sello IRAM)</t>
        </is>
      </c>
      <c r="O14" s="17" t="n"/>
      <c r="P14" s="33" t="inlineStr">
        <is>
          <t>P</t>
        </is>
      </c>
      <c r="Q14" s="33" t="inlineStr">
        <is>
          <t>FL_DES_CLASED_9l</t>
        </is>
      </c>
      <c r="R14" s="17" t="inlineStr">
        <is>
          <t>costura long. MAG</t>
        </is>
      </c>
    </row>
    <row r="15" outlineLevel="1">
      <c r="A15" s="33" t="n">
        <v>2</v>
      </c>
      <c r="B15" s="33" t="inlineStr">
        <is>
          <t>CLASED9-02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Ø228,9</t>
        </is>
      </c>
      <c r="J15" s="33" t="inlineStr">
        <is>
          <t>Compra (en el conjunto)</t>
        </is>
      </c>
      <c r="K15" s="33" t="inlineStr">
        <is>
          <t>No</t>
        </is>
      </c>
      <c r="L15" s="17" t="n"/>
      <c r="M15" s="17" t="n"/>
      <c r="N15" s="17" t="inlineStr">
        <is>
          <t>S4 - se compra terminado (tercerizado con sello IRAM)</t>
        </is>
      </c>
      <c r="O15" s="17" t="n"/>
      <c r="P15" s="33" t="inlineStr">
        <is>
          <t>P</t>
        </is>
      </c>
      <c r="Q15" s="33" t="inlineStr">
        <is>
          <t>FL_DES_CLASED_9l</t>
        </is>
      </c>
      <c r="R15" s="17" t="inlineStr">
        <is>
          <t>embutida</t>
        </is>
      </c>
    </row>
    <row r="16" outlineLevel="1">
      <c r="A16" s="33" t="n">
        <v>2</v>
      </c>
      <c r="B16" s="33" t="inlineStr">
        <is>
          <t>CLASED9-03</t>
        </is>
      </c>
      <c r="C16" s="17" t="inlineStr">
        <is>
          <t xml:space="preserve">        Fondo</t>
        </is>
      </c>
      <c r="D16" s="33" t="n">
        <v>1</v>
      </c>
      <c r="E16" s="33" t="inlineStr">
        <is>
          <t>u</t>
        </is>
      </c>
      <c r="F16" s="34" t="n">
        <v>0.3885</v>
      </c>
      <c r="G16" s="34">
        <f>D16*F16</f>
        <v/>
      </c>
      <c r="H16" s="33" t="inlineStr">
        <is>
          <t>Chapa LAF IRAM-IAS U 500-05 e=2</t>
        </is>
      </c>
      <c r="I16" s="17" t="inlineStr">
        <is>
          <t>Ø181,5 × e2 × 13,7 de alto; disco Ø182,8</t>
        </is>
      </c>
      <c r="J16" s="33" t="inlineStr">
        <is>
          <t>Compra (en el conjunto)</t>
        </is>
      </c>
      <c r="K16" s="33" t="inlineStr">
        <is>
          <t>No</t>
        </is>
      </c>
      <c r="L16" s="17" t="n"/>
      <c r="M16" s="17" t="n"/>
      <c r="N16" s="17" t="inlineStr">
        <is>
          <t>S4 - se compra terminado (tercerizado con sello IRAM)</t>
        </is>
      </c>
      <c r="O16" s="17" t="n"/>
      <c r="P16" s="33" t="inlineStr">
        <is>
          <t>P</t>
        </is>
      </c>
      <c r="Q16" s="33" t="inlineStr">
        <is>
          <t>FL_DES_CLASED_9l</t>
        </is>
      </c>
      <c r="R16" s="17" t="inlineStr">
        <is>
          <t>embutido</t>
        </is>
      </c>
    </row>
    <row r="17" outlineLevel="1">
      <c r="A17" s="33" t="n">
        <v>2</v>
      </c>
      <c r="B17" s="33" t="inlineStr">
        <is>
          <t>CLASED9-04</t>
        </is>
      </c>
      <c r="C17" s="17" t="inlineStr">
        <is>
          <t xml:space="preserve">        Cuello roscado</t>
        </is>
      </c>
      <c r="D17" s="33" t="n">
        <v>1</v>
      </c>
      <c r="E17" s="33" t="inlineStr">
        <is>
          <t>u</t>
        </is>
      </c>
      <c r="F17" s="34" t="n">
        <v>0.0542</v>
      </c>
      <c r="G17" s="34">
        <f>D17*F17</f>
        <v/>
      </c>
      <c r="H17" s="33" t="inlineStr">
        <is>
          <t>Acero SAE 1010</t>
        </is>
      </c>
      <c r="I17" s="17" t="inlineStr">
        <is>
          <t>Ø36,8 × 14 de alto, rosca M30x1,5, asiento Ø35</t>
        </is>
      </c>
      <c r="J17" s="33" t="inlineStr">
        <is>
          <t>Compra (en el conjunto)</t>
        </is>
      </c>
      <c r="K17" s="33" t="inlineStr">
        <is>
          <t>No</t>
        </is>
      </c>
      <c r="L17" s="17" t="n"/>
      <c r="M17" s="17" t="n"/>
      <c r="N17" s="17" t="inlineStr">
        <is>
          <t>S4 - se compra terminado (tercerizado con sello IRAM)</t>
        </is>
      </c>
      <c r="O17" s="17" t="n"/>
      <c r="P17" s="33" t="inlineStr">
        <is>
          <t>P</t>
        </is>
      </c>
      <c r="Q17" s="33" t="inlineStr">
        <is>
          <t>FL_DES_CLASED_9l</t>
        </is>
      </c>
      <c r="R17" s="17" t="inlineStr">
        <is>
          <t>M30x1,5</t>
        </is>
      </c>
    </row>
    <row r="18">
      <c r="A18" s="30" t="n">
        <v>1</v>
      </c>
      <c r="B18" s="30" t="inlineStr">
        <is>
          <t>CLASED9-S2</t>
        </is>
      </c>
      <c r="C18" s="31" t="inlineStr">
        <is>
          <t xml:space="preserve">    Conjunto de válvula</t>
        </is>
      </c>
      <c r="D18" s="30" t="n">
        <v>1</v>
      </c>
      <c r="E18" s="30" t="inlineStr">
        <is>
          <t>u</t>
        </is>
      </c>
      <c r="F18" s="32" t="n"/>
      <c r="G18" s="32">
        <f>G19+G20+G21+G23+G24+G25+G26+G27+G28+G29</f>
        <v/>
      </c>
      <c r="H18" s="30" t="n"/>
      <c r="I18" s="31" t="n"/>
      <c r="J18" s="30" t="inlineStr">
        <is>
          <t>Compra / armado</t>
        </is>
      </c>
      <c r="K18" s="30" t="n"/>
      <c r="L18" s="31" t="n"/>
      <c r="M18" s="31" t="n"/>
      <c r="N18" s="31" t="n"/>
      <c r="O18" s="31" t="inlineStr">
        <is>
          <t>Manómetro IRAM 3533</t>
        </is>
      </c>
      <c r="P18" s="30" t="inlineStr">
        <is>
          <t>P</t>
        </is>
      </c>
      <c r="Q18" s="30" t="inlineStr">
        <is>
          <t>FL_DES_CLASED_9l</t>
        </is>
      </c>
      <c r="R18" s="31" t="n"/>
    </row>
    <row r="19" outlineLevel="1">
      <c r="A19" s="33" t="n">
        <v>2</v>
      </c>
      <c r="B19" s="33" t="inlineStr">
        <is>
          <t>CLASED9-05</t>
        </is>
      </c>
      <c r="C19" s="17" t="inlineStr">
        <is>
          <t xml:space="preserve">        Collarín de válvula</t>
        </is>
      </c>
      <c r="D19" s="33" t="n">
        <v>1</v>
      </c>
      <c r="E19" s="33" t="inlineStr">
        <is>
          <t>u</t>
        </is>
      </c>
      <c r="F19" s="34" t="n">
        <v>0.08210000000000001</v>
      </c>
      <c r="G19" s="34">
        <f>D19*F19</f>
        <v/>
      </c>
      <c r="H19" s="33" t="inlineStr">
        <is>
          <t>Latón forjado</t>
        </is>
      </c>
      <c r="I19" s="17" t="inlineStr">
        <is>
          <t>42,8 × 42,8 × 10</t>
        </is>
      </c>
      <c r="J19" s="33" t="inlineStr">
        <is>
          <t>Compra (en el conjunto)</t>
        </is>
      </c>
      <c r="K19" s="33" t="inlineStr">
        <is>
          <t>No</t>
        </is>
      </c>
      <c r="L19" s="17" t="n"/>
      <c r="M19" s="17" t="n"/>
      <c r="N19" s="17" t="inlineStr">
        <is>
          <t>S4 - se compra terminado (tercerizado con sello IRAM)</t>
        </is>
      </c>
      <c r="O19" s="17" t="n"/>
      <c r="P19" s="33" t="inlineStr">
        <is>
          <t>P</t>
        </is>
      </c>
      <c r="Q19" s="33" t="inlineStr">
        <is>
          <t>FL_DES_CLASED_9l</t>
        </is>
      </c>
      <c r="R19" s="17" t="n"/>
    </row>
    <row r="20" outlineLevel="1">
      <c r="A20" s="33" t="n">
        <v>2</v>
      </c>
      <c r="B20" s="33" t="inlineStr">
        <is>
          <t>CLASED9-06</t>
        </is>
      </c>
      <c r="C20" s="17" t="inlineStr">
        <is>
          <t xml:space="preserve">        Espiga roscada</t>
        </is>
      </c>
      <c r="D20" s="33" t="n">
        <v>1</v>
      </c>
      <c r="E20" s="33" t="inlineStr">
        <is>
          <t>u</t>
        </is>
      </c>
      <c r="F20" s="34" t="n">
        <v>0.0243</v>
      </c>
      <c r="G20" s="34">
        <f>D20*F20</f>
        <v/>
      </c>
      <c r="H20" s="33" t="inlineStr">
        <is>
          <t>Latón forjado</t>
        </is>
      </c>
      <c r="I20" s="17" t="inlineStr">
        <is>
          <t>28,4 × 28,4 × 12</t>
        </is>
      </c>
      <c r="J20" s="33" t="inlineStr">
        <is>
          <t>Compra (en el conjunto)</t>
        </is>
      </c>
      <c r="K20" s="33" t="inlineStr">
        <is>
          <t>No</t>
        </is>
      </c>
      <c r="L20" s="17" t="n"/>
      <c r="M20" s="17" t="n"/>
      <c r="N20" s="17" t="inlineStr">
        <is>
          <t>S4 - se compra terminado (tercerizado con sello IRAM)</t>
        </is>
      </c>
      <c r="O20" s="17" t="n"/>
      <c r="P20" s="33" t="inlineStr">
        <is>
          <t>P</t>
        </is>
      </c>
      <c r="Q20" s="33" t="inlineStr">
        <is>
          <t>FL_DES_CLASED_9l</t>
        </is>
      </c>
      <c r="R20" s="17" t="n"/>
    </row>
    <row r="21" outlineLevel="1">
      <c r="A21" s="33" t="n">
        <v>2</v>
      </c>
      <c r="B21" s="33" t="inlineStr">
        <is>
          <t>CLASED9-07</t>
        </is>
      </c>
      <c r="C21" s="17" t="inlineStr">
        <is>
          <t xml:space="preserve">        Cuerpo de válvula</t>
        </is>
      </c>
      <c r="D21" s="33" t="n">
        <v>1</v>
      </c>
      <c r="E21" s="33" t="inlineStr">
        <is>
          <t>u</t>
        </is>
      </c>
      <c r="F21" s="34" t="n">
        <v>0.4487</v>
      </c>
      <c r="G21" s="34">
        <f>D21*F21</f>
        <v/>
      </c>
      <c r="H21" s="33" t="inlineStr">
        <is>
          <t>Latón forjado</t>
        </is>
      </c>
      <c r="I21" s="17" t="inlineStr">
        <is>
          <t>61,4 × 43 × 34</t>
        </is>
      </c>
      <c r="J21" s="33" t="inlineStr">
        <is>
          <t>Compra (en el conjunto)</t>
        </is>
      </c>
      <c r="K21" s="33" t="inlineStr">
        <is>
          <t>No</t>
        </is>
      </c>
      <c r="L21" s="17" t="n"/>
      <c r="M21" s="17" t="n"/>
      <c r="N21" s="17" t="inlineStr">
        <is>
          <t>S4 - se compra terminado (tercerizado con sello IRAM)</t>
        </is>
      </c>
      <c r="O21" s="17" t="n"/>
      <c r="P21" s="33" t="inlineStr">
        <is>
          <t>P</t>
        </is>
      </c>
      <c r="Q21" s="33" t="inlineStr">
        <is>
          <t>FL_DES_CLASED_9l</t>
        </is>
      </c>
      <c r="R21" s="17" t="n"/>
    </row>
    <row r="22" outlineLevel="1">
      <c r="A22" s="33" t="n">
        <v>2</v>
      </c>
      <c r="B22" s="33" t="inlineStr">
        <is>
          <t>CLASED9-08</t>
        </is>
      </c>
      <c r="C22" s="17" t="inlineStr">
        <is>
          <t xml:space="preserve">        Manómetro</t>
        </is>
      </c>
      <c r="D22" s="33" t="n">
        <v>1</v>
      </c>
      <c r="E22" s="33" t="inlineStr">
        <is>
          <t>u</t>
        </is>
      </c>
      <c r="F22" s="34" t="n"/>
      <c r="G22" s="34" t="n"/>
      <c r="H22" s="33" t="inlineStr">
        <is>
          <t>Comercial</t>
        </is>
      </c>
      <c r="I22" s="17" t="inlineStr">
        <is>
          <t>Ø38 esfera, rango 0-3,5 MPa, sector verde en 1,4</t>
        </is>
      </c>
      <c r="J22" s="33" t="inlineStr">
        <is>
          <t>Compra (en el conjunto)</t>
        </is>
      </c>
      <c r="K22" s="33" t="inlineStr">
        <is>
          <t>No</t>
        </is>
      </c>
      <c r="L22" s="17" t="n"/>
      <c r="M22" s="17" t="n"/>
      <c r="N22" s="17" t="inlineStr">
        <is>
          <t>S4 - se compra terminado (tercerizado con sello IRAM)</t>
        </is>
      </c>
      <c r="O22" s="17" t="inlineStr">
        <is>
          <t>IRAM 3533</t>
        </is>
      </c>
      <c r="P22" s="33" t="inlineStr">
        <is>
          <t>P</t>
        </is>
      </c>
      <c r="Q22" s="33" t="inlineStr">
        <is>
          <t>FL_DES_CLASED_9l</t>
        </is>
      </c>
      <c r="R22" s="17" t="inlineStr">
        <is>
          <t>Pieza comercial; sello IRAM 3533; peso: completar con la ficha del proveedor (no afecta el MRP)</t>
        </is>
      </c>
    </row>
    <row r="23" outlineLevel="1">
      <c r="A23" s="33" t="n">
        <v>2</v>
      </c>
      <c r="B23" s="33" t="inlineStr">
        <is>
          <t>CLASED9-09</t>
        </is>
      </c>
      <c r="C23" s="17" t="inlineStr">
        <is>
          <t xml:space="preserve">        Manija de transporte</t>
        </is>
      </c>
      <c r="D23" s="33" t="n">
        <v>1</v>
      </c>
      <c r="E23" s="33" t="inlineStr">
        <is>
          <t>u</t>
        </is>
      </c>
      <c r="F23" s="34" t="n">
        <v>0.0459</v>
      </c>
      <c r="G23" s="34">
        <f>D23*F23</f>
        <v/>
      </c>
      <c r="H23" s="33" t="inlineStr">
        <is>
          <t>Chapa acero SAE 1010 pintada</t>
        </is>
      </c>
      <c r="I23" s="17" t="inlineStr">
        <is>
          <t>73,1 × 20 × 11,6</t>
        </is>
      </c>
      <c r="J23" s="33" t="inlineStr">
        <is>
          <t>Compra (en el conjunto)</t>
        </is>
      </c>
      <c r="K23" s="33" t="inlineStr">
        <is>
          <t>No</t>
        </is>
      </c>
      <c r="L23" s="17" t="n"/>
      <c r="M23" s="17" t="n"/>
      <c r="N23" s="17" t="inlineStr">
        <is>
          <t>S4 - se compra terminado (tercerizado con sello IRAM)</t>
        </is>
      </c>
      <c r="O23" s="17" t="n"/>
      <c r="P23" s="33" t="inlineStr">
        <is>
          <t>P</t>
        </is>
      </c>
      <c r="Q23" s="33" t="inlineStr">
        <is>
          <t>FL_DES_CLASED_9l</t>
        </is>
      </c>
      <c r="R23" s="17" t="n"/>
    </row>
    <row r="24" outlineLevel="1">
      <c r="A24" s="33" t="n">
        <v>2</v>
      </c>
      <c r="B24" s="33" t="inlineStr">
        <is>
          <t>CLASED9-10</t>
        </is>
      </c>
      <c r="C24" s="17" t="inlineStr">
        <is>
          <t xml:space="preserve">        Manija de accionamiento</t>
        </is>
      </c>
      <c r="D24" s="33" t="n">
        <v>1</v>
      </c>
      <c r="E24" s="33" t="inlineStr">
        <is>
          <t>u</t>
        </is>
      </c>
      <c r="F24" s="34" t="n">
        <v>0.07290000000000001</v>
      </c>
      <c r="G24" s="34">
        <f>D24*F24</f>
        <v/>
      </c>
      <c r="H24" s="33" t="inlineStr">
        <is>
          <t>Chapa acero SAE 1010 pintada</t>
        </is>
      </c>
      <c r="I24" s="17" t="inlineStr">
        <is>
          <t>115,7 × 20 × 18,1</t>
        </is>
      </c>
      <c r="J24" s="33" t="inlineStr">
        <is>
          <t>Compra (en el conjunto)</t>
        </is>
      </c>
      <c r="K24" s="33" t="inlineStr">
        <is>
          <t>No</t>
        </is>
      </c>
      <c r="L24" s="17" t="n"/>
      <c r="M24" s="17" t="n"/>
      <c r="N24" s="17" t="inlineStr">
        <is>
          <t>S4 - se compra terminado (tercerizado con sello IRAM)</t>
        </is>
      </c>
      <c r="O24" s="17" t="n"/>
      <c r="P24" s="33" t="inlineStr">
        <is>
          <t>P</t>
        </is>
      </c>
      <c r="Q24" s="33" t="inlineStr">
        <is>
          <t>FL_DES_CLASED_9l</t>
        </is>
      </c>
      <c r="R24" s="17" t="n"/>
    </row>
    <row r="25" outlineLevel="1">
      <c r="A25" s="33" t="n">
        <v>2</v>
      </c>
      <c r="B25" s="33" t="inlineStr">
        <is>
          <t>CLASED9-11</t>
        </is>
      </c>
      <c r="C25" s="17" t="inlineStr">
        <is>
          <t xml:space="preserve">        Eje de palanca</t>
        </is>
      </c>
      <c r="D25" s="33" t="n">
        <v>1</v>
      </c>
      <c r="E25" s="33" t="inlineStr">
        <is>
          <t>u</t>
        </is>
      </c>
      <c r="F25" s="34" t="n">
        <v>0.0081</v>
      </c>
      <c r="G25" s="34">
        <f>D25*F25</f>
        <v/>
      </c>
      <c r="H25" s="33" t="inlineStr">
        <is>
          <t>Acero inox. AISI 304</t>
        </is>
      </c>
      <c r="I25" s="17" t="inlineStr">
        <is>
          <t>36 × 6 × 6</t>
        </is>
      </c>
      <c r="J25" s="33" t="inlineStr">
        <is>
          <t>Compra (en el conjunto)</t>
        </is>
      </c>
      <c r="K25" s="33" t="inlineStr">
        <is>
          <t>No</t>
        </is>
      </c>
      <c r="L25" s="17" t="n"/>
      <c r="M25" s="17" t="n"/>
      <c r="N25" s="17" t="inlineStr">
        <is>
          <t>S4 - se compra terminado (tercerizado con sello IRAM)</t>
        </is>
      </c>
      <c r="O25" s="17" t="n"/>
      <c r="P25" s="33" t="inlineStr">
        <is>
          <t>P</t>
        </is>
      </c>
      <c r="Q25" s="33" t="inlineStr">
        <is>
          <t>FL_DES_CLASED_9l</t>
        </is>
      </c>
      <c r="R25" s="17" t="n"/>
    </row>
    <row r="26" outlineLevel="1">
      <c r="A26" s="33" t="n">
        <v>2</v>
      </c>
      <c r="B26" s="33" t="inlineStr">
        <is>
          <t>CLASED9-12</t>
        </is>
      </c>
      <c r="C26" s="17" t="inlineStr">
        <is>
          <t xml:space="preserve">        Vástago</t>
        </is>
      </c>
      <c r="D26" s="33" t="n">
        <v>1</v>
      </c>
      <c r="E26" s="33" t="inlineStr">
        <is>
          <t>u</t>
        </is>
      </c>
      <c r="F26" s="34" t="n">
        <v>0.0017</v>
      </c>
      <c r="G26" s="34">
        <f>D26*F26</f>
        <v/>
      </c>
      <c r="H26" s="33" t="inlineStr">
        <is>
          <t>Latón</t>
        </is>
      </c>
      <c r="I26" s="17" t="inlineStr">
        <is>
          <t>8 × 8 × 4</t>
        </is>
      </c>
      <c r="J26" s="33" t="inlineStr">
        <is>
          <t>Compra (en el conjunto)</t>
        </is>
      </c>
      <c r="K26" s="33" t="inlineStr">
        <is>
          <t>No</t>
        </is>
      </c>
      <c r="L26" s="17" t="n"/>
      <c r="M26" s="17" t="n"/>
      <c r="N26" s="17" t="inlineStr">
        <is>
          <t>S4 - se compra terminado (tercerizado con sello IRAM)</t>
        </is>
      </c>
      <c r="O26" s="17" t="n"/>
      <c r="P26" s="33" t="inlineStr">
        <is>
          <t>P</t>
        </is>
      </c>
      <c r="Q26" s="33" t="inlineStr">
        <is>
          <t>FL_DES_CLASED_9l</t>
        </is>
      </c>
      <c r="R26" s="17" t="inlineStr">
        <is>
          <t>con junta tórica</t>
        </is>
      </c>
    </row>
    <row r="27" outlineLevel="1">
      <c r="A27" s="33" t="n">
        <v>2</v>
      </c>
      <c r="B27" s="33" t="inlineStr">
        <is>
          <t>CLASED9-13</t>
        </is>
      </c>
      <c r="C27" s="17" t="inlineStr">
        <is>
          <t xml:space="preserve">        Pasador de seguridad</t>
        </is>
      </c>
      <c r="D27" s="33" t="n">
        <v>1</v>
      </c>
      <c r="E27" s="33" t="inlineStr">
        <is>
          <t>u</t>
        </is>
      </c>
      <c r="F27" s="34" t="n">
        <v>0.0055</v>
      </c>
      <c r="G27" s="34">
        <f>D27*F27</f>
        <v/>
      </c>
      <c r="H27" s="33" t="inlineStr">
        <is>
          <t>Alambre acero inox. AISI 304</t>
        </is>
      </c>
      <c r="I27" s="17" t="inlineStr">
        <is>
          <t>45,4 × 21 × 20,8</t>
        </is>
      </c>
      <c r="J27" s="33" t="inlineStr">
        <is>
          <t>Compra (en el conjunto)</t>
        </is>
      </c>
      <c r="K27" s="33" t="inlineStr">
        <is>
          <t>No</t>
        </is>
      </c>
      <c r="L27" s="17" t="n"/>
      <c r="M27" s="17" t="n"/>
      <c r="N27" s="17" t="inlineStr">
        <is>
          <t>S4 - se compra terminado (tercerizado con sello IRAM)</t>
        </is>
      </c>
      <c r="O27" s="17" t="n"/>
      <c r="P27" s="33" t="inlineStr">
        <is>
          <t>P</t>
        </is>
      </c>
      <c r="Q27" s="33" t="inlineStr">
        <is>
          <t>FL_DES_CLASED_9l</t>
        </is>
      </c>
      <c r="R27" s="17" t="inlineStr">
        <is>
          <t>con precinto</t>
        </is>
      </c>
    </row>
    <row r="28" outlineLevel="1">
      <c r="A28" s="33" t="n">
        <v>2</v>
      </c>
      <c r="B28" s="33" t="inlineStr">
        <is>
          <t>CLASED9-14</t>
        </is>
      </c>
      <c r="C28" s="17" t="inlineStr">
        <is>
          <t xml:space="preserve">        Caño de pesca (sifón)</t>
        </is>
      </c>
      <c r="D28" s="33" t="n">
        <v>1</v>
      </c>
      <c r="E28" s="33" t="inlineStr">
        <is>
          <t>u</t>
        </is>
      </c>
      <c r="F28" s="34" t="n">
        <v>0.0364</v>
      </c>
      <c r="G28" s="34">
        <f>D28*F28</f>
        <v/>
      </c>
      <c r="H28" s="33" t="inlineStr">
        <is>
          <t>Tubo PVC rígido</t>
        </is>
      </c>
      <c r="I28" s="17" t="inlineStr">
        <is>
          <t>Ø12 × 525,7 de largo</t>
        </is>
      </c>
      <c r="J28" s="33" t="inlineStr">
        <is>
          <t>Compra (en el conjunto)</t>
        </is>
      </c>
      <c r="K28" s="33" t="inlineStr">
        <is>
          <t>No</t>
        </is>
      </c>
      <c r="L28" s="17" t="n"/>
      <c r="M28" s="17" t="n"/>
      <c r="N28" s="17" t="inlineStr">
        <is>
          <t>S4 - se compra terminado (tercerizado con sello IRAM)</t>
        </is>
      </c>
      <c r="O28" s="17" t="n"/>
      <c r="P28" s="33" t="inlineStr">
        <is>
          <t>P</t>
        </is>
      </c>
      <c r="Q28" s="33" t="inlineStr">
        <is>
          <t>FL_DES_CLASED_9l</t>
        </is>
      </c>
      <c r="R28" s="17" t="n"/>
    </row>
    <row r="29" outlineLevel="1">
      <c r="A29" s="33" t="n">
        <v>2</v>
      </c>
      <c r="B29" s="33" t="inlineStr">
        <is>
          <t>CLASED9-25</t>
        </is>
      </c>
      <c r="C29" s="17" t="inlineStr">
        <is>
          <t xml:space="preserve">        Junta tórica de asiento</t>
        </is>
      </c>
      <c r="D29" s="33" t="n">
        <v>1</v>
      </c>
      <c r="E29" s="33" t="inlineStr">
        <is>
          <t>u</t>
        </is>
      </c>
      <c r="F29" s="34" t="n">
        <v>0.001</v>
      </c>
      <c r="G29" s="34">
        <f>D29*F29</f>
        <v/>
      </c>
      <c r="H29" s="33" t="inlineStr">
        <is>
          <t>NBR 70 Shore A</t>
        </is>
      </c>
      <c r="I29" s="17" t="inlineStr">
        <is>
          <t>Ø31,4 ext. × cordón 3</t>
        </is>
      </c>
      <c r="J29" s="33" t="inlineStr">
        <is>
          <t>Compra (en el conjunto)</t>
        </is>
      </c>
      <c r="K29" s="33" t="inlineStr">
        <is>
          <t>No</t>
        </is>
      </c>
      <c r="L29" s="17" t="n"/>
      <c r="M29" s="17" t="n"/>
      <c r="N29" s="17" t="inlineStr">
        <is>
          <t>S4 - se compra terminado (tercerizado con sello IRAM)</t>
        </is>
      </c>
      <c r="O29" s="17" t="n"/>
      <c r="P29" s="33" t="inlineStr">
        <is>
          <t>P</t>
        </is>
      </c>
      <c r="Q29" s="33" t="inlineStr">
        <is>
          <t>FL_DES_CLASED_9l</t>
        </is>
      </c>
      <c r="R29" s="17" t="inlineStr">
        <is>
          <t>cambio c/recarga</t>
        </is>
      </c>
    </row>
    <row r="30" outlineLevel="1">
      <c r="A30" s="33" t="n">
        <v>2</v>
      </c>
      <c r="B30" s="33" t="inlineStr">
        <is>
          <t>CLASED9-V2</t>
        </is>
      </c>
      <c r="C30" s="17" t="inlineStr">
        <is>
          <t xml:space="preserve">        Resorte de retorno del vástago</t>
        </is>
      </c>
      <c r="D30" s="33" t="n">
        <v>1</v>
      </c>
      <c r="E30" s="33" t="inlineStr">
        <is>
          <t>u</t>
        </is>
      </c>
      <c r="F30" s="34" t="n"/>
      <c r="G30" s="34" t="n"/>
      <c r="H30" s="33" t="inlineStr">
        <is>
          <t>Acero para resortes</t>
        </is>
      </c>
      <c r="I30" s="17" t="inlineStr">
        <is>
          <t>incluido en la válvula</t>
        </is>
      </c>
      <c r="J30" s="33" t="inlineStr">
        <is>
          <t>Compra (en el conjunto)</t>
        </is>
      </c>
      <c r="K30" s="33" t="inlineStr">
        <is>
          <t>No</t>
        </is>
      </c>
      <c r="L30" s="17" t="n"/>
      <c r="M30" s="17" t="n"/>
      <c r="N30" s="17" t="inlineStr">
        <is>
          <t>19 Ensamblaje</t>
        </is>
      </c>
      <c r="O30" s="17" t="n"/>
      <c r="P30" s="33" t="inlineStr">
        <is>
          <t>Q</t>
        </is>
      </c>
      <c r="Q30" s="33" t="n"/>
      <c r="R30" s="17" t="inlineStr">
        <is>
          <t>Lista de precios HZ: válvula «c/resorte» (Q-AGENTES)</t>
        </is>
      </c>
    </row>
    <row r="31" outlineLevel="1">
      <c r="A31" s="33" t="n">
        <v>2</v>
      </c>
      <c r="B31" s="33" t="inlineStr">
        <is>
          <t>CLASED9-V3</t>
        </is>
      </c>
      <c r="C31" s="17" t="inlineStr">
        <is>
          <t xml:space="preserve">        Junta tórica del vástago</t>
        </is>
      </c>
      <c r="D31" s="33" t="n">
        <v>1</v>
      </c>
      <c r="E31" s="33" t="inlineStr">
        <is>
          <t>u</t>
        </is>
      </c>
      <c r="F31" s="34" t="n"/>
      <c r="G31" s="34" t="n"/>
      <c r="H31" s="33" t="inlineStr">
        <is>
          <t>NBR 70 Shore A</t>
        </is>
      </c>
      <c r="I31" s="17" t="inlineStr">
        <is>
          <t>incluida en la válvula</t>
        </is>
      </c>
      <c r="J31" s="33" t="inlineStr">
        <is>
          <t>Compra (en el conjunto)</t>
        </is>
      </c>
      <c r="K31" s="33" t="inlineStr">
        <is>
          <t>No</t>
        </is>
      </c>
      <c r="L31" s="17" t="n"/>
      <c r="M31" s="17" t="n"/>
      <c r="N31" s="17" t="inlineStr">
        <is>
          <t>19 Ensamblaje</t>
        </is>
      </c>
      <c r="O31" s="17" t="n"/>
      <c r="P31" s="33" t="inlineStr">
        <is>
          <t>P</t>
        </is>
      </c>
      <c r="Q31" s="33" t="n"/>
      <c r="R31" s="17" t="inlineStr">
        <is>
          <t>Figura en el plano como «vástago con junta tórica»</t>
        </is>
      </c>
    </row>
    <row r="32">
      <c r="A32" s="30" t="n">
        <v>1</v>
      </c>
      <c r="B32" s="30" t="inlineStr">
        <is>
          <t>CLASED9-S3</t>
        </is>
      </c>
      <c r="C32" s="31" t="inlineStr">
        <is>
          <t xml:space="preserve">    Dispositivo de descarga</t>
        </is>
      </c>
      <c r="D32" s="30" t="n">
        <v>1</v>
      </c>
      <c r="E32" s="30" t="inlineStr">
        <is>
          <t>u</t>
        </is>
      </c>
      <c r="F32" s="32" t="n"/>
      <c r="G32" s="32">
        <f>G33+G34+G35+G36+G37</f>
        <v/>
      </c>
      <c r="H32" s="30" t="n"/>
      <c r="I32" s="31" t="n"/>
      <c r="J32" s="30" t="inlineStr">
        <is>
          <t>Compra / armado</t>
        </is>
      </c>
      <c r="K32" s="30" t="n"/>
      <c r="L32" s="31" t="n"/>
      <c r="M32" s="31" t="n"/>
      <c r="N32" s="31" t="n"/>
      <c r="O32" s="31" t="n"/>
      <c r="P32" s="30" t="inlineStr">
        <is>
          <t>P</t>
        </is>
      </c>
      <c r="Q32" s="30" t="inlineStr">
        <is>
          <t>FL_DES_CLASED_9l</t>
        </is>
      </c>
      <c r="R32" s="31" t="n"/>
    </row>
    <row r="33" outlineLevel="1">
      <c r="A33" s="33" t="n">
        <v>2</v>
      </c>
      <c r="B33" s="33" t="inlineStr">
        <is>
          <t>CLASED9-15</t>
        </is>
      </c>
      <c r="C33" s="17" t="inlineStr">
        <is>
          <t xml:space="preserve">        Racor de manguera</t>
        </is>
      </c>
      <c r="D33" s="33" t="n">
        <v>1</v>
      </c>
      <c r="E33" s="33" t="inlineStr">
        <is>
          <t>u</t>
        </is>
      </c>
      <c r="F33" s="34" t="n">
        <v>0.0258</v>
      </c>
      <c r="G33" s="34">
        <f>D33*F33</f>
        <v/>
      </c>
      <c r="H33" s="33" t="inlineStr">
        <is>
          <t>Latón</t>
        </is>
      </c>
      <c r="I33" s="17" t="inlineStr">
        <is>
          <t>18 × 18 × 12</t>
        </is>
      </c>
      <c r="J33" s="33" t="inlineStr">
        <is>
          <t>Compra (en el conjunto)</t>
        </is>
      </c>
      <c r="K33" s="33" t="inlineStr">
        <is>
          <t>No</t>
        </is>
      </c>
      <c r="L33" s="17" t="n"/>
      <c r="M33" s="17" t="n"/>
      <c r="N33" s="17" t="inlineStr">
        <is>
          <t>S4 - se compra terminado (tercerizado con sello IRAM)</t>
        </is>
      </c>
      <c r="O33" s="17" t="n"/>
      <c r="P33" s="33" t="inlineStr">
        <is>
          <t>P</t>
        </is>
      </c>
      <c r="Q33" s="33" t="inlineStr">
        <is>
          <t>FL_DES_CLASED_9l</t>
        </is>
      </c>
      <c r="R33" s="17" t="n"/>
    </row>
    <row r="34" outlineLevel="1">
      <c r="A34" s="33" t="n">
        <v>2</v>
      </c>
      <c r="B34" s="33" t="inlineStr">
        <is>
          <t>CLASED9-16</t>
        </is>
      </c>
      <c r="C34" s="17" t="inlineStr">
        <is>
          <t xml:space="preserve">        Manguera</t>
        </is>
      </c>
      <c r="D34" s="33" t="n">
        <v>1</v>
      </c>
      <c r="E34" s="33" t="inlineStr">
        <is>
          <t>u</t>
        </is>
      </c>
      <c r="F34" s="34" t="n">
        <v>0.0281</v>
      </c>
      <c r="G34" s="34">
        <f>D34*F34</f>
        <v/>
      </c>
      <c r="H34" s="33" t="inlineStr">
        <is>
          <t>Caucho sintético</t>
        </is>
      </c>
      <c r="I34" s="17" t="inlineStr">
        <is>
          <t>Ø16 × 182 de largo desarrollado</t>
        </is>
      </c>
      <c r="J34" s="33" t="inlineStr">
        <is>
          <t>Compra (en el conjunto)</t>
        </is>
      </c>
      <c r="K34" s="33" t="inlineStr">
        <is>
          <t>No</t>
        </is>
      </c>
      <c r="L34" s="17" t="n"/>
      <c r="M34" s="17" t="n"/>
      <c r="N34" s="17" t="inlineStr">
        <is>
          <t>S4 - se compra terminado (tercerizado con sello IRAM)</t>
        </is>
      </c>
      <c r="O34" s="17" t="n"/>
      <c r="P34" s="33" t="inlineStr">
        <is>
          <t>P</t>
        </is>
      </c>
      <c r="Q34" s="33" t="inlineStr">
        <is>
          <t>FL_DES_CLASED_9l</t>
        </is>
      </c>
      <c r="R34" s="17" t="n"/>
    </row>
    <row r="35" outlineLevel="1">
      <c r="A35" s="33" t="n">
        <v>2</v>
      </c>
      <c r="B35" s="33" t="inlineStr">
        <is>
          <t>CLASED9-17</t>
        </is>
      </c>
      <c r="C35" s="17" t="inlineStr">
        <is>
          <t xml:space="preserve">        Lanza aplicadora flujo suave</t>
        </is>
      </c>
      <c r="D35" s="33" t="n">
        <v>1</v>
      </c>
      <c r="E35" s="33" t="inlineStr">
        <is>
          <t>u</t>
        </is>
      </c>
      <c r="F35" s="34" t="n">
        <v>0.1201</v>
      </c>
      <c r="G35" s="34">
        <f>D35*F35</f>
        <v/>
      </c>
      <c r="H35" s="33" t="inlineStr">
        <is>
          <t>Tubo aluminio</t>
        </is>
      </c>
      <c r="I35" s="17" t="inlineStr">
        <is>
          <t>360 × 40 × 40</t>
        </is>
      </c>
      <c r="J35" s="33" t="inlineStr">
        <is>
          <t>Compra (en el conjunto)</t>
        </is>
      </c>
      <c r="K35" s="33" t="inlineStr">
        <is>
          <t>No</t>
        </is>
      </c>
      <c r="L35" s="17" t="n"/>
      <c r="M35" s="17" t="n"/>
      <c r="N35" s="17" t="inlineStr">
        <is>
          <t>S4 - se compra terminado (tercerizado con sello IRAM)</t>
        </is>
      </c>
      <c r="O35" s="17" t="n"/>
      <c r="P35" s="33" t="inlineStr">
        <is>
          <t>P</t>
        </is>
      </c>
      <c r="Q35" s="33" t="inlineStr">
        <is>
          <t>FL_DES_CLASED_9l</t>
        </is>
      </c>
      <c r="R35" s="17" t="n"/>
    </row>
    <row r="36" outlineLevel="1">
      <c r="A36" s="33" t="n">
        <v>2</v>
      </c>
      <c r="B36" s="33" t="inlineStr">
        <is>
          <t>CLASED9-18</t>
        </is>
      </c>
      <c r="C36" s="17" t="inlineStr">
        <is>
          <t xml:space="preserve">        Empuñadura</t>
        </is>
      </c>
      <c r="D36" s="33" t="n">
        <v>1</v>
      </c>
      <c r="E36" s="33" t="inlineStr">
        <is>
          <t>u</t>
        </is>
      </c>
      <c r="F36" s="34" t="n">
        <v>0.0239</v>
      </c>
      <c r="G36" s="34">
        <f>D36*F36</f>
        <v/>
      </c>
      <c r="H36" s="33" t="inlineStr">
        <is>
          <t>Polipropileno</t>
        </is>
      </c>
      <c r="I36" s="17" t="inlineStr">
        <is>
          <t>90 × 28 × 28</t>
        </is>
      </c>
      <c r="J36" s="33" t="inlineStr">
        <is>
          <t>Compra (en el conjunto)</t>
        </is>
      </c>
      <c r="K36" s="33" t="inlineStr">
        <is>
          <t>No</t>
        </is>
      </c>
      <c r="L36" s="17" t="n"/>
      <c r="M36" s="17" t="n"/>
      <c r="N36" s="17" t="inlineStr">
        <is>
          <t>S4 - se compra terminado (tercerizado con sello IRAM)</t>
        </is>
      </c>
      <c r="O36" s="17" t="n"/>
      <c r="P36" s="33" t="inlineStr">
        <is>
          <t>P</t>
        </is>
      </c>
      <c r="Q36" s="33" t="inlineStr">
        <is>
          <t>FL_DES_CLASED_9l</t>
        </is>
      </c>
      <c r="R36" s="17" t="n"/>
    </row>
    <row r="37" outlineLevel="1">
      <c r="A37" s="33" t="n">
        <v>2</v>
      </c>
      <c r="B37" s="33" t="inlineStr">
        <is>
          <t>CLASED9-19</t>
        </is>
      </c>
      <c r="C37" s="17" t="inlineStr">
        <is>
          <t xml:space="preserve">        Suncho portatobera</t>
        </is>
      </c>
      <c r="D37" s="33" t="n">
        <v>1</v>
      </c>
      <c r="E37" s="33" t="inlineStr">
        <is>
          <t>u</t>
        </is>
      </c>
      <c r="F37" s="34" t="n">
        <v>0.1773</v>
      </c>
      <c r="G37" s="34">
        <f>D37*F37</f>
        <v/>
      </c>
      <c r="H37" s="33" t="inlineStr">
        <is>
          <t>Fleje acero SAE 1010 pintado</t>
        </is>
      </c>
      <c r="I37" s="17" t="inlineStr">
        <is>
          <t>198,8 × 184,5 × 18</t>
        </is>
      </c>
      <c r="J37" s="33" t="inlineStr">
        <is>
          <t>Compra (en el conjunto)</t>
        </is>
      </c>
      <c r="K37" s="33" t="inlineStr">
        <is>
          <t>No</t>
        </is>
      </c>
      <c r="L37" s="17" t="n"/>
      <c r="M37" s="17" t="n"/>
      <c r="N37" s="17" t="inlineStr">
        <is>
          <t>S4 - se compra terminado (tercerizado con sello IRAM)</t>
        </is>
      </c>
      <c r="O37" s="17" t="n"/>
      <c r="P37" s="33" t="inlineStr">
        <is>
          <t>P</t>
        </is>
      </c>
      <c r="Q37" s="33" t="inlineStr">
        <is>
          <t>FL_DES_CLASED_9l</t>
        </is>
      </c>
      <c r="R37" s="17" t="n"/>
    </row>
    <row r="38">
      <c r="A38" s="30" t="n">
        <v>1</v>
      </c>
      <c r="B38" s="30" t="inlineStr">
        <is>
          <t>CLASED9-S5</t>
        </is>
      </c>
      <c r="C38" s="31" t="inlineStr">
        <is>
          <t xml:space="preserve">    Carga: agente extintor y gas impulsor</t>
        </is>
      </c>
      <c r="D38" s="30" t="n">
        <v>1</v>
      </c>
      <c r="E38" s="30" t="inlineStr">
        <is>
          <t>u</t>
        </is>
      </c>
      <c r="F38" s="32" t="n"/>
      <c r="G38" s="32">
        <f>G39+G40</f>
        <v/>
      </c>
      <c r="H38" s="30" t="n"/>
      <c r="I38" s="31" t="n"/>
      <c r="J38" s="30" t="inlineStr">
        <is>
          <t>Compra</t>
        </is>
      </c>
      <c r="K38" s="30" t="n"/>
      <c r="L38" s="31" t="n"/>
      <c r="M38" s="31" t="n"/>
      <c r="N38" s="31" t="n"/>
      <c r="O38" s="31" t="n"/>
      <c r="P38" s="30" t="n"/>
      <c r="Q38" s="30" t="n"/>
      <c r="R38" s="31" t="n"/>
    </row>
    <row r="39" outlineLevel="1">
      <c r="A39" s="33" t="n">
        <v>2</v>
      </c>
      <c r="B39" s="33" t="inlineStr">
        <is>
          <t>CLASED9-A1</t>
        </is>
      </c>
      <c r="C39" s="17" t="inlineStr">
        <is>
          <t xml:space="preserve">        Polvo para metales combustibles clase D - Clase D (NaCl &gt; 90 %)</t>
        </is>
      </c>
      <c r="D39" s="33" t="n">
        <v>9.15</v>
      </c>
      <c r="E39" s="33" t="inlineStr">
        <is>
          <t>kg</t>
        </is>
      </c>
      <c r="F39" s="34" t="n">
        <v>1</v>
      </c>
      <c r="G39" s="34">
        <f>D39*F39</f>
        <v/>
      </c>
      <c r="H39" s="33" t="inlineStr">
        <is>
          <t>Polvo para metales combustibles clase D - Clase D (NaCl &gt; 90 %)</t>
        </is>
      </c>
      <c r="I39" s="17" t="inlineStr">
        <is>
          <t>nominal 9 kg; tolerancia 0 / +300 g (IRAM 3517-2:2020 tabla 3 · IRAM 3523 tabla II)</t>
        </is>
      </c>
      <c r="J39" s="33" t="inlineStr">
        <is>
          <t>Compra</t>
        </is>
      </c>
      <c r="K39" s="33" t="inlineStr">
        <is>
          <t>No</t>
        </is>
      </c>
      <c r="L39" s="17" t="n"/>
      <c r="M39" s="17" t="n"/>
      <c r="N39" s="17" t="inlineStr">
        <is>
          <t>SP-1 almacén previo a la carga</t>
        </is>
      </c>
      <c r="O39" s="17" t="inlineStr">
        <is>
          <t>sin norma IRAM de agente (DEMSA ISO 9001)</t>
        </is>
      </c>
      <c r="P39" s="33" t="inlineStr">
        <is>
          <t>N</t>
        </is>
      </c>
      <c r="Q39" s="33" t="n"/>
      <c r="R39" s="17" t="inlineStr">
        <is>
          <t>potencial -</t>
        </is>
      </c>
    </row>
    <row r="40" outlineLevel="1">
      <c r="A40" s="33" t="n">
        <v>2</v>
      </c>
      <c r="B40" s="33" t="inlineStr">
        <is>
          <t>CLASED9-A2</t>
        </is>
      </c>
      <c r="C40" s="17" t="inlineStr">
        <is>
          <t xml:space="preserve">        Gas impulsor: N₂</t>
        </is>
      </c>
      <c r="D40" s="33" t="n">
        <v>0.0604</v>
      </c>
      <c r="E40" s="33" t="inlineStr">
        <is>
          <t>kg</t>
        </is>
      </c>
      <c r="F40" s="34" t="n">
        <v>1</v>
      </c>
      <c r="G40" s="34">
        <f>D40*F40</f>
        <v/>
      </c>
      <c r="H40" s="33" t="inlineStr">
        <is>
          <t>N₂</t>
        </is>
      </c>
      <c r="I40" s="17" t="inlineStr">
        <is>
          <t>48,3 L normales para 1,4 MPa a 20 °C en 3,5 dm³ libres</t>
        </is>
      </c>
      <c r="J40" s="33" t="inlineStr">
        <is>
          <t>Compra</t>
        </is>
      </c>
      <c r="K40" s="33" t="inlineStr">
        <is>
          <t>No</t>
        </is>
      </c>
      <c r="L40" s="17" t="n"/>
      <c r="M40" s="17" t="n"/>
      <c r="N40" s="17" t="inlineStr">
        <is>
          <t>20 Presurización (T05) / C10</t>
        </is>
      </c>
      <c r="O40" s="17" t="inlineStr">
        <is>
          <t>IRAM 3517-2 9.4.9 (tabla 2) · IRAM 3523 2.3 y 3.10</t>
        </is>
      </c>
      <c r="P40" s="33" t="inlineStr">
        <is>
          <t>C</t>
        </is>
      </c>
      <c r="Q40" s="33" t="n"/>
      <c r="R40" s="17" t="inlineStr">
        <is>
          <t>N₂ ≥ 99,8 %, H₂O ≤ 40 ppm (Q-N2, Air Liquide)</t>
        </is>
      </c>
    </row>
    <row r="41">
      <c r="A41" s="30" t="n">
        <v>1</v>
      </c>
      <c r="B41" s="30" t="inlineStr">
        <is>
          <t>CLASED9-S6</t>
        </is>
      </c>
      <c r="C41" s="31" t="inlineStr">
        <is>
          <t xml:space="preserve">    Identificación y precinto</t>
        </is>
      </c>
      <c r="D41" s="30" t="n">
        <v>1</v>
      </c>
      <c r="E41" s="30" t="inlineStr">
        <is>
          <t>u</t>
        </is>
      </c>
      <c r="F41" s="32" t="n"/>
      <c r="G41" s="32">
        <f>G42+G43+G44+G45+G46+G47+G48</f>
        <v/>
      </c>
      <c r="H41" s="30" t="n"/>
      <c r="I41" s="31" t="n"/>
      <c r="J41" s="30" t="inlineStr">
        <is>
          <t>Compra</t>
        </is>
      </c>
      <c r="K41" s="30" t="n"/>
      <c r="L41" s="31" t="n"/>
      <c r="M41" s="31" t="n"/>
      <c r="N41" s="31" t="inlineStr">
        <is>
          <t>22 Etiquetado (T07)</t>
        </is>
      </c>
      <c r="O41" s="31" t="n"/>
      <c r="P41" s="30" t="n"/>
      <c r="Q41" s="30" t="n"/>
      <c r="R41" s="31" t="n"/>
    </row>
    <row r="42" outlineLevel="1">
      <c r="A42" s="33" t="n">
        <v>2</v>
      </c>
      <c r="B42" s="33" t="inlineStr">
        <is>
          <t>CLASED9-20</t>
        </is>
      </c>
      <c r="C42" s="17" t="inlineStr">
        <is>
          <t xml:space="preserve">        Etiqueta / placa de características</t>
        </is>
      </c>
      <c r="D42" s="33" t="n">
        <v>1</v>
      </c>
      <c r="E42" s="33" t="inlineStr">
        <is>
          <t>u</t>
        </is>
      </c>
      <c r="F42" s="34" t="n">
        <v>0.0334</v>
      </c>
      <c r="G42" s="34">
        <f>D42*F42</f>
        <v/>
      </c>
      <c r="H42" s="33" t="inlineStr">
        <is>
          <t>Vinilo autoadhesivo laminado</t>
        </is>
      </c>
      <c r="I42" s="17" t="inlineStr">
        <is>
          <t>343 × 232 (desarrollo × alto: panel central 108° + 2 alas laterales), e ≈ 0,3, laminado UV</t>
        </is>
      </c>
      <c r="J42" s="33" t="inlineStr">
        <is>
          <t>Compra</t>
        </is>
      </c>
      <c r="K42" s="33" t="inlineStr">
        <is>
          <t>No</t>
        </is>
      </c>
      <c r="L42" s="17" t="n"/>
      <c r="M42" s="17" t="n"/>
      <c r="N42" s="17" t="inlineStr">
        <is>
          <t>22 Etiquetado (T07)</t>
        </is>
      </c>
      <c r="O42" s="17" t="inlineStr">
        <is>
          <t>IRAM 3534 · IRAM 3523 cap. 5 · relevamiento de mercado</t>
        </is>
      </c>
      <c r="P42" s="33" t="inlineStr">
        <is>
          <t>P</t>
        </is>
      </c>
      <c r="Q42" s="33" t="inlineStr">
        <is>
          <t>FL_DES_CLASED_9l</t>
        </is>
      </c>
      <c r="R42" s="17" t="inlineStr">
        <is>
          <t>IRAM 3534</t>
        </is>
      </c>
    </row>
    <row r="43" outlineLevel="1">
      <c r="A43" s="33" t="n">
        <v>2</v>
      </c>
      <c r="B43" s="33" t="inlineStr">
        <is>
          <t>CLASED9-21</t>
        </is>
      </c>
      <c r="C43" s="17" t="inlineStr">
        <is>
          <t xml:space="preserve">        Oblea de fabricación (PBA)</t>
        </is>
      </c>
      <c r="D43" s="33" t="n">
        <v>1</v>
      </c>
      <c r="E43" s="33" t="inlineStr">
        <is>
          <t>u</t>
        </is>
      </c>
      <c r="F43" s="34" t="n">
        <v>0.0009</v>
      </c>
      <c r="G43" s="34">
        <f>D43*F43</f>
        <v/>
      </c>
      <c r="H43" s="33" t="inlineStr">
        <is>
          <t>Papel de seguridad autodestructible</t>
        </is>
      </c>
      <c r="I43" s="17" t="inlineStr">
        <is>
          <t>Ø46 (Res. OPDS 522/07), numerada, autodestructible</t>
        </is>
      </c>
      <c r="J43" s="33" t="inlineStr">
        <is>
          <t>Compra</t>
        </is>
      </c>
      <c r="K43" s="33" t="inlineStr">
        <is>
          <t>No</t>
        </is>
      </c>
      <c r="L43" s="17" t="n"/>
      <c r="M43" s="17" t="n"/>
      <c r="N43" s="17" t="inlineStr">
        <is>
          <t>22 Etiquetado (T07)</t>
        </is>
      </c>
      <c r="O43" s="17" t="inlineStr">
        <is>
          <t>Res. OPDS 522/07 anexos 1, 2 y 6</t>
        </is>
      </c>
      <c r="P43" s="33" t="inlineStr">
        <is>
          <t>P</t>
        </is>
      </c>
      <c r="Q43" s="33" t="inlineStr">
        <is>
          <t>FL_DES_CLASED_9l</t>
        </is>
      </c>
      <c r="R43" s="17" t="inlineStr">
        <is>
          <t>Res. 522/07</t>
        </is>
      </c>
    </row>
    <row r="44" outlineLevel="1">
      <c r="A44" s="33" t="n">
        <v>2</v>
      </c>
      <c r="B44" s="33" t="inlineStr">
        <is>
          <t>CLASED9-22</t>
        </is>
      </c>
      <c r="C44" s="17" t="inlineStr">
        <is>
          <t xml:space="preserve">        Estampilla IRAM de conformidad</t>
        </is>
      </c>
      <c r="D44" s="33" t="n">
        <v>1</v>
      </c>
      <c r="E44" s="33" t="inlineStr">
        <is>
          <t>u</t>
        </is>
      </c>
      <c r="F44" s="34" t="n">
        <v>0.001</v>
      </c>
      <c r="G44" s="34">
        <f>D44*F44</f>
        <v/>
      </c>
      <c r="H44" s="33" t="inlineStr">
        <is>
          <t>Provista por IRAM (Anexo R)</t>
        </is>
      </c>
      <c r="I44" s="17" t="inlineStr">
        <is>
          <t>60 × 40</t>
        </is>
      </c>
      <c r="J44" s="33" t="inlineStr">
        <is>
          <t>Compra</t>
        </is>
      </c>
      <c r="K44" s="33" t="inlineStr">
        <is>
          <t>No</t>
        </is>
      </c>
      <c r="L44" s="17" t="n"/>
      <c r="M44" s="17" t="n"/>
      <c r="N44" s="17" t="inlineStr">
        <is>
          <t>22 Etiquetado (T07)</t>
        </is>
      </c>
      <c r="O44" s="17" t="inlineStr">
        <is>
          <t>IRAM Anexo R (DC-PG-129)</t>
        </is>
      </c>
      <c r="P44" s="33" t="inlineStr">
        <is>
          <t>P</t>
        </is>
      </c>
      <c r="Q44" s="33" t="inlineStr">
        <is>
          <t>FL_DES_CLASED_9l</t>
        </is>
      </c>
      <c r="R44" s="17" t="inlineStr">
        <is>
          <t>numerada</t>
        </is>
      </c>
    </row>
    <row r="45" outlineLevel="1">
      <c r="A45" s="33" t="n">
        <v>2</v>
      </c>
      <c r="B45" s="33" t="inlineStr">
        <is>
          <t>CLASED9-23</t>
        </is>
      </c>
      <c r="C45" s="17" t="inlineStr">
        <is>
          <t xml:space="preserve">        Tarjeta de identificación AGC (CABA)</t>
        </is>
      </c>
      <c r="D45" s="33" t="n">
        <v>1</v>
      </c>
      <c r="E45" s="33" t="inlineStr">
        <is>
          <t>u</t>
        </is>
      </c>
      <c r="F45" s="34" t="n">
        <v>0.0032</v>
      </c>
      <c r="G45" s="34">
        <f>D45*F45</f>
        <v/>
      </c>
      <c r="H45" s="33" t="inlineStr">
        <is>
          <t>Etiqueta autoadhesiva emitida por la AGC</t>
        </is>
      </c>
      <c r="I45" s="17" t="inlineStr">
        <is>
          <t>140 × 55</t>
        </is>
      </c>
      <c r="J45" s="33" t="inlineStr">
        <is>
          <t>Compra</t>
        </is>
      </c>
      <c r="K45" s="33" t="inlineStr">
        <is>
          <t>Sí</t>
        </is>
      </c>
      <c r="L45" s="17" t="inlineStr">
        <is>
          <t>Agencia Gubernamental de Control (CABA)</t>
        </is>
      </c>
      <c r="M45" s="17" t="inlineStr">
        <is>
          <t>-</t>
        </is>
      </c>
      <c r="N45" s="17" t="inlineStr">
        <is>
          <t>22 Etiquetado (T07)</t>
        </is>
      </c>
      <c r="O45" s="17" t="inlineStr">
        <is>
          <t>Ordenanza 40.473 art. 6 · Res. AGC 32/15</t>
        </is>
      </c>
      <c r="P45" s="33" t="inlineStr">
        <is>
          <t>P</t>
        </is>
      </c>
      <c r="Q45" s="33" t="inlineStr">
        <is>
          <t>FL_DES_CLASED_9l</t>
        </is>
      </c>
      <c r="R45" s="17" t="inlineStr">
        <is>
          <t>sólo destino CABA; sólo destino CABA</t>
        </is>
      </c>
    </row>
    <row r="46" outlineLevel="1">
      <c r="A46" s="33" t="n">
        <v>2</v>
      </c>
      <c r="B46" s="33" t="inlineStr">
        <is>
          <t>CLASED9-24</t>
        </is>
      </c>
      <c r="C46" s="17" t="inlineStr">
        <is>
          <t xml:space="preserve">        Etiqueta de n° de serie GS1</t>
        </is>
      </c>
      <c r="D46" s="33" t="n">
        <v>1</v>
      </c>
      <c r="E46" s="33" t="inlineStr">
        <is>
          <t>u</t>
        </is>
      </c>
      <c r="F46" s="34" t="n">
        <v>0.0005</v>
      </c>
      <c r="G46" s="34">
        <f>D46*F46</f>
        <v/>
      </c>
      <c r="H46" s="33" t="inlineStr">
        <is>
          <t>Poliéster autoadhesivo impreso térmico</t>
        </is>
      </c>
      <c r="I46" s="17" t="inlineStr">
        <is>
          <t>45 × 25</t>
        </is>
      </c>
      <c r="J46" s="33" t="inlineStr">
        <is>
          <t>Compra</t>
        </is>
      </c>
      <c r="K46" s="33" t="inlineStr">
        <is>
          <t>No</t>
        </is>
      </c>
      <c r="L46" s="17" t="n"/>
      <c r="M46" s="17" t="n"/>
      <c r="N46" s="17" t="inlineStr">
        <is>
          <t>22 Etiquetado (T07)</t>
        </is>
      </c>
      <c r="O46" s="17" t="inlineStr">
        <is>
          <t>GS1 Argentina (GTIN 779) · trazabilidad IRAM 3523 5.1</t>
        </is>
      </c>
      <c r="P46" s="33" t="inlineStr">
        <is>
          <t>P</t>
        </is>
      </c>
      <c r="Q46" s="33" t="inlineStr">
        <is>
          <t>FL_DES_CLASED_9l</t>
        </is>
      </c>
      <c r="R46" s="17" t="inlineStr">
        <is>
          <t>QR GTIN + serie</t>
        </is>
      </c>
    </row>
    <row r="47" outlineLevel="1">
      <c r="A47" s="33" t="n">
        <v>2</v>
      </c>
      <c r="B47" s="33" t="inlineStr">
        <is>
          <t>CLASED9-26</t>
        </is>
      </c>
      <c r="C47" s="17" t="inlineStr">
        <is>
          <t xml:space="preserve">        Faja de garantía válvula-cuello</t>
        </is>
      </c>
      <c r="D47" s="33" t="n">
        <v>1</v>
      </c>
      <c r="E47" s="33" t="inlineStr">
        <is>
          <t>u</t>
        </is>
      </c>
      <c r="F47" s="34" t="n">
        <v>0.0003</v>
      </c>
      <c r="G47" s="34">
        <f>D47*F47</f>
        <v/>
      </c>
      <c r="H47" s="33" t="inlineStr">
        <is>
          <t>Vinilo destructible rayado rojo/blanco</t>
        </is>
      </c>
      <c r="I47" s="17" t="inlineStr">
        <is>
          <t>30 × 40</t>
        </is>
      </c>
      <c r="J47" s="33" t="inlineStr">
        <is>
          <t>Compra</t>
        </is>
      </c>
      <c r="K47" s="33" t="inlineStr">
        <is>
          <t>No</t>
        </is>
      </c>
      <c r="L47" s="17" t="n"/>
      <c r="M47" s="17" t="n"/>
      <c r="N47" s="17" t="inlineStr">
        <is>
          <t>22 Etiquetado (T07)</t>
        </is>
      </c>
      <c r="O47" s="17" t="inlineStr">
        <is>
          <t>Sin norma: práctica de mercado (garantía de fábrica)</t>
        </is>
      </c>
      <c r="P47" s="33" t="inlineStr">
        <is>
          <t>P</t>
        </is>
      </c>
      <c r="Q47" s="33" t="inlineStr">
        <is>
          <t>FL_DES_CLASED_9l</t>
        </is>
      </c>
      <c r="R47" s="17" t="inlineStr">
        <is>
          <t>nuevo sin abrir</t>
        </is>
      </c>
    </row>
    <row r="48" outlineLevel="1">
      <c r="A48" s="33" t="n">
        <v>2</v>
      </c>
      <c r="B48" s="33" t="inlineStr">
        <is>
          <t>CLASED9-27</t>
        </is>
      </c>
      <c r="C48" s="17" t="inlineStr">
        <is>
          <t xml:space="preserve">        Precinto de fábrica</t>
        </is>
      </c>
      <c r="D48" s="33" t="n">
        <v>1</v>
      </c>
      <c r="E48" s="33" t="inlineStr">
        <is>
          <t>u</t>
        </is>
      </c>
      <c r="F48" s="34" t="n">
        <v>0.0002</v>
      </c>
      <c r="G48" s="34">
        <f>D48*F48</f>
        <v/>
      </c>
      <c r="H48" s="33" t="inlineStr">
        <is>
          <t>Polipropileno color</t>
        </is>
      </c>
      <c r="I48" s="17" t="inlineStr">
        <is>
          <t>Ø5 × 10, numerado, rotura 30-50 N</t>
        </is>
      </c>
      <c r="J48" s="33" t="inlineStr">
        <is>
          <t>Compra</t>
        </is>
      </c>
      <c r="K48" s="33" t="inlineStr">
        <is>
          <t>No</t>
        </is>
      </c>
      <c r="L48" s="17" t="n"/>
      <c r="M48" s="17" t="n"/>
      <c r="N48" s="17" t="inlineStr">
        <is>
          <t>20 Presurización (T05)</t>
        </is>
      </c>
      <c r="O48" s="17" t="inlineStr">
        <is>
          <t>IRAM 3523 3.3.2 · IRAM 3517-2:2020 9.4.13</t>
        </is>
      </c>
      <c r="P48" s="33" t="inlineStr">
        <is>
          <t>P</t>
        </is>
      </c>
      <c r="Q48" s="33" t="inlineStr">
        <is>
          <t>FL_DES_CLASED_9l</t>
        </is>
      </c>
      <c r="R48" s="17" t="inlineStr">
        <is>
          <t>id. FLAMA y lote</t>
        </is>
      </c>
    </row>
    <row r="49">
      <c r="A49" s="30" t="n">
        <v>1</v>
      </c>
      <c r="B49" s="30" t="inlineStr">
        <is>
          <t>CLASED9-S8</t>
        </is>
      </c>
      <c r="C49" s="31" t="inlineStr">
        <is>
          <t xml:space="preserve">    Soporte (accesorio de montaje)</t>
        </is>
      </c>
      <c r="D49" s="30" t="n">
        <v>1</v>
      </c>
      <c r="E49" s="30" t="inlineStr">
        <is>
          <t>u</t>
        </is>
      </c>
      <c r="F49" s="32" t="n"/>
      <c r="G49" s="32">
        <f>G50</f>
        <v/>
      </c>
      <c r="H49" s="30" t="n"/>
      <c r="I49" s="31" t="n"/>
      <c r="J49" s="30" t="inlineStr">
        <is>
          <t>Compra</t>
        </is>
      </c>
      <c r="K49" s="30" t="n"/>
      <c r="L49" s="31" t="n"/>
      <c r="M49" s="31" t="n"/>
      <c r="N49" s="31" t="inlineStr">
        <is>
          <t>23 Embalaje (va dentro de la caja)</t>
        </is>
      </c>
      <c r="O49" s="31" t="inlineStr">
        <is>
          <t>IRAM 3517-2 7.4</t>
        </is>
      </c>
      <c r="P49" s="30" t="n"/>
      <c r="Q49" s="30" t="n"/>
      <c r="R49" s="31" t="n"/>
    </row>
    <row r="50" outlineLevel="1">
      <c r="A50" s="33" t="n">
        <v>2</v>
      </c>
      <c r="B50" s="33" t="inlineStr">
        <is>
          <t>CLASED9-I5</t>
        </is>
      </c>
      <c r="C50" s="17" t="inlineStr">
        <is>
          <t xml:space="preserve">        Soporte de pared (FL_ACC_01)</t>
        </is>
      </c>
      <c r="D50" s="33" t="n">
        <v>1</v>
      </c>
      <c r="E50" s="33" t="inlineStr">
        <is>
          <t>u</t>
        </is>
      </c>
      <c r="F50" s="34" t="n">
        <v>0.319</v>
      </c>
      <c r="G50" s="34">
        <f>D50*F50</f>
        <v/>
      </c>
      <c r="H50" s="33" t="inlineStr">
        <is>
          <t>Chapa acero SAE 1010 e=2 pintada</t>
        </is>
      </c>
      <c r="I50" s="17" t="inlineStr">
        <is>
          <t>placa 60 × 180, ala con ranura Ø cuello + 3</t>
        </is>
      </c>
      <c r="J50" s="33" t="inlineStr">
        <is>
          <t>Compra</t>
        </is>
      </c>
      <c r="K50" s="33" t="inlineStr">
        <is>
          <t>No</t>
        </is>
      </c>
      <c r="L50" s="17" t="n"/>
      <c r="M50" s="17" t="n"/>
      <c r="N50" s="17" t="inlineStr">
        <is>
          <t>23 Embalaje</t>
        </is>
      </c>
      <c r="O50" s="17" t="inlineStr">
        <is>
          <t>IRAM 3517-2 7.4</t>
        </is>
      </c>
      <c r="P50" s="33" t="inlineStr">
        <is>
          <t>P</t>
        </is>
      </c>
      <c r="Q50" s="33" t="inlineStr">
        <is>
          <t>FL_ACC_01</t>
        </is>
      </c>
      <c r="R50" s="17" t="n"/>
    </row>
    <row r="51" outlineLevel="1">
      <c r="A51" s="33" t="n">
        <v>2</v>
      </c>
      <c r="B51" s="33" t="inlineStr">
        <is>
          <t>CLASED9-I6</t>
        </is>
      </c>
      <c r="C51" s="17" t="inlineStr">
        <is>
          <t xml:space="preserve">        Tornillo y tarugo de fijación</t>
        </is>
      </c>
      <c r="D51" s="33" t="n">
        <v>2</v>
      </c>
      <c r="E51" s="33" t="inlineStr">
        <is>
          <t>u</t>
        </is>
      </c>
      <c r="F51" s="34" t="n"/>
      <c r="G51" s="34" t="n"/>
      <c r="H51" s="33" t="inlineStr">
        <is>
          <t>Acero cincado / nylon</t>
        </is>
      </c>
      <c r="I51" s="17" t="inlineStr">
        <is>
          <t>2 agujeros Ø8,5 del plano FL_ACC_01 → tornillo M8 + tarugo</t>
        </is>
      </c>
      <c r="J51" s="33" t="inlineStr">
        <is>
          <t>Compra</t>
        </is>
      </c>
      <c r="K51" s="33" t="inlineStr">
        <is>
          <t>No</t>
        </is>
      </c>
      <c r="L51" s="17" t="n"/>
      <c r="M51" s="17" t="n"/>
      <c r="N51" s="17" t="inlineStr">
        <is>
          <t>23 Embalaje</t>
        </is>
      </c>
      <c r="O51" s="17" t="n"/>
      <c r="P51" s="33" t="inlineStr">
        <is>
          <t>P</t>
        </is>
      </c>
      <c r="Q51" s="33" t="inlineStr">
        <is>
          <t>FL_ACC_01</t>
        </is>
      </c>
      <c r="R51" s="17" t="n"/>
    </row>
    <row r="52">
      <c r="A52" s="30" t="n">
        <v>1</v>
      </c>
      <c r="B52" s="30" t="inlineStr">
        <is>
          <t>CLASED9-S7</t>
        </is>
      </c>
      <c r="C52" s="31" t="inlineStr">
        <is>
          <t xml:space="preserve">    Embalaje</t>
        </is>
      </c>
      <c r="D52" s="30" t="n">
        <v>1</v>
      </c>
      <c r="E52" s="30" t="inlineStr">
        <is>
          <t>u</t>
        </is>
      </c>
      <c r="F52" s="32" t="n"/>
      <c r="G52" s="32">
        <f>G56</f>
        <v/>
      </c>
      <c r="H52" s="30" t="n"/>
      <c r="I52" s="31" t="n"/>
      <c r="J52" s="30" t="inlineStr">
        <is>
          <t>Compra</t>
        </is>
      </c>
      <c r="K52" s="30" t="n"/>
      <c r="L52" s="31" t="n"/>
      <c r="M52" s="31" t="n"/>
      <c r="N52" s="31" t="inlineStr">
        <is>
          <t>23 Embalaje -&gt; 24 envolvedora (T11)</t>
        </is>
      </c>
      <c r="O52" s="31" t="n"/>
      <c r="P52" s="30" t="n"/>
      <c r="Q52" s="30" t="n"/>
      <c r="R52" s="31" t="n"/>
    </row>
    <row r="53" outlineLevel="1">
      <c r="A53" s="33" t="n">
        <v>2</v>
      </c>
      <c r="B53" s="33" t="inlineStr">
        <is>
          <t>CLASED9-E1</t>
        </is>
      </c>
      <c r="C53" s="17" t="inlineStr">
        <is>
          <t xml:space="preserve">        Caja de cartón corrugado doble</t>
        </is>
      </c>
      <c r="D53" s="33" t="n">
        <v>1</v>
      </c>
      <c r="E53" s="33" t="inlineStr">
        <is>
          <t>u</t>
        </is>
      </c>
      <c r="F53" s="34" t="n"/>
      <c r="G53" s="34" t="n"/>
      <c r="H53" s="33" t="inlineStr">
        <is>
          <t>Cartón corrugado</t>
        </is>
      </c>
      <c r="I53" s="17" t="inlineStr">
        <is>
          <t>260 × 214 × 675 interior (envolvente del plano + 15 por lado)</t>
        </is>
      </c>
      <c r="J53" s="33" t="inlineStr">
        <is>
          <t>Compra</t>
        </is>
      </c>
      <c r="K53" s="33" t="inlineStr">
        <is>
          <t>No</t>
        </is>
      </c>
      <c r="L53" s="17" t="n"/>
      <c r="M53" s="17" t="n"/>
      <c r="N53" s="17" t="inlineStr">
        <is>
          <t>23 Embalaje</t>
        </is>
      </c>
      <c r="O53" s="17" t="n"/>
      <c r="P53" s="33" t="inlineStr">
        <is>
          <t>P</t>
        </is>
      </c>
      <c r="Q53" s="33" t="n"/>
      <c r="R53" s="17" t="inlineStr">
        <is>
          <t>Medida del plano</t>
        </is>
      </c>
    </row>
    <row r="54" outlineLevel="1">
      <c r="A54" s="33" t="n">
        <v>2</v>
      </c>
      <c r="B54" s="33" t="inlineStr">
        <is>
          <t>CLASED9-E2</t>
        </is>
      </c>
      <c r="C54" s="17" t="inlineStr">
        <is>
          <t xml:space="preserve">        Instructivo de uso y mantenimiento</t>
        </is>
      </c>
      <c r="D54" s="33" t="n">
        <v>1</v>
      </c>
      <c r="E54" s="33" t="inlineStr">
        <is>
          <t>u</t>
        </is>
      </c>
      <c r="F54" s="34" t="n"/>
      <c r="G54" s="34" t="n"/>
      <c r="H54" s="33" t="inlineStr">
        <is>
          <t>Papel</t>
        </is>
      </c>
      <c r="I54" s="17" t="inlineStr">
        <is>
          <t>A5</t>
        </is>
      </c>
      <c r="J54" s="33" t="inlineStr">
        <is>
          <t>Compra</t>
        </is>
      </c>
      <c r="K54" s="33" t="inlineStr">
        <is>
          <t>No</t>
        </is>
      </c>
      <c r="L54" s="17" t="n"/>
      <c r="M54" s="17" t="n"/>
      <c r="N54" s="17" t="inlineStr">
        <is>
          <t>23 Embalaje</t>
        </is>
      </c>
      <c r="O54" s="17" t="n"/>
      <c r="P54" s="33" t="inlineStr">
        <is>
          <t>I</t>
        </is>
      </c>
      <c r="Q54" s="33" t="n"/>
      <c r="R54" s="17" t="inlineStr">
        <is>
          <t>Decisión comercial de FLAMA (las instrucciones de uso obligatorias van en la etiqueta, IRAM 3534)</t>
        </is>
      </c>
    </row>
    <row r="55" outlineLevel="1">
      <c r="A55" s="33" t="n">
        <v>2</v>
      </c>
      <c r="B55" s="33" t="inlineStr">
        <is>
          <t>CLASED9-E3</t>
        </is>
      </c>
      <c r="C55" s="17" t="inlineStr">
        <is>
          <t xml:space="preserve">        Pallet 1200 × 1000 (fracción)</t>
        </is>
      </c>
      <c r="D55" s="33" t="n">
        <v>0.0312</v>
      </c>
      <c r="E55" s="33" t="inlineStr">
        <is>
          <t>u</t>
        </is>
      </c>
      <c r="F55" s="34" t="n"/>
      <c r="G55" s="34" t="n"/>
      <c r="H55" s="33" t="inlineStr">
        <is>
          <t>Madera</t>
        </is>
      </c>
      <c r="I55" s="17" t="inlineStr">
        <is>
          <t>32 u por pallet</t>
        </is>
      </c>
      <c r="J55" s="33" t="inlineStr">
        <is>
          <t>Compra</t>
        </is>
      </c>
      <c r="K55" s="33" t="inlineStr">
        <is>
          <t>No</t>
        </is>
      </c>
      <c r="L55" s="17" t="n"/>
      <c r="M55" s="17" t="n"/>
      <c r="N55" s="17" t="inlineStr">
        <is>
          <t>23 Embalaje</t>
        </is>
      </c>
      <c r="O55" s="17" t="n"/>
      <c r="P55" s="33" t="inlineStr">
        <is>
          <t>C</t>
        </is>
      </c>
      <c r="Q55" s="33" t="n"/>
      <c r="R55" s="17" t="inlineStr">
        <is>
          <t>u por pallet = acomodo de la caja (plano) en 1200 × 1000 × 1450 de alto</t>
        </is>
      </c>
    </row>
    <row r="56" outlineLevel="1">
      <c r="A56" s="33" t="n">
        <v>2</v>
      </c>
      <c r="B56" s="33" t="inlineStr">
        <is>
          <t>CLASED9-E4</t>
        </is>
      </c>
      <c r="C56" s="17" t="inlineStr">
        <is>
          <t xml:space="preserve">        Film stretch (fracción del pallet)</t>
        </is>
      </c>
      <c r="D56" s="33" t="n">
        <v>0.0037</v>
      </c>
      <c r="E56" s="33" t="inlineStr">
        <is>
          <t>kg</t>
        </is>
      </c>
      <c r="F56" s="34" t="n">
        <v>1</v>
      </c>
      <c r="G56" s="34">
        <f>D56*F56</f>
        <v/>
      </c>
      <c r="H56" s="33" t="inlineStr">
        <is>
          <t>PE lineal 23 µm</t>
        </is>
      </c>
      <c r="I56" s="17" t="inlineStr">
        <is>
          <t>0,12 kg por pallet / 32 u</t>
        </is>
      </c>
      <c r="J56" s="33" t="inlineStr">
        <is>
          <t>Compra</t>
        </is>
      </c>
      <c r="K56" s="33" t="inlineStr">
        <is>
          <t>No</t>
        </is>
      </c>
      <c r="L56" s="17" t="n"/>
      <c r="M56" s="17" t="n"/>
      <c r="N56" s="17" t="inlineStr">
        <is>
          <t>24 Envolvedora (T11)</t>
        </is>
      </c>
      <c r="O56" s="17" t="n"/>
      <c r="P56" s="33" t="inlineStr">
        <is>
          <t>C</t>
        </is>
      </c>
      <c r="Q56" s="33"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3" t="n">
        <v>2</v>
      </c>
      <c r="B57" s="33" t="inlineStr">
        <is>
          <t>CLASED9-E5</t>
        </is>
      </c>
      <c r="C57" s="17" t="inlineStr">
        <is>
          <t xml:space="preserve">        Etiqueta de pallet (lote y destino, fracción)</t>
        </is>
      </c>
      <c r="D57" s="33" t="n">
        <v>0.0312</v>
      </c>
      <c r="E57" s="33" t="inlineStr">
        <is>
          <t>u</t>
        </is>
      </c>
      <c r="F57" s="34" t="n"/>
      <c r="G57" s="34" t="n"/>
      <c r="H57" s="33" t="inlineStr">
        <is>
          <t>Papel térmico</t>
        </is>
      </c>
      <c r="I57" s="17" t="inlineStr">
        <is>
          <t>100 × 150</t>
        </is>
      </c>
      <c r="J57" s="33" t="inlineStr">
        <is>
          <t>Compra</t>
        </is>
      </c>
      <c r="K57" s="33" t="inlineStr">
        <is>
          <t>No</t>
        </is>
      </c>
      <c r="L57" s="17" t="n"/>
      <c r="M57" s="17" t="n"/>
      <c r="N57" s="17" t="inlineStr">
        <is>
          <t>24 Envolvedora</t>
        </is>
      </c>
      <c r="O57" s="17" t="n"/>
      <c r="P57" s="33" t="inlineStr">
        <is>
          <t>C</t>
        </is>
      </c>
      <c r="Q57" s="33" t="n"/>
      <c r="R57" s="17" t="n"/>
    </row>
    <row r="58" outlineLevel="1">
      <c r="A58" s="33" t="n">
        <v>2</v>
      </c>
      <c r="B58" s="33" t="inlineStr">
        <is>
          <t>CLASED9-E6</t>
        </is>
      </c>
      <c r="C58" s="17" t="inlineStr">
        <is>
          <t xml:space="preserve">        Cinta de embalaje PP 48 mm (cierre de la caja)</t>
        </is>
      </c>
      <c r="D58" s="33" t="n">
        <v>0.8</v>
      </c>
      <c r="E58" s="33" t="inlineStr">
        <is>
          <t>m</t>
        </is>
      </c>
      <c r="F58" s="34" t="n"/>
      <c r="G58" s="34" t="n"/>
      <c r="H58" s="33" t="inlineStr">
        <is>
          <t>Polipropileno con adhesivo acrílico</t>
        </is>
      </c>
      <c r="I58" s="17" t="inlineStr">
        <is>
          <t>cierre en I arriba y abajo: 2 × (260 + 2 × 70 de solapa)</t>
        </is>
      </c>
      <c r="J58" s="33" t="inlineStr">
        <is>
          <t>Compra</t>
        </is>
      </c>
      <c r="K58" s="33" t="inlineStr">
        <is>
          <t>No</t>
        </is>
      </c>
      <c r="L58" s="17" t="n"/>
      <c r="M58" s="17" t="n"/>
      <c r="N58" s="17" t="inlineStr">
        <is>
          <t>23 Embalaje</t>
        </is>
      </c>
      <c r="O58" s="17" t="n"/>
      <c r="P58" s="33" t="inlineStr">
        <is>
          <t>C</t>
        </is>
      </c>
      <c r="Q58" s="33" t="n"/>
      <c r="R58" s="17" t="inlineStr">
        <is>
          <t>Solapa de 70 mm por lado: práctica de cierre de cajas (medir en la línea)</t>
        </is>
      </c>
    </row>
    <row r="59" outlineLevel="1">
      <c r="A59" s="33" t="n">
        <v>2</v>
      </c>
      <c r="B59" s="33" t="inlineStr">
        <is>
          <t>CLASED9-E7</t>
        </is>
      </c>
      <c r="C59" s="17" t="inlineStr">
        <is>
          <t xml:space="preserve">        Esquineros de cartón 50 × 50 × 1200 (fracción del pallet)</t>
        </is>
      </c>
      <c r="D59" s="33" t="n">
        <v>0.125</v>
      </c>
      <c r="E59" s="33" t="inlineStr">
        <is>
          <t>u</t>
        </is>
      </c>
      <c r="F59" s="34" t="n"/>
      <c r="G59" s="34" t="n"/>
      <c r="H59" s="33" t="inlineStr">
        <is>
          <t>Cartón</t>
        </is>
      </c>
      <c r="I59" s="17" t="inlineStr">
        <is>
          <t>4 por pallet / 32 u</t>
        </is>
      </c>
      <c r="J59" s="33" t="inlineStr">
        <is>
          <t>Compra</t>
        </is>
      </c>
      <c r="K59" s="33" t="inlineStr">
        <is>
          <t>No</t>
        </is>
      </c>
      <c r="L59" s="17" t="n"/>
      <c r="M59" s="17" t="n"/>
      <c r="N59" s="17" t="inlineStr">
        <is>
          <t>24 Envolvedora (T11)</t>
        </is>
      </c>
      <c r="O59" s="17" t="n"/>
      <c r="P59" s="33" t="inlineStr">
        <is>
          <t>C</t>
        </is>
      </c>
      <c r="Q59" s="33" t="n"/>
      <c r="R59" s="17" t="inlineStr">
        <is>
          <t>Planilla MP-64</t>
        </is>
      </c>
    </row>
  </sheetData>
  <autoFilter ref="A10:R59"/>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66" t="inlineStr">
        <is>
          <t>Extintor ABC 25 kg sobre ruedas</t>
        </is>
      </c>
    </row>
    <row r="3">
      <c r="A3" s="2" t="inlineStr">
        <is>
          <t>Plano de origen</t>
        </is>
      </c>
      <c r="C3" t="inlineStr">
        <is>
          <t>FL_MAT_ABC_25kg  (4 láminas)</t>
        </is>
      </c>
      <c r="E3" s="2" t="inlineStr">
        <is>
          <t>Peso vacío S1-S4 (kg)</t>
        </is>
      </c>
      <c r="G3" s="67">
        <f>G12+G21+G36+G43</f>
        <v/>
      </c>
    </row>
    <row r="4">
      <c r="A4" s="2" t="inlineStr">
        <is>
          <t>Plano de despiece</t>
        </is>
      </c>
      <c r="C4" t="inlineStr">
        <is>
          <t>FL_DES_ABC_25kg (salida/despiece/)</t>
        </is>
      </c>
      <c r="E4" s="2" t="inlineStr">
        <is>
          <t>Peso cargado S1-S6 (kg)</t>
        </is>
      </c>
      <c r="G4" s="67">
        <f>G12+G21+G36+G43+G54+G57</f>
        <v/>
      </c>
    </row>
    <row r="5">
      <c r="A5" s="2" t="inlineStr">
        <is>
          <t>Norma del producto</t>
        </is>
      </c>
      <c r="C5" t="inlineStr">
        <is>
          <t>IRAM 3550</t>
        </is>
      </c>
      <c r="E5" s="2" t="inlineStr">
        <is>
          <t>Peso con soporte y embalaje (kg)</t>
        </is>
      </c>
      <c r="G5" s="67">
        <f>G12+G21+G36+G43+G54+G57+G65</f>
        <v/>
      </c>
    </row>
    <row r="6">
      <c r="A6" s="2" t="inlineStr">
        <is>
          <t>Fabricación</t>
        </is>
      </c>
      <c r="C6" t="inlineStr">
        <is>
          <t>Fabricación propia</t>
        </is>
      </c>
      <c r="E6" s="2" t="inlineStr">
        <is>
          <t>Desvío cargado vs catálogo</t>
        </is>
      </c>
      <c r="G6" s="25">
        <f>G4/C7-1</f>
        <v/>
      </c>
    </row>
    <row r="7">
      <c r="A7" s="2" t="inlineStr">
        <is>
          <t>Peso catálogo cargado (kg)</t>
        </is>
      </c>
      <c r="C7" t="n">
        <v>55</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FL_MAT_ABC_25kg</t>
        </is>
      </c>
      <c r="C11" s="28" t="inlineStr">
        <is>
          <t>Extintor ABC 25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FL_MAT_ABC_25kg</t>
        </is>
      </c>
      <c r="R11" s="28" t="inlineStr">
        <is>
          <t>Fabricación propia</t>
        </is>
      </c>
    </row>
    <row r="12">
      <c r="A12" s="30" t="n">
        <v>1</v>
      </c>
      <c r="B12" s="30" t="inlineStr">
        <is>
          <t>FL_REC_ABC_25kg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2.162</v>
      </c>
      <c r="G15" s="34">
        <f>D15*F15</f>
        <v/>
      </c>
      <c r="H15" s="33" t="inlineStr">
        <is>
          <t>Chapa LAC IRAM-IAS U 500-04 e=3,2</t>
        </is>
      </c>
      <c r="I15" s="17" t="inlineStr">
        <is>
          <t>Ø276,5 × e3,2 × 86,3 de alto; disco Ø341</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FL_DES_ABC_25kg</t>
        </is>
      </c>
      <c r="R15" s="17" t="inlineStr">
        <is>
          <t>embutida</t>
        </is>
      </c>
    </row>
    <row r="16" outlineLevel="1">
      <c r="A16" s="33" t="n">
        <v>2</v>
      </c>
      <c r="B16" s="33" t="inlineStr">
        <is>
          <t>ABC25-03</t>
        </is>
      </c>
      <c r="C16" s="17" t="inlineStr">
        <is>
          <t xml:space="preserve">        Fondo</t>
        </is>
      </c>
      <c r="D16" s="33" t="n">
        <v>1</v>
      </c>
      <c r="E16" s="33" t="inlineStr">
        <is>
          <t>u</t>
        </is>
      </c>
      <c r="F16" s="34" t="n">
        <v>2.2425</v>
      </c>
      <c r="G16" s="34">
        <f>D16*F16</f>
        <v/>
      </c>
      <c r="H16" s="33" t="inlineStr">
        <is>
          <t>Chapa LAC IRAM-IAS U 500-04 e=3,2</t>
        </is>
      </c>
      <c r="I16" s="17" t="inlineStr">
        <is>
          <t>Ø276,5 × e3,2 × 87 de alto; disco Ø347,3</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FL_DES_ABC_25kg</t>
        </is>
      </c>
      <c r="R16" s="17"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41" t="n">
        <v>2</v>
      </c>
      <c r="B18" s="41" t="inlineStr">
        <is>
          <t>ABC25-C1</t>
        </is>
      </c>
      <c r="C18" s="18" t="inlineStr">
        <is>
          <t xml:space="preserve">        Alambre MAG ER70S-6 Ø1,2 (AWS A5.18)</t>
        </is>
      </c>
      <c r="D18" s="41" t="n">
        <v>0.3374</v>
      </c>
      <c r="E18" s="41" t="inlineStr">
        <is>
          <t>kg</t>
        </is>
      </c>
      <c r="F18" s="42" t="n">
        <v>0.95</v>
      </c>
      <c r="G18" s="42">
        <f>D18*F18</f>
        <v/>
      </c>
      <c r="H18" s="41" t="inlineStr">
        <is>
          <t>ER70S-6</t>
        </is>
      </c>
      <c r="I18" s="18" t="inlineStr">
        <is>
          <t>metal depositado de los cordones del plano 321 g / rendimiento 0,95</t>
        </is>
      </c>
      <c r="J18" s="41" t="inlineStr">
        <is>
          <t>Compra</t>
        </is>
      </c>
      <c r="K18" s="41" t="inlineStr">
        <is>
          <t>Sí</t>
        </is>
      </c>
      <c r="L18" s="18" t="inlineStr">
        <is>
          <t>Conarco (ESAB Argentina)</t>
        </is>
      </c>
      <c r="M18" s="18" t="inlineStr">
        <is>
          <t>-</t>
        </is>
      </c>
      <c r="N18" s="18" t="inlineStr">
        <is>
          <t>4 sold. long. / 8 cuello / 11 circunferencial</t>
        </is>
      </c>
      <c r="O18" s="18" t="inlineStr">
        <is>
          <t>IRAM 3523 3.2.4.2 · IRAM 3550 4.1.2</t>
        </is>
      </c>
      <c r="P18" s="41" t="inlineStr">
        <is>
          <t>C</t>
        </is>
      </c>
      <c r="Q18" s="41"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1" t="n">
        <v>2</v>
      </c>
      <c r="B19" s="41" t="inlineStr">
        <is>
          <t>ABC25-C2</t>
        </is>
      </c>
      <c r="C19" s="18" t="inlineStr">
        <is>
          <t xml:space="preserve">        Gas de protección MAG Arcal 21 / ARCAL Speed (Ar + 8 % CO₂, M20)</t>
        </is>
      </c>
      <c r="D19" s="41" t="n">
        <v>52.7</v>
      </c>
      <c r="E19" s="41" t="inlineStr">
        <is>
          <t>L</t>
        </is>
      </c>
      <c r="F19" s="42" t="n"/>
      <c r="G19" s="42" t="n"/>
      <c r="H19" s="41" t="inlineStr">
        <is>
          <t>EN ISO 14175 M20-ArC-8</t>
        </is>
      </c>
      <c r="I19" s="18" t="inlineStr">
        <is>
          <t>14 L/min × 3,77 min de arco (cordones 2.260 mm: long. 406 + circ. 1.737 + cuello 116, a 600 mm/min)</t>
        </is>
      </c>
      <c r="J19" s="41" t="inlineStr">
        <is>
          <t>Compra</t>
        </is>
      </c>
      <c r="K19" s="41" t="inlineStr">
        <is>
          <t>Sí</t>
        </is>
      </c>
      <c r="L19" s="18" t="inlineStr">
        <is>
          <t>Air Liquide Argentina - sucursal Piñeyro</t>
        </is>
      </c>
      <c r="M19" s="18" t="inlineStr">
        <is>
          <t>Gogniat</t>
        </is>
      </c>
      <c r="N19" s="18" t="inlineStr">
        <is>
          <t>Colector SC</t>
        </is>
      </c>
      <c r="O19" s="18" t="inlineStr">
        <is>
          <t>IRAM 3523 3.2.4.2 · IRAM 3550 3.2.2.2</t>
        </is>
      </c>
      <c r="P19" s="41" t="inlineStr">
        <is>
          <t>C</t>
        </is>
      </c>
      <c r="Q19" s="41"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ABC25-S2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FL_DES_ABC_25kg</t>
        </is>
      </c>
      <c r="R21" s="31" t="n"/>
    </row>
    <row r="22" outlineLevel="1">
      <c r="A22" s="33" t="n">
        <v>2</v>
      </c>
      <c r="B22" s="33" t="inlineStr">
        <is>
          <t>ABC25-11</t>
        </is>
      </c>
      <c r="C22" s="17" t="inlineStr">
        <is>
          <t xml:space="preserve">        Collarín de válvula</t>
        </is>
      </c>
      <c r="D22" s="33" t="n">
        <v>1</v>
      </c>
      <c r="E22" s="33" t="inlineStr">
        <is>
          <t>u</t>
        </is>
      </c>
      <c r="F22" s="34" t="n">
        <v>0.129</v>
      </c>
      <c r="G22" s="34">
        <f>D22*F22</f>
        <v/>
      </c>
      <c r="H22" s="33" t="inlineStr">
        <is>
          <t>Latón forjado</t>
        </is>
      </c>
      <c r="I22" s="17" t="inlineStr">
        <is>
          <t>45,1 × 45,1 × 13,5</t>
        </is>
      </c>
      <c r="J22" s="33" t="inlineStr">
        <is>
          <t>Incluido en válvula HZ</t>
        </is>
      </c>
      <c r="K22" s="33" t="inlineStr">
        <is>
          <t>No</t>
        </is>
      </c>
      <c r="L22" s="17" t="n"/>
      <c r="M22" s="17" t="n"/>
      <c r="N22" s="17" t="inlineStr">
        <is>
          <t>C9 armado</t>
        </is>
      </c>
      <c r="O22" s="17" t="n"/>
      <c r="P22" s="33" t="inlineStr">
        <is>
          <t>P</t>
        </is>
      </c>
      <c r="Q22" s="33" t="inlineStr">
        <is>
          <t>FL_DES_ABC_25kg</t>
        </is>
      </c>
      <c r="R22" s="17" t="n"/>
    </row>
    <row r="23" outlineLevel="1">
      <c r="A23" s="33" t="n">
        <v>2</v>
      </c>
      <c r="B23" s="33" t="inlineStr">
        <is>
          <t>ABC25-12</t>
        </is>
      </c>
      <c r="C23" s="17" t="inlineStr">
        <is>
          <t xml:space="preserve">        Espiga roscada</t>
        </is>
      </c>
      <c r="D23" s="33" t="n">
        <v>1</v>
      </c>
      <c r="E23" s="33" t="inlineStr">
        <is>
          <t>u</t>
        </is>
      </c>
      <c r="F23" s="34" t="n">
        <v>0.0424</v>
      </c>
      <c r="G23" s="34">
        <f>D23*F23</f>
        <v/>
      </c>
      <c r="H23" s="33" t="inlineStr">
        <is>
          <t>Latón forjado</t>
        </is>
      </c>
      <c r="I23" s="17" t="inlineStr">
        <is>
          <t>28,4 × 28,4 × 16,2</t>
        </is>
      </c>
      <c r="J23" s="33" t="inlineStr">
        <is>
          <t>Incluido en válvula HZ</t>
        </is>
      </c>
      <c r="K23" s="33" t="inlineStr">
        <is>
          <t>No</t>
        </is>
      </c>
      <c r="L23" s="17" t="n"/>
      <c r="M23" s="17" t="n"/>
      <c r="N23" s="17" t="inlineStr">
        <is>
          <t>C9 armado</t>
        </is>
      </c>
      <c r="O23" s="17" t="n"/>
      <c r="P23" s="33" t="inlineStr">
        <is>
          <t>P</t>
        </is>
      </c>
      <c r="Q23" s="33" t="inlineStr">
        <is>
          <t>FL_DES_ABC_25kg</t>
        </is>
      </c>
      <c r="R23" s="17" t="n"/>
    </row>
    <row r="24" outlineLevel="1">
      <c r="A24" s="33" t="n">
        <v>2</v>
      </c>
      <c r="B24" s="33" t="inlineStr">
        <is>
          <t>ABC25-13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FL_DES_ABC_25kg</t>
        </is>
      </c>
      <c r="R24" s="17" t="n"/>
    </row>
    <row r="25" outlineLevel="1">
      <c r="A25" s="45" t="n">
        <v>2</v>
      </c>
      <c r="B25" s="45" t="inlineStr">
        <is>
          <t>ABC25-14</t>
        </is>
      </c>
      <c r="C25" s="19" t="inlineStr">
        <is>
          <t xml:space="preserve">        Manómetro</t>
        </is>
      </c>
      <c r="D25" s="45" t="n">
        <v>1</v>
      </c>
      <c r="E25" s="45" t="inlineStr">
        <is>
          <t>u</t>
        </is>
      </c>
      <c r="F25" s="46" t="n"/>
      <c r="G25" s="46" t="n"/>
      <c r="H25" s="45" t="inlineStr">
        <is>
          <t>Comercial</t>
        </is>
      </c>
      <c r="I25" s="19" t="inlineStr">
        <is>
          <t>Ø50 esfera, rango 0-3,5 MPa, sector verde en 1,4</t>
        </is>
      </c>
      <c r="J25" s="45" t="inlineStr">
        <is>
          <t>Compra</t>
        </is>
      </c>
      <c r="K25" s="45" t="inlineStr">
        <is>
          <t>Sí</t>
        </is>
      </c>
      <c r="L25" s="19" t="inlineStr">
        <is>
          <t>Yukon / MatafuegosYa S.R.L.</t>
        </is>
      </c>
      <c r="M25" s="19" t="inlineStr">
        <is>
          <t>Matafuegos Iglesias</t>
        </is>
      </c>
      <c r="N25" s="19" t="inlineStr">
        <is>
          <t>C9 armado</t>
        </is>
      </c>
      <c r="O25" s="19" t="inlineStr">
        <is>
          <t>IRAM 3533</t>
        </is>
      </c>
      <c r="P25" s="45" t="inlineStr">
        <is>
          <t>P</t>
        </is>
      </c>
      <c r="Q25" s="45" t="inlineStr">
        <is>
          <t>FL_DES_ABC_25kg</t>
        </is>
      </c>
      <c r="R25" s="19" t="inlineStr">
        <is>
          <t>Pieza comercial; sello IRAM 3533; peso: completar con la ficha del proveedor (no afecta el MRP)</t>
        </is>
      </c>
    </row>
    <row r="26" outlineLevel="1">
      <c r="A26" s="33" t="n">
        <v>2</v>
      </c>
      <c r="B26" s="33" t="inlineStr">
        <is>
          <t>ABC25-15</t>
        </is>
      </c>
      <c r="C26" s="17" t="inlineStr">
        <is>
          <t xml:space="preserve">        Manija de transporte</t>
        </is>
      </c>
      <c r="D26" s="33" t="n">
        <v>1</v>
      </c>
      <c r="E26" s="33" t="inlineStr">
        <is>
          <t>u</t>
        </is>
      </c>
      <c r="F26" s="34" t="n">
        <v>0.0815</v>
      </c>
      <c r="G26" s="34">
        <f>D26*F26</f>
        <v/>
      </c>
      <c r="H26" s="33" t="inlineStr">
        <is>
          <t>Chapa acero SAE 1010 pintada</t>
        </is>
      </c>
      <c r="I26" s="17" t="inlineStr">
        <is>
          <t>71,4 × 27 × 12,8</t>
        </is>
      </c>
      <c r="J26" s="33" t="inlineStr">
        <is>
          <t>Incluido en válvula HZ</t>
        </is>
      </c>
      <c r="K26" s="33" t="inlineStr">
        <is>
          <t>No</t>
        </is>
      </c>
      <c r="L26" s="17" t="n"/>
      <c r="M26" s="17" t="n"/>
      <c r="N26" s="17" t="inlineStr">
        <is>
          <t>C9 armado</t>
        </is>
      </c>
      <c r="O26" s="17" t="n"/>
      <c r="P26" s="33" t="inlineStr">
        <is>
          <t>P</t>
        </is>
      </c>
      <c r="Q26" s="33" t="inlineStr">
        <is>
          <t>FL_DES_ABC_25kg</t>
        </is>
      </c>
      <c r="R26" s="17" t="n"/>
    </row>
    <row r="27" outlineLevel="1">
      <c r="A27" s="33" t="n">
        <v>2</v>
      </c>
      <c r="B27" s="33" t="inlineStr">
        <is>
          <t>ABC25-16</t>
        </is>
      </c>
      <c r="C27" s="17" t="inlineStr">
        <is>
          <t xml:space="preserve">        Manija de accionamiento</t>
        </is>
      </c>
      <c r="D27" s="33" t="n">
        <v>1</v>
      </c>
      <c r="E27" s="33" t="inlineStr">
        <is>
          <t>u</t>
        </is>
      </c>
      <c r="F27" s="34" t="n">
        <v>0.1496</v>
      </c>
      <c r="G27" s="34">
        <f>D27*F27</f>
        <v/>
      </c>
      <c r="H27" s="33" t="inlineStr">
        <is>
          <t>Chapa acero SAE 1010 pintada</t>
        </is>
      </c>
      <c r="I27" s="17" t="inlineStr">
        <is>
          <t>130,4 × 27 × 21,3</t>
        </is>
      </c>
      <c r="J27" s="33" t="inlineStr">
        <is>
          <t>Incluido en válvula HZ</t>
        </is>
      </c>
      <c r="K27" s="33" t="inlineStr">
        <is>
          <t>No</t>
        </is>
      </c>
      <c r="L27" s="17" t="n"/>
      <c r="M27" s="17" t="n"/>
      <c r="N27" s="17" t="inlineStr">
        <is>
          <t>C9 armado</t>
        </is>
      </c>
      <c r="O27" s="17" t="n"/>
      <c r="P27" s="33" t="inlineStr">
        <is>
          <t>P</t>
        </is>
      </c>
      <c r="Q27" s="33" t="inlineStr">
        <is>
          <t>FL_DES_ABC_25kg</t>
        </is>
      </c>
      <c r="R27" s="17" t="n"/>
    </row>
    <row r="28" outlineLevel="1">
      <c r="A28" s="33" t="n">
        <v>2</v>
      </c>
      <c r="B28" s="33" t="inlineStr">
        <is>
          <t>ABC25-17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FL_DES_ABC_25kg</t>
        </is>
      </c>
      <c r="R28" s="17" t="n"/>
    </row>
    <row r="29" outlineLevel="1">
      <c r="A29" s="33" t="n">
        <v>2</v>
      </c>
      <c r="B29" s="33" t="inlineStr">
        <is>
          <t>ABC25-18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FL_DES_ABC_25kg</t>
        </is>
      </c>
      <c r="R29" s="17" t="inlineStr">
        <is>
          <t>con junta tórica</t>
        </is>
      </c>
    </row>
    <row r="30" outlineLevel="1">
      <c r="A30" s="33" t="n">
        <v>2</v>
      </c>
      <c r="B30" s="33" t="inlineStr">
        <is>
          <t>ABC25-19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FL_DES_ABC_25kg</t>
        </is>
      </c>
      <c r="R30" s="17" t="inlineStr">
        <is>
          <t>con precinto</t>
        </is>
      </c>
    </row>
    <row r="31" outlineLevel="1">
      <c r="A31" s="33" t="n">
        <v>2</v>
      </c>
      <c r="B31" s="33" t="inlineStr">
        <is>
          <t>ABC25-20</t>
        </is>
      </c>
      <c r="C31" s="17" t="inlineStr">
        <is>
          <t xml:space="preserve">        Caño de pesca (sifón)</t>
        </is>
      </c>
      <c r="D31" s="33" t="n">
        <v>1</v>
      </c>
      <c r="E31" s="33" t="inlineStr">
        <is>
          <t>u</t>
        </is>
      </c>
      <c r="F31" s="34" t="n">
        <v>0.1347</v>
      </c>
      <c r="G31" s="34">
        <f>D31*F31</f>
        <v/>
      </c>
      <c r="H31" s="33" t="inlineStr">
        <is>
          <t>Tubo PVC rígido</t>
        </is>
      </c>
      <c r="I31" s="17" t="inlineStr">
        <is>
          <t>Ø24 × 569,9 de largo</t>
        </is>
      </c>
      <c r="J31" s="33" t="inlineStr">
        <is>
          <t>Incluido en válvula HZ</t>
        </is>
      </c>
      <c r="K31" s="33" t="inlineStr">
        <is>
          <t>No</t>
        </is>
      </c>
      <c r="L31" s="17" t="n"/>
      <c r="M31" s="17" t="n"/>
      <c r="N31" s="17" t="inlineStr">
        <is>
          <t>C9 armado</t>
        </is>
      </c>
      <c r="O31" s="17" t="n"/>
      <c r="P31" s="33" t="inlineStr">
        <is>
          <t>P</t>
        </is>
      </c>
      <c r="Q31" s="33" t="inlineStr">
        <is>
          <t>FL_DES_ABC_25kg</t>
        </is>
      </c>
      <c r="R31" s="17" t="n"/>
    </row>
    <row r="32" outlineLevel="1">
      <c r="A32" s="33" t="n">
        <v>2</v>
      </c>
      <c r="B32" s="33" t="inlineStr">
        <is>
          <t>ABC25-32</t>
        </is>
      </c>
      <c r="C32" s="17" t="inlineStr">
        <is>
          <t xml:space="preserve">        Junta tórica de asiento</t>
        </is>
      </c>
      <c r="D32" s="33" t="n">
        <v>1</v>
      </c>
      <c r="E32" s="33" t="inlineStr">
        <is>
          <t>u</t>
        </is>
      </c>
      <c r="F32" s="34" t="n">
        <v>0.001</v>
      </c>
      <c r="G32" s="34">
        <f>D32*F32</f>
        <v/>
      </c>
      <c r="H32" s="33" t="inlineStr">
        <is>
          <t>NBR 70 Shore A</t>
        </is>
      </c>
      <c r="I32" s="17" t="inlineStr">
        <is>
          <t>Ø31,4 ext. × cordón 3</t>
        </is>
      </c>
      <c r="J32" s="33" t="inlineStr">
        <is>
          <t>Compra</t>
        </is>
      </c>
      <c r="K32" s="33" t="inlineStr">
        <is>
          <t>Sí</t>
        </is>
      </c>
      <c r="L32" s="17" t="inlineStr">
        <is>
          <t>Argensold</t>
        </is>
      </c>
      <c r="M32" s="17" t="inlineStr">
        <is>
          <t>Matafuegos Iglesias</t>
        </is>
      </c>
      <c r="N32" s="17" t="inlineStr">
        <is>
          <t>C9 armado</t>
        </is>
      </c>
      <c r="O32" s="17" t="n"/>
      <c r="P32" s="33" t="inlineStr">
        <is>
          <t>P</t>
        </is>
      </c>
      <c r="Q32" s="33" t="inlineStr">
        <is>
          <t>FL_DES_ABC_25kg</t>
        </is>
      </c>
      <c r="R32" s="17" t="inlineStr">
        <is>
          <t>cambio c/recarga</t>
        </is>
      </c>
    </row>
    <row r="33" outlineLevel="1">
      <c r="A33" s="33" t="n">
        <v>2</v>
      </c>
      <c r="B33" s="33" t="inlineStr">
        <is>
          <t>ABC25-K2</t>
        </is>
      </c>
      <c r="C33" s="17" t="inlineStr">
        <is>
          <t xml:space="preserve">        Válvula HZ armada de carro 25 kg c/traba, manija y resorte</t>
        </is>
      </c>
      <c r="D33" s="33" t="n">
        <v>1</v>
      </c>
      <c r="E33" s="33" t="inlineStr">
        <is>
          <t>u</t>
        </is>
      </c>
      <c r="F33" s="34" t="n"/>
      <c r="G33" s="34" t="n"/>
      <c r="H33" s="33" t="inlineStr">
        <is>
          <t>Latón forjado (HZ)</t>
        </is>
      </c>
      <c r="I33" s="17" t="inlineStr">
        <is>
          <t>rosca M30x1,5</t>
        </is>
      </c>
      <c r="J33" s="33" t="inlineStr">
        <is>
          <t>Compra</t>
        </is>
      </c>
      <c r="K33" s="33" t="inlineStr">
        <is>
          <t>Sí</t>
        </is>
      </c>
      <c r="L33" s="17" t="inlineStr">
        <is>
          <t>Polvex S.R.L. / Sancibrao</t>
        </is>
      </c>
      <c r="M33" s="17" t="inlineStr">
        <is>
          <t>Mozart S.R.L.</t>
        </is>
      </c>
      <c r="N33" s="17" t="inlineStr">
        <is>
          <t>19 Ensamblaje de válvula</t>
        </is>
      </c>
      <c r="O33" s="17" t="inlineStr">
        <is>
          <t>IRAM 3523 3.3</t>
        </is>
      </c>
      <c r="P33" s="33" t="inlineStr">
        <is>
          <t>Q</t>
        </is>
      </c>
      <c r="Q33" s="33" t="inlineStr">
        <is>
          <t>FL_DES_ABC_25kg</t>
        </is>
      </c>
      <c r="R33" s="17" t="inlineStr">
        <is>
          <t>Lista de precios HZ (Q-AGENTES); plano Fadesa usa válvula HZ (R-FADESA). Trae las piezas marcadas «Incluido en válvula HZ»</t>
        </is>
      </c>
    </row>
    <row r="34" outlineLevel="1">
      <c r="A34" s="33" t="n">
        <v>2</v>
      </c>
      <c r="B34" s="33" t="inlineStr">
        <is>
          <t>ABC25-V2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ABC25-V3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ABC25-S3</t>
        </is>
      </c>
      <c r="C36" s="31" t="inlineStr">
        <is>
          <t xml:space="preserve">    Dispositivo de descarga</t>
        </is>
      </c>
      <c r="D36" s="30" t="n">
        <v>1</v>
      </c>
      <c r="E36" s="30" t="inlineStr">
        <is>
          <t>u</t>
        </is>
      </c>
      <c r="F36" s="32" t="n"/>
      <c r="G36" s="32">
        <f>G37+G38+G39+G40+G41+G42</f>
        <v/>
      </c>
      <c r="H36" s="30" t="n"/>
      <c r="I36" s="31" t="n"/>
      <c r="J36" s="30" t="inlineStr">
        <is>
          <t>Compra / armado</t>
        </is>
      </c>
      <c r="K36" s="30" t="n"/>
      <c r="L36" s="31" t="n"/>
      <c r="M36" s="31" t="n"/>
      <c r="N36" s="31" t="n"/>
      <c r="O36" s="31" t="n"/>
      <c r="P36" s="30" t="inlineStr">
        <is>
          <t>P</t>
        </is>
      </c>
      <c r="Q36" s="30" t="inlineStr">
        <is>
          <t>FL_DES_ABC_25kg</t>
        </is>
      </c>
      <c r="R36" s="31" t="n"/>
    </row>
    <row r="37" outlineLevel="1">
      <c r="A37" s="33" t="n">
        <v>2</v>
      </c>
      <c r="B37" s="33" t="inlineStr">
        <is>
          <t>ABC25-21</t>
        </is>
      </c>
      <c r="C37" s="17" t="inlineStr">
        <is>
          <t xml:space="preserve">        Manguera (tramo enrollado)</t>
        </is>
      </c>
      <c r="D37" s="33" t="n">
        <v>1</v>
      </c>
      <c r="E37" s="33" t="inlineStr">
        <is>
          <t>u</t>
        </is>
      </c>
      <c r="F37" s="34" t="n">
        <v>0.374</v>
      </c>
      <c r="G37" s="34">
        <f>D37*F37</f>
        <v/>
      </c>
      <c r="H37" s="33" t="inlineStr">
        <is>
          <t>Caucho sintético</t>
        </is>
      </c>
      <c r="I37" s="17" t="inlineStr">
        <is>
          <t>Ø25 × 992 de largo desarrollado</t>
        </is>
      </c>
      <c r="J37" s="33" t="inlineStr">
        <is>
          <t>Compra</t>
        </is>
      </c>
      <c r="K37" s="33" t="inlineStr">
        <is>
          <t>Sí</t>
        </is>
      </c>
      <c r="L37" s="17" t="inlineStr">
        <is>
          <t>Yukon / MatafuegosYa S.R.L.</t>
        </is>
      </c>
      <c r="M37" s="17" t="inlineStr">
        <is>
          <t>Matafuegos Iglesias</t>
        </is>
      </c>
      <c r="N37" s="17" t="inlineStr">
        <is>
          <t>C9 armado de ruedas y manguera</t>
        </is>
      </c>
      <c r="O37" s="17" t="n"/>
      <c r="P37" s="33" t="inlineStr">
        <is>
          <t>P</t>
        </is>
      </c>
      <c r="Q37" s="33" t="inlineStr">
        <is>
          <t>FL_DES_ABC_25kg</t>
        </is>
      </c>
      <c r="R37" s="17" t="n"/>
    </row>
    <row r="38" outlineLevel="1">
      <c r="A38" s="33" t="n">
        <v>2</v>
      </c>
      <c r="B38" s="33" t="inlineStr">
        <is>
          <t>ABC25-22</t>
        </is>
      </c>
      <c r="C38" s="17" t="inlineStr">
        <is>
          <t xml:space="preserve">        Soporte de manguera</t>
        </is>
      </c>
      <c r="D38" s="33" t="n">
        <v>1</v>
      </c>
      <c r="E38" s="33" t="inlineStr">
        <is>
          <t>u</t>
        </is>
      </c>
      <c r="F38" s="34" t="n">
        <v>1.5505</v>
      </c>
      <c r="G38" s="34">
        <f>D38*F38</f>
        <v/>
      </c>
      <c r="H38" s="33" t="inlineStr">
        <is>
          <t>Planchuela acero SAE 1010</t>
        </is>
      </c>
      <c r="I38" s="17" t="inlineStr">
        <is>
          <t>378,4 × 193,1 × 40,5</t>
        </is>
      </c>
      <c r="J38" s="33" t="inlineStr">
        <is>
          <t>Compra (estructura)</t>
        </is>
      </c>
      <c r="K38" s="33" t="inlineStr">
        <is>
          <t>Sí</t>
        </is>
      </c>
      <c r="L38" s="17" t="inlineStr">
        <is>
          <t>Yukon / MatafuegosYa S.R.L.</t>
        </is>
      </c>
      <c r="M38" s="17" t="inlineStr">
        <is>
          <t>Matafuegos Iglesias</t>
        </is>
      </c>
      <c r="N38" s="17" t="inlineStr">
        <is>
          <t>C9 armado de ruedas y manguera</t>
        </is>
      </c>
      <c r="O38" s="17" t="n"/>
      <c r="P38" s="33" t="inlineStr">
        <is>
          <t>P</t>
        </is>
      </c>
      <c r="Q38" s="33" t="inlineStr">
        <is>
          <t>FL_DES_ABC_25kg</t>
        </is>
      </c>
      <c r="R38" s="17" t="n"/>
    </row>
    <row r="39" outlineLevel="1">
      <c r="A39" s="33" t="n">
        <v>2</v>
      </c>
      <c r="B39" s="33" t="inlineStr">
        <is>
          <t>ABC25-23</t>
        </is>
      </c>
      <c r="C39" s="17" t="inlineStr">
        <is>
          <t xml:space="preserve">        Racor de manguera</t>
        </is>
      </c>
      <c r="D39" s="33" t="n">
        <v>1</v>
      </c>
      <c r="E39" s="33" t="inlineStr">
        <is>
          <t>u</t>
        </is>
      </c>
      <c r="F39" s="34" t="n">
        <v>0.0612</v>
      </c>
      <c r="G39" s="34">
        <f>D39*F39</f>
        <v/>
      </c>
      <c r="H39" s="33" t="inlineStr">
        <is>
          <t>Latón</t>
        </is>
      </c>
      <c r="I39" s="17" t="inlineStr">
        <is>
          <t>24 × 24 × 16</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FL_DES_ABC_25kg</t>
        </is>
      </c>
      <c r="R39" s="17" t="n"/>
    </row>
    <row r="40" outlineLevel="1">
      <c r="A40" s="33" t="n">
        <v>2</v>
      </c>
      <c r="B40" s="33" t="inlineStr">
        <is>
          <t>ABC25-24</t>
        </is>
      </c>
      <c r="C40" s="17" t="inlineStr">
        <is>
          <t xml:space="preserve">        Manguera</t>
        </is>
      </c>
      <c r="D40" s="33" t="n">
        <v>1</v>
      </c>
      <c r="E40" s="33" t="inlineStr">
        <is>
          <t>u</t>
        </is>
      </c>
      <c r="F40" s="34" t="n">
        <v>0.1382</v>
      </c>
      <c r="G40" s="34">
        <f>D40*F40</f>
        <v/>
      </c>
      <c r="H40" s="33" t="inlineStr">
        <is>
          <t>Caucho sintético</t>
        </is>
      </c>
      <c r="I40" s="17" t="inlineStr">
        <is>
          <t>Ø16 × 895 de largo desarrollado</t>
        </is>
      </c>
      <c r="J40" s="33" t="inlineStr">
        <is>
          <t>Compra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FL_DES_ABC_25kg</t>
        </is>
      </c>
      <c r="R40" s="17" t="n"/>
    </row>
    <row r="41" outlineLevel="1">
      <c r="A41" s="33" t="n">
        <v>2</v>
      </c>
      <c r="B41" s="33" t="inlineStr">
        <is>
          <t>ABC25-25</t>
        </is>
      </c>
      <c r="C41" s="17" t="inlineStr">
        <is>
          <t xml:space="preserve">        Válvula esférica</t>
        </is>
      </c>
      <c r="D41" s="33" t="n">
        <v>1</v>
      </c>
      <c r="E41" s="33" t="inlineStr">
        <is>
          <t>u</t>
        </is>
      </c>
      <c r="F41" s="34" t="n">
        <v>0.4225</v>
      </c>
      <c r="G41" s="34">
        <f>D41*F41</f>
        <v/>
      </c>
      <c r="H41" s="33" t="inlineStr">
        <is>
          <t>Latón cromado</t>
        </is>
      </c>
      <c r="I41" s="17" t="inlineStr">
        <is>
          <t>130 × 60 × 40</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FL_DES_ABC_25kg</t>
        </is>
      </c>
      <c r="R41" s="17" t="n"/>
    </row>
    <row r="42" outlineLevel="1">
      <c r="A42" s="33" t="n">
        <v>2</v>
      </c>
      <c r="B42" s="33" t="inlineStr">
        <is>
          <t>ABC25-26</t>
        </is>
      </c>
      <c r="C42" s="17" t="inlineStr">
        <is>
          <t xml:space="preserve">        Tobera campana</t>
        </is>
      </c>
      <c r="D42" s="33" t="n">
        <v>1</v>
      </c>
      <c r="E42" s="33" t="inlineStr">
        <is>
          <t>u</t>
        </is>
      </c>
      <c r="F42" s="34" t="n">
        <v>0.07969999999999999</v>
      </c>
      <c r="G42" s="34">
        <f>D42*F42</f>
        <v/>
      </c>
      <c r="H42" s="33" t="inlineStr">
        <is>
          <t>Polipropileno</t>
        </is>
      </c>
      <c r="I42" s="17" t="inlineStr">
        <is>
          <t>200 × 68 × 68</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FL_DES_ABC_25kg</t>
        </is>
      </c>
      <c r="R42" s="17" t="n"/>
    </row>
    <row r="43">
      <c r="A43" s="30" t="n">
        <v>1</v>
      </c>
      <c r="B43" s="30" t="inlineStr">
        <is>
          <t>ABC25-S4</t>
        </is>
      </c>
      <c r="C43" s="31" t="inlineStr">
        <is>
          <t xml:space="preserve">    Carro (bastidor y ruedas)</t>
        </is>
      </c>
      <c r="D43" s="30" t="n">
        <v>1</v>
      </c>
      <c r="E43" s="30" t="inlineStr">
        <is>
          <t>u</t>
        </is>
      </c>
      <c r="F43" s="32" t="n"/>
      <c r="G43" s="32">
        <f>G44+G45+G46+G48+G50+G52</f>
        <v/>
      </c>
      <c r="H43" s="30" t="n"/>
      <c r="I43" s="31" t="n"/>
      <c r="J43" s="30" t="inlineStr">
        <is>
          <t>Fabricación</t>
        </is>
      </c>
      <c r="K43" s="30" t="n"/>
      <c r="L43" s="31" t="n"/>
      <c r="M43" s="31" t="n"/>
      <c r="N43" s="31" t="n"/>
      <c r="O43" s="31" t="inlineStr">
        <is>
          <t>IRAM 3550 3.12 y 4.8 (ruedas ≥ Ø300 × 50)</t>
        </is>
      </c>
      <c r="P43" s="30" t="inlineStr">
        <is>
          <t>P</t>
        </is>
      </c>
      <c r="Q43" s="30" t="inlineStr">
        <is>
          <t>FL_DES_ABC_25kg</t>
        </is>
      </c>
      <c r="R43" s="31" t="n"/>
    </row>
    <row r="44" outlineLevel="1">
      <c r="A44" s="45" t="n">
        <v>2</v>
      </c>
      <c r="B44" s="45" t="inlineStr">
        <is>
          <t>ABC25-05</t>
        </is>
      </c>
      <c r="C44" s="19" t="inlineStr">
        <is>
          <t xml:space="preserve">        Neumático macizo</t>
        </is>
      </c>
      <c r="D44" s="45" t="n">
        <v>2</v>
      </c>
      <c r="E44" s="45" t="inlineStr">
        <is>
          <t>u</t>
        </is>
      </c>
      <c r="F44" s="46" t="n">
        <v>2.2468</v>
      </c>
      <c r="G44" s="46">
        <f>D44*F44</f>
        <v/>
      </c>
      <c r="H44" s="45" t="inlineStr">
        <is>
          <t>Caucho</t>
        </is>
      </c>
      <c r="I44" s="19" t="inlineStr">
        <is>
          <t>Ø300 × 55 de ancho</t>
        </is>
      </c>
      <c r="J44" s="45" t="inlineStr">
        <is>
          <t>Compra</t>
        </is>
      </c>
      <c r="K44" s="45" t="inlineStr">
        <is>
          <t>Sí</t>
        </is>
      </c>
      <c r="L44" s="19" t="inlineStr">
        <is>
          <t>Ruedar</t>
        </is>
      </c>
      <c r="M44" s="19" t="inlineStr">
        <is>
          <t>-</t>
        </is>
      </c>
      <c r="N44" s="19" t="inlineStr">
        <is>
          <t>C9 armado de ruedas (S-TC)</t>
        </is>
      </c>
      <c r="O44" s="19" t="n"/>
      <c r="P44" s="45" t="inlineStr">
        <is>
          <t>P</t>
        </is>
      </c>
      <c r="Q44" s="45" t="inlineStr">
        <is>
          <t>FL_DES_ABC_25kg</t>
        </is>
      </c>
      <c r="R44" s="19" t="inlineStr">
        <is>
          <t>IRAM 3550 4.8: Ø ≥ 300 y ancho ≥ 50</t>
        </is>
      </c>
    </row>
    <row r="45" outlineLevel="1">
      <c r="A45" s="33" t="n">
        <v>2</v>
      </c>
      <c r="B45" s="33" t="inlineStr">
        <is>
          <t>ABC25-06</t>
        </is>
      </c>
      <c r="C45" s="17" t="inlineStr">
        <is>
          <t xml:space="preserve">        Llanta con cubo</t>
        </is>
      </c>
      <c r="D45" s="33" t="n">
        <v>2</v>
      </c>
      <c r="E45" s="33" t="inlineStr">
        <is>
          <t>u</t>
        </is>
      </c>
      <c r="F45" s="34" t="n">
        <v>2.9594</v>
      </c>
      <c r="G45" s="34">
        <f>D45*F45</f>
        <v/>
      </c>
      <c r="H45" s="33" t="inlineStr">
        <is>
          <t>Chapa acero SAE 1010</t>
        </is>
      </c>
      <c r="I45" s="17" t="inlineStr">
        <is>
          <t>Ø216 × 65 de ancho</t>
        </is>
      </c>
      <c r="J45" s="33" t="inlineStr">
        <is>
          <t>Incluido en rueda</t>
        </is>
      </c>
      <c r="K45" s="33" t="inlineStr">
        <is>
          <t>No</t>
        </is>
      </c>
      <c r="L45" s="17" t="n"/>
      <c r="M45" s="17" t="n"/>
      <c r="N45" s="17" t="inlineStr">
        <is>
          <t>C9 armado de ruedas (S-TC)</t>
        </is>
      </c>
      <c r="O45" s="17" t="n"/>
      <c r="P45" s="33" t="inlineStr">
        <is>
          <t>P</t>
        </is>
      </c>
      <c r="Q45" s="33" t="inlineStr">
        <is>
          <t>FL_DES_ABC_25kg</t>
        </is>
      </c>
      <c r="R45" s="17" t="n"/>
    </row>
    <row r="46" outlineLevel="1">
      <c r="A46" s="33" t="n">
        <v>2</v>
      </c>
      <c r="B46" s="33" t="inlineStr">
        <is>
          <t>ABC25-07</t>
        </is>
      </c>
      <c r="C46" s="17" t="inlineStr">
        <is>
          <t xml:space="preserve">        Eje de ruedas</t>
        </is>
      </c>
      <c r="D46" s="33" t="n">
        <v>1</v>
      </c>
      <c r="E46" s="33" t="inlineStr">
        <is>
          <t>u</t>
        </is>
      </c>
      <c r="F46" s="34" t="n">
        <v>1.4065</v>
      </c>
      <c r="G46" s="34">
        <f>D46*F46</f>
        <v/>
      </c>
      <c r="H46" s="33" t="inlineStr">
        <is>
          <t>Acero SAE 1045</t>
        </is>
      </c>
      <c r="I46" s="17" t="inlineStr">
        <is>
          <t>Ø25 × 365 de largo</t>
        </is>
      </c>
      <c r="J46" s="33" t="inlineStr">
        <is>
          <t>Fabricación</t>
        </is>
      </c>
      <c r="K46" s="33" t="inlineStr">
        <is>
          <t>No</t>
        </is>
      </c>
      <c r="L46" s="17" t="n"/>
      <c r="M46" s="17" t="n"/>
      <c r="N46" s="17" t="inlineStr">
        <is>
          <t>Corte en sierra -&gt; curvado / plegado -&gt; soldadura MAG del carro -&gt; C9 armado (S-TC); puesto de soldadura de carros a incorporar al layout</t>
        </is>
      </c>
      <c r="O46" s="17" t="n"/>
      <c r="P46" s="33" t="inlineStr">
        <is>
          <t>P</t>
        </is>
      </c>
      <c r="Q46" s="33" t="inlineStr">
        <is>
          <t>FL_DES_ABC_25kg</t>
        </is>
      </c>
      <c r="R46" s="17" t="n"/>
    </row>
    <row r="47" outlineLevel="2">
      <c r="A47" s="35" t="n">
        <v>3</v>
      </c>
      <c r="B47" s="35" t="inlineStr">
        <is>
          <t>MP-EJE</t>
        </is>
      </c>
      <c r="C47" s="36" t="inlineStr">
        <is>
          <t xml:space="preserve">            Redondo SAE 1045 Ø25 (tramo de barra de 6 m)</t>
        </is>
      </c>
      <c r="D47" s="35" t="n">
        <v>0.0608</v>
      </c>
      <c r="E47" s="35" t="inlineStr">
        <is>
          <t>barra</t>
        </is>
      </c>
      <c r="F47" s="37" t="n">
        <v>23.12</v>
      </c>
      <c r="G47" s="37">
        <f>D47*F47</f>
        <v/>
      </c>
      <c r="H47" s="35" t="inlineStr">
        <is>
          <t>Redondo SAE 1045 Ø25</t>
        </is>
      </c>
      <c r="I47" s="36" t="inlineStr">
        <is>
          <t>365 mm por pieza (kg por barra de 6 m)</t>
        </is>
      </c>
      <c r="J47" s="35" t="inlineStr">
        <is>
          <t>Compra</t>
        </is>
      </c>
      <c r="K47" s="35" t="inlineStr">
        <is>
          <t>Sí</t>
        </is>
      </c>
      <c r="L47" s="36" t="inlineStr">
        <is>
          <t>Hierros Parrotta</t>
        </is>
      </c>
      <c r="M47" s="36" t="inlineStr">
        <is>
          <t>-</t>
        </is>
      </c>
      <c r="N47" s="36" t="inlineStr">
        <is>
          <t>Corte en sierra</t>
        </is>
      </c>
      <c r="O47" s="36" t="n"/>
      <c r="P47" s="35" t="inlineStr">
        <is>
          <t>C</t>
        </is>
      </c>
      <c r="Q47" s="35" t="n"/>
      <c r="R47" s="36" t="n"/>
    </row>
    <row r="48" outlineLevel="1">
      <c r="A48" s="33" t="n">
        <v>2</v>
      </c>
      <c r="B48" s="33" t="inlineStr">
        <is>
          <t>ABC25-08</t>
        </is>
      </c>
      <c r="C48" s="17" t="inlineStr">
        <is>
          <t xml:space="preserve">        Bastidor</t>
        </is>
      </c>
      <c r="D48" s="33" t="n">
        <v>1</v>
      </c>
      <c r="E48" s="33" t="inlineStr">
        <is>
          <t>u</t>
        </is>
      </c>
      <c r="F48" s="34" t="n">
        <v>1.9749</v>
      </c>
      <c r="G48" s="34">
        <f>D48*F48</f>
        <v/>
      </c>
      <c r="H48" s="33" t="inlineStr">
        <is>
          <t>Caño acero SAE 1010 Ø25,4×1,6</t>
        </is>
      </c>
      <c r="I48" s="17" t="inlineStr">
        <is>
          <t>caño Ø25,4 × 1,6 × 2.069 de largo desarrollado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FL_DES_ABC_25kg</t>
        </is>
      </c>
      <c r="R48" s="17" t="n"/>
    </row>
    <row r="49" outlineLevel="2">
      <c r="A49" s="35" t="n">
        <v>3</v>
      </c>
      <c r="B49" s="35" t="inlineStr">
        <is>
          <t>MP-CANO-CARRO</t>
        </is>
      </c>
      <c r="C49" s="36" t="inlineStr">
        <is>
          <t xml:space="preserve">            Caño SAE 1010 Ø25,4 × 1,6 (tramo de barra de 6 m)</t>
        </is>
      </c>
      <c r="D49" s="35" t="n">
        <v>0.3448</v>
      </c>
      <c r="E49" s="35" t="inlineStr">
        <is>
          <t>barra</t>
        </is>
      </c>
      <c r="F49" s="37" t="n">
        <v>5.635</v>
      </c>
      <c r="G49" s="37">
        <f>D49*F49</f>
        <v/>
      </c>
      <c r="H49" s="35" t="inlineStr">
        <is>
          <t>Caño acero SAE 1010 Ø25,4 × 1,6</t>
        </is>
      </c>
      <c r="I49" s="36" t="inlineStr">
        <is>
          <t>2.069 mm por pieza (kg por barra de 6 m)</t>
        </is>
      </c>
      <c r="J49" s="35" t="inlineStr">
        <is>
          <t>Compra</t>
        </is>
      </c>
      <c r="K49" s="35" t="inlineStr">
        <is>
          <t>Sí</t>
        </is>
      </c>
      <c r="L49" s="36" t="inlineStr">
        <is>
          <t>Metalpri / Prilux</t>
        </is>
      </c>
      <c r="M49" s="36" t="inlineStr">
        <is>
          <t>Comercial MID</t>
        </is>
      </c>
      <c r="N49" s="36" t="inlineStr">
        <is>
          <t>Corte en sierra</t>
        </is>
      </c>
      <c r="O49" s="36" t="n"/>
      <c r="P49" s="35" t="inlineStr">
        <is>
          <t>C</t>
        </is>
      </c>
      <c r="Q49" s="35" t="n"/>
      <c r="R49" s="36" t="inlineStr">
        <is>
          <t>Largo desarrollado del plano + curvado</t>
        </is>
      </c>
    </row>
    <row r="50" outlineLevel="1">
      <c r="A50" s="33" t="n">
        <v>2</v>
      </c>
      <c r="B50" s="33" t="inlineStr">
        <is>
          <t>ABC25-09</t>
        </is>
      </c>
      <c r="C50" s="17" t="inlineStr">
        <is>
          <t xml:space="preserve">        Sunchos de fijación</t>
        </is>
      </c>
      <c r="D50" s="33" t="n">
        <v>1</v>
      </c>
      <c r="E50" s="33" t="inlineStr">
        <is>
          <t>u</t>
        </is>
      </c>
      <c r="F50" s="34" t="n">
        <v>5.4531</v>
      </c>
      <c r="G50" s="34">
        <f>D50*F50</f>
        <v/>
      </c>
      <c r="H50" s="33" t="inlineStr">
        <is>
          <t>Planchuela acero SAE 1010</t>
        </is>
      </c>
      <c r="I50" s="17" t="inlineStr">
        <is>
          <t>414 × 335,8 × 315</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FL_DES_ABC_25kg</t>
        </is>
      </c>
      <c r="R50" s="17" t="n"/>
    </row>
    <row r="51" outlineLevel="2">
      <c r="A51" s="35" t="n">
        <v>3</v>
      </c>
      <c r="B51" s="35" t="inlineStr">
        <is>
          <t>MP-PLANCHUELA</t>
        </is>
      </c>
      <c r="C51" s="36" t="inlineStr">
        <is>
          <t xml:space="preserve">            Planchuela SAE 1010 40 × 6 (tramo de barra de 6 m)</t>
        </is>
      </c>
      <c r="D51" s="35" t="n">
        <v>0.4824</v>
      </c>
      <c r="E51" s="35" t="inlineStr">
        <is>
          <t>barra</t>
        </is>
      </c>
      <c r="F51" s="37" t="n">
        <v>11.304</v>
      </c>
      <c r="G51" s="37">
        <f>D51*F51</f>
        <v/>
      </c>
      <c r="H51" s="35" t="inlineStr">
        <is>
          <t>Planchuela SAE 1010 40 × 6</t>
        </is>
      </c>
      <c r="I51" s="36" t="inlineStr">
        <is>
          <t>2.894 mm por pieza (kg por barra de 6 m)</t>
        </is>
      </c>
      <c r="J51" s="35" t="inlineStr">
        <is>
          <t>Compra</t>
        </is>
      </c>
      <c r="K51" s="35" t="inlineStr">
        <is>
          <t>Sí</t>
        </is>
      </c>
      <c r="L51" s="36" t="inlineStr">
        <is>
          <t>Hierros Parrotta</t>
        </is>
      </c>
      <c r="M51" s="36" t="inlineStr">
        <is>
          <t>-</t>
        </is>
      </c>
      <c r="N51" s="36" t="inlineStr">
        <is>
          <t>Corte en sierra</t>
        </is>
      </c>
      <c r="O51" s="36" t="n"/>
      <c r="P51" s="35" t="inlineStr">
        <is>
          <t>C</t>
        </is>
      </c>
      <c r="Q51" s="35" t="n"/>
      <c r="R51" s="36" t="inlineStr">
        <is>
          <t>Largo = volumen del plano / sección 40 × 6</t>
        </is>
      </c>
    </row>
    <row r="52" outlineLevel="1">
      <c r="A52" s="33" t="n">
        <v>2</v>
      </c>
      <c r="B52" s="33" t="inlineStr">
        <is>
          <t>ABC25-10</t>
        </is>
      </c>
      <c r="C52" s="17" t="inlineStr">
        <is>
          <t xml:space="preserve">        Apoyo delantero</t>
        </is>
      </c>
      <c r="D52" s="33" t="n">
        <v>1</v>
      </c>
      <c r="E52" s="33" t="inlineStr">
        <is>
          <t>u</t>
        </is>
      </c>
      <c r="F52" s="34" t="n">
        <v>0.3022</v>
      </c>
      <c r="G52" s="34">
        <f>D52*F52</f>
        <v/>
      </c>
      <c r="H52" s="33" t="inlineStr">
        <is>
          <t>Chapa acero SAE 1010 plegada</t>
        </is>
      </c>
      <c r="I52" s="17" t="inlineStr">
        <is>
          <t>70 × 55 × 50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FL_DES_ABC_25kg</t>
        </is>
      </c>
      <c r="R52" s="17" t="n"/>
    </row>
    <row r="53" outlineLevel="2">
      <c r="A53" s="47" t="n">
        <v>3</v>
      </c>
      <c r="B53" s="47" t="inlineStr">
        <is>
          <t>MP-CHAPA-APOYO</t>
        </is>
      </c>
      <c r="C53" s="48" t="inlineStr">
        <is>
          <t xml:space="preserve">            Recorte de chapa LAC e=3,2 para el apoyo plegado</t>
        </is>
      </c>
      <c r="D53" s="47" t="n">
        <v>1</v>
      </c>
      <c r="E53" s="47" t="inlineStr">
        <is>
          <t>u</t>
        </is>
      </c>
      <c r="F53" s="49" t="n">
        <v>0.348</v>
      </c>
      <c r="G53" s="49">
        <f>D53*F53</f>
        <v/>
      </c>
      <c r="H53" s="47" t="inlineStr">
        <is>
          <t>Chapa LAC SAE 1010</t>
        </is>
      </c>
      <c r="I53" s="48" t="inlineStr">
        <is>
          <t>desarrollo del apoyo + 15 % de recorte</t>
        </is>
      </c>
      <c r="J53" s="47" t="inlineStr">
        <is>
          <t>Compra</t>
        </is>
      </c>
      <c r="K53" s="47" t="inlineStr">
        <is>
          <t>Sí</t>
        </is>
      </c>
      <c r="L53" s="48" t="inlineStr">
        <is>
          <t>Pradecon S.A.</t>
        </is>
      </c>
      <c r="M53" s="48" t="inlineStr">
        <is>
          <t>Pacheco Chapas</t>
        </is>
      </c>
      <c r="N53" s="48" t="inlineStr">
        <is>
          <t>Corte y plegado</t>
        </is>
      </c>
      <c r="O53" s="48" t="n"/>
      <c r="P53" s="47" t="inlineStr">
        <is>
          <t>C</t>
        </is>
      </c>
      <c r="Q53" s="47" t="n"/>
      <c r="R53" s="48" t="inlineStr">
        <is>
          <t>15 % de recorte: valor de taller sin medir</t>
        </is>
      </c>
    </row>
    <row r="54">
      <c r="A54" s="30" t="n">
        <v>1</v>
      </c>
      <c r="B54" s="30" t="inlineStr">
        <is>
          <t>ABC25-S5</t>
        </is>
      </c>
      <c r="C54" s="31" t="inlineStr">
        <is>
          <t xml:space="preserve">    Carga: agente extintor y gas impulsor</t>
        </is>
      </c>
      <c r="D54" s="30" t="n">
        <v>1</v>
      </c>
      <c r="E54" s="30" t="inlineStr">
        <is>
          <t>u</t>
        </is>
      </c>
      <c r="F54" s="32" t="n"/>
      <c r="G54" s="32">
        <f>G55+G56</f>
        <v/>
      </c>
      <c r="H54" s="30" t="n"/>
      <c r="I54" s="31" t="n"/>
      <c r="J54" s="30" t="inlineStr">
        <is>
          <t>Carga en planta</t>
        </is>
      </c>
      <c r="K54" s="30" t="n"/>
      <c r="L54" s="31" t="n"/>
      <c r="M54" s="31" t="n"/>
      <c r="N54" s="31" t="inlineStr">
        <is>
          <t>18 Carga de polvo (T01) / C8 (T02)</t>
        </is>
      </c>
      <c r="O54" s="31" t="n"/>
      <c r="P54" s="30" t="n"/>
      <c r="Q54" s="30" t="n"/>
      <c r="R54" s="31" t="n"/>
    </row>
    <row r="55" outlineLevel="1">
      <c r="A55" s="33" t="n">
        <v>2</v>
      </c>
      <c r="B55" s="33" t="inlineStr">
        <is>
          <t>ABC25-A1</t>
        </is>
      </c>
      <c r="C55" s="17" t="inlineStr">
        <is>
          <t xml:space="preserve">        Polvo químico seco ABC 90 (Sello IRAM 3569)</t>
        </is>
      </c>
      <c r="D55" s="33" t="n">
        <v>25</v>
      </c>
      <c r="E55" s="33" t="inlineStr">
        <is>
          <t>kg</t>
        </is>
      </c>
      <c r="F55" s="34" t="n">
        <v>1</v>
      </c>
      <c r="G55" s="34">
        <f>D55*F55</f>
        <v/>
      </c>
      <c r="H55" s="33" t="inlineStr">
        <is>
          <t>Polvo químico seco ABC 90 (Sello IRAM 3569)</t>
        </is>
      </c>
      <c r="I55" s="17" t="inlineStr">
        <is>
          <t>nominal 25 kg; tolerancia ± 3 % (IRAM 3517-2:2020 tabla 3)</t>
        </is>
      </c>
      <c r="J55" s="33" t="inlineStr">
        <is>
          <t>Compra</t>
        </is>
      </c>
      <c r="K55" s="33" t="inlineStr">
        <is>
          <t>Sí</t>
        </is>
      </c>
      <c r="L55" s="17" t="inlineStr">
        <is>
          <t>DEM S.A. (DEMSA)</t>
        </is>
      </c>
      <c r="M55" s="17" t="inlineStr">
        <is>
          <t>Polvex S.R.L. / Sancibrao</t>
        </is>
      </c>
      <c r="N55" s="17" t="inlineStr">
        <is>
          <t>SP-1 almacén previo a la carga</t>
        </is>
      </c>
      <c r="O55" s="17" t="inlineStr">
        <is>
          <t>IRAM 3569</t>
        </is>
      </c>
      <c r="P55" s="33" t="inlineStr">
        <is>
          <t>N</t>
        </is>
      </c>
      <c r="Q55" s="33" t="n"/>
      <c r="R5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41" t="n">
        <v>2</v>
      </c>
      <c r="B56" s="41" t="inlineStr">
        <is>
          <t>ABC25-A2</t>
        </is>
      </c>
      <c r="C56" s="18" t="inlineStr">
        <is>
          <t xml:space="preserve">        Gas impulsor: N₂</t>
        </is>
      </c>
      <c r="D56" s="41" t="n">
        <v>0.2013</v>
      </c>
      <c r="E56" s="41" t="inlineStr">
        <is>
          <t>kg</t>
        </is>
      </c>
      <c r="F56" s="42" t="n">
        <v>1</v>
      </c>
      <c r="G56" s="42">
        <f>D56*F56</f>
        <v/>
      </c>
      <c r="H56" s="41" t="inlineStr">
        <is>
          <t>N₂</t>
        </is>
      </c>
      <c r="I56" s="18" t="inlineStr">
        <is>
          <t>161,1 L normales para 1,4 MPa a 20 °C en 11,67 dm³ libres</t>
        </is>
      </c>
      <c r="J56" s="41" t="inlineStr">
        <is>
          <t>Compra</t>
        </is>
      </c>
      <c r="K56" s="41"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41" t="inlineStr">
        <is>
          <t>C</t>
        </is>
      </c>
      <c r="Q56" s="41" t="n"/>
      <c r="R56" s="18" t="inlineStr">
        <is>
          <t>N₂ ≥ 99,8 %, H₂O ≤ 40 ppm (Q-N2, Air Liquide) · volumen libre con ρ empacada mínima 1,1 kg/dm³ (NOM-104-STPS-2001); confirmar con descarga ≥ 85 % (IRAM 3523 4.9.1)</t>
        </is>
      </c>
    </row>
    <row r="57">
      <c r="A57" s="30" t="n">
        <v>1</v>
      </c>
      <c r="B57" s="30" t="inlineStr">
        <is>
          <t>ABC25-S6</t>
        </is>
      </c>
      <c r="C57" s="31" t="inlineStr">
        <is>
          <t xml:space="preserve">    Identificación y precinto</t>
        </is>
      </c>
      <c r="D57" s="30" t="n">
        <v>1</v>
      </c>
      <c r="E57" s="30" t="inlineStr">
        <is>
          <t>u</t>
        </is>
      </c>
      <c r="F57" s="32" t="n"/>
      <c r="G57" s="32">
        <f>G58+G59+G60+G61+G62+G63+G64</f>
        <v/>
      </c>
      <c r="H57" s="30" t="n"/>
      <c r="I57" s="31" t="n"/>
      <c r="J57" s="30" t="inlineStr">
        <is>
          <t>Compra</t>
        </is>
      </c>
      <c r="K57" s="30" t="n"/>
      <c r="L57" s="31" t="n"/>
      <c r="M57" s="31" t="n"/>
      <c r="N57" s="31" t="inlineStr">
        <is>
          <t>22 Etiquetado (T07)</t>
        </is>
      </c>
      <c r="O57" s="31" t="n"/>
      <c r="P57" s="30" t="n"/>
      <c r="Q57" s="30" t="n"/>
      <c r="R57" s="31" t="n"/>
    </row>
    <row r="58" outlineLevel="1">
      <c r="A58" s="33" t="n">
        <v>2</v>
      </c>
      <c r="B58" s="33" t="inlineStr">
        <is>
          <t>ABC25-27</t>
        </is>
      </c>
      <c r="C58" s="17" t="inlineStr">
        <is>
          <t xml:space="preserve">        Etiqueta / placa de características</t>
        </is>
      </c>
      <c r="D58" s="33" t="n">
        <v>1</v>
      </c>
      <c r="E58" s="33" t="inlineStr">
        <is>
          <t>u</t>
        </is>
      </c>
      <c r="F58" s="34" t="n">
        <v>0.0456</v>
      </c>
      <c r="G58" s="34">
        <f>D58*F58</f>
        <v/>
      </c>
      <c r="H58" s="33" t="inlineStr">
        <is>
          <t>Vinilo autoadhesivo laminado</t>
        </is>
      </c>
      <c r="I58" s="17" t="inlineStr">
        <is>
          <t>522 × 208 (desarrollo × alto: panel central 108° + 2 alas laterales), e ≈ 0,3, laminado UV</t>
        </is>
      </c>
      <c r="J58" s="33" t="inlineStr">
        <is>
          <t>Compra</t>
        </is>
      </c>
      <c r="K58" s="33" t="inlineStr">
        <is>
          <t>Sí</t>
        </is>
      </c>
      <c r="L58" s="17" t="inlineStr">
        <is>
          <t>Astuprint</t>
        </is>
      </c>
      <c r="M58" s="17" t="inlineStr">
        <is>
          <t>Multilabel Argentina S.A.</t>
        </is>
      </c>
      <c r="N58" s="17" t="inlineStr">
        <is>
          <t>22 Etiquetado (T07)</t>
        </is>
      </c>
      <c r="O58" s="17" t="inlineStr">
        <is>
          <t>IRAM 3534 · IRAM 3550 cap. 5 · relevamiento de mercado</t>
        </is>
      </c>
      <c r="P58" s="33" t="inlineStr">
        <is>
          <t>P</t>
        </is>
      </c>
      <c r="Q58" s="33" t="inlineStr">
        <is>
          <t>FL_DES_ABC_25kg</t>
        </is>
      </c>
      <c r="R58" s="17" t="inlineStr">
        <is>
          <t>IRAM 3534</t>
        </is>
      </c>
    </row>
    <row r="59" outlineLevel="1">
      <c r="A59" s="33" t="n">
        <v>2</v>
      </c>
      <c r="B59" s="33" t="inlineStr">
        <is>
          <t>ABC25-28</t>
        </is>
      </c>
      <c r="C59" s="17" t="inlineStr">
        <is>
          <t xml:space="preserve">        Oblea de fabricación (PBA)</t>
        </is>
      </c>
      <c r="D59" s="33" t="n">
        <v>1</v>
      </c>
      <c r="E59" s="33" t="inlineStr">
        <is>
          <t>u</t>
        </is>
      </c>
      <c r="F59" s="34" t="n">
        <v>0.0009</v>
      </c>
      <c r="G59" s="34">
        <f>D59*F59</f>
        <v/>
      </c>
      <c r="H59" s="33" t="inlineStr">
        <is>
          <t>Papel de seguridad autodestructible</t>
        </is>
      </c>
      <c r="I59" s="17" t="inlineStr">
        <is>
          <t>Ø46 (Res. OPDS 522/07), numerada, autodestructible</t>
        </is>
      </c>
      <c r="J59" s="33" t="inlineStr">
        <is>
          <t>Compra</t>
        </is>
      </c>
      <c r="K59" s="33" t="inlineStr">
        <is>
          <t>Sí</t>
        </is>
      </c>
      <c r="L59" s="17" t="inlineStr">
        <is>
          <t>Ministerio de Ambiente PBA (ex OPDS)</t>
        </is>
      </c>
      <c r="M59" s="17" t="inlineStr">
        <is>
          <t>-</t>
        </is>
      </c>
      <c r="N59" s="17" t="inlineStr">
        <is>
          <t>22 Etiquetado (T07)</t>
        </is>
      </c>
      <c r="O59" s="17" t="inlineStr">
        <is>
          <t>Res. OPDS 522/07 anexos 1, 2 y 6</t>
        </is>
      </c>
      <c r="P59" s="33" t="inlineStr">
        <is>
          <t>P</t>
        </is>
      </c>
      <c r="Q59" s="33" t="inlineStr">
        <is>
          <t>FL_DES_ABC_25kg</t>
        </is>
      </c>
      <c r="R59" s="17" t="inlineStr">
        <is>
          <t>Res. 522/07</t>
        </is>
      </c>
    </row>
    <row r="60" outlineLevel="1">
      <c r="A60" s="33" t="n">
        <v>2</v>
      </c>
      <c r="B60" s="33" t="inlineStr">
        <is>
          <t>ABC25-29</t>
        </is>
      </c>
      <c r="C60" s="17" t="inlineStr">
        <is>
          <t xml:space="preserve">        Estampilla IRAM de conformidad</t>
        </is>
      </c>
      <c r="D60" s="33" t="n">
        <v>1</v>
      </c>
      <c r="E60" s="33" t="inlineStr">
        <is>
          <t>u</t>
        </is>
      </c>
      <c r="F60" s="34" t="n">
        <v>0.001</v>
      </c>
      <c r="G60" s="34">
        <f>D60*F60</f>
        <v/>
      </c>
      <c r="H60" s="33" t="inlineStr">
        <is>
          <t>Provista por IRAM (Anexo R)</t>
        </is>
      </c>
      <c r="I60" s="17" t="inlineStr">
        <is>
          <t>60 × 40</t>
        </is>
      </c>
      <c r="J60" s="33" t="inlineStr">
        <is>
          <t>Compra</t>
        </is>
      </c>
      <c r="K60" s="33" t="inlineStr">
        <is>
          <t>Sí</t>
        </is>
      </c>
      <c r="L60" s="17" t="inlineStr">
        <is>
          <t>IRAM - Instituto Argentino de Normalización</t>
        </is>
      </c>
      <c r="M60" s="17" t="inlineStr">
        <is>
          <t>-</t>
        </is>
      </c>
      <c r="N60" s="17" t="inlineStr">
        <is>
          <t>22 Etiquetado (T07)</t>
        </is>
      </c>
      <c r="O60" s="17" t="inlineStr">
        <is>
          <t>IRAM Anexo R (DC-PG-129)</t>
        </is>
      </c>
      <c r="P60" s="33" t="inlineStr">
        <is>
          <t>P</t>
        </is>
      </c>
      <c r="Q60" s="33" t="inlineStr">
        <is>
          <t>FL_DES_ABC_25kg</t>
        </is>
      </c>
      <c r="R60" s="17" t="inlineStr">
        <is>
          <t>numerada</t>
        </is>
      </c>
    </row>
    <row r="61" outlineLevel="1">
      <c r="A61" s="33" t="n">
        <v>2</v>
      </c>
      <c r="B61" s="33" t="inlineStr">
        <is>
          <t>ABC25-30</t>
        </is>
      </c>
      <c r="C61" s="17" t="inlineStr">
        <is>
          <t xml:space="preserve">        Tarjeta de identificación AGC (CABA)</t>
        </is>
      </c>
      <c r="D61" s="33" t="n">
        <v>1</v>
      </c>
      <c r="E61" s="33" t="inlineStr">
        <is>
          <t>u</t>
        </is>
      </c>
      <c r="F61" s="34" t="n">
        <v>0.0032</v>
      </c>
      <c r="G61" s="34">
        <f>D61*F61</f>
        <v/>
      </c>
      <c r="H61" s="33" t="inlineStr">
        <is>
          <t>Etiqueta autoadhesiva emitida por la AGC</t>
        </is>
      </c>
      <c r="I61" s="17" t="inlineStr">
        <is>
          <t>140 × 55</t>
        </is>
      </c>
      <c r="J61" s="33" t="inlineStr">
        <is>
          <t>Compra</t>
        </is>
      </c>
      <c r="K61" s="33" t="inlineStr">
        <is>
          <t>Sí</t>
        </is>
      </c>
      <c r="L61" s="17" t="inlineStr">
        <is>
          <t>Agencia Gubernamental de Control (CABA)</t>
        </is>
      </c>
      <c r="M61" s="17" t="inlineStr">
        <is>
          <t>-</t>
        </is>
      </c>
      <c r="N61" s="17" t="inlineStr">
        <is>
          <t>22 Etiquetado (T07)</t>
        </is>
      </c>
      <c r="O61" s="17" t="inlineStr">
        <is>
          <t>Ordenanza 40.473 art. 6 · Res. AGC 32/15</t>
        </is>
      </c>
      <c r="P61" s="33" t="inlineStr">
        <is>
          <t>P</t>
        </is>
      </c>
      <c r="Q61" s="33" t="inlineStr">
        <is>
          <t>FL_DES_ABC_25kg</t>
        </is>
      </c>
      <c r="R61" s="17" t="inlineStr">
        <is>
          <t>sólo destino CABA</t>
        </is>
      </c>
    </row>
    <row r="62" outlineLevel="1">
      <c r="A62" s="33" t="n">
        <v>2</v>
      </c>
      <c r="B62" s="33" t="inlineStr">
        <is>
          <t>ABC25-31</t>
        </is>
      </c>
      <c r="C62" s="17" t="inlineStr">
        <is>
          <t xml:space="preserve">        Etiqueta de n° de serie GS1</t>
        </is>
      </c>
      <c r="D62" s="33" t="n">
        <v>1</v>
      </c>
      <c r="E62" s="33" t="inlineStr">
        <is>
          <t>u</t>
        </is>
      </c>
      <c r="F62" s="34" t="n">
        <v>0.0005</v>
      </c>
      <c r="G62" s="34">
        <f>D62*F62</f>
        <v/>
      </c>
      <c r="H62" s="33" t="inlineStr">
        <is>
          <t>Poliéster autoadhesivo impreso térmico</t>
        </is>
      </c>
      <c r="I62" s="17" t="inlineStr">
        <is>
          <t>45 × 25</t>
        </is>
      </c>
      <c r="J62" s="33" t="inlineStr">
        <is>
          <t>Compra</t>
        </is>
      </c>
      <c r="K62" s="33" t="inlineStr">
        <is>
          <t>Sí</t>
        </is>
      </c>
      <c r="L62" s="17" t="inlineStr">
        <is>
          <t>Astuprint</t>
        </is>
      </c>
      <c r="M62" s="17" t="inlineStr">
        <is>
          <t>GS1 Argentina</t>
        </is>
      </c>
      <c r="N62" s="17" t="inlineStr">
        <is>
          <t>22 Etiquetado (T07)</t>
        </is>
      </c>
      <c r="O62" s="17" t="inlineStr">
        <is>
          <t>GS1 Argentina (GTIN 779) · trazabilidad IRAM 3523 5.1</t>
        </is>
      </c>
      <c r="P62" s="33" t="inlineStr">
        <is>
          <t>P</t>
        </is>
      </c>
      <c r="Q62" s="33" t="inlineStr">
        <is>
          <t>FL_DES_ABC_25kg</t>
        </is>
      </c>
      <c r="R62" s="17" t="inlineStr">
        <is>
          <t>QR GTIN + serie</t>
        </is>
      </c>
    </row>
    <row r="63" outlineLevel="1">
      <c r="A63" s="33" t="n">
        <v>2</v>
      </c>
      <c r="B63" s="33" t="inlineStr">
        <is>
          <t>ABC25-33</t>
        </is>
      </c>
      <c r="C63" s="17" t="inlineStr">
        <is>
          <t xml:space="preserve">        Faja de garantía válvula-cuello</t>
        </is>
      </c>
      <c r="D63" s="33" t="n">
        <v>1</v>
      </c>
      <c r="E63" s="33" t="inlineStr">
        <is>
          <t>u</t>
        </is>
      </c>
      <c r="F63" s="34" t="n">
        <v>0.0003</v>
      </c>
      <c r="G63" s="34">
        <f>D63*F63</f>
        <v/>
      </c>
      <c r="H63" s="33" t="inlineStr">
        <is>
          <t>Vinilo destructible rayado rojo/blanco</t>
        </is>
      </c>
      <c r="I63" s="17" t="inlineStr">
        <is>
          <t>30 × 40</t>
        </is>
      </c>
      <c r="J63" s="33" t="inlineStr">
        <is>
          <t>Compra</t>
        </is>
      </c>
      <c r="K63" s="33" t="inlineStr">
        <is>
          <t>Sí</t>
        </is>
      </c>
      <c r="L63" s="17" t="inlineStr">
        <is>
          <t>Astuprint</t>
        </is>
      </c>
      <c r="M63" s="17" t="inlineStr">
        <is>
          <t>Multilabel Argentina S.A.</t>
        </is>
      </c>
      <c r="N63" s="17" t="inlineStr">
        <is>
          <t>22 Etiquetado (T07)</t>
        </is>
      </c>
      <c r="O63" s="17" t="inlineStr">
        <is>
          <t>Sin norma: práctica de mercado (garantía de fábrica)</t>
        </is>
      </c>
      <c r="P63" s="33" t="inlineStr">
        <is>
          <t>P</t>
        </is>
      </c>
      <c r="Q63" s="33" t="inlineStr">
        <is>
          <t>FL_DES_ABC_25kg</t>
        </is>
      </c>
      <c r="R63" s="17" t="inlineStr">
        <is>
          <t>nuevo sin abrir</t>
        </is>
      </c>
    </row>
    <row r="64" outlineLevel="1">
      <c r="A64" s="33" t="n">
        <v>2</v>
      </c>
      <c r="B64" s="33" t="inlineStr">
        <is>
          <t>ABC25-34</t>
        </is>
      </c>
      <c r="C64" s="17" t="inlineStr">
        <is>
          <t xml:space="preserve">        Precinto de fábrica</t>
        </is>
      </c>
      <c r="D64" s="33" t="n">
        <v>1</v>
      </c>
      <c r="E64" s="33" t="inlineStr">
        <is>
          <t>u</t>
        </is>
      </c>
      <c r="F64" s="34" t="n">
        <v>0.0002</v>
      </c>
      <c r="G64" s="34">
        <f>D64*F64</f>
        <v/>
      </c>
      <c r="H64" s="33" t="inlineStr">
        <is>
          <t>Polipropileno color</t>
        </is>
      </c>
      <c r="I64" s="17" t="inlineStr">
        <is>
          <t>Ø5 × 10, numerado, rotura 30-50 N</t>
        </is>
      </c>
      <c r="J64" s="33" t="inlineStr">
        <is>
          <t>Compra</t>
        </is>
      </c>
      <c r="K64" s="33" t="inlineStr">
        <is>
          <t>Sí</t>
        </is>
      </c>
      <c r="L64" s="17" t="inlineStr">
        <is>
          <t>SonFuertes (vía Papelera Damián)</t>
        </is>
      </c>
      <c r="M64" s="17" t="inlineStr">
        <is>
          <t>Precinter S.R.L.</t>
        </is>
      </c>
      <c r="N64" s="17" t="inlineStr">
        <is>
          <t>20 Presurización (T05)</t>
        </is>
      </c>
      <c r="O64" s="17" t="inlineStr">
        <is>
          <t>IRAM 3523 3.3.2 · IRAM 3517-2:2020 9.4.13</t>
        </is>
      </c>
      <c r="P64" s="33" t="inlineStr">
        <is>
          <t>P</t>
        </is>
      </c>
      <c r="Q64" s="33" t="inlineStr">
        <is>
          <t>FL_DES_ABC_25kg</t>
        </is>
      </c>
      <c r="R64" s="17" t="inlineStr">
        <is>
          <t>id. FLAMA y lote</t>
        </is>
      </c>
    </row>
    <row r="65">
      <c r="A65" s="30" t="n">
        <v>1</v>
      </c>
      <c r="B65" s="30" t="inlineStr">
        <is>
          <t>ABC25-S7</t>
        </is>
      </c>
      <c r="C65" s="31" t="inlineStr">
        <is>
          <t xml:space="preserve">    Embalaje</t>
        </is>
      </c>
      <c r="D65" s="30" t="n">
        <v>1</v>
      </c>
      <c r="E65" s="30" t="inlineStr">
        <is>
          <t>u</t>
        </is>
      </c>
      <c r="F65" s="32" t="n"/>
      <c r="G65" s="32">
        <f>G68</f>
        <v/>
      </c>
      <c r="H65" s="30" t="n"/>
      <c r="I65" s="31" t="n"/>
      <c r="J65" s="30" t="inlineStr">
        <is>
          <t>Compra</t>
        </is>
      </c>
      <c r="K65" s="30" t="n"/>
      <c r="L65" s="31" t="n"/>
      <c r="M65" s="31" t="n"/>
      <c r="N65" s="31" t="inlineStr">
        <is>
          <t>23 Embalaje -&gt; 24 envolvedora (T11)</t>
        </is>
      </c>
      <c r="O65" s="31" t="n"/>
      <c r="P65" s="30" t="n"/>
      <c r="Q65" s="30" t="n"/>
      <c r="R65" s="31" t="n"/>
    </row>
    <row r="66" outlineLevel="1">
      <c r="A66" s="33" t="n">
        <v>2</v>
      </c>
      <c r="B66" s="33" t="inlineStr">
        <is>
          <t>ABC25-E1</t>
        </is>
      </c>
      <c r="C66" s="17" t="inlineStr">
        <is>
          <t xml:space="preserve">        Esquineros y funda de polietileno</t>
        </is>
      </c>
      <c r="D66" s="33" t="n">
        <v>1</v>
      </c>
      <c r="E66" s="33" t="inlineStr">
        <is>
          <t>jgo</t>
        </is>
      </c>
      <c r="F66" s="34" t="n"/>
      <c r="G66" s="34" t="n"/>
      <c r="H66" s="33" t="inlineStr">
        <is>
          <t>PE / cartón</t>
        </is>
      </c>
      <c r="I66" s="17" t="inlineStr">
        <is>
          <t>a medida de la envolvente del plano</t>
        </is>
      </c>
      <c r="J66" s="33" t="inlineStr">
        <is>
          <t>Compra</t>
        </is>
      </c>
      <c r="K66" s="33" t="inlineStr">
        <is>
          <t>Sí</t>
        </is>
      </c>
      <c r="L66" s="17" t="inlineStr">
        <is>
          <t>MV Embalajes</t>
        </is>
      </c>
      <c r="M66" s="17" t="inlineStr">
        <is>
          <t>Embalpack</t>
        </is>
      </c>
      <c r="N66" s="17" t="inlineStr">
        <is>
          <t>23 Embalaje</t>
        </is>
      </c>
      <c r="O66" s="17" t="n"/>
      <c r="P66" s="33" t="inlineStr">
        <is>
          <t>P</t>
        </is>
      </c>
      <c r="Q66" s="33" t="n"/>
      <c r="R66" s="17" t="inlineStr">
        <is>
          <t>Medida del plano</t>
        </is>
      </c>
    </row>
    <row r="67" outlineLevel="1">
      <c r="A67" s="33" t="n">
        <v>2</v>
      </c>
      <c r="B67" s="33" t="inlineStr">
        <is>
          <t>ABC25-E3</t>
        </is>
      </c>
      <c r="C67" s="17" t="inlineStr">
        <is>
          <t xml:space="preserve">        Pallet 1200 × 1000 (fracción)</t>
        </is>
      </c>
      <c r="D67" s="33" t="n">
        <v>0.5</v>
      </c>
      <c r="E67" s="33" t="inlineStr">
        <is>
          <t>u</t>
        </is>
      </c>
      <c r="F67" s="34" t="n"/>
      <c r="G67" s="34" t="n"/>
      <c r="H67" s="33" t="inlineStr">
        <is>
          <t>Madera</t>
        </is>
      </c>
      <c r="I67" s="17" t="inlineStr">
        <is>
          <t>2 u por pallet</t>
        </is>
      </c>
      <c r="J67" s="33" t="inlineStr">
        <is>
          <t>Compra</t>
        </is>
      </c>
      <c r="K67" s="33" t="inlineStr">
        <is>
          <t>Sí</t>
        </is>
      </c>
      <c r="L67" s="17" t="inlineStr">
        <is>
          <t>IndusPallets</t>
        </is>
      </c>
      <c r="M67" s="17" t="inlineStr">
        <is>
          <t>-</t>
        </is>
      </c>
      <c r="N67" s="17" t="inlineStr">
        <is>
          <t>23 Embalaje</t>
        </is>
      </c>
      <c r="O67" s="17" t="n"/>
      <c r="P67" s="33" t="inlineStr">
        <is>
          <t>C</t>
        </is>
      </c>
      <c r="Q67" s="33" t="n"/>
      <c r="R67" s="17" t="inlineStr">
        <is>
          <t>u por pallet = acomodo de la caja (plano) en 1200 × 1000 × 1450 de alto</t>
        </is>
      </c>
    </row>
    <row r="68" outlineLevel="1">
      <c r="A68" s="41" t="n">
        <v>2</v>
      </c>
      <c r="B68" s="41" t="inlineStr">
        <is>
          <t>ABC25-E4</t>
        </is>
      </c>
      <c r="C68" s="18" t="inlineStr">
        <is>
          <t xml:space="preserve">        Film stretch (fracción del pallet)</t>
        </is>
      </c>
      <c r="D68" s="41" t="n">
        <v>0.06</v>
      </c>
      <c r="E68" s="41" t="inlineStr">
        <is>
          <t>kg</t>
        </is>
      </c>
      <c r="F68" s="42" t="n">
        <v>1</v>
      </c>
      <c r="G68" s="42">
        <f>D68*F68</f>
        <v/>
      </c>
      <c r="H68" s="41" t="inlineStr">
        <is>
          <t>PE lineal 23 µm</t>
        </is>
      </c>
      <c r="I68" s="18" t="inlineStr">
        <is>
          <t>0,12 kg por pallet / 2 u</t>
        </is>
      </c>
      <c r="J68" s="41" t="inlineStr">
        <is>
          <t>Compra</t>
        </is>
      </c>
      <c r="K68" s="41" t="inlineStr">
        <is>
          <t>Sí</t>
        </is>
      </c>
      <c r="L68" s="18" t="inlineStr">
        <is>
          <t>MV Embalajes</t>
        </is>
      </c>
      <c r="M68" s="18" t="inlineStr">
        <is>
          <t>Embalpack</t>
        </is>
      </c>
      <c r="N68" s="18" t="inlineStr">
        <is>
          <t>24 Envolvedora (T11)</t>
        </is>
      </c>
      <c r="O68" s="18" t="n"/>
      <c r="P68" s="41" t="inlineStr">
        <is>
          <t>C</t>
        </is>
      </c>
      <c r="Q68" s="41"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3" t="n">
        <v>2</v>
      </c>
      <c r="B69" s="33" t="inlineStr">
        <is>
          <t>ABC25-E5</t>
        </is>
      </c>
      <c r="C69" s="17" t="inlineStr">
        <is>
          <t xml:space="preserve">        Etiqueta de pallet (lote y destino, fracción)</t>
        </is>
      </c>
      <c r="D69" s="33" t="n">
        <v>0.5</v>
      </c>
      <c r="E69" s="33" t="inlineStr">
        <is>
          <t>u</t>
        </is>
      </c>
      <c r="F69" s="34" t="n"/>
      <c r="G69" s="34" t="n"/>
      <c r="H69" s="33" t="inlineStr">
        <is>
          <t>Papel térmico</t>
        </is>
      </c>
      <c r="I69" s="17" t="inlineStr">
        <is>
          <t>100 × 150</t>
        </is>
      </c>
      <c r="J69" s="33" t="inlineStr">
        <is>
          <t>Compra</t>
        </is>
      </c>
      <c r="K69" s="33" t="inlineStr">
        <is>
          <t>Sí</t>
        </is>
      </c>
      <c r="L69" s="17" t="inlineStr">
        <is>
          <t>Astuprint</t>
        </is>
      </c>
      <c r="M69" s="17" t="inlineStr">
        <is>
          <t>Multilabel Argentina S.A.</t>
        </is>
      </c>
      <c r="N69" s="17" t="inlineStr">
        <is>
          <t>24 Envolvedora</t>
        </is>
      </c>
      <c r="O69" s="17" t="n"/>
      <c r="P69" s="33" t="inlineStr">
        <is>
          <t>C</t>
        </is>
      </c>
      <c r="Q69" s="33" t="n"/>
      <c r="R69" s="17" t="n"/>
    </row>
  </sheetData>
  <autoFilter ref="A10:R69"/>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66" t="inlineStr">
        <is>
          <t>Extintor ABC 50 kg sobre ruedas</t>
        </is>
      </c>
    </row>
    <row r="3">
      <c r="A3" s="2" t="inlineStr">
        <is>
          <t>Plano de origen</t>
        </is>
      </c>
      <c r="C3" t="inlineStr">
        <is>
          <t>FL_MAT_ABC_50kg  (4 láminas)</t>
        </is>
      </c>
      <c r="E3" s="2" t="inlineStr">
        <is>
          <t>Peso vacío S1-S4 (kg)</t>
        </is>
      </c>
      <c r="G3" s="67">
        <f>G12+G21+G36+G43</f>
        <v/>
      </c>
    </row>
    <row r="4">
      <c r="A4" s="2" t="inlineStr">
        <is>
          <t>Plano de despiece</t>
        </is>
      </c>
      <c r="C4" t="inlineStr">
        <is>
          <t>FL_DES_ABC_50kg (salida/despiece/)</t>
        </is>
      </c>
      <c r="E4" s="2" t="inlineStr">
        <is>
          <t>Peso cargado S1-S6 (kg)</t>
        </is>
      </c>
      <c r="G4" s="67">
        <f>G12+G21+G36+G43+G54+G57</f>
        <v/>
      </c>
    </row>
    <row r="5">
      <c r="A5" s="2" t="inlineStr">
        <is>
          <t>Norma del producto</t>
        </is>
      </c>
      <c r="C5" t="inlineStr">
        <is>
          <t>IRAM 3550</t>
        </is>
      </c>
      <c r="E5" s="2" t="inlineStr">
        <is>
          <t>Peso con soporte y embalaje (kg)</t>
        </is>
      </c>
      <c r="G5" s="67">
        <f>G12+G21+G36+G43+G54+G57+G65</f>
        <v/>
      </c>
    </row>
    <row r="6">
      <c r="A6" s="2" t="inlineStr">
        <is>
          <t>Fabricación</t>
        </is>
      </c>
      <c r="C6" t="inlineStr">
        <is>
          <t>Fabricación propia</t>
        </is>
      </c>
      <c r="E6" s="2" t="inlineStr">
        <is>
          <t>Desvío cargado vs catálogo</t>
        </is>
      </c>
      <c r="G6" s="25">
        <f>G4/C7-1</f>
        <v/>
      </c>
    </row>
    <row r="7">
      <c r="A7" s="2" t="inlineStr">
        <is>
          <t>Peso catálogo cargado (kg)</t>
        </is>
      </c>
      <c r="C7" t="n">
        <v>100</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FL_MAT_ABC_50kg</t>
        </is>
      </c>
      <c r="C11" s="28" t="inlineStr">
        <is>
          <t>Extintor ABC 50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FL_MAT_ABC_50kg</t>
        </is>
      </c>
      <c r="R11" s="28" t="inlineStr">
        <is>
          <t>Fabricación propia</t>
        </is>
      </c>
    </row>
    <row r="12">
      <c r="A12" s="30" t="n">
        <v>1</v>
      </c>
      <c r="B12" s="30" t="inlineStr">
        <is>
          <t>FL_REC_ABC_50kg</t>
        </is>
      </c>
      <c r="C12" s="31" t="inlineStr">
        <is>
          <t xml:space="preserve">    Recipiente (cilindro)</t>
        </is>
      </c>
      <c r="D12" s="30" t="n">
        <v>1</v>
      </c>
      <c r="E12" s="30" t="inlineStr">
        <is>
          <t>u</t>
        </is>
      </c>
      <c r="F12" s="32" t="n"/>
      <c r="G12" s="32">
        <f>G13+G15+G16+G17+G18</f>
        <v/>
      </c>
      <c r="H12" s="30" t="n"/>
      <c r="I12" s="31" t="n"/>
      <c r="J12" s="30" t="inlineStr">
        <is>
          <t>Fabricación</t>
        </is>
      </c>
      <c r="K12" s="30" t="n"/>
      <c r="L12" s="31" t="n"/>
      <c r="M12" s="31" t="n"/>
      <c r="N12" s="31" t="n"/>
      <c r="O12" s="31" t="inlineStr">
        <is>
          <t>IRAM 3523 / 3550 (recipiente)</t>
        </is>
      </c>
      <c r="P12" s="30" t="inlineStr">
        <is>
          <t>P</t>
        </is>
      </c>
      <c r="Q12" s="30" t="inlineStr">
        <is>
          <t>FL_REC_ABC_50kg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FL_DES_ABC_50kg</t>
        </is>
      </c>
      <c r="R15" s="17" t="inlineStr">
        <is>
          <t>embutida</t>
        </is>
      </c>
    </row>
    <row r="16" outlineLevel="1">
      <c r="A16" s="33" t="n">
        <v>2</v>
      </c>
      <c r="B16" s="33" t="inlineStr">
        <is>
          <t>ABC50-03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FL_DES_ABC_50kg</t>
        </is>
      </c>
      <c r="R16" s="17"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41" t="n">
        <v>2</v>
      </c>
      <c r="B18" s="41" t="inlineStr">
        <is>
          <t>ABC50-C1</t>
        </is>
      </c>
      <c r="C18" s="18" t="inlineStr">
        <is>
          <t xml:space="preserve">        Alambre MAG ER70S-6 Ø1,2 (AWS A5.18)</t>
        </is>
      </c>
      <c r="D18" s="41" t="n">
        <v>0.4194</v>
      </c>
      <c r="E18" s="41" t="inlineStr">
        <is>
          <t>kg</t>
        </is>
      </c>
      <c r="F18" s="42" t="n">
        <v>0.95</v>
      </c>
      <c r="G18" s="42">
        <f>D18*F18</f>
        <v/>
      </c>
      <c r="H18" s="41" t="inlineStr">
        <is>
          <t>ER70S-6</t>
        </is>
      </c>
      <c r="I18" s="18" t="inlineStr">
        <is>
          <t>metal depositado de los cordones del plano 398 g / rendimiento 0,95</t>
        </is>
      </c>
      <c r="J18" s="41" t="inlineStr">
        <is>
          <t>Compra</t>
        </is>
      </c>
      <c r="K18" s="41" t="inlineStr">
        <is>
          <t>Sí</t>
        </is>
      </c>
      <c r="L18" s="18" t="inlineStr">
        <is>
          <t>Conarco (ESAB Argentina)</t>
        </is>
      </c>
      <c r="M18" s="18" t="inlineStr">
        <is>
          <t>-</t>
        </is>
      </c>
      <c r="N18" s="18" t="inlineStr">
        <is>
          <t>4 sold. long. / 8 cuello / 11 circunferencial</t>
        </is>
      </c>
      <c r="O18" s="18" t="inlineStr">
        <is>
          <t>IRAM 3523 3.2.4.2 · IRAM 3550 4.1.2</t>
        </is>
      </c>
      <c r="P18" s="41" t="inlineStr">
        <is>
          <t>C</t>
        </is>
      </c>
      <c r="Q18" s="41"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1" t="n">
        <v>2</v>
      </c>
      <c r="B19" s="41" t="inlineStr">
        <is>
          <t>ABC50-C2</t>
        </is>
      </c>
      <c r="C19" s="18" t="inlineStr">
        <is>
          <t xml:space="preserve">        Gas de protección MAG Arcal 21 / ARCAL Speed (Ar + 8 % CO₂, M20)</t>
        </is>
      </c>
      <c r="D19" s="41" t="n">
        <v>65.8</v>
      </c>
      <c r="E19" s="41" t="inlineStr">
        <is>
          <t>L</t>
        </is>
      </c>
      <c r="F19" s="42" t="n"/>
      <c r="G19" s="42" t="n"/>
      <c r="H19" s="41" t="inlineStr">
        <is>
          <t>EN ISO 14175 M20-ArC-8</t>
        </is>
      </c>
      <c r="I19" s="18" t="inlineStr">
        <is>
          <t>14 L/min × 4,7 min de arco (cordones 2.822 mm: long. 535 + circ. 2.011 + cuello 276, a 600 mm/min)</t>
        </is>
      </c>
      <c r="J19" s="41" t="inlineStr">
        <is>
          <t>Compra</t>
        </is>
      </c>
      <c r="K19" s="41" t="inlineStr">
        <is>
          <t>Sí</t>
        </is>
      </c>
      <c r="L19" s="18" t="inlineStr">
        <is>
          <t>Air Liquide Argentina - sucursal Piñeyro</t>
        </is>
      </c>
      <c r="M19" s="18" t="inlineStr">
        <is>
          <t>Gogniat</t>
        </is>
      </c>
      <c r="N19" s="18" t="inlineStr">
        <is>
          <t>Colector SC</t>
        </is>
      </c>
      <c r="O19" s="18" t="inlineStr">
        <is>
          <t>IRAM 3523 3.2.4.2 · IRAM 3550 3.2.2.2</t>
        </is>
      </c>
      <c r="P19" s="41" t="inlineStr">
        <is>
          <t>C</t>
        </is>
      </c>
      <c r="Q19" s="41"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c r="A21" s="30" t="n">
        <v>1</v>
      </c>
      <c r="B21" s="30" t="inlineStr">
        <is>
          <t>ABC50-S2</t>
        </is>
      </c>
      <c r="C21" s="31" t="inlineStr">
        <is>
          <t xml:space="preserve">    Conjunto de válvula</t>
        </is>
      </c>
      <c r="D21" s="30" t="n">
        <v>1</v>
      </c>
      <c r="E21" s="30" t="inlineStr">
        <is>
          <t>u</t>
        </is>
      </c>
      <c r="F21" s="32" t="n"/>
      <c r="G21" s="32">
        <f>G22+G23+G24+G26+G27+G28+G29+G30+G31+G32</f>
        <v/>
      </c>
      <c r="H21" s="30" t="n"/>
      <c r="I21" s="31" t="n"/>
      <c r="J21" s="30" t="inlineStr">
        <is>
          <t>Compra / armado</t>
        </is>
      </c>
      <c r="K21" s="30" t="n"/>
      <c r="L21" s="31" t="n"/>
      <c r="M21" s="31" t="n"/>
      <c r="N21" s="31" t="n"/>
      <c r="O21" s="31" t="inlineStr">
        <is>
          <t>Manómetro IRAM 3533</t>
        </is>
      </c>
      <c r="P21" s="30" t="inlineStr">
        <is>
          <t>P</t>
        </is>
      </c>
      <c r="Q21" s="30" t="inlineStr">
        <is>
          <t>FL_DES_ABC_50kg</t>
        </is>
      </c>
      <c r="R21" s="31" t="n"/>
    </row>
    <row r="22" outlineLevel="1">
      <c r="A22" s="33" t="n">
        <v>2</v>
      </c>
      <c r="B22" s="33" t="inlineStr">
        <is>
          <t>ABC50-11</t>
        </is>
      </c>
      <c r="C22" s="17" t="inlineStr">
        <is>
          <t xml:space="preserve">        Collarín de válvula</t>
        </is>
      </c>
      <c r="D22" s="33" t="n">
        <v>1</v>
      </c>
      <c r="E22" s="33" t="inlineStr">
        <is>
          <t>u</t>
        </is>
      </c>
      <c r="F22" s="34" t="n">
        <v>0.4107</v>
      </c>
      <c r="G22" s="34">
        <f>D22*F22</f>
        <v/>
      </c>
      <c r="H22" s="33" t="inlineStr">
        <is>
          <t>Latón forjado</t>
        </is>
      </c>
      <c r="I22" s="17" t="inlineStr">
        <is>
          <t>96,1 × 96,1 × 13,5</t>
        </is>
      </c>
      <c r="J22" s="33" t="inlineStr">
        <is>
          <t>Incluido en válvula HZ</t>
        </is>
      </c>
      <c r="K22" s="33" t="inlineStr">
        <is>
          <t>No</t>
        </is>
      </c>
      <c r="L22" s="17" t="n"/>
      <c r="M22" s="17" t="n"/>
      <c r="N22" s="17" t="inlineStr">
        <is>
          <t>C9 armado</t>
        </is>
      </c>
      <c r="O22" s="17" t="n"/>
      <c r="P22" s="33" t="inlineStr">
        <is>
          <t>P</t>
        </is>
      </c>
      <c r="Q22" s="33" t="inlineStr">
        <is>
          <t>FL_DES_ABC_50kg</t>
        </is>
      </c>
      <c r="R22" s="17" t="n"/>
    </row>
    <row r="23" outlineLevel="1">
      <c r="A23" s="33" t="n">
        <v>2</v>
      </c>
      <c r="B23" s="33" t="inlineStr">
        <is>
          <t>ABC50-12</t>
        </is>
      </c>
      <c r="C23" s="17" t="inlineStr">
        <is>
          <t xml:space="preserve">        Espiga roscada</t>
        </is>
      </c>
      <c r="D23" s="33" t="n">
        <v>1</v>
      </c>
      <c r="E23" s="33" t="inlineStr">
        <is>
          <t>u</t>
        </is>
      </c>
      <c r="F23" s="34" t="n">
        <v>0.1187</v>
      </c>
      <c r="G23" s="34">
        <f>D23*F23</f>
        <v/>
      </c>
      <c r="H23" s="33" t="inlineStr">
        <is>
          <t>Latón forjado</t>
        </is>
      </c>
      <c r="I23" s="17" t="inlineStr">
        <is>
          <t>72,2 × 72,2 × 16,2</t>
        </is>
      </c>
      <c r="J23" s="33" t="inlineStr">
        <is>
          <t>Incluido en válvula HZ</t>
        </is>
      </c>
      <c r="K23" s="33" t="inlineStr">
        <is>
          <t>No</t>
        </is>
      </c>
      <c r="L23" s="17" t="n"/>
      <c r="M23" s="17" t="n"/>
      <c r="N23" s="17" t="inlineStr">
        <is>
          <t>C9 armado</t>
        </is>
      </c>
      <c r="O23" s="17" t="n"/>
      <c r="P23" s="33" t="inlineStr">
        <is>
          <t>P</t>
        </is>
      </c>
      <c r="Q23" s="33" t="inlineStr">
        <is>
          <t>FL_DES_ABC_50kg</t>
        </is>
      </c>
      <c r="R23" s="17" t="n"/>
    </row>
    <row r="24" outlineLevel="1">
      <c r="A24" s="33" t="n">
        <v>2</v>
      </c>
      <c r="B24" s="33" t="inlineStr">
        <is>
          <t>ABC50-13</t>
        </is>
      </c>
      <c r="C24" s="17" t="inlineStr">
        <is>
          <t xml:space="preserve">        Cuerpo de válvula</t>
        </is>
      </c>
      <c r="D24" s="33" t="n">
        <v>1</v>
      </c>
      <c r="E24" s="33" t="inlineStr">
        <is>
          <t>u</t>
        </is>
      </c>
      <c r="F24" s="34" t="n">
        <v>0.7378</v>
      </c>
      <c r="G24" s="34">
        <f>D24*F24</f>
        <v/>
      </c>
      <c r="H24" s="33" t="inlineStr">
        <is>
          <t>Latón forjado</t>
        </is>
      </c>
      <c r="I24" s="17" t="inlineStr">
        <is>
          <t>58,4 × 54 × 46,3</t>
        </is>
      </c>
      <c r="J24" s="33" t="inlineStr">
        <is>
          <t>Incluido en válvula HZ</t>
        </is>
      </c>
      <c r="K24" s="33" t="inlineStr">
        <is>
          <t>No</t>
        </is>
      </c>
      <c r="L24" s="17" t="n"/>
      <c r="M24" s="17" t="n"/>
      <c r="N24" s="17" t="inlineStr">
        <is>
          <t>C9 armado</t>
        </is>
      </c>
      <c r="O24" s="17" t="n"/>
      <c r="P24" s="33" t="inlineStr">
        <is>
          <t>P</t>
        </is>
      </c>
      <c r="Q24" s="33" t="inlineStr">
        <is>
          <t>FL_DES_ABC_50kg</t>
        </is>
      </c>
      <c r="R24" s="17" t="n"/>
    </row>
    <row r="25" outlineLevel="1">
      <c r="A25" s="45" t="n">
        <v>2</v>
      </c>
      <c r="B25" s="45" t="inlineStr">
        <is>
          <t>ABC50-14</t>
        </is>
      </c>
      <c r="C25" s="19" t="inlineStr">
        <is>
          <t xml:space="preserve">        Manómetro</t>
        </is>
      </c>
      <c r="D25" s="45" t="n">
        <v>1</v>
      </c>
      <c r="E25" s="45" t="inlineStr">
        <is>
          <t>u</t>
        </is>
      </c>
      <c r="F25" s="46" t="n"/>
      <c r="G25" s="46" t="n"/>
      <c r="H25" s="45" t="inlineStr">
        <is>
          <t>Comercial</t>
        </is>
      </c>
      <c r="I25" s="19" t="inlineStr">
        <is>
          <t>Ø50 esfera, rango 0-3,5 MPa, sector verde en 1,4</t>
        </is>
      </c>
      <c r="J25" s="45" t="inlineStr">
        <is>
          <t>Compra</t>
        </is>
      </c>
      <c r="K25" s="45" t="inlineStr">
        <is>
          <t>Sí</t>
        </is>
      </c>
      <c r="L25" s="19" t="inlineStr">
        <is>
          <t>Yukon / MatafuegosYa S.R.L.</t>
        </is>
      </c>
      <c r="M25" s="19" t="inlineStr">
        <is>
          <t>Matafuegos Iglesias</t>
        </is>
      </c>
      <c r="N25" s="19" t="inlineStr">
        <is>
          <t>C9 armado</t>
        </is>
      </c>
      <c r="O25" s="19" t="inlineStr">
        <is>
          <t>IRAM 3533</t>
        </is>
      </c>
      <c r="P25" s="45" t="inlineStr">
        <is>
          <t>P</t>
        </is>
      </c>
      <c r="Q25" s="45" t="inlineStr">
        <is>
          <t>FL_DES_ABC_50kg</t>
        </is>
      </c>
      <c r="R25" s="19" t="inlineStr">
        <is>
          <t>Pieza comercial; sello IRAM 3533; peso: completar con la ficha del proveedor (no afecta el MRP)</t>
        </is>
      </c>
    </row>
    <row r="26" outlineLevel="1">
      <c r="A26" s="33" t="n">
        <v>2</v>
      </c>
      <c r="B26" s="33" t="inlineStr">
        <is>
          <t>ABC50-15</t>
        </is>
      </c>
      <c r="C26" s="17" t="inlineStr">
        <is>
          <t xml:space="preserve">        Manija de transporte</t>
        </is>
      </c>
      <c r="D26" s="33" t="n">
        <v>1</v>
      </c>
      <c r="E26" s="33" t="inlineStr">
        <is>
          <t>u</t>
        </is>
      </c>
      <c r="F26" s="34" t="n">
        <v>0.1002</v>
      </c>
      <c r="G26" s="34">
        <f>D26*F26</f>
        <v/>
      </c>
      <c r="H26" s="33" t="inlineStr">
        <is>
          <t>Chapa acero SAE 1010 pintada</t>
        </is>
      </c>
      <c r="I26" s="17" t="inlineStr">
        <is>
          <t>87,6 × 27 × 14,5</t>
        </is>
      </c>
      <c r="J26" s="33" t="inlineStr">
        <is>
          <t>Incluido en válvula HZ</t>
        </is>
      </c>
      <c r="K26" s="33" t="inlineStr">
        <is>
          <t>No</t>
        </is>
      </c>
      <c r="L26" s="17" t="n"/>
      <c r="M26" s="17" t="n"/>
      <c r="N26" s="17" t="inlineStr">
        <is>
          <t>C9 armado</t>
        </is>
      </c>
      <c r="O26" s="17" t="n"/>
      <c r="P26" s="33" t="inlineStr">
        <is>
          <t>P</t>
        </is>
      </c>
      <c r="Q26" s="33" t="inlineStr">
        <is>
          <t>FL_DES_ABC_50kg</t>
        </is>
      </c>
      <c r="R26" s="17" t="n"/>
    </row>
    <row r="27" outlineLevel="1">
      <c r="A27" s="33" t="n">
        <v>2</v>
      </c>
      <c r="B27" s="33" t="inlineStr">
        <is>
          <t>ABC50-16</t>
        </is>
      </c>
      <c r="C27" s="17" t="inlineStr">
        <is>
          <t xml:space="preserve">        Manija de accionamiento</t>
        </is>
      </c>
      <c r="D27" s="33" t="n">
        <v>1</v>
      </c>
      <c r="E27" s="33" t="inlineStr">
        <is>
          <t>u</t>
        </is>
      </c>
      <c r="F27" s="34" t="n">
        <v>0.1682</v>
      </c>
      <c r="G27" s="34">
        <f>D27*F27</f>
        <v/>
      </c>
      <c r="H27" s="33" t="inlineStr">
        <is>
          <t>Chapa acero SAE 1010 pintada</t>
        </is>
      </c>
      <c r="I27" s="17" t="inlineStr">
        <is>
          <t>146,6 × 27 × 23,3</t>
        </is>
      </c>
      <c r="J27" s="33" t="inlineStr">
        <is>
          <t>Incluido en válvula HZ</t>
        </is>
      </c>
      <c r="K27" s="33" t="inlineStr">
        <is>
          <t>No</t>
        </is>
      </c>
      <c r="L27" s="17" t="n"/>
      <c r="M27" s="17" t="n"/>
      <c r="N27" s="17" t="inlineStr">
        <is>
          <t>C9 armado</t>
        </is>
      </c>
      <c r="O27" s="17" t="n"/>
      <c r="P27" s="33" t="inlineStr">
        <is>
          <t>P</t>
        </is>
      </c>
      <c r="Q27" s="33" t="inlineStr">
        <is>
          <t>FL_DES_ABC_50kg</t>
        </is>
      </c>
      <c r="R27" s="17" t="n"/>
    </row>
    <row r="28" outlineLevel="1">
      <c r="A28" s="33" t="n">
        <v>2</v>
      </c>
      <c r="B28" s="33" t="inlineStr">
        <is>
          <t>ABC50-17</t>
        </is>
      </c>
      <c r="C28" s="17" t="inlineStr">
        <is>
          <t xml:space="preserve">        Eje de palanca</t>
        </is>
      </c>
      <c r="D28" s="33" t="n">
        <v>1</v>
      </c>
      <c r="E28" s="33" t="inlineStr">
        <is>
          <t>u</t>
        </is>
      </c>
      <c r="F28" s="34" t="n">
        <v>0.0199</v>
      </c>
      <c r="G28" s="34">
        <f>D28*F28</f>
        <v/>
      </c>
      <c r="H28" s="33" t="inlineStr">
        <is>
          <t>Acero inox. AISI 304</t>
        </is>
      </c>
      <c r="I28" s="17" t="inlineStr">
        <is>
          <t>48,6 × 8,1 × 8,1</t>
        </is>
      </c>
      <c r="J28" s="33" t="inlineStr">
        <is>
          <t>Incluido en válvula HZ</t>
        </is>
      </c>
      <c r="K28" s="33" t="inlineStr">
        <is>
          <t>No</t>
        </is>
      </c>
      <c r="L28" s="17" t="n"/>
      <c r="M28" s="17" t="n"/>
      <c r="N28" s="17" t="inlineStr">
        <is>
          <t>C9 armado</t>
        </is>
      </c>
      <c r="O28" s="17" t="n"/>
      <c r="P28" s="33" t="inlineStr">
        <is>
          <t>P</t>
        </is>
      </c>
      <c r="Q28" s="33" t="inlineStr">
        <is>
          <t>FL_DES_ABC_50kg</t>
        </is>
      </c>
      <c r="R28" s="17" t="n"/>
    </row>
    <row r="29" outlineLevel="1">
      <c r="A29" s="33" t="n">
        <v>2</v>
      </c>
      <c r="B29" s="33" t="inlineStr">
        <is>
          <t>ABC50-18</t>
        </is>
      </c>
      <c r="C29" s="17" t="inlineStr">
        <is>
          <t xml:space="preserve">        Vástago</t>
        </is>
      </c>
      <c r="D29" s="33" t="n">
        <v>1</v>
      </c>
      <c r="E29" s="33" t="inlineStr">
        <is>
          <t>u</t>
        </is>
      </c>
      <c r="F29" s="34" t="n">
        <v>0.0039</v>
      </c>
      <c r="G29" s="34">
        <f>D29*F29</f>
        <v/>
      </c>
      <c r="H29" s="33" t="inlineStr">
        <is>
          <t>Latón</t>
        </is>
      </c>
      <c r="I29" s="17" t="inlineStr">
        <is>
          <t>10,8 × 10,8 × 5</t>
        </is>
      </c>
      <c r="J29" s="33" t="inlineStr">
        <is>
          <t>Incluido en válvula HZ</t>
        </is>
      </c>
      <c r="K29" s="33" t="inlineStr">
        <is>
          <t>No</t>
        </is>
      </c>
      <c r="L29" s="17" t="n"/>
      <c r="M29" s="17" t="n"/>
      <c r="N29" s="17" t="inlineStr">
        <is>
          <t>C9 armado</t>
        </is>
      </c>
      <c r="O29" s="17" t="n"/>
      <c r="P29" s="33" t="inlineStr">
        <is>
          <t>P</t>
        </is>
      </c>
      <c r="Q29" s="33" t="inlineStr">
        <is>
          <t>FL_DES_ABC_50kg</t>
        </is>
      </c>
      <c r="R29" s="17" t="inlineStr">
        <is>
          <t>con junta tórica</t>
        </is>
      </c>
    </row>
    <row r="30" outlineLevel="1">
      <c r="A30" s="33" t="n">
        <v>2</v>
      </c>
      <c r="B30" s="33" t="inlineStr">
        <is>
          <t>ABC50-19</t>
        </is>
      </c>
      <c r="C30" s="17" t="inlineStr">
        <is>
          <t xml:space="preserve">        Pasador de seguridad</t>
        </is>
      </c>
      <c r="D30" s="33" t="n">
        <v>1</v>
      </c>
      <c r="E30" s="33" t="inlineStr">
        <is>
          <t>u</t>
        </is>
      </c>
      <c r="F30" s="34" t="n">
        <v>0.0135</v>
      </c>
      <c r="G30" s="34">
        <f>D30*F30</f>
        <v/>
      </c>
      <c r="H30" s="33" t="inlineStr">
        <is>
          <t>Alambre acero inox. AISI 304</t>
        </is>
      </c>
      <c r="I30" s="17" t="inlineStr">
        <is>
          <t>61,3 × 28,4 × 28,1</t>
        </is>
      </c>
      <c r="J30" s="33" t="inlineStr">
        <is>
          <t>Incluido en válvula HZ</t>
        </is>
      </c>
      <c r="K30" s="33" t="inlineStr">
        <is>
          <t>No</t>
        </is>
      </c>
      <c r="L30" s="17" t="n"/>
      <c r="M30" s="17" t="n"/>
      <c r="N30" s="17" t="inlineStr">
        <is>
          <t>C9 armado</t>
        </is>
      </c>
      <c r="O30" s="17" t="n"/>
      <c r="P30" s="33" t="inlineStr">
        <is>
          <t>P</t>
        </is>
      </c>
      <c r="Q30" s="33" t="inlineStr">
        <is>
          <t>FL_DES_ABC_50kg</t>
        </is>
      </c>
      <c r="R30" s="17" t="inlineStr">
        <is>
          <t>con precinto</t>
        </is>
      </c>
    </row>
    <row r="31" outlineLevel="1">
      <c r="A31" s="33" t="n">
        <v>2</v>
      </c>
      <c r="B31" s="33" t="inlineStr">
        <is>
          <t>ABC50-20</t>
        </is>
      </c>
      <c r="C31" s="17" t="inlineStr">
        <is>
          <t xml:space="preserve">        Caño de pesca (sifón)</t>
        </is>
      </c>
      <c r="D31" s="33" t="n">
        <v>1</v>
      </c>
      <c r="E31" s="33" t="inlineStr">
        <is>
          <t>u</t>
        </is>
      </c>
      <c r="F31" s="34" t="n">
        <v>0.1736</v>
      </c>
      <c r="G31" s="34">
        <f>D31*F31</f>
        <v/>
      </c>
      <c r="H31" s="33" t="inlineStr">
        <is>
          <t>Tubo PVC rígido</t>
        </is>
      </c>
      <c r="I31" s="17" t="inlineStr">
        <is>
          <t>Ø24 × 734,3 de largo</t>
        </is>
      </c>
      <c r="J31" s="33" t="inlineStr">
        <is>
          <t>Incluido en válvula HZ</t>
        </is>
      </c>
      <c r="K31" s="33" t="inlineStr">
        <is>
          <t>No</t>
        </is>
      </c>
      <c r="L31" s="17" t="n"/>
      <c r="M31" s="17" t="n"/>
      <c r="N31" s="17" t="inlineStr">
        <is>
          <t>C9 armado</t>
        </is>
      </c>
      <c r="O31" s="17" t="n"/>
      <c r="P31" s="33" t="inlineStr">
        <is>
          <t>P</t>
        </is>
      </c>
      <c r="Q31" s="33" t="inlineStr">
        <is>
          <t>FL_DES_ABC_50kg</t>
        </is>
      </c>
      <c r="R31" s="17" t="n"/>
    </row>
    <row r="32" outlineLevel="1">
      <c r="A32" s="33" t="n">
        <v>2</v>
      </c>
      <c r="B32" s="33" t="inlineStr">
        <is>
          <t>ABC50-32</t>
        </is>
      </c>
      <c r="C32" s="17" t="inlineStr">
        <is>
          <t xml:space="preserve">        Junta tórica de asiento</t>
        </is>
      </c>
      <c r="D32" s="33" t="n">
        <v>1</v>
      </c>
      <c r="E32" s="33" t="inlineStr">
        <is>
          <t>u</t>
        </is>
      </c>
      <c r="F32" s="34" t="n">
        <v>0.0024</v>
      </c>
      <c r="G32" s="34">
        <f>D32*F32</f>
        <v/>
      </c>
      <c r="H32" s="33" t="inlineStr">
        <is>
          <t>NBR 70 Shore A</t>
        </is>
      </c>
      <c r="I32" s="17" t="inlineStr">
        <is>
          <t>Ø75,2 ext. × cordón 3</t>
        </is>
      </c>
      <c r="J32" s="33" t="inlineStr">
        <is>
          <t>Compra</t>
        </is>
      </c>
      <c r="K32" s="33" t="inlineStr">
        <is>
          <t>Sí</t>
        </is>
      </c>
      <c r="L32" s="17" t="inlineStr">
        <is>
          <t>Argensold</t>
        </is>
      </c>
      <c r="M32" s="17" t="inlineStr">
        <is>
          <t>Matafuegos Iglesias</t>
        </is>
      </c>
      <c r="N32" s="17" t="inlineStr">
        <is>
          <t>C9 armado</t>
        </is>
      </c>
      <c r="O32" s="17" t="n"/>
      <c r="P32" s="33" t="inlineStr">
        <is>
          <t>P</t>
        </is>
      </c>
      <c r="Q32" s="33" t="inlineStr">
        <is>
          <t>FL_DES_ABC_50kg</t>
        </is>
      </c>
      <c r="R32" s="17" t="inlineStr">
        <is>
          <t>cambio c/recarga</t>
        </is>
      </c>
    </row>
    <row r="33" outlineLevel="1">
      <c r="A33" s="33" t="n">
        <v>2</v>
      </c>
      <c r="B33" s="33" t="inlineStr">
        <is>
          <t>ABC50-K2</t>
        </is>
      </c>
      <c r="C33" s="17" t="inlineStr">
        <is>
          <t xml:space="preserve">        Válvula HZ armada de carro 50-70-100 kg</t>
        </is>
      </c>
      <c r="D33" s="33" t="n">
        <v>1</v>
      </c>
      <c r="E33" s="33" t="inlineStr">
        <is>
          <t>u</t>
        </is>
      </c>
      <c r="F33" s="34" t="n"/>
      <c r="G33" s="34" t="n"/>
      <c r="H33" s="33" t="inlineStr">
        <is>
          <t>Latón forjado (HZ)</t>
        </is>
      </c>
      <c r="I33" s="17" t="inlineStr">
        <is>
          <t>rosca RBSP 2 1/2"-11 h</t>
        </is>
      </c>
      <c r="J33" s="33" t="inlineStr">
        <is>
          <t>Compra</t>
        </is>
      </c>
      <c r="K33" s="33" t="inlineStr">
        <is>
          <t>Sí</t>
        </is>
      </c>
      <c r="L33" s="17" t="inlineStr">
        <is>
          <t>Polvex S.R.L. / Sancibrao</t>
        </is>
      </c>
      <c r="M33" s="17" t="inlineStr">
        <is>
          <t>Mozart S.R.L.</t>
        </is>
      </c>
      <c r="N33" s="17" t="inlineStr">
        <is>
          <t>19 Ensamblaje de válvula</t>
        </is>
      </c>
      <c r="O33" s="17" t="inlineStr">
        <is>
          <t>IRAM 3523 3.3</t>
        </is>
      </c>
      <c r="P33" s="33" t="inlineStr">
        <is>
          <t>Q</t>
        </is>
      </c>
      <c r="Q33" s="33" t="inlineStr">
        <is>
          <t>FL_DES_ABC_50kg</t>
        </is>
      </c>
      <c r="R33" s="17" t="inlineStr">
        <is>
          <t>Lista de precios HZ (Q-AGENTES); plano Fadesa usa válvula HZ (R-FADESA). Trae las piezas marcadas «Incluido en válvula HZ»</t>
        </is>
      </c>
    </row>
    <row r="34" outlineLevel="1">
      <c r="A34" s="33" t="n">
        <v>2</v>
      </c>
      <c r="B34" s="33" t="inlineStr">
        <is>
          <t>ABC50-V2</t>
        </is>
      </c>
      <c r="C34" s="17" t="inlineStr">
        <is>
          <t xml:space="preserve">        Resorte de retorno del vástago</t>
        </is>
      </c>
      <c r="D34" s="33" t="n">
        <v>1</v>
      </c>
      <c r="E34" s="33" t="inlineStr">
        <is>
          <t>u</t>
        </is>
      </c>
      <c r="F34" s="34" t="n"/>
      <c r="G34" s="34" t="n"/>
      <c r="H34" s="33" t="inlineStr">
        <is>
          <t>Acero para resortes</t>
        </is>
      </c>
      <c r="I34" s="17" t="inlineStr">
        <is>
          <t>incluido en la válvula</t>
        </is>
      </c>
      <c r="J34" s="33" t="inlineStr">
        <is>
          <t>Incluido en válvula HZ</t>
        </is>
      </c>
      <c r="K34" s="33" t="inlineStr">
        <is>
          <t>No</t>
        </is>
      </c>
      <c r="L34" s="17" t="n"/>
      <c r="M34" s="17" t="n"/>
      <c r="N34" s="17" t="inlineStr">
        <is>
          <t>19 Ensamblaje</t>
        </is>
      </c>
      <c r="O34" s="17" t="n"/>
      <c r="P34" s="33" t="inlineStr">
        <is>
          <t>Q</t>
        </is>
      </c>
      <c r="Q34" s="33" t="n"/>
      <c r="R34" s="17" t="inlineStr">
        <is>
          <t>Lista de precios HZ: válvula «c/resorte» (Q-AGENTES)</t>
        </is>
      </c>
    </row>
    <row r="35" outlineLevel="1">
      <c r="A35" s="33" t="n">
        <v>2</v>
      </c>
      <c r="B35" s="33" t="inlineStr">
        <is>
          <t>ABC50-V3</t>
        </is>
      </c>
      <c r="C35" s="17" t="inlineStr">
        <is>
          <t xml:space="preserve">        Junta tórica del vástago</t>
        </is>
      </c>
      <c r="D35" s="33" t="n">
        <v>1</v>
      </c>
      <c r="E35" s="33" t="inlineStr">
        <is>
          <t>u</t>
        </is>
      </c>
      <c r="F35" s="34" t="n"/>
      <c r="G35" s="34" t="n"/>
      <c r="H35" s="33" t="inlineStr">
        <is>
          <t>NBR 70 Shore A</t>
        </is>
      </c>
      <c r="I35" s="17" t="inlineStr">
        <is>
          <t>incluida en la válvula</t>
        </is>
      </c>
      <c r="J35" s="33" t="inlineStr">
        <is>
          <t>Incluido en válvula HZ</t>
        </is>
      </c>
      <c r="K35" s="33" t="inlineStr">
        <is>
          <t>No</t>
        </is>
      </c>
      <c r="L35" s="17" t="n"/>
      <c r="M35" s="17" t="n"/>
      <c r="N35" s="17" t="inlineStr">
        <is>
          <t>19 Ensamblaje</t>
        </is>
      </c>
      <c r="O35" s="17" t="n"/>
      <c r="P35" s="33" t="inlineStr">
        <is>
          <t>P</t>
        </is>
      </c>
      <c r="Q35" s="33" t="n"/>
      <c r="R35" s="17" t="inlineStr">
        <is>
          <t>Figura en el plano como «vástago con junta tórica»</t>
        </is>
      </c>
    </row>
    <row r="36">
      <c r="A36" s="30" t="n">
        <v>1</v>
      </c>
      <c r="B36" s="30" t="inlineStr">
        <is>
          <t>ABC50-S3</t>
        </is>
      </c>
      <c r="C36" s="31" t="inlineStr">
        <is>
          <t xml:space="preserve">    Dispositivo de descarga</t>
        </is>
      </c>
      <c r="D36" s="30" t="n">
        <v>1</v>
      </c>
      <c r="E36" s="30" t="inlineStr">
        <is>
          <t>u</t>
        </is>
      </c>
      <c r="F36" s="32" t="n"/>
      <c r="G36" s="32">
        <f>G37+G38+G39+G40+G41+G42</f>
        <v/>
      </c>
      <c r="H36" s="30" t="n"/>
      <c r="I36" s="31" t="n"/>
      <c r="J36" s="30" t="inlineStr">
        <is>
          <t>Compra / armado</t>
        </is>
      </c>
      <c r="K36" s="30" t="n"/>
      <c r="L36" s="31" t="n"/>
      <c r="M36" s="31" t="n"/>
      <c r="N36" s="31" t="n"/>
      <c r="O36" s="31" t="n"/>
      <c r="P36" s="30" t="inlineStr">
        <is>
          <t>P</t>
        </is>
      </c>
      <c r="Q36" s="30" t="inlineStr">
        <is>
          <t>FL_DES_ABC_50kg</t>
        </is>
      </c>
      <c r="R36" s="31" t="n"/>
    </row>
    <row r="37" outlineLevel="1">
      <c r="A37" s="33" t="n">
        <v>2</v>
      </c>
      <c r="B37" s="33" t="inlineStr">
        <is>
          <t>ABC50-21</t>
        </is>
      </c>
      <c r="C37" s="17" t="inlineStr">
        <is>
          <t xml:space="preserve">        Manguera (tramo enrollado)</t>
        </is>
      </c>
      <c r="D37" s="33" t="n">
        <v>1</v>
      </c>
      <c r="E37" s="33" t="inlineStr">
        <is>
          <t>u</t>
        </is>
      </c>
      <c r="F37" s="34" t="n">
        <v>0.4763</v>
      </c>
      <c r="G37" s="34">
        <f>D37*F37</f>
        <v/>
      </c>
      <c r="H37" s="33" t="inlineStr">
        <is>
          <t>Caucho sintético</t>
        </is>
      </c>
      <c r="I37" s="17" t="inlineStr">
        <is>
          <t>Ø25 × 1.263 de largo desarrollado</t>
        </is>
      </c>
      <c r="J37" s="33" t="inlineStr">
        <is>
          <t>Compra</t>
        </is>
      </c>
      <c r="K37" s="33" t="inlineStr">
        <is>
          <t>Sí</t>
        </is>
      </c>
      <c r="L37" s="17" t="inlineStr">
        <is>
          <t>Yukon / MatafuegosYa S.R.L.</t>
        </is>
      </c>
      <c r="M37" s="17" t="inlineStr">
        <is>
          <t>Matafuegos Iglesias</t>
        </is>
      </c>
      <c r="N37" s="17" t="inlineStr">
        <is>
          <t>C9 armado de ruedas y manguera</t>
        </is>
      </c>
      <c r="O37" s="17" t="n"/>
      <c r="P37" s="33" t="inlineStr">
        <is>
          <t>P</t>
        </is>
      </c>
      <c r="Q37" s="33" t="inlineStr">
        <is>
          <t>FL_DES_ABC_50kg</t>
        </is>
      </c>
      <c r="R37" s="17" t="n"/>
    </row>
    <row r="38" outlineLevel="1">
      <c r="A38" s="33" t="n">
        <v>2</v>
      </c>
      <c r="B38" s="33" t="inlineStr">
        <is>
          <t>ABC50-22</t>
        </is>
      </c>
      <c r="C38" s="17" t="inlineStr">
        <is>
          <t xml:space="preserve">        Soporte de manguera</t>
        </is>
      </c>
      <c r="D38" s="33" t="n">
        <v>1</v>
      </c>
      <c r="E38" s="33" t="inlineStr">
        <is>
          <t>u</t>
        </is>
      </c>
      <c r="F38" s="34" t="n">
        <v>1.6857</v>
      </c>
      <c r="G38" s="34">
        <f>D38*F38</f>
        <v/>
      </c>
      <c r="H38" s="33" t="inlineStr">
        <is>
          <t>Planchuela acero SAE 1010</t>
        </is>
      </c>
      <c r="I38" s="17" t="inlineStr">
        <is>
          <t>490,8 × 217 × 40,5</t>
        </is>
      </c>
      <c r="J38" s="33" t="inlineStr">
        <is>
          <t>Compra (estructura)</t>
        </is>
      </c>
      <c r="K38" s="33" t="inlineStr">
        <is>
          <t>Sí</t>
        </is>
      </c>
      <c r="L38" s="17" t="inlineStr">
        <is>
          <t>Yukon / MatafuegosYa S.R.L.</t>
        </is>
      </c>
      <c r="M38" s="17" t="inlineStr">
        <is>
          <t>Matafuegos Iglesias</t>
        </is>
      </c>
      <c r="N38" s="17" t="inlineStr">
        <is>
          <t>C9 armado de ruedas y manguera</t>
        </is>
      </c>
      <c r="O38" s="17" t="n"/>
      <c r="P38" s="33" t="inlineStr">
        <is>
          <t>P</t>
        </is>
      </c>
      <c r="Q38" s="33" t="inlineStr">
        <is>
          <t>FL_DES_ABC_50kg</t>
        </is>
      </c>
      <c r="R38" s="17" t="n"/>
    </row>
    <row r="39" outlineLevel="1">
      <c r="A39" s="33" t="n">
        <v>2</v>
      </c>
      <c r="B39" s="33" t="inlineStr">
        <is>
          <t>ABC50-23</t>
        </is>
      </c>
      <c r="C39" s="17" t="inlineStr">
        <is>
          <t xml:space="preserve">        Racor de manguera</t>
        </is>
      </c>
      <c r="D39" s="33" t="n">
        <v>1</v>
      </c>
      <c r="E39" s="33" t="inlineStr">
        <is>
          <t>u</t>
        </is>
      </c>
      <c r="F39" s="34" t="n">
        <v>0.0612</v>
      </c>
      <c r="G39" s="34">
        <f>D39*F39</f>
        <v/>
      </c>
      <c r="H39" s="33" t="inlineStr">
        <is>
          <t>Latón</t>
        </is>
      </c>
      <c r="I39" s="17" t="inlineStr">
        <is>
          <t>24 × 24 × 16</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FL_DES_ABC_50kg</t>
        </is>
      </c>
      <c r="R39" s="17" t="n"/>
    </row>
    <row r="40" outlineLevel="1">
      <c r="A40" s="33" t="n">
        <v>2</v>
      </c>
      <c r="B40" s="33" t="inlineStr">
        <is>
          <t>ABC50-24</t>
        </is>
      </c>
      <c r="C40" s="17" t="inlineStr">
        <is>
          <t xml:space="preserve">        Manguera</t>
        </is>
      </c>
      <c r="D40" s="33" t="n">
        <v>1</v>
      </c>
      <c r="E40" s="33" t="inlineStr">
        <is>
          <t>u</t>
        </is>
      </c>
      <c r="F40" s="34" t="n">
        <v>0.1766</v>
      </c>
      <c r="G40" s="34">
        <f>D40*F40</f>
        <v/>
      </c>
      <c r="H40" s="33" t="inlineStr">
        <is>
          <t>Caucho sintético</t>
        </is>
      </c>
      <c r="I40" s="17" t="inlineStr">
        <is>
          <t>Ø16 × 1.144 de largo desarrollado</t>
        </is>
      </c>
      <c r="J40" s="33" t="inlineStr">
        <is>
          <t>Compra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FL_DES_ABC_50kg</t>
        </is>
      </c>
      <c r="R40" s="17" t="n"/>
    </row>
    <row r="41" outlineLevel="1">
      <c r="A41" s="33" t="n">
        <v>2</v>
      </c>
      <c r="B41" s="33" t="inlineStr">
        <is>
          <t>ABC50-25</t>
        </is>
      </c>
      <c r="C41" s="17" t="inlineStr">
        <is>
          <t xml:space="preserve">        Válvula esférica</t>
        </is>
      </c>
      <c r="D41" s="33" t="n">
        <v>1</v>
      </c>
      <c r="E41" s="33" t="inlineStr">
        <is>
          <t>u</t>
        </is>
      </c>
      <c r="F41" s="34" t="n">
        <v>0.4225</v>
      </c>
      <c r="G41" s="34">
        <f>D41*F41</f>
        <v/>
      </c>
      <c r="H41" s="33" t="inlineStr">
        <is>
          <t>Latón cromado</t>
        </is>
      </c>
      <c r="I41" s="17" t="inlineStr">
        <is>
          <t>130 × 60 × 40</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FL_DES_ABC_50kg</t>
        </is>
      </c>
      <c r="R41" s="17" t="n"/>
    </row>
    <row r="42" outlineLevel="1">
      <c r="A42" s="33" t="n">
        <v>2</v>
      </c>
      <c r="B42" s="33" t="inlineStr">
        <is>
          <t>ABC50-26</t>
        </is>
      </c>
      <c r="C42" s="17" t="inlineStr">
        <is>
          <t xml:space="preserve">        Tobera campana</t>
        </is>
      </c>
      <c r="D42" s="33" t="n">
        <v>1</v>
      </c>
      <c r="E42" s="33" t="inlineStr">
        <is>
          <t>u</t>
        </is>
      </c>
      <c r="F42" s="34" t="n">
        <v>0.07969999999999999</v>
      </c>
      <c r="G42" s="34">
        <f>D42*F42</f>
        <v/>
      </c>
      <c r="H42" s="33" t="inlineStr">
        <is>
          <t>Polipropileno</t>
        </is>
      </c>
      <c r="I42" s="17" t="inlineStr">
        <is>
          <t>200 × 68 × 68</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FL_DES_ABC_50kg</t>
        </is>
      </c>
      <c r="R42" s="17" t="n"/>
    </row>
    <row r="43">
      <c r="A43" s="30" t="n">
        <v>1</v>
      </c>
      <c r="B43" s="30" t="inlineStr">
        <is>
          <t>ABC50-S4</t>
        </is>
      </c>
      <c r="C43" s="31" t="inlineStr">
        <is>
          <t xml:space="preserve">    Carro (bastidor y ruedas)</t>
        </is>
      </c>
      <c r="D43" s="30" t="n">
        <v>1</v>
      </c>
      <c r="E43" s="30" t="inlineStr">
        <is>
          <t>u</t>
        </is>
      </c>
      <c r="F43" s="32" t="n"/>
      <c r="G43" s="32">
        <f>G44+G45+G46+G48+G50+G52</f>
        <v/>
      </c>
      <c r="H43" s="30" t="n"/>
      <c r="I43" s="31" t="n"/>
      <c r="J43" s="30" t="inlineStr">
        <is>
          <t>Fabricación</t>
        </is>
      </c>
      <c r="K43" s="30" t="n"/>
      <c r="L43" s="31" t="n"/>
      <c r="M43" s="31" t="n"/>
      <c r="N43" s="31" t="n"/>
      <c r="O43" s="31" t="inlineStr">
        <is>
          <t>IRAM 3550 3.12 y 4.8 (ruedas ≥ Ø300 × 50)</t>
        </is>
      </c>
      <c r="P43" s="30" t="inlineStr">
        <is>
          <t>P</t>
        </is>
      </c>
      <c r="Q43" s="30" t="inlineStr">
        <is>
          <t>FL_DES_ABC_50kg</t>
        </is>
      </c>
      <c r="R43" s="31" t="n"/>
    </row>
    <row r="44" outlineLevel="1">
      <c r="A44" s="33" t="n">
        <v>2</v>
      </c>
      <c r="B44" s="33" t="inlineStr">
        <is>
          <t>ABC50-05</t>
        </is>
      </c>
      <c r="C44" s="17" t="inlineStr">
        <is>
          <t xml:space="preserve">        Neumático macizo</t>
        </is>
      </c>
      <c r="D44" s="33" t="n">
        <v>2</v>
      </c>
      <c r="E44" s="33" t="inlineStr">
        <is>
          <t>u</t>
        </is>
      </c>
      <c r="F44" s="34" t="n">
        <v>3.8922</v>
      </c>
      <c r="G44" s="34">
        <f>D44*F44</f>
        <v/>
      </c>
      <c r="H44" s="33" t="inlineStr">
        <is>
          <t>Caucho</t>
        </is>
      </c>
      <c r="I44" s="17" t="inlineStr">
        <is>
          <t>Ø350 × 70 de ancho</t>
        </is>
      </c>
      <c r="J44" s="33" t="inlineStr">
        <is>
          <t>Compra</t>
        </is>
      </c>
      <c r="K44" s="33" t="inlineStr">
        <is>
          <t>Sí</t>
        </is>
      </c>
      <c r="L44" s="17" t="inlineStr">
        <is>
          <t>Ruedar</t>
        </is>
      </c>
      <c r="M44" s="17" t="inlineStr">
        <is>
          <t>Escanort S.A.</t>
        </is>
      </c>
      <c r="N44" s="17" t="inlineStr">
        <is>
          <t>C9 armado de ruedas (S-TC)</t>
        </is>
      </c>
      <c r="O44" s="17" t="n"/>
      <c r="P44" s="33" t="inlineStr">
        <is>
          <t>P</t>
        </is>
      </c>
      <c r="Q44" s="33" t="inlineStr">
        <is>
          <t>FL_DES_ABC_50kg</t>
        </is>
      </c>
      <c r="R44" s="17" t="inlineStr">
        <is>
          <t>IRAM 3550 4.8: Ø ≥ 300 y ancho ≥ 50</t>
        </is>
      </c>
    </row>
    <row r="45" outlineLevel="1">
      <c r="A45" s="33" t="n">
        <v>2</v>
      </c>
      <c r="B45" s="33" t="inlineStr">
        <is>
          <t>ABC50-06</t>
        </is>
      </c>
      <c r="C45" s="17" t="inlineStr">
        <is>
          <t xml:space="preserve">        Llanta con cubo</t>
        </is>
      </c>
      <c r="D45" s="33" t="n">
        <v>2</v>
      </c>
      <c r="E45" s="33" t="inlineStr">
        <is>
          <t>u</t>
        </is>
      </c>
      <c r="F45" s="34" t="n">
        <v>4.0415</v>
      </c>
      <c r="G45" s="34">
        <f>D45*F45</f>
        <v/>
      </c>
      <c r="H45" s="33" t="inlineStr">
        <is>
          <t>Chapa acero SAE 1010</t>
        </is>
      </c>
      <c r="I45" s="17" t="inlineStr">
        <is>
          <t>Ø252 × 80 de ancho</t>
        </is>
      </c>
      <c r="J45" s="33" t="inlineStr">
        <is>
          <t>Incluido en rueda</t>
        </is>
      </c>
      <c r="K45" s="33" t="inlineStr">
        <is>
          <t>No</t>
        </is>
      </c>
      <c r="L45" s="17" t="n"/>
      <c r="M45" s="17" t="n"/>
      <c r="N45" s="17" t="inlineStr">
        <is>
          <t>C9 armado de ruedas (S-TC)</t>
        </is>
      </c>
      <c r="O45" s="17" t="n"/>
      <c r="P45" s="33" t="inlineStr">
        <is>
          <t>P</t>
        </is>
      </c>
      <c r="Q45" s="33" t="inlineStr">
        <is>
          <t>FL_DES_ABC_50kg</t>
        </is>
      </c>
      <c r="R45" s="17" t="n"/>
    </row>
    <row r="46" outlineLevel="1">
      <c r="A46" s="33" t="n">
        <v>2</v>
      </c>
      <c r="B46" s="33" t="inlineStr">
        <is>
          <t>ABC50-07</t>
        </is>
      </c>
      <c r="C46" s="17" t="inlineStr">
        <is>
          <t xml:space="preserve">        Eje de ruedas</t>
        </is>
      </c>
      <c r="D46" s="33" t="n">
        <v>1</v>
      </c>
      <c r="E46" s="33" t="inlineStr">
        <is>
          <t>u</t>
        </is>
      </c>
      <c r="F46" s="34" t="n">
        <v>1.3333</v>
      </c>
      <c r="G46" s="34">
        <f>D46*F46</f>
        <v/>
      </c>
      <c r="H46" s="33" t="inlineStr">
        <is>
          <t>Acero SAE 1045</t>
        </is>
      </c>
      <c r="I46" s="17" t="inlineStr">
        <is>
          <t>Ø25 × 346 de largo</t>
        </is>
      </c>
      <c r="J46" s="33" t="inlineStr">
        <is>
          <t>Fabricación</t>
        </is>
      </c>
      <c r="K46" s="33" t="inlineStr">
        <is>
          <t>No</t>
        </is>
      </c>
      <c r="L46" s="17" t="n"/>
      <c r="M46" s="17" t="n"/>
      <c r="N46" s="17" t="inlineStr">
        <is>
          <t>Corte en sierra -&gt; curvado / plegado -&gt; soldadura MAG del carro -&gt; C9 armado (S-TC); puesto de soldadura de carros a incorporar al layout</t>
        </is>
      </c>
      <c r="O46" s="17" t="n"/>
      <c r="P46" s="33" t="inlineStr">
        <is>
          <t>P</t>
        </is>
      </c>
      <c r="Q46" s="33" t="inlineStr">
        <is>
          <t>FL_DES_ABC_50kg</t>
        </is>
      </c>
      <c r="R46" s="17" t="n"/>
    </row>
    <row r="47" outlineLevel="2">
      <c r="A47" s="35" t="n">
        <v>3</v>
      </c>
      <c r="B47" s="35" t="inlineStr">
        <is>
          <t>MP-EJE</t>
        </is>
      </c>
      <c r="C47" s="36" t="inlineStr">
        <is>
          <t xml:space="preserve">            Redondo SAE 1045 Ø25 (tramo de barra de 6 m)</t>
        </is>
      </c>
      <c r="D47" s="35" t="n">
        <v>0.0577</v>
      </c>
      <c r="E47" s="35" t="inlineStr">
        <is>
          <t>barra</t>
        </is>
      </c>
      <c r="F47" s="37" t="n">
        <v>23.12</v>
      </c>
      <c r="G47" s="37">
        <f>D47*F47</f>
        <v/>
      </c>
      <c r="H47" s="35" t="inlineStr">
        <is>
          <t>Redondo SAE 1045 Ø25</t>
        </is>
      </c>
      <c r="I47" s="36" t="inlineStr">
        <is>
          <t>346 mm por pieza (kg por barra de 6 m)</t>
        </is>
      </c>
      <c r="J47" s="35" t="inlineStr">
        <is>
          <t>Compra</t>
        </is>
      </c>
      <c r="K47" s="35" t="inlineStr">
        <is>
          <t>Sí</t>
        </is>
      </c>
      <c r="L47" s="36" t="inlineStr">
        <is>
          <t>Hierros Parrotta</t>
        </is>
      </c>
      <c r="M47" s="36" t="inlineStr">
        <is>
          <t>-</t>
        </is>
      </c>
      <c r="N47" s="36" t="inlineStr">
        <is>
          <t>Corte en sierra</t>
        </is>
      </c>
      <c r="O47" s="36" t="n"/>
      <c r="P47" s="35" t="inlineStr">
        <is>
          <t>C</t>
        </is>
      </c>
      <c r="Q47" s="35" t="n"/>
      <c r="R47" s="36" t="n"/>
    </row>
    <row r="48" outlineLevel="1">
      <c r="A48" s="33" t="n">
        <v>2</v>
      </c>
      <c r="B48" s="33" t="inlineStr">
        <is>
          <t>ABC50-08</t>
        </is>
      </c>
      <c r="C48" s="17" t="inlineStr">
        <is>
          <t xml:space="preserve">        Bastidor</t>
        </is>
      </c>
      <c r="D48" s="33" t="n">
        <v>1</v>
      </c>
      <c r="E48" s="33" t="inlineStr">
        <is>
          <t>u</t>
        </is>
      </c>
      <c r="F48" s="34" t="n">
        <v>2.0504</v>
      </c>
      <c r="G48" s="34">
        <f>D48*F48</f>
        <v/>
      </c>
      <c r="H48" s="33" t="inlineStr">
        <is>
          <t>Caño acero SAE 1010 Ø25,4×1,6</t>
        </is>
      </c>
      <c r="I48" s="17" t="inlineStr">
        <is>
          <t>caño Ø25,4 × 1,6 × 2.148 de largo desarrollado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FL_DES_ABC_50kg</t>
        </is>
      </c>
      <c r="R48" s="17" t="n"/>
    </row>
    <row r="49" outlineLevel="2">
      <c r="A49" s="35" t="n">
        <v>3</v>
      </c>
      <c r="B49" s="35" t="inlineStr">
        <is>
          <t>MP-CANO-CARRO</t>
        </is>
      </c>
      <c r="C49" s="36" t="inlineStr">
        <is>
          <t xml:space="preserve">            Caño SAE 1010 Ø25,4 × 1,6 (tramo de barra de 6 m)</t>
        </is>
      </c>
      <c r="D49" s="35" t="n">
        <v>0.358</v>
      </c>
      <c r="E49" s="35" t="inlineStr">
        <is>
          <t>barra</t>
        </is>
      </c>
      <c r="F49" s="37" t="n">
        <v>5.635</v>
      </c>
      <c r="G49" s="37">
        <f>D49*F49</f>
        <v/>
      </c>
      <c r="H49" s="35" t="inlineStr">
        <is>
          <t>Caño acero SAE 1010 Ø25,4 × 1,6</t>
        </is>
      </c>
      <c r="I49" s="36" t="inlineStr">
        <is>
          <t>2.148 mm por pieza (kg por barra de 6 m)</t>
        </is>
      </c>
      <c r="J49" s="35" t="inlineStr">
        <is>
          <t>Compra</t>
        </is>
      </c>
      <c r="K49" s="35" t="inlineStr">
        <is>
          <t>Sí</t>
        </is>
      </c>
      <c r="L49" s="36" t="inlineStr">
        <is>
          <t>Metalpri / Prilux</t>
        </is>
      </c>
      <c r="M49" s="36" t="inlineStr">
        <is>
          <t>Comercial MID</t>
        </is>
      </c>
      <c r="N49" s="36" t="inlineStr">
        <is>
          <t>Corte en sierra</t>
        </is>
      </c>
      <c r="O49" s="36" t="n"/>
      <c r="P49" s="35" t="inlineStr">
        <is>
          <t>C</t>
        </is>
      </c>
      <c r="Q49" s="35" t="n"/>
      <c r="R49" s="36" t="inlineStr">
        <is>
          <t>Largo desarrollado del plano + curvado</t>
        </is>
      </c>
    </row>
    <row r="50" outlineLevel="1">
      <c r="A50" s="33" t="n">
        <v>2</v>
      </c>
      <c r="B50" s="33" t="inlineStr">
        <is>
          <t>ABC50-09</t>
        </is>
      </c>
      <c r="C50" s="17" t="inlineStr">
        <is>
          <t xml:space="preserve">        Sunchos de fijación</t>
        </is>
      </c>
      <c r="D50" s="33" t="n">
        <v>1</v>
      </c>
      <c r="E50" s="33" t="inlineStr">
        <is>
          <t>u</t>
        </is>
      </c>
      <c r="F50" s="34" t="n">
        <v>5.4228</v>
      </c>
      <c r="G50" s="34">
        <f>D50*F50</f>
        <v/>
      </c>
      <c r="H50" s="33" t="inlineStr">
        <is>
          <t>Planchuela acero SAE 1010</t>
        </is>
      </c>
      <c r="I50" s="17" t="inlineStr">
        <is>
          <t>459 × 424 × 332</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FL_DES_ABC_50kg</t>
        </is>
      </c>
      <c r="R50" s="17" t="n"/>
    </row>
    <row r="51" outlineLevel="2">
      <c r="A51" s="35" t="n">
        <v>3</v>
      </c>
      <c r="B51" s="35" t="inlineStr">
        <is>
          <t>MP-PLANCHUELA</t>
        </is>
      </c>
      <c r="C51" s="36" t="inlineStr">
        <is>
          <t xml:space="preserve">            Planchuela SAE 1010 40 × 6 (tramo de barra de 6 m)</t>
        </is>
      </c>
      <c r="D51" s="35" t="n">
        <v>0.4797</v>
      </c>
      <c r="E51" s="35" t="inlineStr">
        <is>
          <t>barra</t>
        </is>
      </c>
      <c r="F51" s="37" t="n">
        <v>11.304</v>
      </c>
      <c r="G51" s="37">
        <f>D51*F51</f>
        <v/>
      </c>
      <c r="H51" s="35" t="inlineStr">
        <is>
          <t>Planchuela SAE 1010 40 × 6</t>
        </is>
      </c>
      <c r="I51" s="36" t="inlineStr">
        <is>
          <t>2.878 mm por pieza (kg por barra de 6 m)</t>
        </is>
      </c>
      <c r="J51" s="35" t="inlineStr">
        <is>
          <t>Compra</t>
        </is>
      </c>
      <c r="K51" s="35" t="inlineStr">
        <is>
          <t>Sí</t>
        </is>
      </c>
      <c r="L51" s="36" t="inlineStr">
        <is>
          <t>Hierros Parrotta</t>
        </is>
      </c>
      <c r="M51" s="36" t="inlineStr">
        <is>
          <t>-</t>
        </is>
      </c>
      <c r="N51" s="36" t="inlineStr">
        <is>
          <t>Corte en sierra</t>
        </is>
      </c>
      <c r="O51" s="36" t="n"/>
      <c r="P51" s="35" t="inlineStr">
        <is>
          <t>C</t>
        </is>
      </c>
      <c r="Q51" s="35" t="n"/>
      <c r="R51" s="36" t="inlineStr">
        <is>
          <t>Largo = volumen del plano / sección 40 × 6</t>
        </is>
      </c>
    </row>
    <row r="52" outlineLevel="1">
      <c r="A52" s="33" t="n">
        <v>2</v>
      </c>
      <c r="B52" s="33" t="inlineStr">
        <is>
          <t>ABC50-10</t>
        </is>
      </c>
      <c r="C52" s="17" t="inlineStr">
        <is>
          <t xml:space="preserve">        Apoyo delantero</t>
        </is>
      </c>
      <c r="D52" s="33" t="n">
        <v>1</v>
      </c>
      <c r="E52" s="33" t="inlineStr">
        <is>
          <t>u</t>
        </is>
      </c>
      <c r="F52" s="34" t="n">
        <v>0.3022</v>
      </c>
      <c r="G52" s="34">
        <f>D52*F52</f>
        <v/>
      </c>
      <c r="H52" s="33" t="inlineStr">
        <is>
          <t>Chapa acero SAE 1010 plegada</t>
        </is>
      </c>
      <c r="I52" s="17" t="inlineStr">
        <is>
          <t>70 × 55 × 50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FL_DES_ABC_50kg</t>
        </is>
      </c>
      <c r="R52" s="17" t="n"/>
    </row>
    <row r="53" outlineLevel="2">
      <c r="A53" s="47" t="n">
        <v>3</v>
      </c>
      <c r="B53" s="47" t="inlineStr">
        <is>
          <t>MP-CHAPA-APOYO</t>
        </is>
      </c>
      <c r="C53" s="48" t="inlineStr">
        <is>
          <t xml:space="preserve">            Recorte de chapa LAC e=3,2 para el apoyo plegado</t>
        </is>
      </c>
      <c r="D53" s="47" t="n">
        <v>1</v>
      </c>
      <c r="E53" s="47" t="inlineStr">
        <is>
          <t>u</t>
        </is>
      </c>
      <c r="F53" s="49" t="n">
        <v>0.348</v>
      </c>
      <c r="G53" s="49">
        <f>D53*F53</f>
        <v/>
      </c>
      <c r="H53" s="47" t="inlineStr">
        <is>
          <t>Chapa LAC SAE 1010</t>
        </is>
      </c>
      <c r="I53" s="48" t="inlineStr">
        <is>
          <t>desarrollo del apoyo + 15 % de recorte</t>
        </is>
      </c>
      <c r="J53" s="47" t="inlineStr">
        <is>
          <t>Compra</t>
        </is>
      </c>
      <c r="K53" s="47" t="inlineStr">
        <is>
          <t>Sí</t>
        </is>
      </c>
      <c r="L53" s="48" t="inlineStr">
        <is>
          <t>Pradecon S.A.</t>
        </is>
      </c>
      <c r="M53" s="48" t="inlineStr">
        <is>
          <t>Pacheco Chapas</t>
        </is>
      </c>
      <c r="N53" s="48" t="inlineStr">
        <is>
          <t>Corte y plegado</t>
        </is>
      </c>
      <c r="O53" s="48" t="n"/>
      <c r="P53" s="47" t="inlineStr">
        <is>
          <t>C</t>
        </is>
      </c>
      <c r="Q53" s="47" t="n"/>
      <c r="R53" s="48" t="inlineStr">
        <is>
          <t>15 % de recorte: valor de taller sin medir</t>
        </is>
      </c>
    </row>
    <row r="54">
      <c r="A54" s="30" t="n">
        <v>1</v>
      </c>
      <c r="B54" s="30" t="inlineStr">
        <is>
          <t>ABC50-S5</t>
        </is>
      </c>
      <c r="C54" s="31" t="inlineStr">
        <is>
          <t xml:space="preserve">    Carga: agente extintor y gas impulsor</t>
        </is>
      </c>
      <c r="D54" s="30" t="n">
        <v>1</v>
      </c>
      <c r="E54" s="30" t="inlineStr">
        <is>
          <t>u</t>
        </is>
      </c>
      <c r="F54" s="32" t="n"/>
      <c r="G54" s="32">
        <f>G55+G56</f>
        <v/>
      </c>
      <c r="H54" s="30" t="n"/>
      <c r="I54" s="31" t="n"/>
      <c r="J54" s="30" t="inlineStr">
        <is>
          <t>Carga en planta</t>
        </is>
      </c>
      <c r="K54" s="30" t="n"/>
      <c r="L54" s="31" t="n"/>
      <c r="M54" s="31" t="n"/>
      <c r="N54" s="31" t="inlineStr">
        <is>
          <t>18 Carga de polvo (T01) / C8 (T02)</t>
        </is>
      </c>
      <c r="O54" s="31" t="n"/>
      <c r="P54" s="30" t="n"/>
      <c r="Q54" s="30" t="n"/>
      <c r="R54" s="31" t="n"/>
    </row>
    <row r="55" outlineLevel="1">
      <c r="A55" s="33" t="n">
        <v>2</v>
      </c>
      <c r="B55" s="33" t="inlineStr">
        <is>
          <t>ABC50-A1</t>
        </is>
      </c>
      <c r="C55" s="17" t="inlineStr">
        <is>
          <t xml:space="preserve">        Polvo químico seco ABC 90 (Sello IRAM 3569)</t>
        </is>
      </c>
      <c r="D55" s="33" t="n">
        <v>50</v>
      </c>
      <c r="E55" s="33" t="inlineStr">
        <is>
          <t>kg</t>
        </is>
      </c>
      <c r="F55" s="34" t="n">
        <v>1</v>
      </c>
      <c r="G55" s="34">
        <f>D55*F55</f>
        <v/>
      </c>
      <c r="H55" s="33" t="inlineStr">
        <is>
          <t>Polvo químico seco ABC 90 (Sello IRAM 3569)</t>
        </is>
      </c>
      <c r="I55" s="17" t="inlineStr">
        <is>
          <t>nominal 50 kg; tolerancia ± 3 % (IRAM 3517-2:2020 tabla 3)</t>
        </is>
      </c>
      <c r="J55" s="33" t="inlineStr">
        <is>
          <t>Compra</t>
        </is>
      </c>
      <c r="K55" s="33" t="inlineStr">
        <is>
          <t>Sí</t>
        </is>
      </c>
      <c r="L55" s="17" t="inlineStr">
        <is>
          <t>DEM S.A. (DEMSA)</t>
        </is>
      </c>
      <c r="M55" s="17" t="inlineStr">
        <is>
          <t>Polvex S.R.L. / Sancibrao</t>
        </is>
      </c>
      <c r="N55" s="17" t="inlineStr">
        <is>
          <t>SP-1 almacén previo a la carga</t>
        </is>
      </c>
      <c r="O55" s="17" t="inlineStr">
        <is>
          <t>IRAM 3569</t>
        </is>
      </c>
      <c r="P55" s="33" t="inlineStr">
        <is>
          <t>N</t>
        </is>
      </c>
      <c r="Q55" s="33" t="n"/>
      <c r="R55"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41" t="n">
        <v>2</v>
      </c>
      <c r="B56" s="41" t="inlineStr">
        <is>
          <t>ABC50-A2</t>
        </is>
      </c>
      <c r="C56" s="18" t="inlineStr">
        <is>
          <t xml:space="preserve">        Gas impulsor: N₂</t>
        </is>
      </c>
      <c r="D56" s="41" t="n">
        <v>0.2819</v>
      </c>
      <c r="E56" s="41" t="inlineStr">
        <is>
          <t>kg</t>
        </is>
      </c>
      <c r="F56" s="42" t="n">
        <v>1</v>
      </c>
      <c r="G56" s="42">
        <f>D56*F56</f>
        <v/>
      </c>
      <c r="H56" s="41" t="inlineStr">
        <is>
          <t>N₂</t>
        </is>
      </c>
      <c r="I56" s="18" t="inlineStr">
        <is>
          <t>225,6 L normales para 1,4 MPa a 20 °C en 16,35 dm³ libres</t>
        </is>
      </c>
      <c r="J56" s="41" t="inlineStr">
        <is>
          <t>Compra</t>
        </is>
      </c>
      <c r="K56" s="41"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41" t="inlineStr">
        <is>
          <t>C</t>
        </is>
      </c>
      <c r="Q56" s="41" t="n"/>
      <c r="R56" s="18" t="inlineStr">
        <is>
          <t>N₂ ≥ 99,8 %, H₂O ≤ 40 ppm (Q-N2, Air Liquide) · volumen libre con ρ empacada mínima 1,1 kg/dm³ (NOM-104-STPS-2001); confirmar con descarga ≥ 85 % (IRAM 3523 4.9.1)</t>
        </is>
      </c>
    </row>
    <row r="57">
      <c r="A57" s="30" t="n">
        <v>1</v>
      </c>
      <c r="B57" s="30" t="inlineStr">
        <is>
          <t>ABC50-S6</t>
        </is>
      </c>
      <c r="C57" s="31" t="inlineStr">
        <is>
          <t xml:space="preserve">    Identificación y precinto</t>
        </is>
      </c>
      <c r="D57" s="30" t="n">
        <v>1</v>
      </c>
      <c r="E57" s="30" t="inlineStr">
        <is>
          <t>u</t>
        </is>
      </c>
      <c r="F57" s="32" t="n"/>
      <c r="G57" s="32">
        <f>G58+G59+G60+G61+G62+G63+G64</f>
        <v/>
      </c>
      <c r="H57" s="30" t="n"/>
      <c r="I57" s="31" t="n"/>
      <c r="J57" s="30" t="inlineStr">
        <is>
          <t>Compra</t>
        </is>
      </c>
      <c r="K57" s="30" t="n"/>
      <c r="L57" s="31" t="n"/>
      <c r="M57" s="31" t="n"/>
      <c r="N57" s="31" t="inlineStr">
        <is>
          <t>22 Etiquetado (T07)</t>
        </is>
      </c>
      <c r="O57" s="31" t="n"/>
      <c r="P57" s="30" t="n"/>
      <c r="Q57" s="30" t="n"/>
      <c r="R57" s="31" t="n"/>
    </row>
    <row r="58" outlineLevel="1">
      <c r="A58" s="33" t="n">
        <v>2</v>
      </c>
      <c r="B58" s="33" t="inlineStr">
        <is>
          <t>ABC50-27</t>
        </is>
      </c>
      <c r="C58" s="17" t="inlineStr">
        <is>
          <t xml:space="preserve">        Etiqueta / placa de características</t>
        </is>
      </c>
      <c r="D58" s="33" t="n">
        <v>1</v>
      </c>
      <c r="E58" s="33" t="inlineStr">
        <is>
          <t>u</t>
        </is>
      </c>
      <c r="F58" s="34" t="n">
        <v>0.0518</v>
      </c>
      <c r="G58" s="34">
        <f>D58*F58</f>
        <v/>
      </c>
      <c r="H58" s="33" t="inlineStr">
        <is>
          <t>Vinilo autoadhesivo laminado</t>
        </is>
      </c>
      <c r="I58" s="17" t="inlineStr">
        <is>
          <t>604 × 204 (desarrollo × alto: panel central 108° + 2 alas laterales), e ≈ 0,3, laminado UV</t>
        </is>
      </c>
      <c r="J58" s="33" t="inlineStr">
        <is>
          <t>Compra</t>
        </is>
      </c>
      <c r="K58" s="33" t="inlineStr">
        <is>
          <t>Sí</t>
        </is>
      </c>
      <c r="L58" s="17" t="inlineStr">
        <is>
          <t>Astuprint</t>
        </is>
      </c>
      <c r="M58" s="17" t="inlineStr">
        <is>
          <t>Multilabel Argentina S.A.</t>
        </is>
      </c>
      <c r="N58" s="17" t="inlineStr">
        <is>
          <t>22 Etiquetado (T07)</t>
        </is>
      </c>
      <c r="O58" s="17" t="inlineStr">
        <is>
          <t>IRAM 3534 · IRAM 3550 cap. 5 · relevamiento de mercado</t>
        </is>
      </c>
      <c r="P58" s="33" t="inlineStr">
        <is>
          <t>P</t>
        </is>
      </c>
      <c r="Q58" s="33" t="inlineStr">
        <is>
          <t>FL_DES_ABC_50kg</t>
        </is>
      </c>
      <c r="R58" s="17" t="inlineStr">
        <is>
          <t>IRAM 3534</t>
        </is>
      </c>
    </row>
    <row r="59" outlineLevel="1">
      <c r="A59" s="33" t="n">
        <v>2</v>
      </c>
      <c r="B59" s="33" t="inlineStr">
        <is>
          <t>ABC50-28</t>
        </is>
      </c>
      <c r="C59" s="17" t="inlineStr">
        <is>
          <t xml:space="preserve">        Oblea de fabricación (PBA)</t>
        </is>
      </c>
      <c r="D59" s="33" t="n">
        <v>1</v>
      </c>
      <c r="E59" s="33" t="inlineStr">
        <is>
          <t>u</t>
        </is>
      </c>
      <c r="F59" s="34" t="n">
        <v>0.0009</v>
      </c>
      <c r="G59" s="34">
        <f>D59*F59</f>
        <v/>
      </c>
      <c r="H59" s="33" t="inlineStr">
        <is>
          <t>Papel de seguridad autodestructible</t>
        </is>
      </c>
      <c r="I59" s="17" t="inlineStr">
        <is>
          <t>Ø46 (Res. OPDS 522/07), numerada, autodestructible</t>
        </is>
      </c>
      <c r="J59" s="33" t="inlineStr">
        <is>
          <t>Compra</t>
        </is>
      </c>
      <c r="K59" s="33" t="inlineStr">
        <is>
          <t>Sí</t>
        </is>
      </c>
      <c r="L59" s="17" t="inlineStr">
        <is>
          <t>Ministerio de Ambiente PBA (ex OPDS)</t>
        </is>
      </c>
      <c r="M59" s="17" t="inlineStr">
        <is>
          <t>-</t>
        </is>
      </c>
      <c r="N59" s="17" t="inlineStr">
        <is>
          <t>22 Etiquetado (T07)</t>
        </is>
      </c>
      <c r="O59" s="17" t="inlineStr">
        <is>
          <t>Res. OPDS 522/07 anexos 1, 2 y 6</t>
        </is>
      </c>
      <c r="P59" s="33" t="inlineStr">
        <is>
          <t>P</t>
        </is>
      </c>
      <c r="Q59" s="33" t="inlineStr">
        <is>
          <t>FL_DES_ABC_50kg</t>
        </is>
      </c>
      <c r="R59" s="17" t="inlineStr">
        <is>
          <t>Res. 522/07</t>
        </is>
      </c>
    </row>
    <row r="60" outlineLevel="1">
      <c r="A60" s="33" t="n">
        <v>2</v>
      </c>
      <c r="B60" s="33" t="inlineStr">
        <is>
          <t>ABC50-29</t>
        </is>
      </c>
      <c r="C60" s="17" t="inlineStr">
        <is>
          <t xml:space="preserve">        Estampilla IRAM de conformidad</t>
        </is>
      </c>
      <c r="D60" s="33" t="n">
        <v>1</v>
      </c>
      <c r="E60" s="33" t="inlineStr">
        <is>
          <t>u</t>
        </is>
      </c>
      <c r="F60" s="34" t="n">
        <v>0.001</v>
      </c>
      <c r="G60" s="34">
        <f>D60*F60</f>
        <v/>
      </c>
      <c r="H60" s="33" t="inlineStr">
        <is>
          <t>Provista por IRAM (Anexo R)</t>
        </is>
      </c>
      <c r="I60" s="17" t="inlineStr">
        <is>
          <t>60 × 40</t>
        </is>
      </c>
      <c r="J60" s="33" t="inlineStr">
        <is>
          <t>Compra</t>
        </is>
      </c>
      <c r="K60" s="33" t="inlineStr">
        <is>
          <t>Sí</t>
        </is>
      </c>
      <c r="L60" s="17" t="inlineStr">
        <is>
          <t>IRAM - Instituto Argentino de Normalización</t>
        </is>
      </c>
      <c r="M60" s="17" t="inlineStr">
        <is>
          <t>-</t>
        </is>
      </c>
      <c r="N60" s="17" t="inlineStr">
        <is>
          <t>22 Etiquetado (T07)</t>
        </is>
      </c>
      <c r="O60" s="17" t="inlineStr">
        <is>
          <t>IRAM Anexo R (DC-PG-129)</t>
        </is>
      </c>
      <c r="P60" s="33" t="inlineStr">
        <is>
          <t>P</t>
        </is>
      </c>
      <c r="Q60" s="33" t="inlineStr">
        <is>
          <t>FL_DES_ABC_50kg</t>
        </is>
      </c>
      <c r="R60" s="17" t="inlineStr">
        <is>
          <t>numerada</t>
        </is>
      </c>
    </row>
    <row r="61" outlineLevel="1">
      <c r="A61" s="33" t="n">
        <v>2</v>
      </c>
      <c r="B61" s="33" t="inlineStr">
        <is>
          <t>ABC50-30</t>
        </is>
      </c>
      <c r="C61" s="17" t="inlineStr">
        <is>
          <t xml:space="preserve">        Tarjeta de identificación AGC (CABA)</t>
        </is>
      </c>
      <c r="D61" s="33" t="n">
        <v>1</v>
      </c>
      <c r="E61" s="33" t="inlineStr">
        <is>
          <t>u</t>
        </is>
      </c>
      <c r="F61" s="34" t="n">
        <v>0.0032</v>
      </c>
      <c r="G61" s="34">
        <f>D61*F61</f>
        <v/>
      </c>
      <c r="H61" s="33" t="inlineStr">
        <is>
          <t>Etiqueta autoadhesiva emitida por la AGC</t>
        </is>
      </c>
      <c r="I61" s="17" t="inlineStr">
        <is>
          <t>140 × 55</t>
        </is>
      </c>
      <c r="J61" s="33" t="inlineStr">
        <is>
          <t>Compra</t>
        </is>
      </c>
      <c r="K61" s="33" t="inlineStr">
        <is>
          <t>Sí</t>
        </is>
      </c>
      <c r="L61" s="17" t="inlineStr">
        <is>
          <t>Agencia Gubernamental de Control (CABA)</t>
        </is>
      </c>
      <c r="M61" s="17" t="inlineStr">
        <is>
          <t>-</t>
        </is>
      </c>
      <c r="N61" s="17" t="inlineStr">
        <is>
          <t>22 Etiquetado (T07)</t>
        </is>
      </c>
      <c r="O61" s="17" t="inlineStr">
        <is>
          <t>Ordenanza 40.473 art. 6 · Res. AGC 32/15</t>
        </is>
      </c>
      <c r="P61" s="33" t="inlineStr">
        <is>
          <t>P</t>
        </is>
      </c>
      <c r="Q61" s="33" t="inlineStr">
        <is>
          <t>FL_DES_ABC_50kg</t>
        </is>
      </c>
      <c r="R61" s="17" t="inlineStr">
        <is>
          <t>sólo destino CABA</t>
        </is>
      </c>
    </row>
    <row r="62" outlineLevel="1">
      <c r="A62" s="33" t="n">
        <v>2</v>
      </c>
      <c r="B62" s="33" t="inlineStr">
        <is>
          <t>ABC50-31</t>
        </is>
      </c>
      <c r="C62" s="17" t="inlineStr">
        <is>
          <t xml:space="preserve">        Etiqueta de n° de serie GS1</t>
        </is>
      </c>
      <c r="D62" s="33" t="n">
        <v>1</v>
      </c>
      <c r="E62" s="33" t="inlineStr">
        <is>
          <t>u</t>
        </is>
      </c>
      <c r="F62" s="34" t="n">
        <v>0.0005</v>
      </c>
      <c r="G62" s="34">
        <f>D62*F62</f>
        <v/>
      </c>
      <c r="H62" s="33" t="inlineStr">
        <is>
          <t>Poliéster autoadhesivo impreso térmico</t>
        </is>
      </c>
      <c r="I62" s="17" t="inlineStr">
        <is>
          <t>45 × 25</t>
        </is>
      </c>
      <c r="J62" s="33" t="inlineStr">
        <is>
          <t>Compra</t>
        </is>
      </c>
      <c r="K62" s="33" t="inlineStr">
        <is>
          <t>Sí</t>
        </is>
      </c>
      <c r="L62" s="17" t="inlineStr">
        <is>
          <t>Astuprint</t>
        </is>
      </c>
      <c r="M62" s="17" t="inlineStr">
        <is>
          <t>GS1 Argentina</t>
        </is>
      </c>
      <c r="N62" s="17" t="inlineStr">
        <is>
          <t>22 Etiquetado (T07)</t>
        </is>
      </c>
      <c r="O62" s="17" t="inlineStr">
        <is>
          <t>GS1 Argentina (GTIN 779) · trazabilidad IRAM 3523 5.1</t>
        </is>
      </c>
      <c r="P62" s="33" t="inlineStr">
        <is>
          <t>P</t>
        </is>
      </c>
      <c r="Q62" s="33" t="inlineStr">
        <is>
          <t>FL_DES_ABC_50kg</t>
        </is>
      </c>
      <c r="R62" s="17" t="inlineStr">
        <is>
          <t>QR GTIN + serie</t>
        </is>
      </c>
    </row>
    <row r="63" outlineLevel="1">
      <c r="A63" s="33" t="n">
        <v>2</v>
      </c>
      <c r="B63" s="33" t="inlineStr">
        <is>
          <t>ABC50-33</t>
        </is>
      </c>
      <c r="C63" s="17" t="inlineStr">
        <is>
          <t xml:space="preserve">        Faja de garantía válvula-cuello</t>
        </is>
      </c>
      <c r="D63" s="33" t="n">
        <v>1</v>
      </c>
      <c r="E63" s="33" t="inlineStr">
        <is>
          <t>u</t>
        </is>
      </c>
      <c r="F63" s="34" t="n">
        <v>0.0003</v>
      </c>
      <c r="G63" s="34">
        <f>D63*F63</f>
        <v/>
      </c>
      <c r="H63" s="33" t="inlineStr">
        <is>
          <t>Vinilo destructible rayado rojo/blanco</t>
        </is>
      </c>
      <c r="I63" s="17" t="inlineStr">
        <is>
          <t>30 × 40</t>
        </is>
      </c>
      <c r="J63" s="33" t="inlineStr">
        <is>
          <t>Compra</t>
        </is>
      </c>
      <c r="K63" s="33" t="inlineStr">
        <is>
          <t>Sí</t>
        </is>
      </c>
      <c r="L63" s="17" t="inlineStr">
        <is>
          <t>Astuprint</t>
        </is>
      </c>
      <c r="M63" s="17" t="inlineStr">
        <is>
          <t>Multilabel Argentina S.A.</t>
        </is>
      </c>
      <c r="N63" s="17" t="inlineStr">
        <is>
          <t>22 Etiquetado (T07)</t>
        </is>
      </c>
      <c r="O63" s="17" t="inlineStr">
        <is>
          <t>Sin norma: práctica de mercado (garantía de fábrica)</t>
        </is>
      </c>
      <c r="P63" s="33" t="inlineStr">
        <is>
          <t>P</t>
        </is>
      </c>
      <c r="Q63" s="33" t="inlineStr">
        <is>
          <t>FL_DES_ABC_50kg</t>
        </is>
      </c>
      <c r="R63" s="17" t="inlineStr">
        <is>
          <t>nuevo sin abrir</t>
        </is>
      </c>
    </row>
    <row r="64" outlineLevel="1">
      <c r="A64" s="33" t="n">
        <v>2</v>
      </c>
      <c r="B64" s="33" t="inlineStr">
        <is>
          <t>ABC50-34</t>
        </is>
      </c>
      <c r="C64" s="17" t="inlineStr">
        <is>
          <t xml:space="preserve">        Precinto de fábrica</t>
        </is>
      </c>
      <c r="D64" s="33" t="n">
        <v>1</v>
      </c>
      <c r="E64" s="33" t="inlineStr">
        <is>
          <t>u</t>
        </is>
      </c>
      <c r="F64" s="34" t="n">
        <v>0.0002</v>
      </c>
      <c r="G64" s="34">
        <f>D64*F64</f>
        <v/>
      </c>
      <c r="H64" s="33" t="inlineStr">
        <is>
          <t>Polipropileno color</t>
        </is>
      </c>
      <c r="I64" s="17" t="inlineStr">
        <is>
          <t>Ø5 × 10, numerado, rotura 30-50 N</t>
        </is>
      </c>
      <c r="J64" s="33" t="inlineStr">
        <is>
          <t>Compra</t>
        </is>
      </c>
      <c r="K64" s="33" t="inlineStr">
        <is>
          <t>Sí</t>
        </is>
      </c>
      <c r="L64" s="17" t="inlineStr">
        <is>
          <t>SonFuertes (vía Papelera Damián)</t>
        </is>
      </c>
      <c r="M64" s="17" t="inlineStr">
        <is>
          <t>Precinter S.R.L.</t>
        </is>
      </c>
      <c r="N64" s="17" t="inlineStr">
        <is>
          <t>20 Presurización (T05)</t>
        </is>
      </c>
      <c r="O64" s="17" t="inlineStr">
        <is>
          <t>IRAM 3523 3.3.2 · IRAM 3517-2:2020 9.4.13</t>
        </is>
      </c>
      <c r="P64" s="33" t="inlineStr">
        <is>
          <t>P</t>
        </is>
      </c>
      <c r="Q64" s="33" t="inlineStr">
        <is>
          <t>FL_DES_ABC_50kg</t>
        </is>
      </c>
      <c r="R64" s="17" t="inlineStr">
        <is>
          <t>id. FLAMA y lote</t>
        </is>
      </c>
    </row>
    <row r="65">
      <c r="A65" s="30" t="n">
        <v>1</v>
      </c>
      <c r="B65" s="30" t="inlineStr">
        <is>
          <t>ABC50-S7</t>
        </is>
      </c>
      <c r="C65" s="31" t="inlineStr">
        <is>
          <t xml:space="preserve">    Embalaje</t>
        </is>
      </c>
      <c r="D65" s="30" t="n">
        <v>1</v>
      </c>
      <c r="E65" s="30" t="inlineStr">
        <is>
          <t>u</t>
        </is>
      </c>
      <c r="F65" s="32" t="n"/>
      <c r="G65" s="32">
        <f>G68</f>
        <v/>
      </c>
      <c r="H65" s="30" t="n"/>
      <c r="I65" s="31" t="n"/>
      <c r="J65" s="30" t="inlineStr">
        <is>
          <t>Compra</t>
        </is>
      </c>
      <c r="K65" s="30" t="n"/>
      <c r="L65" s="31" t="n"/>
      <c r="M65" s="31" t="n"/>
      <c r="N65" s="31" t="inlineStr">
        <is>
          <t>23 Embalaje -&gt; 24 envolvedora (T11)</t>
        </is>
      </c>
      <c r="O65" s="31" t="n"/>
      <c r="P65" s="30" t="n"/>
      <c r="Q65" s="30" t="n"/>
      <c r="R65" s="31" t="n"/>
    </row>
    <row r="66" outlineLevel="1">
      <c r="A66" s="33" t="n">
        <v>2</v>
      </c>
      <c r="B66" s="33" t="inlineStr">
        <is>
          <t>ABC50-E1</t>
        </is>
      </c>
      <c r="C66" s="17" t="inlineStr">
        <is>
          <t xml:space="preserve">        Esquineros y funda de polietileno</t>
        </is>
      </c>
      <c r="D66" s="33" t="n">
        <v>1</v>
      </c>
      <c r="E66" s="33" t="inlineStr">
        <is>
          <t>jgo</t>
        </is>
      </c>
      <c r="F66" s="34" t="n"/>
      <c r="G66" s="34" t="n"/>
      <c r="H66" s="33" t="inlineStr">
        <is>
          <t>PE / cartón</t>
        </is>
      </c>
      <c r="I66" s="17" t="inlineStr">
        <is>
          <t>a medida de la envolvente del plano</t>
        </is>
      </c>
      <c r="J66" s="33" t="inlineStr">
        <is>
          <t>Compra</t>
        </is>
      </c>
      <c r="K66" s="33" t="inlineStr">
        <is>
          <t>Sí</t>
        </is>
      </c>
      <c r="L66" s="17" t="inlineStr">
        <is>
          <t>MV Embalajes</t>
        </is>
      </c>
      <c r="M66" s="17" t="inlineStr">
        <is>
          <t>Embalpack</t>
        </is>
      </c>
      <c r="N66" s="17" t="inlineStr">
        <is>
          <t>23 Embalaje</t>
        </is>
      </c>
      <c r="O66" s="17" t="n"/>
      <c r="P66" s="33" t="inlineStr">
        <is>
          <t>P</t>
        </is>
      </c>
      <c r="Q66" s="33" t="n"/>
      <c r="R66" s="17" t="inlineStr">
        <is>
          <t>Medida del plano</t>
        </is>
      </c>
    </row>
    <row r="67" outlineLevel="1">
      <c r="A67" s="33" t="n">
        <v>2</v>
      </c>
      <c r="B67" s="33" t="inlineStr">
        <is>
          <t>ABC50-E3</t>
        </is>
      </c>
      <c r="C67" s="17" t="inlineStr">
        <is>
          <t xml:space="preserve">        Pallet 1200 × 1000 (fracción)</t>
        </is>
      </c>
      <c r="D67" s="33" t="n">
        <v>0.5</v>
      </c>
      <c r="E67" s="33" t="inlineStr">
        <is>
          <t>u</t>
        </is>
      </c>
      <c r="F67" s="34" t="n"/>
      <c r="G67" s="34" t="n"/>
      <c r="H67" s="33" t="inlineStr">
        <is>
          <t>Madera</t>
        </is>
      </c>
      <c r="I67" s="17" t="inlineStr">
        <is>
          <t>2 u por pallet</t>
        </is>
      </c>
      <c r="J67" s="33" t="inlineStr">
        <is>
          <t>Compra</t>
        </is>
      </c>
      <c r="K67" s="33" t="inlineStr">
        <is>
          <t>Sí</t>
        </is>
      </c>
      <c r="L67" s="17" t="inlineStr">
        <is>
          <t>IndusPallets</t>
        </is>
      </c>
      <c r="M67" s="17" t="inlineStr">
        <is>
          <t>-</t>
        </is>
      </c>
      <c r="N67" s="17" t="inlineStr">
        <is>
          <t>23 Embalaje</t>
        </is>
      </c>
      <c r="O67" s="17" t="n"/>
      <c r="P67" s="33" t="inlineStr">
        <is>
          <t>C</t>
        </is>
      </c>
      <c r="Q67" s="33" t="n"/>
      <c r="R67" s="17" t="inlineStr">
        <is>
          <t>u por pallet = acomodo de la caja (plano) en 1200 × 1000 × 1450 de alto</t>
        </is>
      </c>
    </row>
    <row r="68" outlineLevel="1">
      <c r="A68" s="41" t="n">
        <v>2</v>
      </c>
      <c r="B68" s="41" t="inlineStr">
        <is>
          <t>ABC50-E4</t>
        </is>
      </c>
      <c r="C68" s="18" t="inlineStr">
        <is>
          <t xml:space="preserve">        Film stretch (fracción del pallet)</t>
        </is>
      </c>
      <c r="D68" s="41" t="n">
        <v>0.06</v>
      </c>
      <c r="E68" s="41" t="inlineStr">
        <is>
          <t>kg</t>
        </is>
      </c>
      <c r="F68" s="42" t="n">
        <v>1</v>
      </c>
      <c r="G68" s="42">
        <f>D68*F68</f>
        <v/>
      </c>
      <c r="H68" s="41" t="inlineStr">
        <is>
          <t>PE lineal 23 µm</t>
        </is>
      </c>
      <c r="I68" s="18" t="inlineStr">
        <is>
          <t>0,12 kg por pallet / 2 u</t>
        </is>
      </c>
      <c r="J68" s="41" t="inlineStr">
        <is>
          <t>Compra</t>
        </is>
      </c>
      <c r="K68" s="41" t="inlineStr">
        <is>
          <t>Sí</t>
        </is>
      </c>
      <c r="L68" s="18" t="inlineStr">
        <is>
          <t>MV Embalajes</t>
        </is>
      </c>
      <c r="M68" s="18" t="inlineStr">
        <is>
          <t>Embalpack</t>
        </is>
      </c>
      <c r="N68" s="18" t="inlineStr">
        <is>
          <t>24 Envolvedora (T11)</t>
        </is>
      </c>
      <c r="O68" s="18" t="n"/>
      <c r="P68" s="41" t="inlineStr">
        <is>
          <t>C</t>
        </is>
      </c>
      <c r="Q68" s="41"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3" t="n">
        <v>2</v>
      </c>
      <c r="B69" s="33" t="inlineStr">
        <is>
          <t>ABC50-E5</t>
        </is>
      </c>
      <c r="C69" s="17" t="inlineStr">
        <is>
          <t xml:space="preserve">        Etiqueta de pallet (lote y destino, fracción)</t>
        </is>
      </c>
      <c r="D69" s="33" t="n">
        <v>0.5</v>
      </c>
      <c r="E69" s="33" t="inlineStr">
        <is>
          <t>u</t>
        </is>
      </c>
      <c r="F69" s="34" t="n"/>
      <c r="G69" s="34" t="n"/>
      <c r="H69" s="33" t="inlineStr">
        <is>
          <t>Papel térmico</t>
        </is>
      </c>
      <c r="I69" s="17" t="inlineStr">
        <is>
          <t>100 × 150</t>
        </is>
      </c>
      <c r="J69" s="33" t="inlineStr">
        <is>
          <t>Compra</t>
        </is>
      </c>
      <c r="K69" s="33" t="inlineStr">
        <is>
          <t>Sí</t>
        </is>
      </c>
      <c r="L69" s="17" t="inlineStr">
        <is>
          <t>Astuprint</t>
        </is>
      </c>
      <c r="M69" s="17" t="inlineStr">
        <is>
          <t>Multilabel Argentina S.A.</t>
        </is>
      </c>
      <c r="N69" s="17" t="inlineStr">
        <is>
          <t>24 Envolvedora</t>
        </is>
      </c>
      <c r="O69" s="17" t="n"/>
      <c r="P69" s="33" t="inlineStr">
        <is>
          <t>C</t>
        </is>
      </c>
      <c r="Q69" s="33" t="n"/>
      <c r="R69" s="17" t="n"/>
    </row>
  </sheetData>
  <autoFilter ref="A10:R69"/>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66" t="inlineStr">
        <is>
          <t>Extintor ABC 70 kg sobre ruedas</t>
        </is>
      </c>
    </row>
    <row r="3">
      <c r="A3" s="2" t="inlineStr">
        <is>
          <t>Plano de origen</t>
        </is>
      </c>
      <c r="C3" t="inlineStr">
        <is>
          <t>FL_MAT_ABC_70kg  (4 láminas)</t>
        </is>
      </c>
      <c r="E3" s="2" t="inlineStr">
        <is>
          <t>Peso vacío S1-S4 (kg)</t>
        </is>
      </c>
      <c r="G3" s="67">
        <f>G12+G23+G38+G45</f>
        <v/>
      </c>
    </row>
    <row r="4">
      <c r="A4" s="2" t="inlineStr">
        <is>
          <t>Plano de despiece</t>
        </is>
      </c>
      <c r="C4" t="inlineStr">
        <is>
          <t>FL_DES_ABC_70kg (salida/despiece/)</t>
        </is>
      </c>
      <c r="E4" s="2" t="inlineStr">
        <is>
          <t>Peso cargado S1-S6 (kg)</t>
        </is>
      </c>
      <c r="G4" s="67">
        <f>G12+G23+G38+G45+G56+G59</f>
        <v/>
      </c>
    </row>
    <row r="5">
      <c r="A5" s="2" t="inlineStr">
        <is>
          <t>Norma del producto</t>
        </is>
      </c>
      <c r="C5" t="inlineStr">
        <is>
          <t>IRAM 3550</t>
        </is>
      </c>
      <c r="E5" s="2" t="inlineStr">
        <is>
          <t>Peso con soporte y embalaje (kg)</t>
        </is>
      </c>
      <c r="G5" s="67">
        <f>G12+G23+G38+G45+G56+G59+G67</f>
        <v/>
      </c>
    </row>
    <row r="6">
      <c r="A6" s="2" t="inlineStr">
        <is>
          <t>Fabricación</t>
        </is>
      </c>
      <c r="C6" t="inlineStr">
        <is>
          <t>Fabricación propia</t>
        </is>
      </c>
      <c r="E6" s="2" t="inlineStr">
        <is>
          <t>Desvío cargado vs catálogo</t>
        </is>
      </c>
      <c r="G6" s="25">
        <f>G4/C7-1</f>
        <v/>
      </c>
    </row>
    <row r="7">
      <c r="A7" s="2" t="inlineStr">
        <is>
          <t>Peso catálogo cargado (kg)</t>
        </is>
      </c>
      <c r="C7" t="n">
        <v>140</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FL_MAT_ABC_70kg</t>
        </is>
      </c>
      <c r="C11" s="28" t="inlineStr">
        <is>
          <t>Extintor ABC 70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FL_MAT_ABC_70kg</t>
        </is>
      </c>
      <c r="R11" s="28" t="inlineStr">
        <is>
          <t>Fabricación propia</t>
        </is>
      </c>
    </row>
    <row r="12">
      <c r="A12" s="30" t="n">
        <v>1</v>
      </c>
      <c r="B12" s="30" t="inlineStr">
        <is>
          <t>FL_REC_ABC_70kg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41" t="n">
        <v>2</v>
      </c>
      <c r="B18" s="41" t="inlineStr">
        <is>
          <t>ABC70-05</t>
        </is>
      </c>
      <c r="C18" s="18" t="inlineStr">
        <is>
          <t xml:space="preserve">        Varilla de refuerzo interior</t>
        </is>
      </c>
      <c r="D18" s="41" t="n">
        <v>1</v>
      </c>
      <c r="E18" s="41" t="inlineStr">
        <is>
          <t>u</t>
        </is>
      </c>
      <c r="F18" s="42" t="n">
        <v>0.2577</v>
      </c>
      <c r="G18" s="42">
        <f>D18*F18</f>
        <v/>
      </c>
      <c r="H18" s="41" t="inlineStr">
        <is>
          <t>Redondo liso SAE 1010 Ø8</t>
        </is>
      </c>
      <c r="I18" s="18" t="inlineStr">
        <is>
          <t>653,2 × 8 × 8</t>
        </is>
      </c>
      <c r="J18" s="41" t="inlineStr">
        <is>
          <t>Fabricación</t>
        </is>
      </c>
      <c r="K18" s="41" t="inlineStr">
        <is>
          <t>No</t>
        </is>
      </c>
      <c r="L18" s="18" t="n"/>
      <c r="M18" s="18" t="n"/>
      <c r="N18" s="18" t="inlineStr">
        <is>
          <t>Corte de barra -&gt; C2 punteo interior antes de C3 soldadura longitudinal</t>
        </is>
      </c>
      <c r="O18" s="18" t="n"/>
      <c r="P18" s="41" t="inlineStr">
        <is>
          <t>P</t>
        </is>
      </c>
      <c r="Q18" s="41"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7" t="n">
        <v>3</v>
      </c>
      <c r="B19" s="47" t="inlineStr">
        <is>
          <t>MP-VARILLA</t>
        </is>
      </c>
      <c r="C19" s="48" t="inlineStr">
        <is>
          <t xml:space="preserve">            Redondo liso SAE 1010 Ø8 (tramo de barra de 6 m)</t>
        </is>
      </c>
      <c r="D19" s="47" t="n">
        <v>0.1089</v>
      </c>
      <c r="E19" s="47" t="inlineStr">
        <is>
          <t>barra</t>
        </is>
      </c>
      <c r="F19" s="49" t="n">
        <v>2.37</v>
      </c>
      <c r="G19" s="49">
        <f>D19*F19</f>
        <v/>
      </c>
      <c r="H19" s="47" t="inlineStr">
        <is>
          <t>Redondo liso SAE 1010 Ø8</t>
        </is>
      </c>
      <c r="I19" s="48" t="inlineStr">
        <is>
          <t>653 mm por pieza (kg por barra de 6 m)</t>
        </is>
      </c>
      <c r="J19" s="47" t="inlineStr">
        <is>
          <t>Compra</t>
        </is>
      </c>
      <c r="K19" s="47" t="inlineStr">
        <is>
          <t>Sí</t>
        </is>
      </c>
      <c r="L19" s="48" t="inlineStr">
        <is>
          <t>Hierros Parrotta</t>
        </is>
      </c>
      <c r="M19" s="48" t="inlineStr">
        <is>
          <t>Aceros Inoxidables Caseros</t>
        </is>
      </c>
      <c r="N19" s="48" t="inlineStr">
        <is>
          <t>Corte en sierra</t>
        </is>
      </c>
      <c r="O19" s="48" t="n"/>
      <c r="P19" s="47" t="inlineStr">
        <is>
          <t>C</t>
        </is>
      </c>
      <c r="Q19" s="47" t="n"/>
      <c r="R19" s="48" t="inlineStr">
        <is>
          <t>Ø8 = propuesta de diseño (sin cálculo)</t>
        </is>
      </c>
    </row>
    <row r="20" outlineLevel="1">
      <c r="A20" s="41" t="n">
        <v>2</v>
      </c>
      <c r="B20" s="41" t="inlineStr">
        <is>
          <t>ABC70-C1</t>
        </is>
      </c>
      <c r="C20" s="18" t="inlineStr">
        <is>
          <t xml:space="preserve">        Alambre MAG ER70S-6 Ø1,2 (AWS A5.18)</t>
        </is>
      </c>
      <c r="D20" s="41" t="n">
        <v>0.9806</v>
      </c>
      <c r="E20" s="41" t="inlineStr">
        <is>
          <t>kg</t>
        </is>
      </c>
      <c r="F20" s="42" t="n">
        <v>0.95</v>
      </c>
      <c r="G20" s="42">
        <f>D20*F20</f>
        <v/>
      </c>
      <c r="H20" s="41" t="inlineStr">
        <is>
          <t>ER70S-6</t>
        </is>
      </c>
      <c r="I20" s="18" t="inlineStr">
        <is>
          <t>metal depositado de los cordones del plano 932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ABC70-C2</t>
        </is>
      </c>
      <c r="C21" s="18" t="inlineStr">
        <is>
          <t xml:space="preserve">        Gas de protección MAG Arcal 21 / ARCAL Speed (Ar + 8 % CO₂, M20)</t>
        </is>
      </c>
      <c r="D21" s="41" t="n">
        <v>73.7</v>
      </c>
      <c r="E21" s="41" t="inlineStr">
        <is>
          <t>L</t>
        </is>
      </c>
      <c r="F21" s="42" t="n"/>
      <c r="G21" s="42" t="n"/>
      <c r="H21" s="41" t="inlineStr">
        <is>
          <t>EN ISO 14175 M20-ArC-8</t>
        </is>
      </c>
      <c r="I21" s="18" t="inlineStr">
        <is>
          <t>14 L/min × 5,26 min de arco (cordones 3.159 mm: long. 683 + circ. 2.199 + cuello 276,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ABC70-S2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FL_DES_ABC_70kg</t>
        </is>
      </c>
      <c r="R23" s="31" t="n"/>
    </row>
    <row r="24" outlineLevel="1">
      <c r="A24" s="33" t="n">
        <v>2</v>
      </c>
      <c r="B24" s="33" t="inlineStr">
        <is>
          <t>ABC70-12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FL_DES_ABC_70kg</t>
        </is>
      </c>
      <c r="R24" s="17" t="n"/>
    </row>
    <row r="25" outlineLevel="1">
      <c r="A25" s="33" t="n">
        <v>2</v>
      </c>
      <c r="B25" s="33" t="inlineStr">
        <is>
          <t>ABC70-13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FL_DES_ABC_70kg</t>
        </is>
      </c>
      <c r="R25" s="17" t="n"/>
    </row>
    <row r="26" outlineLevel="1">
      <c r="A26" s="33" t="n">
        <v>2</v>
      </c>
      <c r="B26" s="33" t="inlineStr">
        <is>
          <t>ABC70-14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FL_DES_ABC_70kg</t>
        </is>
      </c>
      <c r="R26" s="17" t="n"/>
    </row>
    <row r="27" outlineLevel="1">
      <c r="A27" s="45" t="n">
        <v>2</v>
      </c>
      <c r="B27" s="45" t="inlineStr">
        <is>
          <t>ABC70-15</t>
        </is>
      </c>
      <c r="C27" s="19" t="inlineStr">
        <is>
          <t xml:space="preserve">        Manómetro</t>
        </is>
      </c>
      <c r="D27" s="45" t="n">
        <v>1</v>
      </c>
      <c r="E27" s="45" t="inlineStr">
        <is>
          <t>u</t>
        </is>
      </c>
      <c r="F27" s="46" t="n"/>
      <c r="G27" s="46" t="n"/>
      <c r="H27" s="45" t="inlineStr">
        <is>
          <t>Comercial</t>
        </is>
      </c>
      <c r="I27" s="19" t="inlineStr">
        <is>
          <t>Ø50 esfera, rango 0-3,5 MPa, sector verde en 1,4</t>
        </is>
      </c>
      <c r="J27" s="45" t="inlineStr">
        <is>
          <t>Compra</t>
        </is>
      </c>
      <c r="K27" s="45" t="inlineStr">
        <is>
          <t>Sí</t>
        </is>
      </c>
      <c r="L27" s="19" t="inlineStr">
        <is>
          <t>Yukon / MatafuegosYa S.R.L.</t>
        </is>
      </c>
      <c r="M27" s="19" t="inlineStr">
        <is>
          <t>Matafuegos Iglesias</t>
        </is>
      </c>
      <c r="N27" s="19" t="inlineStr">
        <is>
          <t>C9 armado</t>
        </is>
      </c>
      <c r="O27" s="19" t="inlineStr">
        <is>
          <t>IRAM 3533</t>
        </is>
      </c>
      <c r="P27" s="45" t="inlineStr">
        <is>
          <t>P</t>
        </is>
      </c>
      <c r="Q27" s="45" t="inlineStr">
        <is>
          <t>FL_DES_ABC_70kg</t>
        </is>
      </c>
      <c r="R27" s="19" t="inlineStr">
        <is>
          <t>Pieza comercial; sello IRAM 3533; peso: completar con la ficha del proveedor (no afecta el MRP)</t>
        </is>
      </c>
    </row>
    <row r="28" outlineLevel="1">
      <c r="A28" s="33" t="n">
        <v>2</v>
      </c>
      <c r="B28" s="33" t="inlineStr">
        <is>
          <t>ABC70-16</t>
        </is>
      </c>
      <c r="C28" s="17" t="inlineStr">
        <is>
          <t xml:space="preserve">        Manija de transporte</t>
        </is>
      </c>
      <c r="D28" s="33" t="n">
        <v>1</v>
      </c>
      <c r="E28" s="33" t="inlineStr">
        <is>
          <t>u</t>
        </is>
      </c>
      <c r="F28" s="34" t="n">
        <v>0.1131</v>
      </c>
      <c r="G28" s="34">
        <f>D28*F28</f>
        <v/>
      </c>
      <c r="H28" s="33" t="inlineStr">
        <is>
          <t>Chapa acero SAE 1010 pintada</t>
        </is>
      </c>
      <c r="I28" s="17" t="inlineStr">
        <is>
          <t>98,8 × 27 × 15,7</t>
        </is>
      </c>
      <c r="J28" s="33" t="inlineStr">
        <is>
          <t>Incluido en válvula HZ</t>
        </is>
      </c>
      <c r="K28" s="33" t="inlineStr">
        <is>
          <t>No</t>
        </is>
      </c>
      <c r="L28" s="17" t="n"/>
      <c r="M28" s="17" t="n"/>
      <c r="N28" s="17" t="inlineStr">
        <is>
          <t>C9 armado</t>
        </is>
      </c>
      <c r="O28" s="17" t="n"/>
      <c r="P28" s="33" t="inlineStr">
        <is>
          <t>P</t>
        </is>
      </c>
      <c r="Q28" s="33" t="inlineStr">
        <is>
          <t>FL_DES_ABC_70kg</t>
        </is>
      </c>
      <c r="R28" s="17" t="n"/>
    </row>
    <row r="29" outlineLevel="1">
      <c r="A29" s="33" t="n">
        <v>2</v>
      </c>
      <c r="B29" s="33" t="inlineStr">
        <is>
          <t>ABC70-17</t>
        </is>
      </c>
      <c r="C29" s="17" t="inlineStr">
        <is>
          <t xml:space="preserve">        Manija de accionamiento</t>
        </is>
      </c>
      <c r="D29" s="33" t="n">
        <v>1</v>
      </c>
      <c r="E29" s="33" t="inlineStr">
        <is>
          <t>u</t>
        </is>
      </c>
      <c r="F29" s="34" t="n">
        <v>0.1811</v>
      </c>
      <c r="G29" s="34">
        <f>D29*F29</f>
        <v/>
      </c>
      <c r="H29" s="33" t="inlineStr">
        <is>
          <t>Chapa acero SAE 1010 pintada</t>
        </is>
      </c>
      <c r="I29" s="17" t="inlineStr">
        <is>
          <t>157,7 × 27 × 24,6</t>
        </is>
      </c>
      <c r="J29" s="33" t="inlineStr">
        <is>
          <t>Incluido en válvula HZ</t>
        </is>
      </c>
      <c r="K29" s="33" t="inlineStr">
        <is>
          <t>No</t>
        </is>
      </c>
      <c r="L29" s="17" t="n"/>
      <c r="M29" s="17" t="n"/>
      <c r="N29" s="17" t="inlineStr">
        <is>
          <t>C9 armado</t>
        </is>
      </c>
      <c r="O29" s="17" t="n"/>
      <c r="P29" s="33" t="inlineStr">
        <is>
          <t>P</t>
        </is>
      </c>
      <c r="Q29" s="33" t="inlineStr">
        <is>
          <t>FL_DES_ABC_70kg</t>
        </is>
      </c>
      <c r="R29" s="17" t="n"/>
    </row>
    <row r="30" outlineLevel="1">
      <c r="A30" s="33" t="n">
        <v>2</v>
      </c>
      <c r="B30" s="33" t="inlineStr">
        <is>
          <t>ABC70-18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FL_DES_ABC_70kg</t>
        </is>
      </c>
      <c r="R30" s="17" t="n"/>
    </row>
    <row r="31" outlineLevel="1">
      <c r="A31" s="33" t="n">
        <v>2</v>
      </c>
      <c r="B31" s="33" t="inlineStr">
        <is>
          <t>ABC70-19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FL_DES_ABC_70kg</t>
        </is>
      </c>
      <c r="R31" s="17" t="inlineStr">
        <is>
          <t>con junta tórica</t>
        </is>
      </c>
    </row>
    <row r="32" outlineLevel="1">
      <c r="A32" s="33" t="n">
        <v>2</v>
      </c>
      <c r="B32" s="33" t="inlineStr">
        <is>
          <t>ABC70-20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FL_DES_ABC_70kg</t>
        </is>
      </c>
      <c r="R32" s="17" t="inlineStr">
        <is>
          <t>con precinto</t>
        </is>
      </c>
    </row>
    <row r="33" outlineLevel="1">
      <c r="A33" s="33" t="n">
        <v>2</v>
      </c>
      <c r="B33" s="33" t="inlineStr">
        <is>
          <t>ABC70-21</t>
        </is>
      </c>
      <c r="C33" s="17" t="inlineStr">
        <is>
          <t xml:space="preserve">        Caño de pesca (sifón)</t>
        </is>
      </c>
      <c r="D33" s="33" t="n">
        <v>1</v>
      </c>
      <c r="E33" s="33" t="inlineStr">
        <is>
          <t>u</t>
        </is>
      </c>
      <c r="F33" s="34" t="n">
        <v>0.213</v>
      </c>
      <c r="G33" s="34">
        <f>D33*F33</f>
        <v/>
      </c>
      <c r="H33" s="33" t="inlineStr">
        <is>
          <t>Tubo PVC rígido</t>
        </is>
      </c>
      <c r="I33" s="17" t="inlineStr">
        <is>
          <t>Ø24 × 900,8 de largo</t>
        </is>
      </c>
      <c r="J33" s="33" t="inlineStr">
        <is>
          <t>Incluido en válvula HZ</t>
        </is>
      </c>
      <c r="K33" s="33" t="inlineStr">
        <is>
          <t>No</t>
        </is>
      </c>
      <c r="L33" s="17" t="n"/>
      <c r="M33" s="17" t="n"/>
      <c r="N33" s="17" t="inlineStr">
        <is>
          <t>C9 armado</t>
        </is>
      </c>
      <c r="O33" s="17" t="n"/>
      <c r="P33" s="33" t="inlineStr">
        <is>
          <t>P</t>
        </is>
      </c>
      <c r="Q33" s="33" t="inlineStr">
        <is>
          <t>FL_DES_ABC_70kg</t>
        </is>
      </c>
      <c r="R33" s="17" t="n"/>
    </row>
    <row r="34" outlineLevel="1">
      <c r="A34" s="33" t="n">
        <v>2</v>
      </c>
      <c r="B34" s="33" t="inlineStr">
        <is>
          <t>ABC70-33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Matafuegos Iglesias</t>
        </is>
      </c>
      <c r="N34" s="17" t="inlineStr">
        <is>
          <t>C9 armado</t>
        </is>
      </c>
      <c r="O34" s="17" t="n"/>
      <c r="P34" s="33" t="inlineStr">
        <is>
          <t>P</t>
        </is>
      </c>
      <c r="Q34" s="33" t="inlineStr">
        <is>
          <t>FL_DES_ABC_70kg</t>
        </is>
      </c>
      <c r="R34" s="17" t="inlineStr">
        <is>
          <t>cambio c/recarga</t>
        </is>
      </c>
    </row>
    <row r="35" outlineLevel="1">
      <c r="A35" s="33" t="n">
        <v>2</v>
      </c>
      <c r="B35" s="33" t="inlineStr">
        <is>
          <t>ABC70-K2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Mozart S.R.L.</t>
        </is>
      </c>
      <c r="N35" s="17" t="inlineStr">
        <is>
          <t>19 Ensamblaje de válvula</t>
        </is>
      </c>
      <c r="O35" s="17" t="inlineStr">
        <is>
          <t>IRAM 3523 3.3</t>
        </is>
      </c>
      <c r="P35" s="33" t="inlineStr">
        <is>
          <t>Q</t>
        </is>
      </c>
      <c r="Q35" s="33" t="inlineStr">
        <is>
          <t>FL_DES_ABC_70kg</t>
        </is>
      </c>
      <c r="R35" s="17" t="inlineStr">
        <is>
          <t>Lista de precios HZ (Q-AGENTES); plano Fadesa usa válvula HZ (R-FADESA). Trae las piezas marcadas «Incluido en válvula HZ»</t>
        </is>
      </c>
    </row>
    <row r="36" outlineLevel="1">
      <c r="A36" s="33" t="n">
        <v>2</v>
      </c>
      <c r="B36" s="33" t="inlineStr">
        <is>
          <t>ABC70-V2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ABC70-V3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ABC70-S3</t>
        </is>
      </c>
      <c r="C38" s="31" t="inlineStr">
        <is>
          <t xml:space="preserve">    Dispositivo de descarga</t>
        </is>
      </c>
      <c r="D38" s="30" t="n">
        <v>1</v>
      </c>
      <c r="E38" s="30" t="inlineStr">
        <is>
          <t>u</t>
        </is>
      </c>
      <c r="F38" s="32" t="n"/>
      <c r="G38" s="32">
        <f>G39+G40+G41+G42+G43+G44</f>
        <v/>
      </c>
      <c r="H38" s="30" t="n"/>
      <c r="I38" s="31" t="n"/>
      <c r="J38" s="30" t="inlineStr">
        <is>
          <t>Compra / armado</t>
        </is>
      </c>
      <c r="K38" s="30" t="n"/>
      <c r="L38" s="31" t="n"/>
      <c r="M38" s="31" t="n"/>
      <c r="N38" s="31" t="n"/>
      <c r="O38" s="31" t="n"/>
      <c r="P38" s="30" t="inlineStr">
        <is>
          <t>P</t>
        </is>
      </c>
      <c r="Q38" s="30" t="inlineStr">
        <is>
          <t>FL_DES_ABC_70kg</t>
        </is>
      </c>
      <c r="R38" s="31" t="n"/>
    </row>
    <row r="39" outlineLevel="1">
      <c r="A39" s="33" t="n">
        <v>2</v>
      </c>
      <c r="B39" s="33" t="inlineStr">
        <is>
          <t>ABC70-22</t>
        </is>
      </c>
      <c r="C39" s="17" t="inlineStr">
        <is>
          <t xml:space="preserve">        Manguera (tramo enrollado)</t>
        </is>
      </c>
      <c r="D39" s="33" t="n">
        <v>1</v>
      </c>
      <c r="E39" s="33" t="inlineStr">
        <is>
          <t>u</t>
        </is>
      </c>
      <c r="F39" s="34" t="n">
        <v>0.5822000000000001</v>
      </c>
      <c r="G39" s="34">
        <f>D39*F39</f>
        <v/>
      </c>
      <c r="H39" s="33" t="inlineStr">
        <is>
          <t>Caucho sintético</t>
        </is>
      </c>
      <c r="I39" s="17" t="inlineStr">
        <is>
          <t>Ø25 × 1.544 de largo desarrollado</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FL_DES_ABC_70kg</t>
        </is>
      </c>
      <c r="R39" s="17" t="n"/>
    </row>
    <row r="40" outlineLevel="1">
      <c r="A40" s="33" t="n">
        <v>2</v>
      </c>
      <c r="B40" s="33" t="inlineStr">
        <is>
          <t>ABC70-23</t>
        </is>
      </c>
      <c r="C40" s="17" t="inlineStr">
        <is>
          <t xml:space="preserve">        Soporte de manguera</t>
        </is>
      </c>
      <c r="D40" s="33" t="n">
        <v>1</v>
      </c>
      <c r="E40" s="33" t="inlineStr">
        <is>
          <t>u</t>
        </is>
      </c>
      <c r="F40" s="34" t="n">
        <v>1.779</v>
      </c>
      <c r="G40" s="34">
        <f>D40*F40</f>
        <v/>
      </c>
      <c r="H40" s="33" t="inlineStr">
        <is>
          <t>Planchuela acero SAE 1010</t>
        </is>
      </c>
      <c r="I40" s="17" t="inlineStr">
        <is>
          <t>615,3 × 233,5 × 40,5</t>
        </is>
      </c>
      <c r="J40" s="33" t="inlineStr">
        <is>
          <t>Compra (estructura)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FL_DES_ABC_70kg</t>
        </is>
      </c>
      <c r="R40" s="17" t="n"/>
    </row>
    <row r="41" outlineLevel="1">
      <c r="A41" s="33" t="n">
        <v>2</v>
      </c>
      <c r="B41" s="33" t="inlineStr">
        <is>
          <t>ABC70-24</t>
        </is>
      </c>
      <c r="C41" s="17" t="inlineStr">
        <is>
          <t xml:space="preserve">        Racor de manguera</t>
        </is>
      </c>
      <c r="D41" s="33" t="n">
        <v>1</v>
      </c>
      <c r="E41" s="33" t="inlineStr">
        <is>
          <t>u</t>
        </is>
      </c>
      <c r="F41" s="34" t="n">
        <v>0.0612</v>
      </c>
      <c r="G41" s="34">
        <f>D41*F41</f>
        <v/>
      </c>
      <c r="H41" s="33" t="inlineStr">
        <is>
          <t>Latón</t>
        </is>
      </c>
      <c r="I41" s="17" t="inlineStr">
        <is>
          <t>24 × 24 × 16</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FL_DES_ABC_70kg</t>
        </is>
      </c>
      <c r="R41" s="17" t="n"/>
    </row>
    <row r="42" outlineLevel="1">
      <c r="A42" s="33" t="n">
        <v>2</v>
      </c>
      <c r="B42" s="33" t="inlineStr">
        <is>
          <t>ABC70-25</t>
        </is>
      </c>
      <c r="C42" s="17" t="inlineStr">
        <is>
          <t xml:space="preserve">        Manguera</t>
        </is>
      </c>
      <c r="D42" s="33" t="n">
        <v>1</v>
      </c>
      <c r="E42" s="33" t="inlineStr">
        <is>
          <t>u</t>
        </is>
      </c>
      <c r="F42" s="34" t="n">
        <v>0.2152</v>
      </c>
      <c r="G42" s="34">
        <f>D42*F42</f>
        <v/>
      </c>
      <c r="H42" s="33" t="inlineStr">
        <is>
          <t>Caucho sintético</t>
        </is>
      </c>
      <c r="I42" s="17" t="inlineStr">
        <is>
          <t>Ø16 × 1.393 de largo desarrollado</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FL_DES_ABC_70kg</t>
        </is>
      </c>
      <c r="R42" s="17" t="n"/>
    </row>
    <row r="43" outlineLevel="1">
      <c r="A43" s="33" t="n">
        <v>2</v>
      </c>
      <c r="B43" s="33" t="inlineStr">
        <is>
          <t>ABC70-26</t>
        </is>
      </c>
      <c r="C43" s="17" t="inlineStr">
        <is>
          <t xml:space="preserve">        Válvula esférica</t>
        </is>
      </c>
      <c r="D43" s="33" t="n">
        <v>1</v>
      </c>
      <c r="E43" s="33" t="inlineStr">
        <is>
          <t>u</t>
        </is>
      </c>
      <c r="F43" s="34" t="n">
        <v>0.4225</v>
      </c>
      <c r="G43" s="34">
        <f>D43*F43</f>
        <v/>
      </c>
      <c r="H43" s="33" t="inlineStr">
        <is>
          <t>Latón cromado</t>
        </is>
      </c>
      <c r="I43" s="17" t="inlineStr">
        <is>
          <t>130 × 60 × 40</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FL_DES_ABC_70kg</t>
        </is>
      </c>
      <c r="R43" s="17" t="n"/>
    </row>
    <row r="44" outlineLevel="1">
      <c r="A44" s="33" t="n">
        <v>2</v>
      </c>
      <c r="B44" s="33" t="inlineStr">
        <is>
          <t>ABC70-27</t>
        </is>
      </c>
      <c r="C44" s="17" t="inlineStr">
        <is>
          <t xml:space="preserve">        Tobera campana</t>
        </is>
      </c>
      <c r="D44" s="33" t="n">
        <v>1</v>
      </c>
      <c r="E44" s="33" t="inlineStr">
        <is>
          <t>u</t>
        </is>
      </c>
      <c r="F44" s="34" t="n">
        <v>0.07969999999999999</v>
      </c>
      <c r="G44" s="34">
        <f>D44*F44</f>
        <v/>
      </c>
      <c r="H44" s="33" t="inlineStr">
        <is>
          <t>Polipropileno</t>
        </is>
      </c>
      <c r="I44" s="17" t="inlineStr">
        <is>
          <t>200 × 68 × 68</t>
        </is>
      </c>
      <c r="J44" s="33" t="inlineStr">
        <is>
          <t>Compra</t>
        </is>
      </c>
      <c r="K44" s="33" t="inlineStr">
        <is>
          <t>Sí</t>
        </is>
      </c>
      <c r="L44" s="17" t="inlineStr">
        <is>
          <t>Yukon / MatafuegosYa S.R.L.</t>
        </is>
      </c>
      <c r="M44" s="17" t="inlineStr">
        <is>
          <t>Matafuegos Iglesias</t>
        </is>
      </c>
      <c r="N44" s="17" t="inlineStr">
        <is>
          <t>C9 armado de ruedas y manguera</t>
        </is>
      </c>
      <c r="O44" s="17" t="n"/>
      <c r="P44" s="33" t="inlineStr">
        <is>
          <t>P</t>
        </is>
      </c>
      <c r="Q44" s="33" t="inlineStr">
        <is>
          <t>FL_DES_ABC_70kg</t>
        </is>
      </c>
      <c r="R44" s="17" t="n"/>
    </row>
    <row r="45">
      <c r="A45" s="30" t="n">
        <v>1</v>
      </c>
      <c r="B45" s="30" t="inlineStr">
        <is>
          <t>ABC70-S4</t>
        </is>
      </c>
      <c r="C45" s="31" t="inlineStr">
        <is>
          <t xml:space="preserve">    Carro (bastidor y ruedas)</t>
        </is>
      </c>
      <c r="D45" s="30" t="n">
        <v>1</v>
      </c>
      <c r="E45" s="30" t="inlineStr">
        <is>
          <t>u</t>
        </is>
      </c>
      <c r="F45" s="32" t="n"/>
      <c r="G45" s="32">
        <f>G46+G47+G48+G50+G52+G54</f>
        <v/>
      </c>
      <c r="H45" s="30" t="n"/>
      <c r="I45" s="31" t="n"/>
      <c r="J45" s="30" t="inlineStr">
        <is>
          <t>Fabricación</t>
        </is>
      </c>
      <c r="K45" s="30" t="n"/>
      <c r="L45" s="31" t="n"/>
      <c r="M45" s="31" t="n"/>
      <c r="N45" s="31" t="n"/>
      <c r="O45" s="31" t="inlineStr">
        <is>
          <t>IRAM 3550 3.12 y 4.8 (ruedas ≥ Ø300 × 50)</t>
        </is>
      </c>
      <c r="P45" s="30" t="inlineStr">
        <is>
          <t>P</t>
        </is>
      </c>
      <c r="Q45" s="30" t="inlineStr">
        <is>
          <t>FL_DES_ABC_70kg</t>
        </is>
      </c>
      <c r="R45" s="31" t="n"/>
    </row>
    <row r="46" outlineLevel="1">
      <c r="A46" s="33" t="n">
        <v>2</v>
      </c>
      <c r="B46" s="33" t="inlineStr">
        <is>
          <t>ABC70-06</t>
        </is>
      </c>
      <c r="C46" s="17" t="inlineStr">
        <is>
          <t xml:space="preserve">        Neumático macizo</t>
        </is>
      </c>
      <c r="D46" s="33" t="n">
        <v>2</v>
      </c>
      <c r="E46" s="33" t="inlineStr">
        <is>
          <t>u</t>
        </is>
      </c>
      <c r="F46" s="34" t="n">
        <v>3.8922</v>
      </c>
      <c r="G46" s="34">
        <f>D46*F46</f>
        <v/>
      </c>
      <c r="H46" s="33" t="inlineStr">
        <is>
          <t>Caucho</t>
        </is>
      </c>
      <c r="I46" s="17" t="inlineStr">
        <is>
          <t>Ø350 × 70 de ancho</t>
        </is>
      </c>
      <c r="J46" s="33" t="inlineStr">
        <is>
          <t>Compra</t>
        </is>
      </c>
      <c r="K46" s="33" t="inlineStr">
        <is>
          <t>Sí</t>
        </is>
      </c>
      <c r="L46" s="17" t="inlineStr">
        <is>
          <t>Ruedar</t>
        </is>
      </c>
      <c r="M46" s="17" t="inlineStr">
        <is>
          <t>Escanort S.A.</t>
        </is>
      </c>
      <c r="N46" s="17" t="inlineStr">
        <is>
          <t>C9 armado de ruedas (S-TC)</t>
        </is>
      </c>
      <c r="O46" s="17" t="n"/>
      <c r="P46" s="33" t="inlineStr">
        <is>
          <t>P</t>
        </is>
      </c>
      <c r="Q46" s="33" t="inlineStr">
        <is>
          <t>FL_DES_ABC_70kg</t>
        </is>
      </c>
      <c r="R46" s="17" t="inlineStr">
        <is>
          <t>IRAM 3550 4.8: Ø ≥ 300 y ancho ≥ 50</t>
        </is>
      </c>
    </row>
    <row r="47" outlineLevel="1">
      <c r="A47" s="33" t="n">
        <v>2</v>
      </c>
      <c r="B47" s="33" t="inlineStr">
        <is>
          <t>ABC70-07</t>
        </is>
      </c>
      <c r="C47" s="17" t="inlineStr">
        <is>
          <t xml:space="preserve">        Llanta con cubo</t>
        </is>
      </c>
      <c r="D47" s="33" t="n">
        <v>2</v>
      </c>
      <c r="E47" s="33" t="inlineStr">
        <is>
          <t>u</t>
        </is>
      </c>
      <c r="F47" s="34" t="n">
        <v>4.0415</v>
      </c>
      <c r="G47" s="34">
        <f>D47*F47</f>
        <v/>
      </c>
      <c r="H47" s="33" t="inlineStr">
        <is>
          <t>Chapa acero SAE 1010</t>
        </is>
      </c>
      <c r="I47" s="17" t="inlineStr">
        <is>
          <t>Ø252 × 80 de ancho</t>
        </is>
      </c>
      <c r="J47" s="33" t="inlineStr">
        <is>
          <t>Incluido en rueda</t>
        </is>
      </c>
      <c r="K47" s="33" t="inlineStr">
        <is>
          <t>No</t>
        </is>
      </c>
      <c r="L47" s="17" t="n"/>
      <c r="M47" s="17" t="n"/>
      <c r="N47" s="17" t="inlineStr">
        <is>
          <t>C9 armado de ruedas (S-TC)</t>
        </is>
      </c>
      <c r="O47" s="17" t="n"/>
      <c r="P47" s="33" t="inlineStr">
        <is>
          <t>P</t>
        </is>
      </c>
      <c r="Q47" s="33" t="inlineStr">
        <is>
          <t>FL_DES_ABC_70kg</t>
        </is>
      </c>
      <c r="R47" s="17" t="n"/>
    </row>
    <row r="48" outlineLevel="1">
      <c r="A48" s="33" t="n">
        <v>2</v>
      </c>
      <c r="B48" s="33" t="inlineStr">
        <is>
          <t>ABC70-08</t>
        </is>
      </c>
      <c r="C48" s="17" t="inlineStr">
        <is>
          <t xml:space="preserve">        Eje de ruedas</t>
        </is>
      </c>
      <c r="D48" s="33" t="n">
        <v>1</v>
      </c>
      <c r="E48" s="33" t="inlineStr">
        <is>
          <t>u</t>
        </is>
      </c>
      <c r="F48" s="34" t="n">
        <v>1.7533</v>
      </c>
      <c r="G48" s="34">
        <f>D48*F48</f>
        <v/>
      </c>
      <c r="H48" s="33" t="inlineStr">
        <is>
          <t>Acero SAE 1045</t>
        </is>
      </c>
      <c r="I48" s="17" t="inlineStr">
        <is>
          <t>Ø25 × 455 de largo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FL_DES_ABC_70kg</t>
        </is>
      </c>
      <c r="R48" s="17" t="n"/>
    </row>
    <row r="49" outlineLevel="2">
      <c r="A49" s="35" t="n">
        <v>3</v>
      </c>
      <c r="B49" s="35" t="inlineStr">
        <is>
          <t>MP-EJE</t>
        </is>
      </c>
      <c r="C49" s="36" t="inlineStr">
        <is>
          <t xml:space="preserve">            Redondo SAE 1045 Ø25 (tramo de barra de 6 m)</t>
        </is>
      </c>
      <c r="D49" s="35" t="n">
        <v>0.07580000000000001</v>
      </c>
      <c r="E49" s="35" t="inlineStr">
        <is>
          <t>barra</t>
        </is>
      </c>
      <c r="F49" s="37" t="n">
        <v>23.12</v>
      </c>
      <c r="G49" s="37">
        <f>D49*F49</f>
        <v/>
      </c>
      <c r="H49" s="35" t="inlineStr">
        <is>
          <t>Redondo SAE 1045 Ø25</t>
        </is>
      </c>
      <c r="I49" s="36" t="inlineStr">
        <is>
          <t>455 mm por pieza (kg por barra de 6 m)</t>
        </is>
      </c>
      <c r="J49" s="35" t="inlineStr">
        <is>
          <t>Compra</t>
        </is>
      </c>
      <c r="K49" s="35" t="inlineStr">
        <is>
          <t>Sí</t>
        </is>
      </c>
      <c r="L49" s="36" t="inlineStr">
        <is>
          <t>Hierros Parrotta</t>
        </is>
      </c>
      <c r="M49" s="36" t="inlineStr">
        <is>
          <t>-</t>
        </is>
      </c>
      <c r="N49" s="36" t="inlineStr">
        <is>
          <t>Corte en sierra</t>
        </is>
      </c>
      <c r="O49" s="36" t="n"/>
      <c r="P49" s="35" t="inlineStr">
        <is>
          <t>C</t>
        </is>
      </c>
      <c r="Q49" s="35" t="n"/>
      <c r="R49" s="36" t="n"/>
    </row>
    <row r="50" outlineLevel="1">
      <c r="A50" s="33" t="n">
        <v>2</v>
      </c>
      <c r="B50" s="33" t="inlineStr">
        <is>
          <t>ABC70-09</t>
        </is>
      </c>
      <c r="C50" s="17" t="inlineStr">
        <is>
          <t xml:space="preserve">        Bastidor</t>
        </is>
      </c>
      <c r="D50" s="33" t="n">
        <v>1</v>
      </c>
      <c r="E50" s="33" t="inlineStr">
        <is>
          <t>u</t>
        </is>
      </c>
      <c r="F50" s="34" t="n">
        <v>2.3771</v>
      </c>
      <c r="G50" s="34">
        <f>D50*F50</f>
        <v/>
      </c>
      <c r="H50" s="33" t="inlineStr">
        <is>
          <t>Caño acero SAE 1010 Ø25,4×1,6</t>
        </is>
      </c>
      <c r="I50" s="17" t="inlineStr">
        <is>
          <t>caño Ø25,4 × 1,6 × 2.490 de largo desarrollado</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FL_DES_ABC_70kg</t>
        </is>
      </c>
      <c r="R50" s="17" t="n"/>
    </row>
    <row r="51" outlineLevel="2">
      <c r="A51" s="35" t="n">
        <v>3</v>
      </c>
      <c r="B51" s="35" t="inlineStr">
        <is>
          <t>MP-CANO-CARRO</t>
        </is>
      </c>
      <c r="C51" s="36" t="inlineStr">
        <is>
          <t xml:space="preserve">            Caño SAE 1010 Ø25,4 × 1,6 (tramo de barra de 6 m)</t>
        </is>
      </c>
      <c r="D51" s="35" t="n">
        <v>0.415</v>
      </c>
      <c r="E51" s="35" t="inlineStr">
        <is>
          <t>barra</t>
        </is>
      </c>
      <c r="F51" s="37" t="n">
        <v>5.635</v>
      </c>
      <c r="G51" s="37">
        <f>D51*F51</f>
        <v/>
      </c>
      <c r="H51" s="35" t="inlineStr">
        <is>
          <t>Caño acero SAE 1010 Ø25,4 × 1,6</t>
        </is>
      </c>
      <c r="I51" s="36" t="inlineStr">
        <is>
          <t>2.490 mm por pieza (kg por barra de 6 m)</t>
        </is>
      </c>
      <c r="J51" s="35" t="inlineStr">
        <is>
          <t>Compra</t>
        </is>
      </c>
      <c r="K51" s="35" t="inlineStr">
        <is>
          <t>Sí</t>
        </is>
      </c>
      <c r="L51" s="36" t="inlineStr">
        <is>
          <t>Metalpri / Prilux</t>
        </is>
      </c>
      <c r="M51" s="36" t="inlineStr">
        <is>
          <t>Comercial MID</t>
        </is>
      </c>
      <c r="N51" s="36" t="inlineStr">
        <is>
          <t>Corte en sierra</t>
        </is>
      </c>
      <c r="O51" s="36" t="n"/>
      <c r="P51" s="35" t="inlineStr">
        <is>
          <t>C</t>
        </is>
      </c>
      <c r="Q51" s="35" t="n"/>
      <c r="R51" s="36" t="inlineStr">
        <is>
          <t>Largo desarrollado del plano + curvado</t>
        </is>
      </c>
    </row>
    <row r="52" outlineLevel="1">
      <c r="A52" s="33" t="n">
        <v>2</v>
      </c>
      <c r="B52" s="33" t="inlineStr">
        <is>
          <t>ABC70-10</t>
        </is>
      </c>
      <c r="C52" s="17" t="inlineStr">
        <is>
          <t xml:space="preserve">        Sunchos de fijación</t>
        </is>
      </c>
      <c r="D52" s="33" t="n">
        <v>1</v>
      </c>
      <c r="E52" s="33" t="inlineStr">
        <is>
          <t>u</t>
        </is>
      </c>
      <c r="F52" s="34" t="n">
        <v>6.9304</v>
      </c>
      <c r="G52" s="34">
        <f>D52*F52</f>
        <v/>
      </c>
      <c r="H52" s="33" t="inlineStr">
        <is>
          <t>Planchuela acero SAE 1010</t>
        </is>
      </c>
      <c r="I52" s="17" t="inlineStr">
        <is>
          <t>525 × 518,8 × 405</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FL_DES_ABC_70kg</t>
        </is>
      </c>
      <c r="R52" s="17" t="n"/>
    </row>
    <row r="53" outlineLevel="2">
      <c r="A53" s="35" t="n">
        <v>3</v>
      </c>
      <c r="B53" s="35" t="inlineStr">
        <is>
          <t>MP-PLANCHUELA</t>
        </is>
      </c>
      <c r="C53" s="36" t="inlineStr">
        <is>
          <t xml:space="preserve">            Planchuela SAE 1010 40 × 6 (tramo de barra de 6 m)</t>
        </is>
      </c>
      <c r="D53" s="35" t="n">
        <v>0.6131</v>
      </c>
      <c r="E53" s="35" t="inlineStr">
        <is>
          <t>barra</t>
        </is>
      </c>
      <c r="F53" s="37" t="n">
        <v>11.304</v>
      </c>
      <c r="G53" s="37">
        <f>D53*F53</f>
        <v/>
      </c>
      <c r="H53" s="35" t="inlineStr">
        <is>
          <t>Planchuela SAE 1010 40 × 6</t>
        </is>
      </c>
      <c r="I53" s="36" t="inlineStr">
        <is>
          <t>3.679 mm por pieza (kg por barra de 6 m)</t>
        </is>
      </c>
      <c r="J53" s="35" t="inlineStr">
        <is>
          <t>Compra</t>
        </is>
      </c>
      <c r="K53" s="35" t="inlineStr">
        <is>
          <t>Sí</t>
        </is>
      </c>
      <c r="L53" s="36" t="inlineStr">
        <is>
          <t>Hierros Parrotta</t>
        </is>
      </c>
      <c r="M53" s="36" t="inlineStr">
        <is>
          <t>-</t>
        </is>
      </c>
      <c r="N53" s="36" t="inlineStr">
        <is>
          <t>Corte en sierra</t>
        </is>
      </c>
      <c r="O53" s="36" t="n"/>
      <c r="P53" s="35" t="inlineStr">
        <is>
          <t>C</t>
        </is>
      </c>
      <c r="Q53" s="35" t="n"/>
      <c r="R53" s="36" t="inlineStr">
        <is>
          <t>Largo = volumen del plano / sección 40 × 6</t>
        </is>
      </c>
    </row>
    <row r="54" outlineLevel="1">
      <c r="A54" s="33" t="n">
        <v>2</v>
      </c>
      <c r="B54" s="33" t="inlineStr">
        <is>
          <t>ABC70-11</t>
        </is>
      </c>
      <c r="C54" s="17" t="inlineStr">
        <is>
          <t xml:space="preserve">        Apoyo delantero</t>
        </is>
      </c>
      <c r="D54" s="33" t="n">
        <v>1</v>
      </c>
      <c r="E54" s="33" t="inlineStr">
        <is>
          <t>u</t>
        </is>
      </c>
      <c r="F54" s="34" t="n">
        <v>0.3022</v>
      </c>
      <c r="G54" s="34">
        <f>D54*F54</f>
        <v/>
      </c>
      <c r="H54" s="33" t="inlineStr">
        <is>
          <t>Chapa acero SAE 1010 plegada</t>
        </is>
      </c>
      <c r="I54" s="17" t="inlineStr">
        <is>
          <t>70 × 55 × 50</t>
        </is>
      </c>
      <c r="J54" s="33" t="inlineStr">
        <is>
          <t>Fabricación</t>
        </is>
      </c>
      <c r="K54" s="33" t="inlineStr">
        <is>
          <t>No</t>
        </is>
      </c>
      <c r="L54" s="17" t="n"/>
      <c r="M54" s="17" t="n"/>
      <c r="N54" s="17" t="inlineStr">
        <is>
          <t>Corte en sierra -&gt; curvado / plegado -&gt; soldadura MAG del carro -&gt; C9 armado (S-TC); puesto de soldadura de carros a incorporar al layout</t>
        </is>
      </c>
      <c r="O54" s="17" t="n"/>
      <c r="P54" s="33" t="inlineStr">
        <is>
          <t>P</t>
        </is>
      </c>
      <c r="Q54" s="33" t="inlineStr">
        <is>
          <t>FL_DES_ABC_70kg</t>
        </is>
      </c>
      <c r="R54" s="17" t="n"/>
    </row>
    <row r="55" outlineLevel="2">
      <c r="A55" s="47" t="n">
        <v>3</v>
      </c>
      <c r="B55" s="47" t="inlineStr">
        <is>
          <t>MP-CHAPA-APOYO</t>
        </is>
      </c>
      <c r="C55" s="48" t="inlineStr">
        <is>
          <t xml:space="preserve">            Recorte de chapa LAC e=3,2 para el apoyo plegado</t>
        </is>
      </c>
      <c r="D55" s="47" t="n">
        <v>1</v>
      </c>
      <c r="E55" s="47" t="inlineStr">
        <is>
          <t>u</t>
        </is>
      </c>
      <c r="F55" s="49" t="n">
        <v>0.348</v>
      </c>
      <c r="G55" s="49">
        <f>D55*F55</f>
        <v/>
      </c>
      <c r="H55" s="47" t="inlineStr">
        <is>
          <t>Chapa LAC SAE 1010</t>
        </is>
      </c>
      <c r="I55" s="48" t="inlineStr">
        <is>
          <t>desarrollo del apoyo + 15 % de recorte</t>
        </is>
      </c>
      <c r="J55" s="47" t="inlineStr">
        <is>
          <t>Compra</t>
        </is>
      </c>
      <c r="K55" s="47" t="inlineStr">
        <is>
          <t>Sí</t>
        </is>
      </c>
      <c r="L55" s="48" t="inlineStr">
        <is>
          <t>Pradecon S.A.</t>
        </is>
      </c>
      <c r="M55" s="48" t="inlineStr">
        <is>
          <t>Pacheco Chapas</t>
        </is>
      </c>
      <c r="N55" s="48" t="inlineStr">
        <is>
          <t>Corte y plegado</t>
        </is>
      </c>
      <c r="O55" s="48" t="n"/>
      <c r="P55" s="47" t="inlineStr">
        <is>
          <t>C</t>
        </is>
      </c>
      <c r="Q55" s="47" t="n"/>
      <c r="R55" s="48" t="inlineStr">
        <is>
          <t>15 % de recorte: valor de taller sin medir</t>
        </is>
      </c>
    </row>
    <row r="56">
      <c r="A56" s="30" t="n">
        <v>1</v>
      </c>
      <c r="B56" s="30" t="inlineStr">
        <is>
          <t>ABC70-S5</t>
        </is>
      </c>
      <c r="C56" s="31" t="inlineStr">
        <is>
          <t xml:space="preserve">    Carga: agente extintor y gas impulsor</t>
        </is>
      </c>
      <c r="D56" s="30" t="n">
        <v>1</v>
      </c>
      <c r="E56" s="30" t="inlineStr">
        <is>
          <t>u</t>
        </is>
      </c>
      <c r="F56" s="32" t="n"/>
      <c r="G56" s="32">
        <f>G57+G58</f>
        <v/>
      </c>
      <c r="H56" s="30" t="n"/>
      <c r="I56" s="31" t="n"/>
      <c r="J56" s="30" t="inlineStr">
        <is>
          <t>Carga en planta</t>
        </is>
      </c>
      <c r="K56" s="30" t="n"/>
      <c r="L56" s="31" t="n"/>
      <c r="M56" s="31" t="n"/>
      <c r="N56" s="31" t="inlineStr">
        <is>
          <t>18 Carga de polvo (T01) / C8 (T02)</t>
        </is>
      </c>
      <c r="O56" s="31" t="n"/>
      <c r="P56" s="30" t="n"/>
      <c r="Q56" s="30" t="n"/>
      <c r="R56" s="31" t="n"/>
    </row>
    <row r="57" outlineLevel="1">
      <c r="A57" s="33" t="n">
        <v>2</v>
      </c>
      <c r="B57" s="33" t="inlineStr">
        <is>
          <t>ABC70-A1</t>
        </is>
      </c>
      <c r="C57" s="17" t="inlineStr">
        <is>
          <t xml:space="preserve">        Polvo químico seco ABC 90 (Sello IRAM 3569)</t>
        </is>
      </c>
      <c r="D57" s="33" t="n">
        <v>70</v>
      </c>
      <c r="E57" s="33" t="inlineStr">
        <is>
          <t>kg</t>
        </is>
      </c>
      <c r="F57" s="34" t="n">
        <v>1</v>
      </c>
      <c r="G57" s="34">
        <f>D57*F57</f>
        <v/>
      </c>
      <c r="H57" s="33" t="inlineStr">
        <is>
          <t>Polvo químico seco ABC 90 (Sello IRAM 3569)</t>
        </is>
      </c>
      <c r="I57" s="17" t="inlineStr">
        <is>
          <t>nominal 70 kg; tolerancia ± 3 % (IRAM 3517-2:2020 tabla 3)</t>
        </is>
      </c>
      <c r="J57" s="33" t="inlineStr">
        <is>
          <t>Compra</t>
        </is>
      </c>
      <c r="K57" s="33" t="inlineStr">
        <is>
          <t>Sí</t>
        </is>
      </c>
      <c r="L57" s="17" t="inlineStr">
        <is>
          <t>DEM S.A. (DEMSA)</t>
        </is>
      </c>
      <c r="M57" s="17" t="inlineStr">
        <is>
          <t>Polvex S.R.L. / Sancibrao</t>
        </is>
      </c>
      <c r="N57" s="17" t="inlineStr">
        <is>
          <t>SP-1 almacén previo a la carga</t>
        </is>
      </c>
      <c r="O57" s="17" t="inlineStr">
        <is>
          <t>IRAM 3569</t>
        </is>
      </c>
      <c r="P57" s="33" t="inlineStr">
        <is>
          <t>N</t>
        </is>
      </c>
      <c r="Q57" s="33" t="n"/>
      <c r="R57"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41" t="n">
        <v>2</v>
      </c>
      <c r="B58" s="41" t="inlineStr">
        <is>
          <t>ABC70-A2</t>
        </is>
      </c>
      <c r="C58" s="18" t="inlineStr">
        <is>
          <t xml:space="preserve">        Gas impulsor: N₂</t>
        </is>
      </c>
      <c r="D58" s="41" t="n">
        <v>0.3856</v>
      </c>
      <c r="E58" s="41" t="inlineStr">
        <is>
          <t>kg</t>
        </is>
      </c>
      <c r="F58" s="42" t="n">
        <v>1</v>
      </c>
      <c r="G58" s="42">
        <f>D58*F58</f>
        <v/>
      </c>
      <c r="H58" s="41" t="inlineStr">
        <is>
          <t>N₂</t>
        </is>
      </c>
      <c r="I58" s="18" t="inlineStr">
        <is>
          <t>308,7 L normales para 1,4 MPa a 20 °C en 22,36 dm³ libres</t>
        </is>
      </c>
      <c r="J58" s="41" t="inlineStr">
        <is>
          <t>Compra</t>
        </is>
      </c>
      <c r="K58" s="41"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41" t="inlineStr">
        <is>
          <t>C</t>
        </is>
      </c>
      <c r="Q58" s="41" t="n"/>
      <c r="R58" s="18" t="inlineStr">
        <is>
          <t>N₂ ≥ 99,8 %, H₂O ≤ 40 ppm (Q-N2, Air Liquide) · volumen libre con ρ empacada mínima 1,1 kg/dm³ (NOM-104-STPS-2001); confirmar con descarga ≥ 85 % (IRAM 3523 4.9.1)</t>
        </is>
      </c>
    </row>
    <row r="59">
      <c r="A59" s="30" t="n">
        <v>1</v>
      </c>
      <c r="B59" s="30" t="inlineStr">
        <is>
          <t>ABC70-S6</t>
        </is>
      </c>
      <c r="C59" s="31" t="inlineStr">
        <is>
          <t xml:space="preserve">    Identificación y precinto</t>
        </is>
      </c>
      <c r="D59" s="30" t="n">
        <v>1</v>
      </c>
      <c r="E59" s="30" t="inlineStr">
        <is>
          <t>u</t>
        </is>
      </c>
      <c r="F59" s="32" t="n"/>
      <c r="G59" s="32">
        <f>G60+G61+G62+G63+G64+G65+G66</f>
        <v/>
      </c>
      <c r="H59" s="30" t="n"/>
      <c r="I59" s="31" t="n"/>
      <c r="J59" s="30" t="inlineStr">
        <is>
          <t>Compra</t>
        </is>
      </c>
      <c r="K59" s="30" t="n"/>
      <c r="L59" s="31" t="n"/>
      <c r="M59" s="31" t="n"/>
      <c r="N59" s="31" t="inlineStr">
        <is>
          <t>22 Etiquetado (T07)</t>
        </is>
      </c>
      <c r="O59" s="31" t="n"/>
      <c r="P59" s="30" t="n"/>
      <c r="Q59" s="30" t="n"/>
      <c r="R59" s="31" t="n"/>
    </row>
    <row r="60" outlineLevel="1">
      <c r="A60" s="33" t="n">
        <v>2</v>
      </c>
      <c r="B60" s="33" t="inlineStr">
        <is>
          <t>ABC70-28</t>
        </is>
      </c>
      <c r="C60" s="17" t="inlineStr">
        <is>
          <t xml:space="preserve">        Etiqueta / placa de características</t>
        </is>
      </c>
      <c r="D60" s="33" t="n">
        <v>1</v>
      </c>
      <c r="E60" s="33" t="inlineStr">
        <is>
          <t>u</t>
        </is>
      </c>
      <c r="F60" s="34" t="n">
        <v>0.0569</v>
      </c>
      <c r="G60" s="34">
        <f>D60*F60</f>
        <v/>
      </c>
      <c r="H60" s="33" t="inlineStr">
        <is>
          <t>Vinilo autoadhesivo laminado</t>
        </is>
      </c>
      <c r="I60" s="17" t="inlineStr">
        <is>
          <t>660 × 205 (desarrollo × alto: panel central 108° + 2 alas laterales), e ≈ 0,3, laminado UV</t>
        </is>
      </c>
      <c r="J60" s="33" t="inlineStr">
        <is>
          <t>Compra</t>
        </is>
      </c>
      <c r="K60" s="33" t="inlineStr">
        <is>
          <t>Sí</t>
        </is>
      </c>
      <c r="L60" s="17" t="inlineStr">
        <is>
          <t>Astuprint</t>
        </is>
      </c>
      <c r="M60" s="17" t="inlineStr">
        <is>
          <t>Multilabel Argentina S.A.</t>
        </is>
      </c>
      <c r="N60" s="17" t="inlineStr">
        <is>
          <t>22 Etiquetado (T07)</t>
        </is>
      </c>
      <c r="O60" s="17" t="inlineStr">
        <is>
          <t>IRAM 3534 · IRAM 3550 cap. 5 · relevamiento de mercado</t>
        </is>
      </c>
      <c r="P60" s="33" t="inlineStr">
        <is>
          <t>P</t>
        </is>
      </c>
      <c r="Q60" s="33" t="inlineStr">
        <is>
          <t>FL_DES_ABC_70kg</t>
        </is>
      </c>
      <c r="R60" s="17" t="inlineStr">
        <is>
          <t>IRAM 3534</t>
        </is>
      </c>
    </row>
    <row r="61" outlineLevel="1">
      <c r="A61" s="33" t="n">
        <v>2</v>
      </c>
      <c r="B61" s="33" t="inlineStr">
        <is>
          <t>ABC70-29</t>
        </is>
      </c>
      <c r="C61" s="17" t="inlineStr">
        <is>
          <t xml:space="preserve">        Oblea de fabricación (PBA)</t>
        </is>
      </c>
      <c r="D61" s="33" t="n">
        <v>1</v>
      </c>
      <c r="E61" s="33" t="inlineStr">
        <is>
          <t>u</t>
        </is>
      </c>
      <c r="F61" s="34" t="n">
        <v>0.0009</v>
      </c>
      <c r="G61" s="34">
        <f>D61*F61</f>
        <v/>
      </c>
      <c r="H61" s="33" t="inlineStr">
        <is>
          <t>Papel de seguridad autodestructible</t>
        </is>
      </c>
      <c r="I61" s="17" t="inlineStr">
        <is>
          <t>Ø46 (Res. OPDS 522/07), numerada, autodestructible</t>
        </is>
      </c>
      <c r="J61" s="33" t="inlineStr">
        <is>
          <t>Compra</t>
        </is>
      </c>
      <c r="K61" s="33" t="inlineStr">
        <is>
          <t>Sí</t>
        </is>
      </c>
      <c r="L61" s="17" t="inlineStr">
        <is>
          <t>Ministerio de Ambiente PBA (ex OPDS)</t>
        </is>
      </c>
      <c r="M61" s="17" t="inlineStr">
        <is>
          <t>-</t>
        </is>
      </c>
      <c r="N61" s="17" t="inlineStr">
        <is>
          <t>22 Etiquetado (T07)</t>
        </is>
      </c>
      <c r="O61" s="17" t="inlineStr">
        <is>
          <t>Res. OPDS 522/07 anexos 1, 2 y 6</t>
        </is>
      </c>
      <c r="P61" s="33" t="inlineStr">
        <is>
          <t>P</t>
        </is>
      </c>
      <c r="Q61" s="33" t="inlineStr">
        <is>
          <t>FL_DES_ABC_70kg</t>
        </is>
      </c>
      <c r="R61" s="17" t="inlineStr">
        <is>
          <t>Res. 522/07</t>
        </is>
      </c>
    </row>
    <row r="62" outlineLevel="1">
      <c r="A62" s="33" t="n">
        <v>2</v>
      </c>
      <c r="B62" s="33" t="inlineStr">
        <is>
          <t>ABC70-30</t>
        </is>
      </c>
      <c r="C62" s="17" t="inlineStr">
        <is>
          <t xml:space="preserve">        Estampilla IRAM de conformidad</t>
        </is>
      </c>
      <c r="D62" s="33" t="n">
        <v>1</v>
      </c>
      <c r="E62" s="33" t="inlineStr">
        <is>
          <t>u</t>
        </is>
      </c>
      <c r="F62" s="34" t="n">
        <v>0.001</v>
      </c>
      <c r="G62" s="34">
        <f>D62*F62</f>
        <v/>
      </c>
      <c r="H62" s="33" t="inlineStr">
        <is>
          <t>Provista por IRAM (Anexo R)</t>
        </is>
      </c>
      <c r="I62" s="17" t="inlineStr">
        <is>
          <t>60 × 40</t>
        </is>
      </c>
      <c r="J62" s="33" t="inlineStr">
        <is>
          <t>Compra</t>
        </is>
      </c>
      <c r="K62" s="33" t="inlineStr">
        <is>
          <t>Sí</t>
        </is>
      </c>
      <c r="L62" s="17" t="inlineStr">
        <is>
          <t>IRAM - Instituto Argentino de Normalización</t>
        </is>
      </c>
      <c r="M62" s="17" t="inlineStr">
        <is>
          <t>-</t>
        </is>
      </c>
      <c r="N62" s="17" t="inlineStr">
        <is>
          <t>22 Etiquetado (T07)</t>
        </is>
      </c>
      <c r="O62" s="17" t="inlineStr">
        <is>
          <t>IRAM Anexo R (DC-PG-129)</t>
        </is>
      </c>
      <c r="P62" s="33" t="inlineStr">
        <is>
          <t>P</t>
        </is>
      </c>
      <c r="Q62" s="33" t="inlineStr">
        <is>
          <t>FL_DES_ABC_70kg</t>
        </is>
      </c>
      <c r="R62" s="17" t="inlineStr">
        <is>
          <t>numerada</t>
        </is>
      </c>
    </row>
    <row r="63" outlineLevel="1">
      <c r="A63" s="33" t="n">
        <v>2</v>
      </c>
      <c r="B63" s="33" t="inlineStr">
        <is>
          <t>ABC70-31</t>
        </is>
      </c>
      <c r="C63" s="17" t="inlineStr">
        <is>
          <t xml:space="preserve">        Tarjeta de identificación AGC (CABA)</t>
        </is>
      </c>
      <c r="D63" s="33" t="n">
        <v>1</v>
      </c>
      <c r="E63" s="33" t="inlineStr">
        <is>
          <t>u</t>
        </is>
      </c>
      <c r="F63" s="34" t="n">
        <v>0.0032</v>
      </c>
      <c r="G63" s="34">
        <f>D63*F63</f>
        <v/>
      </c>
      <c r="H63" s="33" t="inlineStr">
        <is>
          <t>Etiqueta autoadhesiva emitida por la AGC</t>
        </is>
      </c>
      <c r="I63" s="17" t="inlineStr">
        <is>
          <t>140 × 55</t>
        </is>
      </c>
      <c r="J63" s="33" t="inlineStr">
        <is>
          <t>Compra</t>
        </is>
      </c>
      <c r="K63" s="33" t="inlineStr">
        <is>
          <t>Sí</t>
        </is>
      </c>
      <c r="L63" s="17" t="inlineStr">
        <is>
          <t>Agencia Gubernamental de Control (CABA)</t>
        </is>
      </c>
      <c r="M63" s="17" t="inlineStr">
        <is>
          <t>-</t>
        </is>
      </c>
      <c r="N63" s="17" t="inlineStr">
        <is>
          <t>22 Etiquetado (T07)</t>
        </is>
      </c>
      <c r="O63" s="17" t="inlineStr">
        <is>
          <t>Ordenanza 40.473 art. 6 · Res. AGC 32/15</t>
        </is>
      </c>
      <c r="P63" s="33" t="inlineStr">
        <is>
          <t>P</t>
        </is>
      </c>
      <c r="Q63" s="33" t="inlineStr">
        <is>
          <t>FL_DES_ABC_70kg</t>
        </is>
      </c>
      <c r="R63" s="17" t="inlineStr">
        <is>
          <t>sólo destino CABA</t>
        </is>
      </c>
    </row>
    <row r="64" outlineLevel="1">
      <c r="A64" s="33" t="n">
        <v>2</v>
      </c>
      <c r="B64" s="33" t="inlineStr">
        <is>
          <t>ABC70-32</t>
        </is>
      </c>
      <c r="C64" s="17" t="inlineStr">
        <is>
          <t xml:space="preserve">        Etiqueta de n° de serie GS1</t>
        </is>
      </c>
      <c r="D64" s="33" t="n">
        <v>1</v>
      </c>
      <c r="E64" s="33" t="inlineStr">
        <is>
          <t>u</t>
        </is>
      </c>
      <c r="F64" s="34" t="n">
        <v>0.0005</v>
      </c>
      <c r="G64" s="34">
        <f>D64*F64</f>
        <v/>
      </c>
      <c r="H64" s="33" t="inlineStr">
        <is>
          <t>Poliéster autoadhesivo impreso térmico</t>
        </is>
      </c>
      <c r="I64" s="17" t="inlineStr">
        <is>
          <t>45 × 25</t>
        </is>
      </c>
      <c r="J64" s="33" t="inlineStr">
        <is>
          <t>Compra</t>
        </is>
      </c>
      <c r="K64" s="33" t="inlineStr">
        <is>
          <t>Sí</t>
        </is>
      </c>
      <c r="L64" s="17" t="inlineStr">
        <is>
          <t>Astuprint</t>
        </is>
      </c>
      <c r="M64" s="17" t="inlineStr">
        <is>
          <t>GS1 Argentina</t>
        </is>
      </c>
      <c r="N64" s="17" t="inlineStr">
        <is>
          <t>22 Etiquetado (T07)</t>
        </is>
      </c>
      <c r="O64" s="17" t="inlineStr">
        <is>
          <t>GS1 Argentina (GTIN 779) · trazabilidad IRAM 3523 5.1</t>
        </is>
      </c>
      <c r="P64" s="33" t="inlineStr">
        <is>
          <t>P</t>
        </is>
      </c>
      <c r="Q64" s="33" t="inlineStr">
        <is>
          <t>FL_DES_ABC_70kg</t>
        </is>
      </c>
      <c r="R64" s="17" t="inlineStr">
        <is>
          <t>QR GTIN + serie</t>
        </is>
      </c>
    </row>
    <row r="65" outlineLevel="1">
      <c r="A65" s="33" t="n">
        <v>2</v>
      </c>
      <c r="B65" s="33" t="inlineStr">
        <is>
          <t>ABC70-34</t>
        </is>
      </c>
      <c r="C65" s="17" t="inlineStr">
        <is>
          <t xml:space="preserve">        Faja de garantía válvula-cuello</t>
        </is>
      </c>
      <c r="D65" s="33" t="n">
        <v>1</v>
      </c>
      <c r="E65" s="33" t="inlineStr">
        <is>
          <t>u</t>
        </is>
      </c>
      <c r="F65" s="34" t="n">
        <v>0.0003</v>
      </c>
      <c r="G65" s="34">
        <f>D65*F65</f>
        <v/>
      </c>
      <c r="H65" s="33" t="inlineStr">
        <is>
          <t>Vinilo destructible rayado rojo/blanco</t>
        </is>
      </c>
      <c r="I65" s="17" t="inlineStr">
        <is>
          <t>30 × 40</t>
        </is>
      </c>
      <c r="J65" s="33" t="inlineStr">
        <is>
          <t>Compra</t>
        </is>
      </c>
      <c r="K65" s="33" t="inlineStr">
        <is>
          <t>Sí</t>
        </is>
      </c>
      <c r="L65" s="17" t="inlineStr">
        <is>
          <t>Astuprint</t>
        </is>
      </c>
      <c r="M65" s="17" t="inlineStr">
        <is>
          <t>Multilabel Argentina S.A.</t>
        </is>
      </c>
      <c r="N65" s="17" t="inlineStr">
        <is>
          <t>22 Etiquetado (T07)</t>
        </is>
      </c>
      <c r="O65" s="17" t="inlineStr">
        <is>
          <t>Sin norma: práctica de mercado (garantía de fábrica)</t>
        </is>
      </c>
      <c r="P65" s="33" t="inlineStr">
        <is>
          <t>P</t>
        </is>
      </c>
      <c r="Q65" s="33" t="inlineStr">
        <is>
          <t>FL_DES_ABC_70kg</t>
        </is>
      </c>
      <c r="R65" s="17" t="inlineStr">
        <is>
          <t>nuevo sin abrir</t>
        </is>
      </c>
    </row>
    <row r="66" outlineLevel="1">
      <c r="A66" s="33" t="n">
        <v>2</v>
      </c>
      <c r="B66" s="33" t="inlineStr">
        <is>
          <t>ABC70-35</t>
        </is>
      </c>
      <c r="C66" s="17" t="inlineStr">
        <is>
          <t xml:space="preserve">        Precinto de fábrica</t>
        </is>
      </c>
      <c r="D66" s="33" t="n">
        <v>1</v>
      </c>
      <c r="E66" s="33" t="inlineStr">
        <is>
          <t>u</t>
        </is>
      </c>
      <c r="F66" s="34" t="n">
        <v>0.0002</v>
      </c>
      <c r="G66" s="34">
        <f>D66*F66</f>
        <v/>
      </c>
      <c r="H66" s="33" t="inlineStr">
        <is>
          <t>Polipropileno color</t>
        </is>
      </c>
      <c r="I66" s="17" t="inlineStr">
        <is>
          <t>Ø5 × 10, numerado, rotura 30-50 N</t>
        </is>
      </c>
      <c r="J66" s="33" t="inlineStr">
        <is>
          <t>Compra</t>
        </is>
      </c>
      <c r="K66" s="33" t="inlineStr">
        <is>
          <t>Sí</t>
        </is>
      </c>
      <c r="L66" s="17" t="inlineStr">
        <is>
          <t>SonFuertes (vía Papelera Damián)</t>
        </is>
      </c>
      <c r="M66" s="17" t="inlineStr">
        <is>
          <t>Precinter S.R.L.</t>
        </is>
      </c>
      <c r="N66" s="17" t="inlineStr">
        <is>
          <t>20 Presurización (T05)</t>
        </is>
      </c>
      <c r="O66" s="17" t="inlineStr">
        <is>
          <t>IRAM 3523 3.3.2 · IRAM 3517-2:2020 9.4.13</t>
        </is>
      </c>
      <c r="P66" s="33" t="inlineStr">
        <is>
          <t>P</t>
        </is>
      </c>
      <c r="Q66" s="33" t="inlineStr">
        <is>
          <t>FL_DES_ABC_70kg</t>
        </is>
      </c>
      <c r="R66" s="17" t="inlineStr">
        <is>
          <t>id. FLAMA y lote</t>
        </is>
      </c>
    </row>
    <row r="67">
      <c r="A67" s="30" t="n">
        <v>1</v>
      </c>
      <c r="B67" s="30" t="inlineStr">
        <is>
          <t>ABC70-S7</t>
        </is>
      </c>
      <c r="C67" s="31" t="inlineStr">
        <is>
          <t xml:space="preserve">    Embalaje</t>
        </is>
      </c>
      <c r="D67" s="30" t="n">
        <v>1</v>
      </c>
      <c r="E67" s="30" t="inlineStr">
        <is>
          <t>u</t>
        </is>
      </c>
      <c r="F67" s="32" t="n"/>
      <c r="G67" s="32">
        <f>G70</f>
        <v/>
      </c>
      <c r="H67" s="30" t="n"/>
      <c r="I67" s="31" t="n"/>
      <c r="J67" s="30" t="inlineStr">
        <is>
          <t>Compra</t>
        </is>
      </c>
      <c r="K67" s="30" t="n"/>
      <c r="L67" s="31" t="n"/>
      <c r="M67" s="31" t="n"/>
      <c r="N67" s="31" t="inlineStr">
        <is>
          <t>23 Embalaje -&gt; 24 envolvedora (T11)</t>
        </is>
      </c>
      <c r="O67" s="31" t="n"/>
      <c r="P67" s="30" t="n"/>
      <c r="Q67" s="30" t="n"/>
      <c r="R67" s="31" t="n"/>
    </row>
    <row r="68" outlineLevel="1">
      <c r="A68" s="33" t="n">
        <v>2</v>
      </c>
      <c r="B68" s="33" t="inlineStr">
        <is>
          <t>ABC70-E1</t>
        </is>
      </c>
      <c r="C68" s="17" t="inlineStr">
        <is>
          <t xml:space="preserve">        Esquineros y funda de polietileno</t>
        </is>
      </c>
      <c r="D68" s="33" t="n">
        <v>1</v>
      </c>
      <c r="E68" s="33" t="inlineStr">
        <is>
          <t>jgo</t>
        </is>
      </c>
      <c r="F68" s="34" t="n"/>
      <c r="G68" s="34" t="n"/>
      <c r="H68" s="33" t="inlineStr">
        <is>
          <t>PE / cartón</t>
        </is>
      </c>
      <c r="I68" s="17" t="inlineStr">
        <is>
          <t>a medida de la envolvente del plano</t>
        </is>
      </c>
      <c r="J68" s="33" t="inlineStr">
        <is>
          <t>Compra</t>
        </is>
      </c>
      <c r="K68" s="33" t="inlineStr">
        <is>
          <t>Sí</t>
        </is>
      </c>
      <c r="L68" s="17" t="inlineStr">
        <is>
          <t>MV Embalajes</t>
        </is>
      </c>
      <c r="M68" s="17" t="inlineStr">
        <is>
          <t>Embalpack</t>
        </is>
      </c>
      <c r="N68" s="17" t="inlineStr">
        <is>
          <t>23 Embalaje</t>
        </is>
      </c>
      <c r="O68" s="17" t="n"/>
      <c r="P68" s="33" t="inlineStr">
        <is>
          <t>P</t>
        </is>
      </c>
      <c r="Q68" s="33" t="n"/>
      <c r="R68" s="17" t="inlineStr">
        <is>
          <t>Medida del plano</t>
        </is>
      </c>
    </row>
    <row r="69" outlineLevel="1">
      <c r="A69" s="33" t="n">
        <v>2</v>
      </c>
      <c r="B69" s="33" t="inlineStr">
        <is>
          <t>ABC70-E3</t>
        </is>
      </c>
      <c r="C69" s="17" t="inlineStr">
        <is>
          <t xml:space="preserve">        Pallet 1200 × 1000 (fracción)</t>
        </is>
      </c>
      <c r="D69" s="33" t="n">
        <v>0.5</v>
      </c>
      <c r="E69" s="33" t="inlineStr">
        <is>
          <t>u</t>
        </is>
      </c>
      <c r="F69" s="34" t="n"/>
      <c r="G69" s="34" t="n"/>
      <c r="H69" s="33" t="inlineStr">
        <is>
          <t>Madera</t>
        </is>
      </c>
      <c r="I69" s="17" t="inlineStr">
        <is>
          <t>2 u por pallet</t>
        </is>
      </c>
      <c r="J69" s="33" t="inlineStr">
        <is>
          <t>Compra</t>
        </is>
      </c>
      <c r="K69" s="33" t="inlineStr">
        <is>
          <t>Sí</t>
        </is>
      </c>
      <c r="L69" s="17" t="inlineStr">
        <is>
          <t>IndusPallets</t>
        </is>
      </c>
      <c r="M69" s="17" t="inlineStr">
        <is>
          <t>-</t>
        </is>
      </c>
      <c r="N69" s="17" t="inlineStr">
        <is>
          <t>23 Embalaje</t>
        </is>
      </c>
      <c r="O69" s="17" t="n"/>
      <c r="P69" s="33" t="inlineStr">
        <is>
          <t>C</t>
        </is>
      </c>
      <c r="Q69" s="33" t="n"/>
      <c r="R69" s="17" t="inlineStr">
        <is>
          <t>u por pallet = acomodo de la caja (plano) en 1200 × 1000 × 1450 de alto</t>
        </is>
      </c>
    </row>
    <row r="70" outlineLevel="1">
      <c r="A70" s="41" t="n">
        <v>2</v>
      </c>
      <c r="B70" s="41" t="inlineStr">
        <is>
          <t>ABC70-E4</t>
        </is>
      </c>
      <c r="C70" s="18" t="inlineStr">
        <is>
          <t xml:space="preserve">        Film stretch (fracción del pallet)</t>
        </is>
      </c>
      <c r="D70" s="41" t="n">
        <v>0.06</v>
      </c>
      <c r="E70" s="41" t="inlineStr">
        <is>
          <t>kg</t>
        </is>
      </c>
      <c r="F70" s="42" t="n">
        <v>1</v>
      </c>
      <c r="G70" s="42">
        <f>D70*F70</f>
        <v/>
      </c>
      <c r="H70" s="41" t="inlineStr">
        <is>
          <t>PE lineal 23 µm</t>
        </is>
      </c>
      <c r="I70" s="18" t="inlineStr">
        <is>
          <t>0,12 kg por pallet / 2 u</t>
        </is>
      </c>
      <c r="J70" s="41" t="inlineStr">
        <is>
          <t>Compra</t>
        </is>
      </c>
      <c r="K70" s="41" t="inlineStr">
        <is>
          <t>Sí</t>
        </is>
      </c>
      <c r="L70" s="18" t="inlineStr">
        <is>
          <t>MV Embalajes</t>
        </is>
      </c>
      <c r="M70" s="18" t="inlineStr">
        <is>
          <t>Embalpack</t>
        </is>
      </c>
      <c r="N70" s="18" t="inlineStr">
        <is>
          <t>24 Envolvedora (T11)</t>
        </is>
      </c>
      <c r="O70" s="18" t="n"/>
      <c r="P70" s="41" t="inlineStr">
        <is>
          <t>C</t>
        </is>
      </c>
      <c r="Q70" s="41"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3" t="n">
        <v>2</v>
      </c>
      <c r="B71" s="33" t="inlineStr">
        <is>
          <t>ABC70-E5</t>
        </is>
      </c>
      <c r="C71" s="17" t="inlineStr">
        <is>
          <t xml:space="preserve">        Etiqueta de pallet (lote y destino, fracción)</t>
        </is>
      </c>
      <c r="D71" s="33" t="n">
        <v>0.5</v>
      </c>
      <c r="E71" s="33" t="inlineStr">
        <is>
          <t>u</t>
        </is>
      </c>
      <c r="F71" s="34" t="n"/>
      <c r="G71" s="34" t="n"/>
      <c r="H71" s="33" t="inlineStr">
        <is>
          <t>Papel térmico</t>
        </is>
      </c>
      <c r="I71" s="17" t="inlineStr">
        <is>
          <t>100 × 150</t>
        </is>
      </c>
      <c r="J71" s="33" t="inlineStr">
        <is>
          <t>Compra</t>
        </is>
      </c>
      <c r="K71" s="33" t="inlineStr">
        <is>
          <t>Sí</t>
        </is>
      </c>
      <c r="L71" s="17" t="inlineStr">
        <is>
          <t>Astuprint</t>
        </is>
      </c>
      <c r="M71" s="17" t="inlineStr">
        <is>
          <t>Multilabel Argentina S.A.</t>
        </is>
      </c>
      <c r="N71" s="17" t="inlineStr">
        <is>
          <t>24 Envolvedora</t>
        </is>
      </c>
      <c r="O71" s="17" t="n"/>
      <c r="P71" s="33" t="inlineStr">
        <is>
          <t>C</t>
        </is>
      </c>
      <c r="Q71" s="33" t="n"/>
      <c r="R71" s="17" t="n"/>
    </row>
  </sheetData>
  <autoFilter ref="A10:R71"/>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66" t="inlineStr">
        <is>
          <t>Extintor ABC 100 kg sobre ruedas</t>
        </is>
      </c>
    </row>
    <row r="3">
      <c r="A3" s="2" t="inlineStr">
        <is>
          <t>Plano de origen</t>
        </is>
      </c>
      <c r="C3" t="inlineStr">
        <is>
          <t>FL_MAT_ABC_100kg  (4 láminas)</t>
        </is>
      </c>
      <c r="E3" s="2" t="inlineStr">
        <is>
          <t>Peso vacío S1-S4 (kg)</t>
        </is>
      </c>
      <c r="G3" s="67">
        <f>G12+G23+G38+G45</f>
        <v/>
      </c>
    </row>
    <row r="4">
      <c r="A4" s="2" t="inlineStr">
        <is>
          <t>Plano de despiece</t>
        </is>
      </c>
      <c r="C4" t="inlineStr">
        <is>
          <t>FL_DES_ABC_100kg (salida/despiece/)</t>
        </is>
      </c>
      <c r="E4" s="2" t="inlineStr">
        <is>
          <t>Peso cargado S1-S6 (kg)</t>
        </is>
      </c>
      <c r="G4" s="67">
        <f>G12+G23+G38+G45+G56+G59</f>
        <v/>
      </c>
    </row>
    <row r="5">
      <c r="A5" s="2" t="inlineStr">
        <is>
          <t>Norma del producto</t>
        </is>
      </c>
      <c r="C5" t="inlineStr">
        <is>
          <t>IRAM 3550</t>
        </is>
      </c>
      <c r="E5" s="2" t="inlineStr">
        <is>
          <t>Peso con soporte y embalaje (kg)</t>
        </is>
      </c>
      <c r="G5" s="67">
        <f>G12+G23+G38+G45+G56+G59+G67</f>
        <v/>
      </c>
    </row>
    <row r="6">
      <c r="A6" s="2" t="inlineStr">
        <is>
          <t>Fabricación</t>
        </is>
      </c>
      <c r="C6" t="inlineStr">
        <is>
          <t>Fabricación propia</t>
        </is>
      </c>
      <c r="E6" s="2" t="inlineStr">
        <is>
          <t>Desvío cargado vs catálogo</t>
        </is>
      </c>
      <c r="G6" s="25">
        <f>G4/C7-1</f>
        <v/>
      </c>
    </row>
    <row r="7">
      <c r="A7" s="2" t="inlineStr">
        <is>
          <t>Peso catálogo cargado (kg)</t>
        </is>
      </c>
      <c r="C7" t="n">
        <v>185</v>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FL_MAT_ABC_100kg</t>
        </is>
      </c>
      <c r="C11" s="28" t="inlineStr">
        <is>
          <t>Extintor ABC 100 kg sobre ruedas</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FL_MAT_ABC_100kg</t>
        </is>
      </c>
      <c r="R11" s="28" t="inlineStr">
        <is>
          <t>Fabricación propia</t>
        </is>
      </c>
    </row>
    <row r="12">
      <c r="A12" s="30" t="n">
        <v>1</v>
      </c>
      <c r="B12" s="30" t="inlineStr">
        <is>
          <t>FL_REC_ABC_100kg</t>
        </is>
      </c>
      <c r="C12" s="31" t="inlineStr">
        <is>
          <t xml:space="preserve">    Recipiente (cilindro)</t>
        </is>
      </c>
      <c r="D12" s="30" t="n">
        <v>1</v>
      </c>
      <c r="E12" s="30" t="inlineStr">
        <is>
          <t>u</t>
        </is>
      </c>
      <c r="F12" s="32" t="n"/>
      <c r="G12" s="32">
        <f>G13+G15+G16+G17+G18+G20</f>
        <v/>
      </c>
      <c r="H12" s="30" t="n"/>
      <c r="I12" s="31" t="n"/>
      <c r="J12" s="30" t="inlineStr">
        <is>
          <t>Fabricación</t>
        </is>
      </c>
      <c r="K12" s="30" t="n"/>
      <c r="L12" s="31" t="n"/>
      <c r="M12" s="31" t="n"/>
      <c r="N12" s="31" t="n"/>
      <c r="O12" s="31" t="inlineStr">
        <is>
          <t>IRAM 3523 / 3550 (recipiente)</t>
        </is>
      </c>
      <c r="P12" s="30" t="inlineStr">
        <is>
          <t>P</t>
        </is>
      </c>
      <c r="Q12" s="30" t="inlineStr">
        <is>
          <t>FL_REC_ABC_100kg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41" t="n">
        <v>2</v>
      </c>
      <c r="B18" s="41" t="inlineStr">
        <is>
          <t>ABC100-05</t>
        </is>
      </c>
      <c r="C18" s="18" t="inlineStr">
        <is>
          <t xml:space="preserve">        Varilla de refuerzo interior</t>
        </is>
      </c>
      <c r="D18" s="41" t="n">
        <v>1</v>
      </c>
      <c r="E18" s="41" t="inlineStr">
        <is>
          <t>u</t>
        </is>
      </c>
      <c r="F18" s="42" t="n">
        <v>0.2995</v>
      </c>
      <c r="G18" s="42">
        <f>D18*F18</f>
        <v/>
      </c>
      <c r="H18" s="41" t="inlineStr">
        <is>
          <t>Redondo liso SAE 1010 Ø8</t>
        </is>
      </c>
      <c r="I18" s="18" t="inlineStr">
        <is>
          <t>759,1 × 8 × 8</t>
        </is>
      </c>
      <c r="J18" s="41" t="inlineStr">
        <is>
          <t>Fabricación</t>
        </is>
      </c>
      <c r="K18" s="41" t="inlineStr">
        <is>
          <t>No</t>
        </is>
      </c>
      <c r="L18" s="18" t="n"/>
      <c r="M18" s="18" t="n"/>
      <c r="N18" s="18" t="inlineStr">
        <is>
          <t>Corte de barra -&gt; C2 punteo interior antes de C3 soldadura longitudinal</t>
        </is>
      </c>
      <c r="O18" s="18" t="n"/>
      <c r="P18" s="41" t="inlineStr">
        <is>
          <t>P</t>
        </is>
      </c>
      <c r="Q18" s="41"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7" t="n">
        <v>3</v>
      </c>
      <c r="B19" s="47" t="inlineStr">
        <is>
          <t>MP-VARILLA</t>
        </is>
      </c>
      <c r="C19" s="48" t="inlineStr">
        <is>
          <t xml:space="preserve">            Redondo liso SAE 1010 Ø8 (tramo de barra de 6 m)</t>
        </is>
      </c>
      <c r="D19" s="47" t="n">
        <v>0.1265</v>
      </c>
      <c r="E19" s="47" t="inlineStr">
        <is>
          <t>barra</t>
        </is>
      </c>
      <c r="F19" s="49" t="n">
        <v>2.37</v>
      </c>
      <c r="G19" s="49">
        <f>D19*F19</f>
        <v/>
      </c>
      <c r="H19" s="47" t="inlineStr">
        <is>
          <t>Redondo liso SAE 1010 Ø8</t>
        </is>
      </c>
      <c r="I19" s="48" t="inlineStr">
        <is>
          <t>759 mm por pieza (kg por barra de 6 m)</t>
        </is>
      </c>
      <c r="J19" s="47" t="inlineStr">
        <is>
          <t>Compra</t>
        </is>
      </c>
      <c r="K19" s="47" t="inlineStr">
        <is>
          <t>Sí</t>
        </is>
      </c>
      <c r="L19" s="48" t="inlineStr">
        <is>
          <t>Hierros Parrotta</t>
        </is>
      </c>
      <c r="M19" s="48" t="inlineStr">
        <is>
          <t>Aceros Inoxidables Caseros</t>
        </is>
      </c>
      <c r="N19" s="48" t="inlineStr">
        <is>
          <t>Corte en sierra</t>
        </is>
      </c>
      <c r="O19" s="48" t="n"/>
      <c r="P19" s="47" t="inlineStr">
        <is>
          <t>C</t>
        </is>
      </c>
      <c r="Q19" s="47" t="n"/>
      <c r="R19" s="48" t="inlineStr">
        <is>
          <t>Ø8 = propuesta de diseño (sin cálculo)</t>
        </is>
      </c>
    </row>
    <row r="20" outlineLevel="1">
      <c r="A20" s="41" t="n">
        <v>2</v>
      </c>
      <c r="B20" s="41" t="inlineStr">
        <is>
          <t>ABC100-C1</t>
        </is>
      </c>
      <c r="C20" s="18" t="inlineStr">
        <is>
          <t xml:space="preserve">        Alambre MAG ER70S-6 Ø1,2 (AWS A5.18)</t>
        </is>
      </c>
      <c r="D20" s="41" t="n">
        <v>1.0848</v>
      </c>
      <c r="E20" s="41" t="inlineStr">
        <is>
          <t>kg</t>
        </is>
      </c>
      <c r="F20" s="42" t="n">
        <v>0.95</v>
      </c>
      <c r="G20" s="42">
        <f>D20*F20</f>
        <v/>
      </c>
      <c r="H20" s="41" t="inlineStr">
        <is>
          <t>ER70S-6</t>
        </is>
      </c>
      <c r="I20" s="18" t="inlineStr">
        <is>
          <t>metal depositado de los cordones del plano 1.031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ABC100-C2</t>
        </is>
      </c>
      <c r="C21" s="18" t="inlineStr">
        <is>
          <t xml:space="preserve">        Gas de protección MAG Arcal 21 / ARCAL Speed (Ar + 8 % CO₂, M20)</t>
        </is>
      </c>
      <c r="D21" s="41" t="n">
        <v>82</v>
      </c>
      <c r="E21" s="41" t="inlineStr">
        <is>
          <t>L</t>
        </is>
      </c>
      <c r="F21" s="42" t="n"/>
      <c r="G21" s="42" t="n"/>
      <c r="H21" s="41" t="inlineStr">
        <is>
          <t>EN ISO 14175 M20-ArC-8</t>
        </is>
      </c>
      <c r="I21" s="18" t="inlineStr">
        <is>
          <t>14 L/min × 5,86 min de arco (cordones 3.516 mm: long. 789 + circ. 2.450 + cuello 276,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c r="A23" s="30" t="n">
        <v>1</v>
      </c>
      <c r="B23" s="30" t="inlineStr">
        <is>
          <t>ABC100-S2</t>
        </is>
      </c>
      <c r="C23" s="31" t="inlineStr">
        <is>
          <t xml:space="preserve">    Conjunto de válvula</t>
        </is>
      </c>
      <c r="D23" s="30" t="n">
        <v>1</v>
      </c>
      <c r="E23" s="30" t="inlineStr">
        <is>
          <t>u</t>
        </is>
      </c>
      <c r="F23" s="32" t="n"/>
      <c r="G23" s="32">
        <f>G24+G25+G26+G28+G29+G30+G31+G32+G33+G34</f>
        <v/>
      </c>
      <c r="H23" s="30" t="n"/>
      <c r="I23" s="31" t="n"/>
      <c r="J23" s="30" t="inlineStr">
        <is>
          <t>Compra / armado</t>
        </is>
      </c>
      <c r="K23" s="30" t="n"/>
      <c r="L23" s="31" t="n"/>
      <c r="M23" s="31" t="n"/>
      <c r="N23" s="31" t="n"/>
      <c r="O23" s="31" t="inlineStr">
        <is>
          <t>Manómetro IRAM 3533</t>
        </is>
      </c>
      <c r="P23" s="30" t="inlineStr">
        <is>
          <t>P</t>
        </is>
      </c>
      <c r="Q23" s="30" t="inlineStr">
        <is>
          <t>FL_DES_ABC_100kg</t>
        </is>
      </c>
      <c r="R23" s="31" t="n"/>
    </row>
    <row r="24" outlineLevel="1">
      <c r="A24" s="33" t="n">
        <v>2</v>
      </c>
      <c r="B24" s="33" t="inlineStr">
        <is>
          <t>ABC100-12</t>
        </is>
      </c>
      <c r="C24" s="17" t="inlineStr">
        <is>
          <t xml:space="preserve">        Collarín de válvula</t>
        </is>
      </c>
      <c r="D24" s="33" t="n">
        <v>1</v>
      </c>
      <c r="E24" s="33" t="inlineStr">
        <is>
          <t>u</t>
        </is>
      </c>
      <c r="F24" s="34" t="n">
        <v>0.4107</v>
      </c>
      <c r="G24" s="34">
        <f>D24*F24</f>
        <v/>
      </c>
      <c r="H24" s="33" t="inlineStr">
        <is>
          <t>Latón forjado</t>
        </is>
      </c>
      <c r="I24" s="17" t="inlineStr">
        <is>
          <t>96,1 × 96,1 × 13,5</t>
        </is>
      </c>
      <c r="J24" s="33" t="inlineStr">
        <is>
          <t>Incluido en válvula HZ</t>
        </is>
      </c>
      <c r="K24" s="33" t="inlineStr">
        <is>
          <t>No</t>
        </is>
      </c>
      <c r="L24" s="17" t="n"/>
      <c r="M24" s="17" t="n"/>
      <c r="N24" s="17" t="inlineStr">
        <is>
          <t>C9 armado</t>
        </is>
      </c>
      <c r="O24" s="17" t="n"/>
      <c r="P24" s="33" t="inlineStr">
        <is>
          <t>P</t>
        </is>
      </c>
      <c r="Q24" s="33" t="inlineStr">
        <is>
          <t>FL_DES_ABC_100kg</t>
        </is>
      </c>
      <c r="R24" s="17" t="n"/>
    </row>
    <row r="25" outlineLevel="1">
      <c r="A25" s="33" t="n">
        <v>2</v>
      </c>
      <c r="B25" s="33" t="inlineStr">
        <is>
          <t>ABC100-13</t>
        </is>
      </c>
      <c r="C25" s="17" t="inlineStr">
        <is>
          <t xml:space="preserve">        Espiga roscada</t>
        </is>
      </c>
      <c r="D25" s="33" t="n">
        <v>1</v>
      </c>
      <c r="E25" s="33" t="inlineStr">
        <is>
          <t>u</t>
        </is>
      </c>
      <c r="F25" s="34" t="n">
        <v>0.1187</v>
      </c>
      <c r="G25" s="34">
        <f>D25*F25</f>
        <v/>
      </c>
      <c r="H25" s="33" t="inlineStr">
        <is>
          <t>Latón forjado</t>
        </is>
      </c>
      <c r="I25" s="17" t="inlineStr">
        <is>
          <t>72,2 × 72,2 × 16,2</t>
        </is>
      </c>
      <c r="J25" s="33" t="inlineStr">
        <is>
          <t>Incluido en válvula HZ</t>
        </is>
      </c>
      <c r="K25" s="33" t="inlineStr">
        <is>
          <t>No</t>
        </is>
      </c>
      <c r="L25" s="17" t="n"/>
      <c r="M25" s="17" t="n"/>
      <c r="N25" s="17" t="inlineStr">
        <is>
          <t>C9 armado</t>
        </is>
      </c>
      <c r="O25" s="17" t="n"/>
      <c r="P25" s="33" t="inlineStr">
        <is>
          <t>P</t>
        </is>
      </c>
      <c r="Q25" s="33" t="inlineStr">
        <is>
          <t>FL_DES_ABC_100kg</t>
        </is>
      </c>
      <c r="R25" s="17" t="n"/>
    </row>
    <row r="26" outlineLevel="1">
      <c r="A26" s="33" t="n">
        <v>2</v>
      </c>
      <c r="B26" s="33" t="inlineStr">
        <is>
          <t>ABC100-14</t>
        </is>
      </c>
      <c r="C26" s="17" t="inlineStr">
        <is>
          <t xml:space="preserve">        Cuerpo de válvula</t>
        </is>
      </c>
      <c r="D26" s="33" t="n">
        <v>1</v>
      </c>
      <c r="E26" s="33" t="inlineStr">
        <is>
          <t>u</t>
        </is>
      </c>
      <c r="F26" s="34" t="n">
        <v>0.7378</v>
      </c>
      <c r="G26" s="34">
        <f>D26*F26</f>
        <v/>
      </c>
      <c r="H26" s="33" t="inlineStr">
        <is>
          <t>Latón forjado</t>
        </is>
      </c>
      <c r="I26" s="17" t="inlineStr">
        <is>
          <t>58,4 × 54 × 46,3</t>
        </is>
      </c>
      <c r="J26" s="33" t="inlineStr">
        <is>
          <t>Incluido en válvula HZ</t>
        </is>
      </c>
      <c r="K26" s="33" t="inlineStr">
        <is>
          <t>No</t>
        </is>
      </c>
      <c r="L26" s="17" t="n"/>
      <c r="M26" s="17" t="n"/>
      <c r="N26" s="17" t="inlineStr">
        <is>
          <t>C9 armado</t>
        </is>
      </c>
      <c r="O26" s="17" t="n"/>
      <c r="P26" s="33" t="inlineStr">
        <is>
          <t>P</t>
        </is>
      </c>
      <c r="Q26" s="33" t="inlineStr">
        <is>
          <t>FL_DES_ABC_100kg</t>
        </is>
      </c>
      <c r="R26" s="17" t="n"/>
    </row>
    <row r="27" outlineLevel="1">
      <c r="A27" s="45" t="n">
        <v>2</v>
      </c>
      <c r="B27" s="45" t="inlineStr">
        <is>
          <t>ABC100-15</t>
        </is>
      </c>
      <c r="C27" s="19" t="inlineStr">
        <is>
          <t xml:space="preserve">        Manómetro</t>
        </is>
      </c>
      <c r="D27" s="45" t="n">
        <v>1</v>
      </c>
      <c r="E27" s="45" t="inlineStr">
        <is>
          <t>u</t>
        </is>
      </c>
      <c r="F27" s="46" t="n"/>
      <c r="G27" s="46" t="n"/>
      <c r="H27" s="45" t="inlineStr">
        <is>
          <t>Comercial</t>
        </is>
      </c>
      <c r="I27" s="19" t="inlineStr">
        <is>
          <t>Ø50 esfera, rango 0-3,5 MPa, sector verde en 1,4</t>
        </is>
      </c>
      <c r="J27" s="45" t="inlineStr">
        <is>
          <t>Compra</t>
        </is>
      </c>
      <c r="K27" s="45" t="inlineStr">
        <is>
          <t>Sí</t>
        </is>
      </c>
      <c r="L27" s="19" t="inlineStr">
        <is>
          <t>Yukon / MatafuegosYa S.R.L.</t>
        </is>
      </c>
      <c r="M27" s="19" t="inlineStr">
        <is>
          <t>Matafuegos Iglesias</t>
        </is>
      </c>
      <c r="N27" s="19" t="inlineStr">
        <is>
          <t>C9 armado</t>
        </is>
      </c>
      <c r="O27" s="19" t="inlineStr">
        <is>
          <t>IRAM 3533</t>
        </is>
      </c>
      <c r="P27" s="45" t="inlineStr">
        <is>
          <t>P</t>
        </is>
      </c>
      <c r="Q27" s="45" t="inlineStr">
        <is>
          <t>FL_DES_ABC_100kg</t>
        </is>
      </c>
      <c r="R27" s="19" t="inlineStr">
        <is>
          <t>Pieza comercial; sello IRAM 3533; peso: completar con la ficha del proveedor (no afecta el MRP)</t>
        </is>
      </c>
    </row>
    <row r="28" outlineLevel="1">
      <c r="A28" s="33" t="n">
        <v>2</v>
      </c>
      <c r="B28" s="33" t="inlineStr">
        <is>
          <t>ABC100-16</t>
        </is>
      </c>
      <c r="C28" s="17" t="inlineStr">
        <is>
          <t xml:space="preserve">        Manija de transporte</t>
        </is>
      </c>
      <c r="D28" s="33" t="n">
        <v>1</v>
      </c>
      <c r="E28" s="33" t="inlineStr">
        <is>
          <t>u</t>
        </is>
      </c>
      <c r="F28" s="34" t="n">
        <v>0.1302</v>
      </c>
      <c r="G28" s="34">
        <f>D28*F28</f>
        <v/>
      </c>
      <c r="H28" s="33" t="inlineStr">
        <is>
          <t>Chapa acero SAE 1010 pintada</t>
        </is>
      </c>
      <c r="I28" s="17" t="inlineStr">
        <is>
          <t>113,7 × 27 × 17,3</t>
        </is>
      </c>
      <c r="J28" s="33" t="inlineStr">
        <is>
          <t>Incluido en válvula HZ</t>
        </is>
      </c>
      <c r="K28" s="33" t="inlineStr">
        <is>
          <t>No</t>
        </is>
      </c>
      <c r="L28" s="17" t="n"/>
      <c r="M28" s="17" t="n"/>
      <c r="N28" s="17" t="inlineStr">
        <is>
          <t>C9 armado</t>
        </is>
      </c>
      <c r="O28" s="17" t="n"/>
      <c r="P28" s="33" t="inlineStr">
        <is>
          <t>P</t>
        </is>
      </c>
      <c r="Q28" s="33" t="inlineStr">
        <is>
          <t>FL_DES_ABC_100kg</t>
        </is>
      </c>
      <c r="R28" s="17" t="n"/>
    </row>
    <row r="29" outlineLevel="1">
      <c r="A29" s="33" t="n">
        <v>2</v>
      </c>
      <c r="B29" s="33" t="inlineStr">
        <is>
          <t>ABC100-17</t>
        </is>
      </c>
      <c r="C29" s="17" t="inlineStr">
        <is>
          <t xml:space="preserve">        Manija de accionamiento</t>
        </is>
      </c>
      <c r="D29" s="33" t="n">
        <v>1</v>
      </c>
      <c r="E29" s="33" t="inlineStr">
        <is>
          <t>u</t>
        </is>
      </c>
      <c r="F29" s="34" t="n">
        <v>0.1983</v>
      </c>
      <c r="G29" s="34">
        <f>D29*F29</f>
        <v/>
      </c>
      <c r="H29" s="33" t="inlineStr">
        <is>
          <t>Chapa acero SAE 1010 pintada</t>
        </is>
      </c>
      <c r="I29" s="17" t="inlineStr">
        <is>
          <t>172,6 × 27 × 26,5</t>
        </is>
      </c>
      <c r="J29" s="33" t="inlineStr">
        <is>
          <t>Incluido en válvula HZ</t>
        </is>
      </c>
      <c r="K29" s="33" t="inlineStr">
        <is>
          <t>No</t>
        </is>
      </c>
      <c r="L29" s="17" t="n"/>
      <c r="M29" s="17" t="n"/>
      <c r="N29" s="17" t="inlineStr">
        <is>
          <t>C9 armado</t>
        </is>
      </c>
      <c r="O29" s="17" t="n"/>
      <c r="P29" s="33" t="inlineStr">
        <is>
          <t>P</t>
        </is>
      </c>
      <c r="Q29" s="33" t="inlineStr">
        <is>
          <t>FL_DES_ABC_100kg</t>
        </is>
      </c>
      <c r="R29" s="17" t="n"/>
    </row>
    <row r="30" outlineLevel="1">
      <c r="A30" s="33" t="n">
        <v>2</v>
      </c>
      <c r="B30" s="33" t="inlineStr">
        <is>
          <t>ABC100-18</t>
        </is>
      </c>
      <c r="C30" s="17" t="inlineStr">
        <is>
          <t xml:space="preserve">        Eje de palanca</t>
        </is>
      </c>
      <c r="D30" s="33" t="n">
        <v>1</v>
      </c>
      <c r="E30" s="33" t="inlineStr">
        <is>
          <t>u</t>
        </is>
      </c>
      <c r="F30" s="34" t="n">
        <v>0.0199</v>
      </c>
      <c r="G30" s="34">
        <f>D30*F30</f>
        <v/>
      </c>
      <c r="H30" s="33" t="inlineStr">
        <is>
          <t>Acero inox. AISI 304</t>
        </is>
      </c>
      <c r="I30" s="17" t="inlineStr">
        <is>
          <t>48,6 × 8,1 × 8,1</t>
        </is>
      </c>
      <c r="J30" s="33" t="inlineStr">
        <is>
          <t>Incluido en válvula HZ</t>
        </is>
      </c>
      <c r="K30" s="33" t="inlineStr">
        <is>
          <t>No</t>
        </is>
      </c>
      <c r="L30" s="17" t="n"/>
      <c r="M30" s="17" t="n"/>
      <c r="N30" s="17" t="inlineStr">
        <is>
          <t>C9 armado</t>
        </is>
      </c>
      <c r="O30" s="17" t="n"/>
      <c r="P30" s="33" t="inlineStr">
        <is>
          <t>P</t>
        </is>
      </c>
      <c r="Q30" s="33" t="inlineStr">
        <is>
          <t>FL_DES_ABC_100kg</t>
        </is>
      </c>
      <c r="R30" s="17" t="n"/>
    </row>
    <row r="31" outlineLevel="1">
      <c r="A31" s="33" t="n">
        <v>2</v>
      </c>
      <c r="B31" s="33" t="inlineStr">
        <is>
          <t>ABC100-19</t>
        </is>
      </c>
      <c r="C31" s="17" t="inlineStr">
        <is>
          <t xml:space="preserve">        Vástago</t>
        </is>
      </c>
      <c r="D31" s="33" t="n">
        <v>1</v>
      </c>
      <c r="E31" s="33" t="inlineStr">
        <is>
          <t>u</t>
        </is>
      </c>
      <c r="F31" s="34" t="n">
        <v>0.0039</v>
      </c>
      <c r="G31" s="34">
        <f>D31*F31</f>
        <v/>
      </c>
      <c r="H31" s="33" t="inlineStr">
        <is>
          <t>Latón</t>
        </is>
      </c>
      <c r="I31" s="17" t="inlineStr">
        <is>
          <t>10,8 × 10,8 × 5</t>
        </is>
      </c>
      <c r="J31" s="33" t="inlineStr">
        <is>
          <t>Incluido en válvula HZ</t>
        </is>
      </c>
      <c r="K31" s="33" t="inlineStr">
        <is>
          <t>No</t>
        </is>
      </c>
      <c r="L31" s="17" t="n"/>
      <c r="M31" s="17" t="n"/>
      <c r="N31" s="17" t="inlineStr">
        <is>
          <t>C9 armado</t>
        </is>
      </c>
      <c r="O31" s="17" t="n"/>
      <c r="P31" s="33" t="inlineStr">
        <is>
          <t>P</t>
        </is>
      </c>
      <c r="Q31" s="33" t="inlineStr">
        <is>
          <t>FL_DES_ABC_100kg</t>
        </is>
      </c>
      <c r="R31" s="17" t="inlineStr">
        <is>
          <t>con junta tórica</t>
        </is>
      </c>
    </row>
    <row r="32" outlineLevel="1">
      <c r="A32" s="33" t="n">
        <v>2</v>
      </c>
      <c r="B32" s="33" t="inlineStr">
        <is>
          <t>ABC100-20</t>
        </is>
      </c>
      <c r="C32" s="17" t="inlineStr">
        <is>
          <t xml:space="preserve">        Pasador de seguridad</t>
        </is>
      </c>
      <c r="D32" s="33" t="n">
        <v>1</v>
      </c>
      <c r="E32" s="33" t="inlineStr">
        <is>
          <t>u</t>
        </is>
      </c>
      <c r="F32" s="34" t="n">
        <v>0.0135</v>
      </c>
      <c r="G32" s="34">
        <f>D32*F32</f>
        <v/>
      </c>
      <c r="H32" s="33" t="inlineStr">
        <is>
          <t>Alambre acero inox. AISI 304</t>
        </is>
      </c>
      <c r="I32" s="17" t="inlineStr">
        <is>
          <t>61,3 × 28,4 × 28,1</t>
        </is>
      </c>
      <c r="J32" s="33" t="inlineStr">
        <is>
          <t>Incluido en válvula HZ</t>
        </is>
      </c>
      <c r="K32" s="33" t="inlineStr">
        <is>
          <t>No</t>
        </is>
      </c>
      <c r="L32" s="17" t="n"/>
      <c r="M32" s="17" t="n"/>
      <c r="N32" s="17" t="inlineStr">
        <is>
          <t>C9 armado</t>
        </is>
      </c>
      <c r="O32" s="17" t="n"/>
      <c r="P32" s="33" t="inlineStr">
        <is>
          <t>P</t>
        </is>
      </c>
      <c r="Q32" s="33" t="inlineStr">
        <is>
          <t>FL_DES_ABC_100kg</t>
        </is>
      </c>
      <c r="R32" s="17" t="inlineStr">
        <is>
          <t>con precinto</t>
        </is>
      </c>
    </row>
    <row r="33" outlineLevel="1">
      <c r="A33" s="33" t="n">
        <v>2</v>
      </c>
      <c r="B33" s="33" t="inlineStr">
        <is>
          <t>ABC100-21</t>
        </is>
      </c>
      <c r="C33" s="17" t="inlineStr">
        <is>
          <t xml:space="preserve">        Caño de pesca (sifón)</t>
        </is>
      </c>
      <c r="D33" s="33" t="n">
        <v>1</v>
      </c>
      <c r="E33" s="33" t="inlineStr">
        <is>
          <t>u</t>
        </is>
      </c>
      <c r="F33" s="34" t="n">
        <v>0.2443</v>
      </c>
      <c r="G33" s="34">
        <f>D33*F33</f>
        <v/>
      </c>
      <c r="H33" s="33" t="inlineStr">
        <is>
          <t>Tubo PVC rígido</t>
        </is>
      </c>
      <c r="I33" s="17" t="inlineStr">
        <is>
          <t>Ø24 × 1.033,2 de largo</t>
        </is>
      </c>
      <c r="J33" s="33" t="inlineStr">
        <is>
          <t>Incluido en válvula HZ</t>
        </is>
      </c>
      <c r="K33" s="33" t="inlineStr">
        <is>
          <t>No</t>
        </is>
      </c>
      <c r="L33" s="17" t="n"/>
      <c r="M33" s="17" t="n"/>
      <c r="N33" s="17" t="inlineStr">
        <is>
          <t>C9 armado</t>
        </is>
      </c>
      <c r="O33" s="17" t="n"/>
      <c r="P33" s="33" t="inlineStr">
        <is>
          <t>P</t>
        </is>
      </c>
      <c r="Q33" s="33" t="inlineStr">
        <is>
          <t>FL_DES_ABC_100kg</t>
        </is>
      </c>
      <c r="R33" s="17" t="n"/>
    </row>
    <row r="34" outlineLevel="1">
      <c r="A34" s="33" t="n">
        <v>2</v>
      </c>
      <c r="B34" s="33" t="inlineStr">
        <is>
          <t>ABC100-33</t>
        </is>
      </c>
      <c r="C34" s="17" t="inlineStr">
        <is>
          <t xml:space="preserve">        Junta tórica de asiento</t>
        </is>
      </c>
      <c r="D34" s="33" t="n">
        <v>1</v>
      </c>
      <c r="E34" s="33" t="inlineStr">
        <is>
          <t>u</t>
        </is>
      </c>
      <c r="F34" s="34" t="n">
        <v>0.0024</v>
      </c>
      <c r="G34" s="34">
        <f>D34*F34</f>
        <v/>
      </c>
      <c r="H34" s="33" t="inlineStr">
        <is>
          <t>NBR 70 Shore A</t>
        </is>
      </c>
      <c r="I34" s="17" t="inlineStr">
        <is>
          <t>Ø75,2 ext. × cordón 3</t>
        </is>
      </c>
      <c r="J34" s="33" t="inlineStr">
        <is>
          <t>Compra</t>
        </is>
      </c>
      <c r="K34" s="33" t="inlineStr">
        <is>
          <t>Sí</t>
        </is>
      </c>
      <c r="L34" s="17" t="inlineStr">
        <is>
          <t>Argensold</t>
        </is>
      </c>
      <c r="M34" s="17" t="inlineStr">
        <is>
          <t>Matafuegos Iglesias</t>
        </is>
      </c>
      <c r="N34" s="17" t="inlineStr">
        <is>
          <t>C9 armado</t>
        </is>
      </c>
      <c r="O34" s="17" t="n"/>
      <c r="P34" s="33" t="inlineStr">
        <is>
          <t>P</t>
        </is>
      </c>
      <c r="Q34" s="33" t="inlineStr">
        <is>
          <t>FL_DES_ABC_100kg</t>
        </is>
      </c>
      <c r="R34" s="17" t="inlineStr">
        <is>
          <t>cambio c/recarga</t>
        </is>
      </c>
    </row>
    <row r="35" outlineLevel="1">
      <c r="A35" s="33" t="n">
        <v>2</v>
      </c>
      <c r="B35" s="33" t="inlineStr">
        <is>
          <t>ABC100-K2</t>
        </is>
      </c>
      <c r="C35" s="17" t="inlineStr">
        <is>
          <t xml:space="preserve">        Válvula HZ armada de carro 50-70-100 kg</t>
        </is>
      </c>
      <c r="D35" s="33" t="n">
        <v>1</v>
      </c>
      <c r="E35" s="33" t="inlineStr">
        <is>
          <t>u</t>
        </is>
      </c>
      <c r="F35" s="34" t="n"/>
      <c r="G35" s="34" t="n"/>
      <c r="H35" s="33" t="inlineStr">
        <is>
          <t>Latón forjado (HZ)</t>
        </is>
      </c>
      <c r="I35" s="17" t="inlineStr">
        <is>
          <t>rosca RBSP 2 1/2"-11 h</t>
        </is>
      </c>
      <c r="J35" s="33" t="inlineStr">
        <is>
          <t>Compra</t>
        </is>
      </c>
      <c r="K35" s="33" t="inlineStr">
        <is>
          <t>Sí</t>
        </is>
      </c>
      <c r="L35" s="17" t="inlineStr">
        <is>
          <t>Polvex S.R.L. / Sancibrao</t>
        </is>
      </c>
      <c r="M35" s="17" t="inlineStr">
        <is>
          <t>Mozart S.R.L.</t>
        </is>
      </c>
      <c r="N35" s="17" t="inlineStr">
        <is>
          <t>19 Ensamblaje de válvula</t>
        </is>
      </c>
      <c r="O35" s="17" t="inlineStr">
        <is>
          <t>IRAM 3523 3.3</t>
        </is>
      </c>
      <c r="P35" s="33" t="inlineStr">
        <is>
          <t>Q</t>
        </is>
      </c>
      <c r="Q35" s="33" t="inlineStr">
        <is>
          <t>FL_DES_ABC_100kg</t>
        </is>
      </c>
      <c r="R35" s="17" t="inlineStr">
        <is>
          <t>Lista de precios HZ (Q-AGENTES); plano Fadesa usa válvula HZ (R-FADESA). Trae las piezas marcadas «Incluido en válvula HZ»</t>
        </is>
      </c>
    </row>
    <row r="36" outlineLevel="1">
      <c r="A36" s="33" t="n">
        <v>2</v>
      </c>
      <c r="B36" s="33" t="inlineStr">
        <is>
          <t>ABC100-V2</t>
        </is>
      </c>
      <c r="C36" s="17" t="inlineStr">
        <is>
          <t xml:space="preserve">        Resorte de retorno del vástago</t>
        </is>
      </c>
      <c r="D36" s="33" t="n">
        <v>1</v>
      </c>
      <c r="E36" s="33" t="inlineStr">
        <is>
          <t>u</t>
        </is>
      </c>
      <c r="F36" s="34" t="n"/>
      <c r="G36" s="34" t="n"/>
      <c r="H36" s="33" t="inlineStr">
        <is>
          <t>Acero para resortes</t>
        </is>
      </c>
      <c r="I36" s="17" t="inlineStr">
        <is>
          <t>incluido en la válvula</t>
        </is>
      </c>
      <c r="J36" s="33" t="inlineStr">
        <is>
          <t>Incluido en válvula HZ</t>
        </is>
      </c>
      <c r="K36" s="33" t="inlineStr">
        <is>
          <t>No</t>
        </is>
      </c>
      <c r="L36" s="17" t="n"/>
      <c r="M36" s="17" t="n"/>
      <c r="N36" s="17" t="inlineStr">
        <is>
          <t>19 Ensamblaje</t>
        </is>
      </c>
      <c r="O36" s="17" t="n"/>
      <c r="P36" s="33" t="inlineStr">
        <is>
          <t>Q</t>
        </is>
      </c>
      <c r="Q36" s="33" t="n"/>
      <c r="R36" s="17" t="inlineStr">
        <is>
          <t>Lista de precios HZ: válvula «c/resorte» (Q-AGENTES)</t>
        </is>
      </c>
    </row>
    <row r="37" outlineLevel="1">
      <c r="A37" s="33" t="n">
        <v>2</v>
      </c>
      <c r="B37" s="33" t="inlineStr">
        <is>
          <t>ABC100-V3</t>
        </is>
      </c>
      <c r="C37" s="17" t="inlineStr">
        <is>
          <t xml:space="preserve">        Junta tórica del vástago</t>
        </is>
      </c>
      <c r="D37" s="33" t="n">
        <v>1</v>
      </c>
      <c r="E37" s="33" t="inlineStr">
        <is>
          <t>u</t>
        </is>
      </c>
      <c r="F37" s="34" t="n"/>
      <c r="G37" s="34" t="n"/>
      <c r="H37" s="33" t="inlineStr">
        <is>
          <t>NBR 70 Shore A</t>
        </is>
      </c>
      <c r="I37" s="17" t="inlineStr">
        <is>
          <t>incluida en la válvula</t>
        </is>
      </c>
      <c r="J37" s="33" t="inlineStr">
        <is>
          <t>Incluido en válvula HZ</t>
        </is>
      </c>
      <c r="K37" s="33" t="inlineStr">
        <is>
          <t>No</t>
        </is>
      </c>
      <c r="L37" s="17" t="n"/>
      <c r="M37" s="17" t="n"/>
      <c r="N37" s="17" t="inlineStr">
        <is>
          <t>19 Ensamblaje</t>
        </is>
      </c>
      <c r="O37" s="17" t="n"/>
      <c r="P37" s="33" t="inlineStr">
        <is>
          <t>P</t>
        </is>
      </c>
      <c r="Q37" s="33" t="n"/>
      <c r="R37" s="17" t="inlineStr">
        <is>
          <t>Figura en el plano como «vástago con junta tórica»</t>
        </is>
      </c>
    </row>
    <row r="38">
      <c r="A38" s="30" t="n">
        <v>1</v>
      </c>
      <c r="B38" s="30" t="inlineStr">
        <is>
          <t>ABC100-S3</t>
        </is>
      </c>
      <c r="C38" s="31" t="inlineStr">
        <is>
          <t xml:space="preserve">    Dispositivo de descarga</t>
        </is>
      </c>
      <c r="D38" s="30" t="n">
        <v>1</v>
      </c>
      <c r="E38" s="30" t="inlineStr">
        <is>
          <t>u</t>
        </is>
      </c>
      <c r="F38" s="32" t="n"/>
      <c r="G38" s="32">
        <f>G39+G40+G41+G42+G43+G44</f>
        <v/>
      </c>
      <c r="H38" s="30" t="n"/>
      <c r="I38" s="31" t="n"/>
      <c r="J38" s="30" t="inlineStr">
        <is>
          <t>Compra / armado</t>
        </is>
      </c>
      <c r="K38" s="30" t="n"/>
      <c r="L38" s="31" t="n"/>
      <c r="M38" s="31" t="n"/>
      <c r="N38" s="31" t="n"/>
      <c r="O38" s="31" t="n"/>
      <c r="P38" s="30" t="inlineStr">
        <is>
          <t>P</t>
        </is>
      </c>
      <c r="Q38" s="30" t="inlineStr">
        <is>
          <t>FL_DES_ABC_100kg</t>
        </is>
      </c>
      <c r="R38" s="31" t="n"/>
    </row>
    <row r="39" outlineLevel="1">
      <c r="A39" s="33" t="n">
        <v>2</v>
      </c>
      <c r="B39" s="33" t="inlineStr">
        <is>
          <t>ABC100-22</t>
        </is>
      </c>
      <c r="C39" s="17" t="inlineStr">
        <is>
          <t xml:space="preserve">        Manguera (tramo enrollado)</t>
        </is>
      </c>
      <c r="D39" s="33" t="n">
        <v>1</v>
      </c>
      <c r="E39" s="33" t="inlineStr">
        <is>
          <t>u</t>
        </is>
      </c>
      <c r="F39" s="34" t="n">
        <v>0.6662</v>
      </c>
      <c r="G39" s="34">
        <f>D39*F39</f>
        <v/>
      </c>
      <c r="H39" s="33" t="inlineStr">
        <is>
          <t>Caucho sintético</t>
        </is>
      </c>
      <c r="I39" s="17" t="inlineStr">
        <is>
          <t>Ø25 × 1.767 de largo desarrollado</t>
        </is>
      </c>
      <c r="J39" s="33" t="inlineStr">
        <is>
          <t>Compra</t>
        </is>
      </c>
      <c r="K39" s="33" t="inlineStr">
        <is>
          <t>Sí</t>
        </is>
      </c>
      <c r="L39" s="17" t="inlineStr">
        <is>
          <t>Yukon / MatafuegosYa S.R.L.</t>
        </is>
      </c>
      <c r="M39" s="17" t="inlineStr">
        <is>
          <t>Matafuegos Iglesias</t>
        </is>
      </c>
      <c r="N39" s="17" t="inlineStr">
        <is>
          <t>C9 armado de ruedas y manguera</t>
        </is>
      </c>
      <c r="O39" s="17" t="n"/>
      <c r="P39" s="33" t="inlineStr">
        <is>
          <t>P</t>
        </is>
      </c>
      <c r="Q39" s="33" t="inlineStr">
        <is>
          <t>FL_DES_ABC_100kg</t>
        </is>
      </c>
      <c r="R39" s="17" t="n"/>
    </row>
    <row r="40" outlineLevel="1">
      <c r="A40" s="33" t="n">
        <v>2</v>
      </c>
      <c r="B40" s="33" t="inlineStr">
        <is>
          <t>ABC100-23</t>
        </is>
      </c>
      <c r="C40" s="17" t="inlineStr">
        <is>
          <t xml:space="preserve">        Soporte de manguera</t>
        </is>
      </c>
      <c r="D40" s="33" t="n">
        <v>1</v>
      </c>
      <c r="E40" s="33" t="inlineStr">
        <is>
          <t>u</t>
        </is>
      </c>
      <c r="F40" s="34" t="n">
        <v>1.9033</v>
      </c>
      <c r="G40" s="34">
        <f>D40*F40</f>
        <v/>
      </c>
      <c r="H40" s="33" t="inlineStr">
        <is>
          <t>Planchuela acero SAE 1010</t>
        </is>
      </c>
      <c r="I40" s="17" t="inlineStr">
        <is>
          <t>705,3 × 255,5 × 40,5</t>
        </is>
      </c>
      <c r="J40" s="33" t="inlineStr">
        <is>
          <t>Compra (estructura)</t>
        </is>
      </c>
      <c r="K40" s="33" t="inlineStr">
        <is>
          <t>Sí</t>
        </is>
      </c>
      <c r="L40" s="17" t="inlineStr">
        <is>
          <t>Yukon / MatafuegosYa S.R.L.</t>
        </is>
      </c>
      <c r="M40" s="17" t="inlineStr">
        <is>
          <t>Matafuegos Iglesias</t>
        </is>
      </c>
      <c r="N40" s="17" t="inlineStr">
        <is>
          <t>C9 armado de ruedas y manguera</t>
        </is>
      </c>
      <c r="O40" s="17" t="n"/>
      <c r="P40" s="33" t="inlineStr">
        <is>
          <t>P</t>
        </is>
      </c>
      <c r="Q40" s="33" t="inlineStr">
        <is>
          <t>FL_DES_ABC_100kg</t>
        </is>
      </c>
      <c r="R40" s="17" t="n"/>
    </row>
    <row r="41" outlineLevel="1">
      <c r="A41" s="33" t="n">
        <v>2</v>
      </c>
      <c r="B41" s="33" t="inlineStr">
        <is>
          <t>ABC100-24</t>
        </is>
      </c>
      <c r="C41" s="17" t="inlineStr">
        <is>
          <t xml:space="preserve">        Racor de manguera</t>
        </is>
      </c>
      <c r="D41" s="33" t="n">
        <v>1</v>
      </c>
      <c r="E41" s="33" t="inlineStr">
        <is>
          <t>u</t>
        </is>
      </c>
      <c r="F41" s="34" t="n">
        <v>0.0612</v>
      </c>
      <c r="G41" s="34">
        <f>D41*F41</f>
        <v/>
      </c>
      <c r="H41" s="33" t="inlineStr">
        <is>
          <t>Latón</t>
        </is>
      </c>
      <c r="I41" s="17" t="inlineStr">
        <is>
          <t>24 × 24 × 16</t>
        </is>
      </c>
      <c r="J41" s="33" t="inlineStr">
        <is>
          <t>Compra</t>
        </is>
      </c>
      <c r="K41" s="33" t="inlineStr">
        <is>
          <t>Sí</t>
        </is>
      </c>
      <c r="L41" s="17" t="inlineStr">
        <is>
          <t>Yukon / MatafuegosYa S.R.L.</t>
        </is>
      </c>
      <c r="M41" s="17" t="inlineStr">
        <is>
          <t>Matafuegos Iglesias</t>
        </is>
      </c>
      <c r="N41" s="17" t="inlineStr">
        <is>
          <t>C9 armado de ruedas y manguera</t>
        </is>
      </c>
      <c r="O41" s="17" t="n"/>
      <c r="P41" s="33" t="inlineStr">
        <is>
          <t>P</t>
        </is>
      </c>
      <c r="Q41" s="33" t="inlineStr">
        <is>
          <t>FL_DES_ABC_100kg</t>
        </is>
      </c>
      <c r="R41" s="17" t="n"/>
    </row>
    <row r="42" outlineLevel="1">
      <c r="A42" s="33" t="n">
        <v>2</v>
      </c>
      <c r="B42" s="33" t="inlineStr">
        <is>
          <t>ABC100-25</t>
        </is>
      </c>
      <c r="C42" s="17" t="inlineStr">
        <is>
          <t xml:space="preserve">        Manguera</t>
        </is>
      </c>
      <c r="D42" s="33" t="n">
        <v>1</v>
      </c>
      <c r="E42" s="33" t="inlineStr">
        <is>
          <t>u</t>
        </is>
      </c>
      <c r="F42" s="34" t="n">
        <v>0.2475</v>
      </c>
      <c r="G42" s="34">
        <f>D42*F42</f>
        <v/>
      </c>
      <c r="H42" s="33" t="inlineStr">
        <is>
          <t>Caucho sintético</t>
        </is>
      </c>
      <c r="I42" s="17" t="inlineStr">
        <is>
          <t>Ø16 × 1.603 de largo desarrollado</t>
        </is>
      </c>
      <c r="J42" s="33" t="inlineStr">
        <is>
          <t>Compra</t>
        </is>
      </c>
      <c r="K42" s="33" t="inlineStr">
        <is>
          <t>Sí</t>
        </is>
      </c>
      <c r="L42" s="17" t="inlineStr">
        <is>
          <t>Yukon / MatafuegosYa S.R.L.</t>
        </is>
      </c>
      <c r="M42" s="17" t="inlineStr">
        <is>
          <t>Matafuegos Iglesias</t>
        </is>
      </c>
      <c r="N42" s="17" t="inlineStr">
        <is>
          <t>C9 armado de ruedas y manguera</t>
        </is>
      </c>
      <c r="O42" s="17" t="n"/>
      <c r="P42" s="33" t="inlineStr">
        <is>
          <t>P</t>
        </is>
      </c>
      <c r="Q42" s="33" t="inlineStr">
        <is>
          <t>FL_DES_ABC_100kg</t>
        </is>
      </c>
      <c r="R42" s="17" t="n"/>
    </row>
    <row r="43" outlineLevel="1">
      <c r="A43" s="33" t="n">
        <v>2</v>
      </c>
      <c r="B43" s="33" t="inlineStr">
        <is>
          <t>ABC100-26</t>
        </is>
      </c>
      <c r="C43" s="17" t="inlineStr">
        <is>
          <t xml:space="preserve">        Válvula esférica</t>
        </is>
      </c>
      <c r="D43" s="33" t="n">
        <v>1</v>
      </c>
      <c r="E43" s="33" t="inlineStr">
        <is>
          <t>u</t>
        </is>
      </c>
      <c r="F43" s="34" t="n">
        <v>0.4225</v>
      </c>
      <c r="G43" s="34">
        <f>D43*F43</f>
        <v/>
      </c>
      <c r="H43" s="33" t="inlineStr">
        <is>
          <t>Latón cromado</t>
        </is>
      </c>
      <c r="I43" s="17" t="inlineStr">
        <is>
          <t>130 × 60 × 40</t>
        </is>
      </c>
      <c r="J43" s="33" t="inlineStr">
        <is>
          <t>Compra</t>
        </is>
      </c>
      <c r="K43" s="33" t="inlineStr">
        <is>
          <t>Sí</t>
        </is>
      </c>
      <c r="L43" s="17" t="inlineStr">
        <is>
          <t>Yukon / MatafuegosYa S.R.L.</t>
        </is>
      </c>
      <c r="M43" s="17" t="inlineStr">
        <is>
          <t>Matafuegos Iglesias</t>
        </is>
      </c>
      <c r="N43" s="17" t="inlineStr">
        <is>
          <t>C9 armado de ruedas y manguera</t>
        </is>
      </c>
      <c r="O43" s="17" t="n"/>
      <c r="P43" s="33" t="inlineStr">
        <is>
          <t>P</t>
        </is>
      </c>
      <c r="Q43" s="33" t="inlineStr">
        <is>
          <t>FL_DES_ABC_100kg</t>
        </is>
      </c>
      <c r="R43" s="17" t="n"/>
    </row>
    <row r="44" outlineLevel="1">
      <c r="A44" s="33" t="n">
        <v>2</v>
      </c>
      <c r="B44" s="33" t="inlineStr">
        <is>
          <t>ABC100-27</t>
        </is>
      </c>
      <c r="C44" s="17" t="inlineStr">
        <is>
          <t xml:space="preserve">        Tobera campana</t>
        </is>
      </c>
      <c r="D44" s="33" t="n">
        <v>1</v>
      </c>
      <c r="E44" s="33" t="inlineStr">
        <is>
          <t>u</t>
        </is>
      </c>
      <c r="F44" s="34" t="n">
        <v>0.07969999999999999</v>
      </c>
      <c r="G44" s="34">
        <f>D44*F44</f>
        <v/>
      </c>
      <c r="H44" s="33" t="inlineStr">
        <is>
          <t>Polipropileno</t>
        </is>
      </c>
      <c r="I44" s="17" t="inlineStr">
        <is>
          <t>200 × 68 × 68</t>
        </is>
      </c>
      <c r="J44" s="33" t="inlineStr">
        <is>
          <t>Compra</t>
        </is>
      </c>
      <c r="K44" s="33" t="inlineStr">
        <is>
          <t>Sí</t>
        </is>
      </c>
      <c r="L44" s="17" t="inlineStr">
        <is>
          <t>Yukon / MatafuegosYa S.R.L.</t>
        </is>
      </c>
      <c r="M44" s="17" t="inlineStr">
        <is>
          <t>Matafuegos Iglesias</t>
        </is>
      </c>
      <c r="N44" s="17" t="inlineStr">
        <is>
          <t>C9 armado de ruedas y manguera</t>
        </is>
      </c>
      <c r="O44" s="17" t="n"/>
      <c r="P44" s="33" t="inlineStr">
        <is>
          <t>P</t>
        </is>
      </c>
      <c r="Q44" s="33" t="inlineStr">
        <is>
          <t>FL_DES_ABC_100kg</t>
        </is>
      </c>
      <c r="R44" s="17" t="n"/>
    </row>
    <row r="45">
      <c r="A45" s="30" t="n">
        <v>1</v>
      </c>
      <c r="B45" s="30" t="inlineStr">
        <is>
          <t>ABC100-S4</t>
        </is>
      </c>
      <c r="C45" s="31" t="inlineStr">
        <is>
          <t xml:space="preserve">    Carro (bastidor y ruedas)</t>
        </is>
      </c>
      <c r="D45" s="30" t="n">
        <v>1</v>
      </c>
      <c r="E45" s="30" t="inlineStr">
        <is>
          <t>u</t>
        </is>
      </c>
      <c r="F45" s="32" t="n"/>
      <c r="G45" s="32">
        <f>G46+G47+G48+G50+G52+G54</f>
        <v/>
      </c>
      <c r="H45" s="30" t="n"/>
      <c r="I45" s="31" t="n"/>
      <c r="J45" s="30" t="inlineStr">
        <is>
          <t>Fabricación</t>
        </is>
      </c>
      <c r="K45" s="30" t="n"/>
      <c r="L45" s="31" t="n"/>
      <c r="M45" s="31" t="n"/>
      <c r="N45" s="31" t="n"/>
      <c r="O45" s="31" t="inlineStr">
        <is>
          <t>IRAM 3550 3.12 y 4.8 (ruedas ≥ Ø300 × 50)</t>
        </is>
      </c>
      <c r="P45" s="30" t="inlineStr">
        <is>
          <t>P</t>
        </is>
      </c>
      <c r="Q45" s="30" t="inlineStr">
        <is>
          <t>FL_DES_ABC_100kg</t>
        </is>
      </c>
      <c r="R45" s="31" t="n"/>
    </row>
    <row r="46" outlineLevel="1">
      <c r="A46" s="43" t="n">
        <v>2</v>
      </c>
      <c r="B46" s="43" t="inlineStr">
        <is>
          <t>ABC100-06</t>
        </is>
      </c>
      <c r="C46" s="20" t="inlineStr">
        <is>
          <t xml:space="preserve">        Neumático macizo</t>
        </is>
      </c>
      <c r="D46" s="43" t="n">
        <v>2</v>
      </c>
      <c r="E46" s="43" t="inlineStr">
        <is>
          <t>u</t>
        </is>
      </c>
      <c r="F46" s="44" t="n">
        <v>5.8099</v>
      </c>
      <c r="G46" s="44">
        <f>D46*F46</f>
        <v/>
      </c>
      <c r="H46" s="43" t="inlineStr">
        <is>
          <t>Caucho</t>
        </is>
      </c>
      <c r="I46" s="20" t="inlineStr">
        <is>
          <t>Ø400 × 80 de ancho</t>
        </is>
      </c>
      <c r="J46" s="43" t="inlineStr">
        <is>
          <t>Compra</t>
        </is>
      </c>
      <c r="K46" s="43" t="inlineStr">
        <is>
          <t>Sí</t>
        </is>
      </c>
      <c r="L46" s="20" t="inlineStr">
        <is>
          <t>Ruedar</t>
        </is>
      </c>
      <c r="M46" s="20" t="inlineStr">
        <is>
          <t>Escanort S.A.</t>
        </is>
      </c>
      <c r="N46" s="20" t="inlineStr">
        <is>
          <t>C9 armado de ruedas (S-TC)</t>
        </is>
      </c>
      <c r="O46" s="20" t="n"/>
      <c r="P46" s="43" t="inlineStr">
        <is>
          <t>P</t>
        </is>
      </c>
      <c r="Q46" s="43" t="inlineStr">
        <is>
          <t>FL_DES_ABC_100kg</t>
        </is>
      </c>
      <c r="R46" s="20" t="inlineStr">
        <is>
          <t>IRAM 3550 4.8: Ø ≥ 300 y ancho ≥ 50</t>
        </is>
      </c>
    </row>
    <row r="47" outlineLevel="1">
      <c r="A47" s="33" t="n">
        <v>2</v>
      </c>
      <c r="B47" s="33" t="inlineStr">
        <is>
          <t>ABC100-07</t>
        </is>
      </c>
      <c r="C47" s="17" t="inlineStr">
        <is>
          <t xml:space="preserve">        Llanta con cubo</t>
        </is>
      </c>
      <c r="D47" s="33" t="n">
        <v>2</v>
      </c>
      <c r="E47" s="33" t="inlineStr">
        <is>
          <t>u</t>
        </is>
      </c>
      <c r="F47" s="34" t="n">
        <v>5.0719</v>
      </c>
      <c r="G47" s="34">
        <f>D47*F47</f>
        <v/>
      </c>
      <c r="H47" s="33" t="inlineStr">
        <is>
          <t>Chapa acero SAE 1010</t>
        </is>
      </c>
      <c r="I47" s="17" t="inlineStr">
        <is>
          <t>Ø288 × 90 de ancho</t>
        </is>
      </c>
      <c r="J47" s="33" t="inlineStr">
        <is>
          <t>Incluido en rueda</t>
        </is>
      </c>
      <c r="K47" s="33" t="inlineStr">
        <is>
          <t>No</t>
        </is>
      </c>
      <c r="L47" s="17" t="n"/>
      <c r="M47" s="17" t="n"/>
      <c r="N47" s="17" t="inlineStr">
        <is>
          <t>C9 armado de ruedas (S-TC)</t>
        </is>
      </c>
      <c r="O47" s="17" t="n"/>
      <c r="P47" s="33" t="inlineStr">
        <is>
          <t>P</t>
        </is>
      </c>
      <c r="Q47" s="33" t="inlineStr">
        <is>
          <t>FL_DES_ABC_100kg</t>
        </is>
      </c>
      <c r="R47" s="17" t="n"/>
    </row>
    <row r="48" outlineLevel="1">
      <c r="A48" s="33" t="n">
        <v>2</v>
      </c>
      <c r="B48" s="33" t="inlineStr">
        <is>
          <t>ABC100-08</t>
        </is>
      </c>
      <c r="C48" s="17" t="inlineStr">
        <is>
          <t xml:space="preserve">        Eje de ruedas</t>
        </is>
      </c>
      <c r="D48" s="33" t="n">
        <v>1</v>
      </c>
      <c r="E48" s="33" t="inlineStr">
        <is>
          <t>u</t>
        </is>
      </c>
      <c r="F48" s="34" t="n">
        <v>1.8881</v>
      </c>
      <c r="G48" s="34">
        <f>D48*F48</f>
        <v/>
      </c>
      <c r="H48" s="33" t="inlineStr">
        <is>
          <t>Acero SAE 1045</t>
        </is>
      </c>
      <c r="I48" s="17" t="inlineStr">
        <is>
          <t>Ø25 × 490 de largo</t>
        </is>
      </c>
      <c r="J48" s="33" t="inlineStr">
        <is>
          <t>Fabricación</t>
        </is>
      </c>
      <c r="K48" s="33" t="inlineStr">
        <is>
          <t>No</t>
        </is>
      </c>
      <c r="L48" s="17" t="n"/>
      <c r="M48" s="17" t="n"/>
      <c r="N48" s="17" t="inlineStr">
        <is>
          <t>Corte en sierra -&gt; curvado / plegado -&gt; soldadura MAG del carro -&gt; C9 armado (S-TC); puesto de soldadura de carros a incorporar al layout</t>
        </is>
      </c>
      <c r="O48" s="17" t="n"/>
      <c r="P48" s="33" t="inlineStr">
        <is>
          <t>P</t>
        </is>
      </c>
      <c r="Q48" s="33" t="inlineStr">
        <is>
          <t>FL_DES_ABC_100kg</t>
        </is>
      </c>
      <c r="R48" s="17" t="n"/>
    </row>
    <row r="49" outlineLevel="2">
      <c r="A49" s="35" t="n">
        <v>3</v>
      </c>
      <c r="B49" s="35" t="inlineStr">
        <is>
          <t>MP-EJE</t>
        </is>
      </c>
      <c r="C49" s="36" t="inlineStr">
        <is>
          <t xml:space="preserve">            Redondo SAE 1045 Ø25 (tramo de barra de 6 m)</t>
        </is>
      </c>
      <c r="D49" s="35" t="n">
        <v>0.08169999999999999</v>
      </c>
      <c r="E49" s="35" t="inlineStr">
        <is>
          <t>barra</t>
        </is>
      </c>
      <c r="F49" s="37" t="n">
        <v>23.12</v>
      </c>
      <c r="G49" s="37">
        <f>D49*F49</f>
        <v/>
      </c>
      <c r="H49" s="35" t="inlineStr">
        <is>
          <t>Redondo SAE 1045 Ø25</t>
        </is>
      </c>
      <c r="I49" s="36" t="inlineStr">
        <is>
          <t>490 mm por pieza (kg por barra de 6 m)</t>
        </is>
      </c>
      <c r="J49" s="35" t="inlineStr">
        <is>
          <t>Compra</t>
        </is>
      </c>
      <c r="K49" s="35" t="inlineStr">
        <is>
          <t>Sí</t>
        </is>
      </c>
      <c r="L49" s="36" t="inlineStr">
        <is>
          <t>Hierros Parrotta</t>
        </is>
      </c>
      <c r="M49" s="36" t="inlineStr">
        <is>
          <t>-</t>
        </is>
      </c>
      <c r="N49" s="36" t="inlineStr">
        <is>
          <t>Corte en sierra</t>
        </is>
      </c>
      <c r="O49" s="36" t="n"/>
      <c r="P49" s="35" t="inlineStr">
        <is>
          <t>C</t>
        </is>
      </c>
      <c r="Q49" s="35" t="n"/>
      <c r="R49" s="36" t="n"/>
    </row>
    <row r="50" outlineLevel="1">
      <c r="A50" s="33" t="n">
        <v>2</v>
      </c>
      <c r="B50" s="33" t="inlineStr">
        <is>
          <t>ABC100-09</t>
        </is>
      </c>
      <c r="C50" s="17" t="inlineStr">
        <is>
          <t xml:space="preserve">        Bastidor</t>
        </is>
      </c>
      <c r="D50" s="33" t="n">
        <v>1</v>
      </c>
      <c r="E50" s="33" t="inlineStr">
        <is>
          <t>u</t>
        </is>
      </c>
      <c r="F50" s="34" t="n">
        <v>2.4439</v>
      </c>
      <c r="G50" s="34">
        <f>D50*F50</f>
        <v/>
      </c>
      <c r="H50" s="33" t="inlineStr">
        <is>
          <t>Caño acero SAE 1010 Ø25,4×1,6</t>
        </is>
      </c>
      <c r="I50" s="17" t="inlineStr">
        <is>
          <t>caño Ø25,4 × 1,6 × 2.560 de largo desarrollado</t>
        </is>
      </c>
      <c r="J50" s="33" t="inlineStr">
        <is>
          <t>Fabricación</t>
        </is>
      </c>
      <c r="K50" s="33" t="inlineStr">
        <is>
          <t>No</t>
        </is>
      </c>
      <c r="L50" s="17" t="n"/>
      <c r="M50" s="17" t="n"/>
      <c r="N50" s="17" t="inlineStr">
        <is>
          <t>Corte en sierra -&gt; curvado / plegado -&gt; soldadura MAG del carro -&gt; C9 armado (S-TC); puesto de soldadura de carros a incorporar al layout</t>
        </is>
      </c>
      <c r="O50" s="17" t="n"/>
      <c r="P50" s="33" t="inlineStr">
        <is>
          <t>P</t>
        </is>
      </c>
      <c r="Q50" s="33" t="inlineStr">
        <is>
          <t>FL_DES_ABC_100kg</t>
        </is>
      </c>
      <c r="R50" s="17" t="n"/>
    </row>
    <row r="51" outlineLevel="2">
      <c r="A51" s="35" t="n">
        <v>3</v>
      </c>
      <c r="B51" s="35" t="inlineStr">
        <is>
          <t>MP-CANO-CARRO</t>
        </is>
      </c>
      <c r="C51" s="36" t="inlineStr">
        <is>
          <t xml:space="preserve">            Caño SAE 1010 Ø25,4 × 1,6 (tramo de barra de 6 m)</t>
        </is>
      </c>
      <c r="D51" s="35" t="n">
        <v>0.4267</v>
      </c>
      <c r="E51" s="35" t="inlineStr">
        <is>
          <t>barra</t>
        </is>
      </c>
      <c r="F51" s="37" t="n">
        <v>5.635</v>
      </c>
      <c r="G51" s="37">
        <f>D51*F51</f>
        <v/>
      </c>
      <c r="H51" s="35" t="inlineStr">
        <is>
          <t>Caño acero SAE 1010 Ø25,4 × 1,6</t>
        </is>
      </c>
      <c r="I51" s="36" t="inlineStr">
        <is>
          <t>2.560 mm por pieza (kg por barra de 6 m)</t>
        </is>
      </c>
      <c r="J51" s="35" t="inlineStr">
        <is>
          <t>Compra</t>
        </is>
      </c>
      <c r="K51" s="35" t="inlineStr">
        <is>
          <t>Sí</t>
        </is>
      </c>
      <c r="L51" s="36" t="inlineStr">
        <is>
          <t>Metalpri / Prilux</t>
        </is>
      </c>
      <c r="M51" s="36" t="inlineStr">
        <is>
          <t>Comercial MID</t>
        </is>
      </c>
      <c r="N51" s="36" t="inlineStr">
        <is>
          <t>Corte en sierra</t>
        </is>
      </c>
      <c r="O51" s="36" t="n"/>
      <c r="P51" s="35" t="inlineStr">
        <is>
          <t>C</t>
        </is>
      </c>
      <c r="Q51" s="35" t="n"/>
      <c r="R51" s="36" t="inlineStr">
        <is>
          <t>Largo desarrollado del plano + curvado</t>
        </is>
      </c>
    </row>
    <row r="52" outlineLevel="1">
      <c r="A52" s="33" t="n">
        <v>2</v>
      </c>
      <c r="B52" s="33" t="inlineStr">
        <is>
          <t>ABC100-10</t>
        </is>
      </c>
      <c r="C52" s="17" t="inlineStr">
        <is>
          <t xml:space="preserve">        Sunchos de fijación</t>
        </is>
      </c>
      <c r="D52" s="33" t="n">
        <v>1</v>
      </c>
      <c r="E52" s="33" t="inlineStr">
        <is>
          <t>u</t>
        </is>
      </c>
      <c r="F52" s="34" t="n">
        <v>7.8218</v>
      </c>
      <c r="G52" s="34">
        <f>D52*F52</f>
        <v/>
      </c>
      <c r="H52" s="33" t="inlineStr">
        <is>
          <t>Planchuela acero SAE 1010</t>
        </is>
      </c>
      <c r="I52" s="17" t="inlineStr">
        <is>
          <t>604 × 590,2 × 440</t>
        </is>
      </c>
      <c r="J52" s="33" t="inlineStr">
        <is>
          <t>Fabricación</t>
        </is>
      </c>
      <c r="K52" s="33" t="inlineStr">
        <is>
          <t>No</t>
        </is>
      </c>
      <c r="L52" s="17" t="n"/>
      <c r="M52" s="17" t="n"/>
      <c r="N52" s="17" t="inlineStr">
        <is>
          <t>Corte en sierra -&gt; curvado / plegado -&gt; soldadura MAG del carro -&gt; C9 armado (S-TC); puesto de soldadura de carros a incorporar al layout</t>
        </is>
      </c>
      <c r="O52" s="17" t="n"/>
      <c r="P52" s="33" t="inlineStr">
        <is>
          <t>P</t>
        </is>
      </c>
      <c r="Q52" s="33" t="inlineStr">
        <is>
          <t>FL_DES_ABC_100kg</t>
        </is>
      </c>
      <c r="R52" s="17" t="n"/>
    </row>
    <row r="53" outlineLevel="2">
      <c r="A53" s="35" t="n">
        <v>3</v>
      </c>
      <c r="B53" s="35" t="inlineStr">
        <is>
          <t>MP-PLANCHUELA</t>
        </is>
      </c>
      <c r="C53" s="36" t="inlineStr">
        <is>
          <t xml:space="preserve">            Planchuela SAE 1010 40 × 6 (tramo de barra de 6 m)</t>
        </is>
      </c>
      <c r="D53" s="35" t="n">
        <v>0.6919</v>
      </c>
      <c r="E53" s="35" t="inlineStr">
        <is>
          <t>barra</t>
        </is>
      </c>
      <c r="F53" s="37" t="n">
        <v>11.304</v>
      </c>
      <c r="G53" s="37">
        <f>D53*F53</f>
        <v/>
      </c>
      <c r="H53" s="35" t="inlineStr">
        <is>
          <t>Planchuela SAE 1010 40 × 6</t>
        </is>
      </c>
      <c r="I53" s="36" t="inlineStr">
        <is>
          <t>4.152 mm por pieza (kg por barra de 6 m)</t>
        </is>
      </c>
      <c r="J53" s="35" t="inlineStr">
        <is>
          <t>Compra</t>
        </is>
      </c>
      <c r="K53" s="35" t="inlineStr">
        <is>
          <t>Sí</t>
        </is>
      </c>
      <c r="L53" s="36" t="inlineStr">
        <is>
          <t>Hierros Parrotta</t>
        </is>
      </c>
      <c r="M53" s="36" t="inlineStr">
        <is>
          <t>-</t>
        </is>
      </c>
      <c r="N53" s="36" t="inlineStr">
        <is>
          <t>Corte en sierra</t>
        </is>
      </c>
      <c r="O53" s="36" t="n"/>
      <c r="P53" s="35" t="inlineStr">
        <is>
          <t>C</t>
        </is>
      </c>
      <c r="Q53" s="35" t="n"/>
      <c r="R53" s="36" t="inlineStr">
        <is>
          <t>Largo = volumen del plano / sección 40 × 6</t>
        </is>
      </c>
    </row>
    <row r="54" outlineLevel="1">
      <c r="A54" s="33" t="n">
        <v>2</v>
      </c>
      <c r="B54" s="33" t="inlineStr">
        <is>
          <t>ABC100-11</t>
        </is>
      </c>
      <c r="C54" s="17" t="inlineStr">
        <is>
          <t xml:space="preserve">        Apoyo delantero</t>
        </is>
      </c>
      <c r="D54" s="33" t="n">
        <v>1</v>
      </c>
      <c r="E54" s="33" t="inlineStr">
        <is>
          <t>u</t>
        </is>
      </c>
      <c r="F54" s="34" t="n">
        <v>0.3022</v>
      </c>
      <c r="G54" s="34">
        <f>D54*F54</f>
        <v/>
      </c>
      <c r="H54" s="33" t="inlineStr">
        <is>
          <t>Chapa acero SAE 1010 plegada</t>
        </is>
      </c>
      <c r="I54" s="17" t="inlineStr">
        <is>
          <t>70 × 55 × 50</t>
        </is>
      </c>
      <c r="J54" s="33" t="inlineStr">
        <is>
          <t>Fabricación</t>
        </is>
      </c>
      <c r="K54" s="33" t="inlineStr">
        <is>
          <t>No</t>
        </is>
      </c>
      <c r="L54" s="17" t="n"/>
      <c r="M54" s="17" t="n"/>
      <c r="N54" s="17" t="inlineStr">
        <is>
          <t>Corte en sierra -&gt; curvado / plegado -&gt; soldadura MAG del carro -&gt; C9 armado (S-TC); puesto de soldadura de carros a incorporar al layout</t>
        </is>
      </c>
      <c r="O54" s="17" t="n"/>
      <c r="P54" s="33" t="inlineStr">
        <is>
          <t>P</t>
        </is>
      </c>
      <c r="Q54" s="33" t="inlineStr">
        <is>
          <t>FL_DES_ABC_100kg</t>
        </is>
      </c>
      <c r="R54" s="17" t="n"/>
    </row>
    <row r="55" outlineLevel="2">
      <c r="A55" s="47" t="n">
        <v>3</v>
      </c>
      <c r="B55" s="47" t="inlineStr">
        <is>
          <t>MP-CHAPA-APOYO</t>
        </is>
      </c>
      <c r="C55" s="48" t="inlineStr">
        <is>
          <t xml:space="preserve">            Recorte de chapa LAC e=3,2 para el apoyo plegado</t>
        </is>
      </c>
      <c r="D55" s="47" t="n">
        <v>1</v>
      </c>
      <c r="E55" s="47" t="inlineStr">
        <is>
          <t>u</t>
        </is>
      </c>
      <c r="F55" s="49" t="n">
        <v>0.348</v>
      </c>
      <c r="G55" s="49">
        <f>D55*F55</f>
        <v/>
      </c>
      <c r="H55" s="47" t="inlineStr">
        <is>
          <t>Chapa LAC SAE 1010</t>
        </is>
      </c>
      <c r="I55" s="48" t="inlineStr">
        <is>
          <t>desarrollo del apoyo + 15 % de recorte</t>
        </is>
      </c>
      <c r="J55" s="47" t="inlineStr">
        <is>
          <t>Compra</t>
        </is>
      </c>
      <c r="K55" s="47" t="inlineStr">
        <is>
          <t>Sí</t>
        </is>
      </c>
      <c r="L55" s="48" t="inlineStr">
        <is>
          <t>Pradecon S.A.</t>
        </is>
      </c>
      <c r="M55" s="48" t="inlineStr">
        <is>
          <t>Pacheco Chapas</t>
        </is>
      </c>
      <c r="N55" s="48" t="inlineStr">
        <is>
          <t>Corte y plegado</t>
        </is>
      </c>
      <c r="O55" s="48" t="n"/>
      <c r="P55" s="47" t="inlineStr">
        <is>
          <t>C</t>
        </is>
      </c>
      <c r="Q55" s="47" t="n"/>
      <c r="R55" s="48" t="inlineStr">
        <is>
          <t>15 % de recorte: valor de taller sin medir</t>
        </is>
      </c>
    </row>
    <row r="56">
      <c r="A56" s="30" t="n">
        <v>1</v>
      </c>
      <c r="B56" s="30" t="inlineStr">
        <is>
          <t>ABC100-S5</t>
        </is>
      </c>
      <c r="C56" s="31" t="inlineStr">
        <is>
          <t xml:space="preserve">    Carga: agente extintor y gas impulsor</t>
        </is>
      </c>
      <c r="D56" s="30" t="n">
        <v>1</v>
      </c>
      <c r="E56" s="30" t="inlineStr">
        <is>
          <t>u</t>
        </is>
      </c>
      <c r="F56" s="32" t="n"/>
      <c r="G56" s="32">
        <f>G57+G58</f>
        <v/>
      </c>
      <c r="H56" s="30" t="n"/>
      <c r="I56" s="31" t="n"/>
      <c r="J56" s="30" t="inlineStr">
        <is>
          <t>Carga en planta</t>
        </is>
      </c>
      <c r="K56" s="30" t="n"/>
      <c r="L56" s="31" t="n"/>
      <c r="M56" s="31" t="n"/>
      <c r="N56" s="31" t="inlineStr">
        <is>
          <t>18 Carga de polvo (T01) / C8 (T02)</t>
        </is>
      </c>
      <c r="O56" s="31" t="n"/>
      <c r="P56" s="30" t="n"/>
      <c r="Q56" s="30" t="n"/>
      <c r="R56" s="31" t="n"/>
    </row>
    <row r="57" outlineLevel="1">
      <c r="A57" s="33" t="n">
        <v>2</v>
      </c>
      <c r="B57" s="33" t="inlineStr">
        <is>
          <t>ABC100-A1</t>
        </is>
      </c>
      <c r="C57" s="17" t="inlineStr">
        <is>
          <t xml:space="preserve">        Polvo químico seco ABC 90 (Sello IRAM 3569)</t>
        </is>
      </c>
      <c r="D57" s="33" t="n">
        <v>100</v>
      </c>
      <c r="E57" s="33" t="inlineStr">
        <is>
          <t>kg</t>
        </is>
      </c>
      <c r="F57" s="34" t="n">
        <v>1</v>
      </c>
      <c r="G57" s="34">
        <f>D57*F57</f>
        <v/>
      </c>
      <c r="H57" s="33" t="inlineStr">
        <is>
          <t>Polvo químico seco ABC 90 (Sello IRAM 3569)</t>
        </is>
      </c>
      <c r="I57" s="17" t="inlineStr">
        <is>
          <t>nominal 100 kg; tolerancia ± 3 % (IRAM 3517-2:2020 tabla 3)</t>
        </is>
      </c>
      <c r="J57" s="33" t="inlineStr">
        <is>
          <t>Compra</t>
        </is>
      </c>
      <c r="K57" s="33" t="inlineStr">
        <is>
          <t>Sí</t>
        </is>
      </c>
      <c r="L57" s="17" t="inlineStr">
        <is>
          <t>DEM S.A. (DEMSA)</t>
        </is>
      </c>
      <c r="M57" s="17" t="inlineStr">
        <is>
          <t>Polvex S.R.L. / Sancibrao</t>
        </is>
      </c>
      <c r="N57" s="17" t="inlineStr">
        <is>
          <t>SP-1 almacén previo a la carga</t>
        </is>
      </c>
      <c r="O57" s="17" t="inlineStr">
        <is>
          <t>IRAM 3569</t>
        </is>
      </c>
      <c r="P57" s="33" t="inlineStr">
        <is>
          <t>N</t>
        </is>
      </c>
      <c r="Q57" s="33" t="n"/>
      <c r="R57"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41" t="n">
        <v>2</v>
      </c>
      <c r="B58" s="41" t="inlineStr">
        <is>
          <t>ABC100-A2</t>
        </is>
      </c>
      <c r="C58" s="18" t="inlineStr">
        <is>
          <t xml:space="preserve">        Gas impulsor: N₂</t>
        </is>
      </c>
      <c r="D58" s="41" t="n">
        <v>0.5534</v>
      </c>
      <c r="E58" s="41" t="inlineStr">
        <is>
          <t>kg</t>
        </is>
      </c>
      <c r="F58" s="42" t="n">
        <v>1</v>
      </c>
      <c r="G58" s="42">
        <f>D58*F58</f>
        <v/>
      </c>
      <c r="H58" s="41" t="inlineStr">
        <is>
          <t>N₂</t>
        </is>
      </c>
      <c r="I58" s="18" t="inlineStr">
        <is>
          <t>443 L normales para 1,4 MPa a 20 °C en 32,09 dm³ libres</t>
        </is>
      </c>
      <c r="J58" s="41" t="inlineStr">
        <is>
          <t>Compra</t>
        </is>
      </c>
      <c r="K58" s="41"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41" t="inlineStr">
        <is>
          <t>C</t>
        </is>
      </c>
      <c r="Q58" s="41" t="n"/>
      <c r="R58" s="18" t="inlineStr">
        <is>
          <t>N₂ ≥ 99,8 %, H₂O ≤ 40 ppm (Q-N2, Air Liquide) · volumen libre con ρ empacada mínima 1,1 kg/dm³ (NOM-104-STPS-2001); confirmar con descarga ≥ 85 % (IRAM 3523 4.9.1)</t>
        </is>
      </c>
    </row>
    <row r="59">
      <c r="A59" s="30" t="n">
        <v>1</v>
      </c>
      <c r="B59" s="30" t="inlineStr">
        <is>
          <t>ABC100-S6</t>
        </is>
      </c>
      <c r="C59" s="31" t="inlineStr">
        <is>
          <t xml:space="preserve">    Identificación y precinto</t>
        </is>
      </c>
      <c r="D59" s="30" t="n">
        <v>1</v>
      </c>
      <c r="E59" s="30" t="inlineStr">
        <is>
          <t>u</t>
        </is>
      </c>
      <c r="F59" s="32" t="n"/>
      <c r="G59" s="32">
        <f>G60+G61+G62+G63+G64+G65+G66</f>
        <v/>
      </c>
      <c r="H59" s="30" t="n"/>
      <c r="I59" s="31" t="n"/>
      <c r="J59" s="30" t="inlineStr">
        <is>
          <t>Compra</t>
        </is>
      </c>
      <c r="K59" s="30" t="n"/>
      <c r="L59" s="31" t="n"/>
      <c r="M59" s="31" t="n"/>
      <c r="N59" s="31" t="inlineStr">
        <is>
          <t>22 Etiquetado (T07)</t>
        </is>
      </c>
      <c r="O59" s="31" t="n"/>
      <c r="P59" s="30" t="n"/>
      <c r="Q59" s="30" t="n"/>
      <c r="R59" s="31" t="n"/>
    </row>
    <row r="60" outlineLevel="1">
      <c r="A60" s="33" t="n">
        <v>2</v>
      </c>
      <c r="B60" s="33" t="inlineStr">
        <is>
          <t>ABC100-28</t>
        </is>
      </c>
      <c r="C60" s="17" t="inlineStr">
        <is>
          <t xml:space="preserve">        Etiqueta / placa de características</t>
        </is>
      </c>
      <c r="D60" s="33" t="n">
        <v>1</v>
      </c>
      <c r="E60" s="33" t="inlineStr">
        <is>
          <t>u</t>
        </is>
      </c>
      <c r="F60" s="34" t="n">
        <v>0.06519999999999999</v>
      </c>
      <c r="G60" s="34">
        <f>D60*F60</f>
        <v/>
      </c>
      <c r="H60" s="33" t="inlineStr">
        <is>
          <t>Vinilo autoadhesivo laminado</t>
        </is>
      </c>
      <c r="I60" s="17" t="inlineStr">
        <is>
          <t>736 × 211 (desarrollo × alto: panel central 108° + 2 alas laterales), e ≈ 0,3, laminado UV</t>
        </is>
      </c>
      <c r="J60" s="33" t="inlineStr">
        <is>
          <t>Compra</t>
        </is>
      </c>
      <c r="K60" s="33" t="inlineStr">
        <is>
          <t>Sí</t>
        </is>
      </c>
      <c r="L60" s="17" t="inlineStr">
        <is>
          <t>Astuprint</t>
        </is>
      </c>
      <c r="M60" s="17" t="inlineStr">
        <is>
          <t>Multilabel Argentina S.A.</t>
        </is>
      </c>
      <c r="N60" s="17" t="inlineStr">
        <is>
          <t>22 Etiquetado (T07)</t>
        </is>
      </c>
      <c r="O60" s="17" t="inlineStr">
        <is>
          <t>IRAM 3534 · IRAM 3550 cap. 5 · relevamiento de mercado</t>
        </is>
      </c>
      <c r="P60" s="33" t="inlineStr">
        <is>
          <t>P</t>
        </is>
      </c>
      <c r="Q60" s="33" t="inlineStr">
        <is>
          <t>FL_DES_ABC_100kg</t>
        </is>
      </c>
      <c r="R60" s="17" t="inlineStr">
        <is>
          <t>IRAM 3534</t>
        </is>
      </c>
    </row>
    <row r="61" outlineLevel="1">
      <c r="A61" s="33" t="n">
        <v>2</v>
      </c>
      <c r="B61" s="33" t="inlineStr">
        <is>
          <t>ABC100-29</t>
        </is>
      </c>
      <c r="C61" s="17" t="inlineStr">
        <is>
          <t xml:space="preserve">        Oblea de fabricación (PBA)</t>
        </is>
      </c>
      <c r="D61" s="33" t="n">
        <v>1</v>
      </c>
      <c r="E61" s="33" t="inlineStr">
        <is>
          <t>u</t>
        </is>
      </c>
      <c r="F61" s="34" t="n">
        <v>0.0009</v>
      </c>
      <c r="G61" s="34">
        <f>D61*F61</f>
        <v/>
      </c>
      <c r="H61" s="33" t="inlineStr">
        <is>
          <t>Papel de seguridad autodestructible</t>
        </is>
      </c>
      <c r="I61" s="17" t="inlineStr">
        <is>
          <t>Ø46 (Res. OPDS 522/07), numerada, autodestructible</t>
        </is>
      </c>
      <c r="J61" s="33" t="inlineStr">
        <is>
          <t>Compra</t>
        </is>
      </c>
      <c r="K61" s="33" t="inlineStr">
        <is>
          <t>Sí</t>
        </is>
      </c>
      <c r="L61" s="17" t="inlineStr">
        <is>
          <t>Ministerio de Ambiente PBA (ex OPDS)</t>
        </is>
      </c>
      <c r="M61" s="17" t="inlineStr">
        <is>
          <t>-</t>
        </is>
      </c>
      <c r="N61" s="17" t="inlineStr">
        <is>
          <t>22 Etiquetado (T07)</t>
        </is>
      </c>
      <c r="O61" s="17" t="inlineStr">
        <is>
          <t>Res. OPDS 522/07 anexos 1, 2 y 6</t>
        </is>
      </c>
      <c r="P61" s="33" t="inlineStr">
        <is>
          <t>P</t>
        </is>
      </c>
      <c r="Q61" s="33" t="inlineStr">
        <is>
          <t>FL_DES_ABC_100kg</t>
        </is>
      </c>
      <c r="R61" s="17" t="inlineStr">
        <is>
          <t>Res. 522/07</t>
        </is>
      </c>
    </row>
    <row r="62" outlineLevel="1">
      <c r="A62" s="33" t="n">
        <v>2</v>
      </c>
      <c r="B62" s="33" t="inlineStr">
        <is>
          <t>ABC100-30</t>
        </is>
      </c>
      <c r="C62" s="17" t="inlineStr">
        <is>
          <t xml:space="preserve">        Estampilla IRAM de conformidad</t>
        </is>
      </c>
      <c r="D62" s="33" t="n">
        <v>1</v>
      </c>
      <c r="E62" s="33" t="inlineStr">
        <is>
          <t>u</t>
        </is>
      </c>
      <c r="F62" s="34" t="n">
        <v>0.001</v>
      </c>
      <c r="G62" s="34">
        <f>D62*F62</f>
        <v/>
      </c>
      <c r="H62" s="33" t="inlineStr">
        <is>
          <t>Provista por IRAM (Anexo R)</t>
        </is>
      </c>
      <c r="I62" s="17" t="inlineStr">
        <is>
          <t>60 × 40</t>
        </is>
      </c>
      <c r="J62" s="33" t="inlineStr">
        <is>
          <t>Compra</t>
        </is>
      </c>
      <c r="K62" s="33" t="inlineStr">
        <is>
          <t>Sí</t>
        </is>
      </c>
      <c r="L62" s="17" t="inlineStr">
        <is>
          <t>IRAM - Instituto Argentino de Normalización</t>
        </is>
      </c>
      <c r="M62" s="17" t="inlineStr">
        <is>
          <t>-</t>
        </is>
      </c>
      <c r="N62" s="17" t="inlineStr">
        <is>
          <t>22 Etiquetado (T07)</t>
        </is>
      </c>
      <c r="O62" s="17" t="inlineStr">
        <is>
          <t>IRAM Anexo R (DC-PG-129)</t>
        </is>
      </c>
      <c r="P62" s="33" t="inlineStr">
        <is>
          <t>P</t>
        </is>
      </c>
      <c r="Q62" s="33" t="inlineStr">
        <is>
          <t>FL_DES_ABC_100kg</t>
        </is>
      </c>
      <c r="R62" s="17" t="inlineStr">
        <is>
          <t>numerada</t>
        </is>
      </c>
    </row>
    <row r="63" outlineLevel="1">
      <c r="A63" s="33" t="n">
        <v>2</v>
      </c>
      <c r="B63" s="33" t="inlineStr">
        <is>
          <t>ABC100-31</t>
        </is>
      </c>
      <c r="C63" s="17" t="inlineStr">
        <is>
          <t xml:space="preserve">        Tarjeta de identificación AGC (CABA)</t>
        </is>
      </c>
      <c r="D63" s="33" t="n">
        <v>1</v>
      </c>
      <c r="E63" s="33" t="inlineStr">
        <is>
          <t>u</t>
        </is>
      </c>
      <c r="F63" s="34" t="n">
        <v>0.0032</v>
      </c>
      <c r="G63" s="34">
        <f>D63*F63</f>
        <v/>
      </c>
      <c r="H63" s="33" t="inlineStr">
        <is>
          <t>Etiqueta autoadhesiva emitida por la AGC</t>
        </is>
      </c>
      <c r="I63" s="17" t="inlineStr">
        <is>
          <t>140 × 55</t>
        </is>
      </c>
      <c r="J63" s="33" t="inlineStr">
        <is>
          <t>Compra</t>
        </is>
      </c>
      <c r="K63" s="33" t="inlineStr">
        <is>
          <t>Sí</t>
        </is>
      </c>
      <c r="L63" s="17" t="inlineStr">
        <is>
          <t>Agencia Gubernamental de Control (CABA)</t>
        </is>
      </c>
      <c r="M63" s="17" t="inlineStr">
        <is>
          <t>-</t>
        </is>
      </c>
      <c r="N63" s="17" t="inlineStr">
        <is>
          <t>22 Etiquetado (T07)</t>
        </is>
      </c>
      <c r="O63" s="17" t="inlineStr">
        <is>
          <t>Ordenanza 40.473 art. 6 · Res. AGC 32/15</t>
        </is>
      </c>
      <c r="P63" s="33" t="inlineStr">
        <is>
          <t>P</t>
        </is>
      </c>
      <c r="Q63" s="33" t="inlineStr">
        <is>
          <t>FL_DES_ABC_100kg</t>
        </is>
      </c>
      <c r="R63" s="17" t="inlineStr">
        <is>
          <t>sólo destino CABA</t>
        </is>
      </c>
    </row>
    <row r="64" outlineLevel="1">
      <c r="A64" s="33" t="n">
        <v>2</v>
      </c>
      <c r="B64" s="33" t="inlineStr">
        <is>
          <t>ABC100-32</t>
        </is>
      </c>
      <c r="C64" s="17" t="inlineStr">
        <is>
          <t xml:space="preserve">        Etiqueta de n° de serie GS1</t>
        </is>
      </c>
      <c r="D64" s="33" t="n">
        <v>1</v>
      </c>
      <c r="E64" s="33" t="inlineStr">
        <is>
          <t>u</t>
        </is>
      </c>
      <c r="F64" s="34" t="n">
        <v>0.0005</v>
      </c>
      <c r="G64" s="34">
        <f>D64*F64</f>
        <v/>
      </c>
      <c r="H64" s="33" t="inlineStr">
        <is>
          <t>Poliéster autoadhesivo impreso térmico</t>
        </is>
      </c>
      <c r="I64" s="17" t="inlineStr">
        <is>
          <t>45 × 25</t>
        </is>
      </c>
      <c r="J64" s="33" t="inlineStr">
        <is>
          <t>Compra</t>
        </is>
      </c>
      <c r="K64" s="33" t="inlineStr">
        <is>
          <t>Sí</t>
        </is>
      </c>
      <c r="L64" s="17" t="inlineStr">
        <is>
          <t>Astuprint</t>
        </is>
      </c>
      <c r="M64" s="17" t="inlineStr">
        <is>
          <t>GS1 Argentina</t>
        </is>
      </c>
      <c r="N64" s="17" t="inlineStr">
        <is>
          <t>22 Etiquetado (T07)</t>
        </is>
      </c>
      <c r="O64" s="17" t="inlineStr">
        <is>
          <t>GS1 Argentina (GTIN 779) · trazabilidad IRAM 3523 5.1</t>
        </is>
      </c>
      <c r="P64" s="33" t="inlineStr">
        <is>
          <t>P</t>
        </is>
      </c>
      <c r="Q64" s="33" t="inlineStr">
        <is>
          <t>FL_DES_ABC_100kg</t>
        </is>
      </c>
      <c r="R64" s="17" t="inlineStr">
        <is>
          <t>QR GTIN + serie</t>
        </is>
      </c>
    </row>
    <row r="65" outlineLevel="1">
      <c r="A65" s="33" t="n">
        <v>2</v>
      </c>
      <c r="B65" s="33" t="inlineStr">
        <is>
          <t>ABC100-34</t>
        </is>
      </c>
      <c r="C65" s="17" t="inlineStr">
        <is>
          <t xml:space="preserve">        Faja de garantía válvula-cuello</t>
        </is>
      </c>
      <c r="D65" s="33" t="n">
        <v>1</v>
      </c>
      <c r="E65" s="33" t="inlineStr">
        <is>
          <t>u</t>
        </is>
      </c>
      <c r="F65" s="34" t="n">
        <v>0.0003</v>
      </c>
      <c r="G65" s="34">
        <f>D65*F65</f>
        <v/>
      </c>
      <c r="H65" s="33" t="inlineStr">
        <is>
          <t>Vinilo destructible rayado rojo/blanco</t>
        </is>
      </c>
      <c r="I65" s="17" t="inlineStr">
        <is>
          <t>30 × 40</t>
        </is>
      </c>
      <c r="J65" s="33" t="inlineStr">
        <is>
          <t>Compra</t>
        </is>
      </c>
      <c r="K65" s="33" t="inlineStr">
        <is>
          <t>Sí</t>
        </is>
      </c>
      <c r="L65" s="17" t="inlineStr">
        <is>
          <t>Astuprint</t>
        </is>
      </c>
      <c r="M65" s="17" t="inlineStr">
        <is>
          <t>Multilabel Argentina S.A.</t>
        </is>
      </c>
      <c r="N65" s="17" t="inlineStr">
        <is>
          <t>22 Etiquetado (T07)</t>
        </is>
      </c>
      <c r="O65" s="17" t="inlineStr">
        <is>
          <t>Sin norma: práctica de mercado (garantía de fábrica)</t>
        </is>
      </c>
      <c r="P65" s="33" t="inlineStr">
        <is>
          <t>P</t>
        </is>
      </c>
      <c r="Q65" s="33" t="inlineStr">
        <is>
          <t>FL_DES_ABC_100kg</t>
        </is>
      </c>
      <c r="R65" s="17" t="inlineStr">
        <is>
          <t>nuevo sin abrir</t>
        </is>
      </c>
    </row>
    <row r="66" outlineLevel="1">
      <c r="A66" s="33" t="n">
        <v>2</v>
      </c>
      <c r="B66" s="33" t="inlineStr">
        <is>
          <t>ABC100-35</t>
        </is>
      </c>
      <c r="C66" s="17" t="inlineStr">
        <is>
          <t xml:space="preserve">        Precinto de fábrica</t>
        </is>
      </c>
      <c r="D66" s="33" t="n">
        <v>1</v>
      </c>
      <c r="E66" s="33" t="inlineStr">
        <is>
          <t>u</t>
        </is>
      </c>
      <c r="F66" s="34" t="n">
        <v>0.0002</v>
      </c>
      <c r="G66" s="34">
        <f>D66*F66</f>
        <v/>
      </c>
      <c r="H66" s="33" t="inlineStr">
        <is>
          <t>Polipropileno color</t>
        </is>
      </c>
      <c r="I66" s="17" t="inlineStr">
        <is>
          <t>Ø5 × 10, numerado, rotura 30-50 N</t>
        </is>
      </c>
      <c r="J66" s="33" t="inlineStr">
        <is>
          <t>Compra</t>
        </is>
      </c>
      <c r="K66" s="33" t="inlineStr">
        <is>
          <t>Sí</t>
        </is>
      </c>
      <c r="L66" s="17" t="inlineStr">
        <is>
          <t>SonFuertes (vía Papelera Damián)</t>
        </is>
      </c>
      <c r="M66" s="17" t="inlineStr">
        <is>
          <t>Precinter S.R.L.</t>
        </is>
      </c>
      <c r="N66" s="17" t="inlineStr">
        <is>
          <t>20 Presurización (T05)</t>
        </is>
      </c>
      <c r="O66" s="17" t="inlineStr">
        <is>
          <t>IRAM 3523 3.3.2 · IRAM 3517-2:2020 9.4.13</t>
        </is>
      </c>
      <c r="P66" s="33" t="inlineStr">
        <is>
          <t>P</t>
        </is>
      </c>
      <c r="Q66" s="33" t="inlineStr">
        <is>
          <t>FL_DES_ABC_100kg</t>
        </is>
      </c>
      <c r="R66" s="17" t="inlineStr">
        <is>
          <t>id. FLAMA y lote</t>
        </is>
      </c>
    </row>
    <row r="67">
      <c r="A67" s="30" t="n">
        <v>1</v>
      </c>
      <c r="B67" s="30" t="inlineStr">
        <is>
          <t>ABC100-S7</t>
        </is>
      </c>
      <c r="C67" s="31" t="inlineStr">
        <is>
          <t xml:space="preserve">    Embalaje</t>
        </is>
      </c>
      <c r="D67" s="30" t="n">
        <v>1</v>
      </c>
      <c r="E67" s="30" t="inlineStr">
        <is>
          <t>u</t>
        </is>
      </c>
      <c r="F67" s="32" t="n"/>
      <c r="G67" s="32">
        <f>G70</f>
        <v/>
      </c>
      <c r="H67" s="30" t="n"/>
      <c r="I67" s="31" t="n"/>
      <c r="J67" s="30" t="inlineStr">
        <is>
          <t>Compra</t>
        </is>
      </c>
      <c r="K67" s="30" t="n"/>
      <c r="L67" s="31" t="n"/>
      <c r="M67" s="31" t="n"/>
      <c r="N67" s="31" t="inlineStr">
        <is>
          <t>23 Embalaje -&gt; 24 envolvedora (T11)</t>
        </is>
      </c>
      <c r="O67" s="31" t="n"/>
      <c r="P67" s="30" t="n"/>
      <c r="Q67" s="30" t="n"/>
      <c r="R67" s="31" t="n"/>
    </row>
    <row r="68" outlineLevel="1">
      <c r="A68" s="33" t="n">
        <v>2</v>
      </c>
      <c r="B68" s="33" t="inlineStr">
        <is>
          <t>ABC100-E1</t>
        </is>
      </c>
      <c r="C68" s="17" t="inlineStr">
        <is>
          <t xml:space="preserve">        Esquineros y funda de polietileno</t>
        </is>
      </c>
      <c r="D68" s="33" t="n">
        <v>1</v>
      </c>
      <c r="E68" s="33" t="inlineStr">
        <is>
          <t>jgo</t>
        </is>
      </c>
      <c r="F68" s="34" t="n"/>
      <c r="G68" s="34" t="n"/>
      <c r="H68" s="33" t="inlineStr">
        <is>
          <t>PE / cartón</t>
        </is>
      </c>
      <c r="I68" s="17" t="inlineStr">
        <is>
          <t>a medida de la envolvente del plano</t>
        </is>
      </c>
      <c r="J68" s="33" t="inlineStr">
        <is>
          <t>Compra</t>
        </is>
      </c>
      <c r="K68" s="33" t="inlineStr">
        <is>
          <t>Sí</t>
        </is>
      </c>
      <c r="L68" s="17" t="inlineStr">
        <is>
          <t>MV Embalajes</t>
        </is>
      </c>
      <c r="M68" s="17" t="inlineStr">
        <is>
          <t>Embalpack</t>
        </is>
      </c>
      <c r="N68" s="17" t="inlineStr">
        <is>
          <t>23 Embalaje</t>
        </is>
      </c>
      <c r="O68" s="17" t="n"/>
      <c r="P68" s="33" t="inlineStr">
        <is>
          <t>P</t>
        </is>
      </c>
      <c r="Q68" s="33" t="n"/>
      <c r="R68" s="17" t="inlineStr">
        <is>
          <t>Medida del plano</t>
        </is>
      </c>
    </row>
    <row r="69" outlineLevel="1">
      <c r="A69" s="33" t="n">
        <v>2</v>
      </c>
      <c r="B69" s="33" t="inlineStr">
        <is>
          <t>ABC100-E3</t>
        </is>
      </c>
      <c r="C69" s="17" t="inlineStr">
        <is>
          <t xml:space="preserve">        Pallet 1200 × 1000 (fracción)</t>
        </is>
      </c>
      <c r="D69" s="33" t="n">
        <v>1</v>
      </c>
      <c r="E69" s="33" t="inlineStr">
        <is>
          <t>u</t>
        </is>
      </c>
      <c r="F69" s="34" t="n"/>
      <c r="G69" s="34" t="n"/>
      <c r="H69" s="33" t="inlineStr">
        <is>
          <t>Madera</t>
        </is>
      </c>
      <c r="I69" s="17" t="inlineStr">
        <is>
          <t>1 u por pallet</t>
        </is>
      </c>
      <c r="J69" s="33" t="inlineStr">
        <is>
          <t>Compra</t>
        </is>
      </c>
      <c r="K69" s="33" t="inlineStr">
        <is>
          <t>Sí</t>
        </is>
      </c>
      <c r="L69" s="17" t="inlineStr">
        <is>
          <t>IndusPallets</t>
        </is>
      </c>
      <c r="M69" s="17" t="inlineStr">
        <is>
          <t>-</t>
        </is>
      </c>
      <c r="N69" s="17" t="inlineStr">
        <is>
          <t>23 Embalaje</t>
        </is>
      </c>
      <c r="O69" s="17" t="n"/>
      <c r="P69" s="33" t="inlineStr">
        <is>
          <t>C</t>
        </is>
      </c>
      <c r="Q69" s="33" t="n"/>
      <c r="R69" s="17" t="inlineStr">
        <is>
          <t>u por pallet = acomodo de la caja (plano) en 1200 × 1000 × 1450 de alto</t>
        </is>
      </c>
    </row>
    <row r="70" outlineLevel="1">
      <c r="A70" s="41" t="n">
        <v>2</v>
      </c>
      <c r="B70" s="41" t="inlineStr">
        <is>
          <t>ABC100-E4</t>
        </is>
      </c>
      <c r="C70" s="18" t="inlineStr">
        <is>
          <t xml:space="preserve">        Film stretch (fracción del pallet)</t>
        </is>
      </c>
      <c r="D70" s="41" t="n">
        <v>0.12</v>
      </c>
      <c r="E70" s="41" t="inlineStr">
        <is>
          <t>kg</t>
        </is>
      </c>
      <c r="F70" s="42" t="n">
        <v>1</v>
      </c>
      <c r="G70" s="42">
        <f>D70*F70</f>
        <v/>
      </c>
      <c r="H70" s="41" t="inlineStr">
        <is>
          <t>PE lineal 23 µm</t>
        </is>
      </c>
      <c r="I70" s="18" t="inlineStr">
        <is>
          <t>0,12 kg por pallet / 1 u</t>
        </is>
      </c>
      <c r="J70" s="41" t="inlineStr">
        <is>
          <t>Compra</t>
        </is>
      </c>
      <c r="K70" s="41" t="inlineStr">
        <is>
          <t>Sí</t>
        </is>
      </c>
      <c r="L70" s="18" t="inlineStr">
        <is>
          <t>MV Embalajes</t>
        </is>
      </c>
      <c r="M70" s="18" t="inlineStr">
        <is>
          <t>Embalpack</t>
        </is>
      </c>
      <c r="N70" s="18" t="inlineStr">
        <is>
          <t>24 Envolvedora (T11)</t>
        </is>
      </c>
      <c r="O70" s="18" t="n"/>
      <c r="P70" s="41" t="inlineStr">
        <is>
          <t>C</t>
        </is>
      </c>
      <c r="Q70" s="41"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3" t="n">
        <v>2</v>
      </c>
      <c r="B71" s="33" t="inlineStr">
        <is>
          <t>ABC100-E5</t>
        </is>
      </c>
      <c r="C71" s="17" t="inlineStr">
        <is>
          <t xml:space="preserve">        Etiqueta de pallet (lote y destino, fracción)</t>
        </is>
      </c>
      <c r="D71" s="33" t="n">
        <v>1</v>
      </c>
      <c r="E71" s="33" t="inlineStr">
        <is>
          <t>u</t>
        </is>
      </c>
      <c r="F71" s="34" t="n"/>
      <c r="G71" s="34" t="n"/>
      <c r="H71" s="33" t="inlineStr">
        <is>
          <t>Papel térmico</t>
        </is>
      </c>
      <c r="I71" s="17" t="inlineStr">
        <is>
          <t>100 × 150</t>
        </is>
      </c>
      <c r="J71" s="33" t="inlineStr">
        <is>
          <t>Compra</t>
        </is>
      </c>
      <c r="K71" s="33" t="inlineStr">
        <is>
          <t>Sí</t>
        </is>
      </c>
      <c r="L71" s="17" t="inlineStr">
        <is>
          <t>Astuprint</t>
        </is>
      </c>
      <c r="M71" s="17" t="inlineStr">
        <is>
          <t>Multilabel Argentina S.A.</t>
        </is>
      </c>
      <c r="N71" s="17" t="inlineStr">
        <is>
          <t>24 Envolvedora</t>
        </is>
      </c>
      <c r="O71" s="17" t="n"/>
      <c r="P71" s="33" t="inlineStr">
        <is>
          <t>C</t>
        </is>
      </c>
      <c r="Q71" s="33" t="n"/>
      <c r="R71" s="17" t="n"/>
    </row>
  </sheetData>
  <autoFilter ref="A10:R71"/>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66" t="inlineStr">
        <is>
          <t>Cilindro (recipiente) ABC 1 kg - repuesto vacío sin válvula</t>
        </is>
      </c>
    </row>
    <row r="3">
      <c r="A3" s="2" t="inlineStr">
        <is>
          <t>Plano de origen</t>
        </is>
      </c>
      <c r="C3" t="inlineStr">
        <is>
          <t>FL_REC_ABC_1kg  (recipiente para venta suelta)</t>
        </is>
      </c>
      <c r="E3" s="2" t="inlineStr">
        <is>
          <t>Peso vacío S1-S4 (kg)</t>
        </is>
      </c>
      <c r="G3" s="67">
        <f>G12</f>
        <v/>
      </c>
    </row>
    <row r="4">
      <c r="A4" s="2" t="inlineStr">
        <is>
          <t>Plano de despiece</t>
        </is>
      </c>
      <c r="C4" t="inlineStr">
        <is>
          <t>FL_REC_ABC_1kg hoja 3</t>
        </is>
      </c>
      <c r="E4" s="2" t="inlineStr">
        <is>
          <t>Peso cargado S1-S6 (kg)</t>
        </is>
      </c>
      <c r="G4" s="67">
        <f>G12</f>
        <v/>
      </c>
    </row>
    <row r="5">
      <c r="A5" s="2" t="inlineStr">
        <is>
          <t>Norma del producto</t>
        </is>
      </c>
      <c r="C5" t="inlineStr">
        <is>
          <t>IRAM 3523</t>
        </is>
      </c>
      <c r="E5" s="2" t="inlineStr">
        <is>
          <t>Peso con soporte y embalaje (kg)</t>
        </is>
      </c>
      <c r="G5" s="67">
        <f>G12+G28</f>
        <v/>
      </c>
    </row>
    <row r="6">
      <c r="A6" s="2" t="inlineStr">
        <is>
          <t>Fabricación</t>
        </is>
      </c>
      <c r="C6" t="inlineStr">
        <is>
          <t>Fabricación propia</t>
        </is>
      </c>
      <c r="E6" s="2" t="n"/>
    </row>
    <row r="7">
      <c r="A7" s="2" t="inlineStr">
        <is>
          <t>Peso catálogo cargado (kg)</t>
        </is>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FL_REC_ABC_1kg</t>
        </is>
      </c>
      <c r="C11" s="28" t="inlineStr">
        <is>
          <t>Cilindro (recipiente) ABC 1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FL_REC_ABC_1kg</t>
        </is>
      </c>
      <c r="R11" s="28" t="inlineStr">
        <is>
          <t>Fabricación propia</t>
        </is>
      </c>
    </row>
    <row r="12">
      <c r="A12" s="30" t="n">
        <v>1</v>
      </c>
      <c r="B12" s="30" t="inlineStr">
        <is>
          <t>ABC1-S1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FL_DES_ABC_1kg</t>
        </is>
      </c>
      <c r="R12" s="31" t="n"/>
    </row>
    <row r="13" outlineLevel="1">
      <c r="A13" s="33" t="n">
        <v>2</v>
      </c>
      <c r="B13" s="33" t="inlineStr">
        <is>
          <t>ABC1-01</t>
        </is>
      </c>
      <c r="C13" s="17" t="inlineStr">
        <is>
          <t xml:space="preserve">        Cuerpo (virola)</t>
        </is>
      </c>
      <c r="D13" s="33" t="n">
        <v>1</v>
      </c>
      <c r="E13" s="33" t="inlineStr">
        <is>
          <t>u</t>
        </is>
      </c>
      <c r="F13" s="34" t="n">
        <v>0.5817</v>
      </c>
      <c r="G13" s="34">
        <f>D13*F13</f>
        <v/>
      </c>
      <c r="H13" s="33" t="inlineStr">
        <is>
          <t>Caño c-c LF Ø76,2 e=1,25 (SAE 1010)</t>
        </is>
      </c>
      <c r="I13" s="17" t="inlineStr">
        <is>
          <t>Ø76,2 × e1,25 × 251,8 de alto; desarrollo 235,5 × 251,8</t>
        </is>
      </c>
      <c r="J13" s="33" t="inlineStr">
        <is>
          <t>Fabricación</t>
        </is>
      </c>
      <c r="K13" s="33" t="inlineStr">
        <is>
          <t>No</t>
        </is>
      </c>
      <c r="L13" s="17" t="n"/>
      <c r="M13" s="17" t="n"/>
      <c r="N13" s="17" t="inlineStr">
        <is>
          <t>5 Corte láser de caño (M15/M16) -&gt; 9 encastre</t>
        </is>
      </c>
      <c r="O13" s="17" t="n"/>
      <c r="P13" s="33" t="inlineStr">
        <is>
          <t>P</t>
        </is>
      </c>
      <c r="Q13" s="33" t="inlineStr">
        <is>
          <t>FL_DES_ABC_1kg</t>
        </is>
      </c>
      <c r="R13" s="17" t="inlineStr">
        <is>
          <t>costura long. MAG</t>
        </is>
      </c>
    </row>
    <row r="14" outlineLevel="2">
      <c r="A14" s="35" t="n">
        <v>3</v>
      </c>
      <c r="B14" s="35" t="inlineStr">
        <is>
          <t>MP-CANO</t>
        </is>
      </c>
      <c r="C14" s="36" t="inlineStr">
        <is>
          <t xml:space="preserve">            Caño Ø76,2 × 1,25 (tramo de barra de 6 m)</t>
        </is>
      </c>
      <c r="D14" s="35" t="n">
        <v>0.0435</v>
      </c>
      <c r="E14" s="35" t="inlineStr">
        <is>
          <t>barra</t>
        </is>
      </c>
      <c r="F14" s="37" t="n">
        <v>13.686</v>
      </c>
      <c r="G14" s="37">
        <f>D14*F14</f>
        <v/>
      </c>
      <c r="H14" s="35" t="inlineStr">
        <is>
          <t>Caño acero SAE 1010 con costura</t>
        </is>
      </c>
      <c r="I14" s="36" t="inlineStr">
        <is>
          <t>255 mm por cuerpo; 23 cuerpos por barra (kg por barra)</t>
        </is>
      </c>
      <c r="J14" s="35" t="inlineStr">
        <is>
          <t>Compra</t>
        </is>
      </c>
      <c r="K14" s="35" t="inlineStr">
        <is>
          <t>Sí</t>
        </is>
      </c>
      <c r="L14" s="36" t="inlineStr">
        <is>
          <t>Metalpri / Prilux</t>
        </is>
      </c>
      <c r="M14" s="36" t="inlineStr">
        <is>
          <t>Comercial MID</t>
        </is>
      </c>
      <c r="N14" s="36" t="inlineStr">
        <is>
          <t>AL-1T cantiléver</t>
        </is>
      </c>
      <c r="O14" s="36" t="n"/>
      <c r="P14" s="35" t="inlineStr">
        <is>
          <t>L</t>
        </is>
      </c>
      <c r="Q14" s="35" t="inlineStr">
        <is>
          <t>FL_PI_04 h2</t>
        </is>
      </c>
      <c r="R14" s="36" t="n"/>
    </row>
    <row r="15" outlineLevel="1">
      <c r="A15" s="33" t="n">
        <v>2</v>
      </c>
      <c r="B15" s="33" t="inlineStr">
        <is>
          <t>ABC1-02</t>
        </is>
      </c>
      <c r="C15" s="17" t="inlineStr">
        <is>
          <t xml:space="preserve">        Cúpula</t>
        </is>
      </c>
      <c r="D15" s="33" t="n">
        <v>1</v>
      </c>
      <c r="E15" s="33" t="inlineStr">
        <is>
          <t>u</t>
        </is>
      </c>
      <c r="F15" s="34" t="n">
        <v>0.0309</v>
      </c>
      <c r="G15" s="34">
        <f>D15*F15</f>
        <v/>
      </c>
      <c r="H15" s="33" t="inlineStr">
        <is>
          <t>Chapa LAF IRAM-IAS U 500-05 e=0,9</t>
        </is>
      </c>
      <c r="I15" s="17" t="inlineStr">
        <is>
          <t>Ø76,2 × e0,9 × 11,7 de alto; disco Ø108</t>
        </is>
      </c>
      <c r="J15" s="33" t="inlineStr">
        <is>
          <t>Fabricación</t>
        </is>
      </c>
      <c r="K15" s="33" t="inlineStr">
        <is>
          <t>No</t>
        </is>
      </c>
      <c r="L15" s="17" t="n"/>
      <c r="M15" s="17" t="n"/>
      <c r="N15" s="17" t="inlineStr">
        <is>
          <t>6 Desbobinado + embutido (M06-M08)</t>
        </is>
      </c>
      <c r="O15" s="17" t="n"/>
      <c r="P15" s="33" t="inlineStr">
        <is>
          <t>P</t>
        </is>
      </c>
      <c r="Q15" s="33" t="inlineStr">
        <is>
          <t>FL_DES_ABC_1kg</t>
        </is>
      </c>
      <c r="R15" s="17" t="inlineStr">
        <is>
          <t>embutida</t>
        </is>
      </c>
    </row>
    <row r="16" outlineLevel="2">
      <c r="A16" s="35" t="n">
        <v>3</v>
      </c>
      <c r="B16" s="35" t="inlineStr">
        <is>
          <t>MP-FLEJE</t>
        </is>
      </c>
      <c r="C16" s="36" t="inlineStr">
        <is>
          <t xml:space="preserve">            Fleje e=0,9 × 114 (paso 111)</t>
        </is>
      </c>
      <c r="D16" s="35" t="n">
        <v>0.111</v>
      </c>
      <c r="E16" s="35" t="inlineStr">
        <is>
          <t>m</t>
        </is>
      </c>
      <c r="F16" s="37" t="n">
        <v>0.805</v>
      </c>
      <c r="G16" s="37">
        <f>D16*F16</f>
        <v/>
      </c>
      <c r="H16" s="35" t="inlineStr">
        <is>
          <t>Fleje SAE 1010</t>
        </is>
      </c>
      <c r="I16" s="36" t="inlineStr">
        <is>
          <t>disco Ø108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ABC1-03</t>
        </is>
      </c>
      <c r="C17" s="17" t="inlineStr">
        <is>
          <t xml:space="preserve">        Fondo</t>
        </is>
      </c>
      <c r="D17" s="33" t="n">
        <v>1</v>
      </c>
      <c r="E17" s="33" t="inlineStr">
        <is>
          <t>u</t>
        </is>
      </c>
      <c r="F17" s="34" t="n">
        <v>0.0622</v>
      </c>
      <c r="G17" s="34">
        <f>D17*F17</f>
        <v/>
      </c>
      <c r="H17" s="33" t="inlineStr">
        <is>
          <t>Chapa LAF IRAM-IAS U 500-05 e=1,25</t>
        </is>
      </c>
      <c r="I17" s="17" t="inlineStr">
        <is>
          <t>Ø76,2 × e1,25 × 22 de alto; disco Ø100</t>
        </is>
      </c>
      <c r="J17" s="33" t="inlineStr">
        <is>
          <t>Fabricación</t>
        </is>
      </c>
      <c r="K17" s="33" t="inlineStr">
        <is>
          <t>No</t>
        </is>
      </c>
      <c r="L17" s="17" t="n"/>
      <c r="M17" s="17" t="n"/>
      <c r="N17" s="17" t="inlineStr">
        <is>
          <t>6 Desbobinado + embutido (M06-M08)</t>
        </is>
      </c>
      <c r="O17" s="17" t="n"/>
      <c r="P17" s="33" t="inlineStr">
        <is>
          <t>P</t>
        </is>
      </c>
      <c r="Q17" s="33" t="inlineStr">
        <is>
          <t>FL_DES_ABC_1kg</t>
        </is>
      </c>
      <c r="R17" s="17" t="inlineStr">
        <is>
          <t>embutido</t>
        </is>
      </c>
    </row>
    <row r="18" outlineLevel="2">
      <c r="A18" s="38" t="n">
        <v>3</v>
      </c>
      <c r="B18" s="38" t="inlineStr">
        <is>
          <t>MP-FLEJE</t>
        </is>
      </c>
      <c r="C18" s="39" t="inlineStr">
        <is>
          <t xml:space="preserve">            Fleje e=0,9 × 106 (paso 103)</t>
        </is>
      </c>
      <c r="D18" s="38" t="n">
        <v>0.103</v>
      </c>
      <c r="E18" s="38" t="inlineStr">
        <is>
          <t>m</t>
        </is>
      </c>
      <c r="F18" s="40" t="n">
        <v>0.749</v>
      </c>
      <c r="G18" s="40">
        <f>D18*F18</f>
        <v/>
      </c>
      <c r="H18" s="38" t="inlineStr">
        <is>
          <t>Fleje SAE 1010</t>
        </is>
      </c>
      <c r="I18" s="39" t="inlineStr">
        <is>
          <t>disco Ø100 (kg por m de fleje)</t>
        </is>
      </c>
      <c r="J18" s="38" t="inlineStr">
        <is>
          <t>Compra</t>
        </is>
      </c>
      <c r="K18" s="38" t="inlineStr">
        <is>
          <t>Sí</t>
        </is>
      </c>
      <c r="L18" s="39" t="inlineStr">
        <is>
          <t>Pacheco Chapas</t>
        </is>
      </c>
      <c r="M18" s="39" t="inlineStr">
        <is>
          <t>Pradecon S.A.</t>
        </is>
      </c>
      <c r="N18" s="39" t="inlineStr">
        <is>
          <t>AL-1F porta-flejes</t>
        </is>
      </c>
      <c r="O18" s="39" t="n"/>
      <c r="P18" s="38" t="inlineStr">
        <is>
          <t>L</t>
        </is>
      </c>
      <c r="Q18" s="38" t="inlineStr">
        <is>
          <t>FL_PI_04 h2</t>
        </is>
      </c>
      <c r="R18" s="39" t="inlineStr">
        <is>
          <t>OJO: el fleje es e=0,9 y el plano e=1,25</t>
        </is>
      </c>
    </row>
    <row r="19" outlineLevel="1">
      <c r="A19" s="33" t="n">
        <v>2</v>
      </c>
      <c r="B19" s="33" t="inlineStr">
        <is>
          <t>ABC1-04</t>
        </is>
      </c>
      <c r="C19" s="17" t="inlineStr">
        <is>
          <t xml:space="preserve">        Cuello roscado</t>
        </is>
      </c>
      <c r="D19" s="33" t="n">
        <v>1</v>
      </c>
      <c r="E19" s="33" t="inlineStr">
        <is>
          <t>u</t>
        </is>
      </c>
      <c r="F19" s="34" t="n">
        <v>0.0359</v>
      </c>
      <c r="G19" s="34">
        <f>D19*F19</f>
        <v/>
      </c>
      <c r="H19" s="33" t="inlineStr">
        <is>
          <t>Acero SAE 1010</t>
        </is>
      </c>
      <c r="I19" s="17" t="inlineStr">
        <is>
          <t>Ø29 × 12,5 de alto, rosca M22x1,5, asiento Ø26</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FL_DES_ABC_1kg</t>
        </is>
      </c>
      <c r="R19" s="17" t="inlineStr">
        <is>
          <t>M22x1,5</t>
        </is>
      </c>
    </row>
    <row r="20" outlineLevel="1">
      <c r="A20" s="41" t="n">
        <v>2</v>
      </c>
      <c r="B20" s="41" t="inlineStr">
        <is>
          <t>ABC1-C1</t>
        </is>
      </c>
      <c r="C20" s="18" t="inlineStr">
        <is>
          <t xml:space="preserve">        Alambre MAG ER70S-6 Ø0,9 (AWS A5.18)</t>
        </is>
      </c>
      <c r="D20" s="41" t="n">
        <v>0.0208</v>
      </c>
      <c r="E20" s="41" t="inlineStr">
        <is>
          <t>kg</t>
        </is>
      </c>
      <c r="F20" s="42" t="n">
        <v>0.95</v>
      </c>
      <c r="G20" s="42">
        <f>D20*F20</f>
        <v/>
      </c>
      <c r="H20" s="41" t="inlineStr">
        <is>
          <t>ER70S-6</t>
        </is>
      </c>
      <c r="I20" s="18" t="inlineStr">
        <is>
          <t>metal depositado de los cordones del plano 20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ABC1-C2</t>
        </is>
      </c>
      <c r="C21" s="18" t="inlineStr">
        <is>
          <t xml:space="preserve">        Gas de protección MAG Arcal 21 / ARCAL Speed (Ar + 8 % CO₂, M20)</t>
        </is>
      </c>
      <c r="D21" s="41" t="n">
        <v>13.3</v>
      </c>
      <c r="E21" s="41" t="inlineStr">
        <is>
          <t>L</t>
        </is>
      </c>
      <c r="F21" s="42" t="n"/>
      <c r="G21" s="42" t="n"/>
      <c r="H21" s="41" t="inlineStr">
        <is>
          <t>EN ISO 14175 M20-ArC-8</t>
        </is>
      </c>
      <c r="I21" s="18" t="inlineStr">
        <is>
          <t>14 L/min × 0,95 min de arco (cordones 570 mm: long. 0 + circ. 479 + cuello 91,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3" t="n">
        <v>2</v>
      </c>
      <c r="B22" s="43" t="inlineStr">
        <is>
          <t>ABC1-C3</t>
        </is>
      </c>
      <c r="C22" s="20" t="inlineStr">
        <is>
          <t xml:space="preserve">        Granalla de acero S330 / S390 (ISO 11124-3, SAE J444)</t>
        </is>
      </c>
      <c r="D22" s="43" t="n">
        <v>0.08</v>
      </c>
      <c r="E22" s="43" t="inlineStr">
        <is>
          <t>kg</t>
        </is>
      </c>
      <c r="F22" s="44" t="n"/>
      <c r="G22" s="44" t="n"/>
      <c r="H22" s="43" t="inlineStr">
        <is>
          <t>Granalla esférica alto C</t>
        </is>
      </c>
      <c r="I22" s="20" t="inlineStr">
        <is>
          <t>0,07 m² a Sa 2½ (ISO 8501-1); 3,4 kg/h ÷ 42,5 u/h</t>
        </is>
      </c>
      <c r="J22" s="43" t="inlineStr">
        <is>
          <t>Compra</t>
        </is>
      </c>
      <c r="K22" s="43" t="inlineStr">
        <is>
          <t>Sí</t>
        </is>
      </c>
      <c r="L22" s="20" t="inlineStr">
        <is>
          <t>CyM Materiales</t>
        </is>
      </c>
      <c r="M22" s="20" t="inlineStr">
        <is>
          <t>Roca Ingeniería</t>
        </is>
      </c>
      <c r="N22" s="20" t="inlineStr">
        <is>
          <t>14 Granallado (B08)</t>
        </is>
      </c>
      <c r="O22" s="20" t="inlineStr">
        <is>
          <t>DOC-01</t>
        </is>
      </c>
      <c r="P22" s="43" t="inlineStr">
        <is>
          <t>C</t>
        </is>
      </c>
      <c r="Q22" s="43" t="n"/>
      <c r="R22" s="20"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3" t="n">
        <v>2</v>
      </c>
      <c r="B23" s="33" t="inlineStr">
        <is>
          <t>ABC1-C4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0,07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3" t="n">
        <v>2</v>
      </c>
      <c r="B24" s="43" t="inlineStr">
        <is>
          <t>ABC1-T1</t>
        </is>
      </c>
      <c r="C24" s="20" t="inlineStr">
        <is>
          <t xml:space="preserve">        Tapón protector de rosca del cuello</t>
        </is>
      </c>
      <c r="D24" s="43" t="n">
        <v>1</v>
      </c>
      <c r="E24" s="43" t="inlineStr">
        <is>
          <t>u</t>
        </is>
      </c>
      <c r="F24" s="44" t="n"/>
      <c r="G24" s="44" t="n"/>
      <c r="H24" s="43" t="inlineStr">
        <is>
          <t>Polietileno</t>
        </is>
      </c>
      <c r="I24" s="20" t="inlineStr">
        <is>
          <t>para rosca M22x1,5 (plano FL_REC_ABC_1kg hoja 3, R4)</t>
        </is>
      </c>
      <c r="J24" s="43" t="inlineStr">
        <is>
          <t>Compra</t>
        </is>
      </c>
      <c r="K24" s="43" t="inlineStr">
        <is>
          <t>Sí</t>
        </is>
      </c>
      <c r="L24" s="20" t="inlineStr">
        <is>
          <t>-</t>
        </is>
      </c>
      <c r="M24" s="20" t="inlineStr">
        <is>
          <t>-</t>
        </is>
      </c>
      <c r="N24" s="20" t="inlineStr">
        <is>
          <t>Embalaje</t>
        </is>
      </c>
      <c r="O24" s="20" t="n"/>
      <c r="P24" s="43" t="inlineStr">
        <is>
          <t>P</t>
        </is>
      </c>
      <c r="Q24" s="43" t="n"/>
      <c r="R24" s="20" t="n"/>
    </row>
    <row r="25" outlineLevel="1">
      <c r="A25" s="33" t="n">
        <v>2</v>
      </c>
      <c r="B25" s="33" t="inlineStr">
        <is>
          <t>ABC1-T2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FL_REC_ABC_1kg hoja 3</t>
        </is>
      </c>
      <c r="R26" s="17" t="n"/>
    </row>
    <row r="27" outlineLevel="1">
      <c r="A27" s="33" t="n">
        <v>2</v>
      </c>
      <c r="B27" s="33" t="inlineStr">
        <is>
          <t>ABC1-T4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FL_REC_ABC_1kg hoja 3</t>
        </is>
      </c>
      <c r="R27" s="17" t="n"/>
    </row>
    <row r="28">
      <c r="A28" s="30" t="n">
        <v>1</v>
      </c>
      <c r="B28" s="30" t="inlineStr">
        <is>
          <t>ABC1-S7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ABC1-E1</t>
        </is>
      </c>
      <c r="C29" s="17" t="inlineStr">
        <is>
          <t xml:space="preserve">        Caja de cartón corrugado simple</t>
        </is>
      </c>
      <c r="D29" s="33" t="n">
        <v>1</v>
      </c>
      <c r="E29" s="33" t="inlineStr">
        <is>
          <t>u</t>
        </is>
      </c>
      <c r="F29" s="34" t="n"/>
      <c r="G29" s="34" t="n"/>
      <c r="H29" s="33" t="inlineStr">
        <is>
          <t>Cartón corrugado</t>
        </is>
      </c>
      <c r="I29" s="17" t="inlineStr">
        <is>
          <t>106 × 106 × 318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ABC1-E3</t>
        </is>
      </c>
      <c r="C30" s="17" t="inlineStr">
        <is>
          <t xml:space="preserve">        Pallet 1200 × 1000 (fracción)</t>
        </is>
      </c>
      <c r="D30" s="33" t="n">
        <v>0.0025</v>
      </c>
      <c r="E30" s="33" t="inlineStr">
        <is>
          <t>u</t>
        </is>
      </c>
      <c r="F30" s="34" t="n"/>
      <c r="G30" s="34" t="n"/>
      <c r="H30" s="33" t="inlineStr">
        <is>
          <t>Madera</t>
        </is>
      </c>
      <c r="I30" s="17" t="inlineStr">
        <is>
          <t>396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41" t="n">
        <v>2</v>
      </c>
      <c r="B31" s="41" t="inlineStr">
        <is>
          <t>ABC1-E4</t>
        </is>
      </c>
      <c r="C31" s="18" t="inlineStr">
        <is>
          <t xml:space="preserve">        Film stretch (fracción del pallet)</t>
        </is>
      </c>
      <c r="D31" s="41" t="n">
        <v>0.0003</v>
      </c>
      <c r="E31" s="41" t="inlineStr">
        <is>
          <t>kg</t>
        </is>
      </c>
      <c r="F31" s="42" t="n">
        <v>1</v>
      </c>
      <c r="G31" s="42">
        <f>D31*F31</f>
        <v/>
      </c>
      <c r="H31" s="41" t="inlineStr">
        <is>
          <t>PE lineal 23 µm</t>
        </is>
      </c>
      <c r="I31" s="18" t="inlineStr">
        <is>
          <t>0,12 kg por pallet / 396 u</t>
        </is>
      </c>
      <c r="J31" s="41" t="inlineStr">
        <is>
          <t>Compra</t>
        </is>
      </c>
      <c r="K31" s="41" t="inlineStr">
        <is>
          <t>Sí</t>
        </is>
      </c>
      <c r="L31" s="18" t="inlineStr">
        <is>
          <t>MV Embalajes</t>
        </is>
      </c>
      <c r="M31" s="18" t="inlineStr">
        <is>
          <t>Embalpack</t>
        </is>
      </c>
      <c r="N31" s="18" t="inlineStr">
        <is>
          <t>24 Envolvedora (T11)</t>
        </is>
      </c>
      <c r="O31" s="18" t="n"/>
      <c r="P31" s="41" t="inlineStr">
        <is>
          <t>C</t>
        </is>
      </c>
      <c r="Q31" s="41"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ABC1-E5</t>
        </is>
      </c>
      <c r="C32" s="17" t="inlineStr">
        <is>
          <t xml:space="preserve">        Etiqueta de pallet (lote y destino, fracción)</t>
        </is>
      </c>
      <c r="D32" s="33" t="n">
        <v>0.0025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41" t="n">
        <v>2</v>
      </c>
      <c r="B33" s="41" t="inlineStr">
        <is>
          <t>ABC1-E6</t>
        </is>
      </c>
      <c r="C33" s="18" t="inlineStr">
        <is>
          <t xml:space="preserve">        Cinta de embalaje PP 48 mm (cierre de la caja)</t>
        </is>
      </c>
      <c r="D33" s="41" t="n">
        <v>0.492</v>
      </c>
      <c r="E33" s="41" t="inlineStr">
        <is>
          <t>m</t>
        </is>
      </c>
      <c r="F33" s="42" t="n"/>
      <c r="G33" s="42" t="n"/>
      <c r="H33" s="41" t="inlineStr">
        <is>
          <t>Polipropileno con adhesivo acrílico</t>
        </is>
      </c>
      <c r="I33" s="18" t="inlineStr">
        <is>
          <t>cierre en I arriba y abajo: 2 × (106 + 2 × 70 de solapa)</t>
        </is>
      </c>
      <c r="J33" s="41" t="inlineStr">
        <is>
          <t>Compra</t>
        </is>
      </c>
      <c r="K33" s="41" t="inlineStr">
        <is>
          <t>Sí</t>
        </is>
      </c>
      <c r="L33" s="18" t="inlineStr">
        <is>
          <t>MV Embalajes</t>
        </is>
      </c>
      <c r="M33" s="18" t="inlineStr">
        <is>
          <t>Embalpack</t>
        </is>
      </c>
      <c r="N33" s="18" t="inlineStr">
        <is>
          <t>23 Embalaje</t>
        </is>
      </c>
      <c r="O33" s="18" t="n"/>
      <c r="P33" s="41" t="inlineStr">
        <is>
          <t>C</t>
        </is>
      </c>
      <c r="Q33" s="41" t="n"/>
      <c r="R33" s="18" t="inlineStr">
        <is>
          <t>Solapa de 70 mm por lado: práctica de cierre de cajas (medir en la línea)</t>
        </is>
      </c>
    </row>
    <row r="34" outlineLevel="1">
      <c r="A34" s="33" t="n">
        <v>2</v>
      </c>
      <c r="B34" s="33" t="inlineStr">
        <is>
          <t>ABC1-E7</t>
        </is>
      </c>
      <c r="C34" s="17" t="inlineStr">
        <is>
          <t xml:space="preserve">        Esquineros de cartón 50 × 50 × 1200 (fracción del pallet)</t>
        </is>
      </c>
      <c r="D34" s="33" t="n">
        <v>0.0101</v>
      </c>
      <c r="E34" s="33" t="inlineStr">
        <is>
          <t>u</t>
        </is>
      </c>
      <c r="F34" s="34" t="n"/>
      <c r="G34" s="34" t="n"/>
      <c r="H34" s="33" t="inlineStr">
        <is>
          <t>Cartón</t>
        </is>
      </c>
      <c r="I34" s="17" t="inlineStr">
        <is>
          <t>4 por pallet / 396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ABC1-E8</t>
        </is>
      </c>
      <c r="C35" s="17" t="inlineStr">
        <is>
          <t xml:space="preserve">        Separador de capa de cartón 1200 × 1000 (fracción del pallet)</t>
        </is>
      </c>
      <c r="D35" s="33" t="n">
        <v>0.0076</v>
      </c>
      <c r="E35" s="33" t="inlineStr">
        <is>
          <t>u</t>
        </is>
      </c>
      <c r="F35" s="34" t="n"/>
      <c r="G35" s="34" t="n"/>
      <c r="H35" s="33" t="inlineStr">
        <is>
          <t>Cartón</t>
        </is>
      </c>
      <c r="I35" s="17" t="inlineStr">
        <is>
          <t>4 capas → 3 separadores por pallet / 396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6" t="inlineStr">
        <is>
          <t>Cilindro (recipiente) ABC 2,5 kg - repuesto vacío sin válvula</t>
        </is>
      </c>
    </row>
    <row r="3">
      <c r="A3" s="2" t="inlineStr">
        <is>
          <t>Plano de origen</t>
        </is>
      </c>
      <c r="C3" t="inlineStr">
        <is>
          <t>FL_REC_ABC_2.5kg  (recipiente para venta suelta)</t>
        </is>
      </c>
      <c r="E3" s="2" t="inlineStr">
        <is>
          <t>Peso vacío S1-S4 (kg)</t>
        </is>
      </c>
      <c r="G3" s="67">
        <f>G12</f>
        <v/>
      </c>
    </row>
    <row r="4">
      <c r="A4" s="2" t="inlineStr">
        <is>
          <t>Plano de despiece</t>
        </is>
      </c>
      <c r="C4" t="inlineStr">
        <is>
          <t>FL_REC_ABC_2.5kg hoja 3</t>
        </is>
      </c>
      <c r="E4" s="2" t="inlineStr">
        <is>
          <t>Peso cargado S1-S6 (kg)</t>
        </is>
      </c>
      <c r="G4" s="67">
        <f>G12</f>
        <v/>
      </c>
    </row>
    <row r="5">
      <c r="A5" s="2" t="inlineStr">
        <is>
          <t>Norma del producto</t>
        </is>
      </c>
      <c r="C5" t="inlineStr">
        <is>
          <t>IRAM 3523</t>
        </is>
      </c>
      <c r="E5" s="2" t="inlineStr">
        <is>
          <t>Peso con soporte y embalaje (kg)</t>
        </is>
      </c>
      <c r="G5" s="67">
        <f>G12+G28</f>
        <v/>
      </c>
    </row>
    <row r="6">
      <c r="A6" s="2" t="inlineStr">
        <is>
          <t>Fabricación</t>
        </is>
      </c>
      <c r="C6" t="inlineStr">
        <is>
          <t>Fabricación propia</t>
        </is>
      </c>
      <c r="E6" s="2" t="n"/>
    </row>
    <row r="7">
      <c r="A7" s="2" t="inlineStr">
        <is>
          <t>Peso catálogo cargado (kg)</t>
        </is>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0.9899</v>
      </c>
      <c r="G13" s="34">
        <f>D13*F13</f>
        <v/>
      </c>
      <c r="H13" s="33" t="inlineStr">
        <is>
          <t>Chapa LAF IRAM-IAS U 500-05 e=1,25</t>
        </is>
      </c>
      <c r="I13" s="17" t="inlineStr">
        <is>
          <t>Ø124 × e1,25 × 261,6 de alto; desarrollo 385,6 × 261,6</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LAF 1220 × 2440 e=1,25</t>
        </is>
      </c>
      <c r="D14" s="35" t="n">
        <v>1</v>
      </c>
      <c r="E14" s="35" t="inlineStr">
        <is>
          <t>u</t>
        </is>
      </c>
      <c r="F14" s="37" t="n">
        <v>1.082</v>
      </c>
      <c r="G14" s="37">
        <f>D14*F14</f>
        <v/>
      </c>
      <c r="H14" s="35" t="inlineStr">
        <is>
          <t>Chapa LAF IRAM-IAS U 500-05 LAF</t>
        </is>
      </c>
      <c r="I14" s="36" t="inlineStr">
        <is>
          <t>385,5 × 269,5 (aprovech. 94,2 %)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0.1642</v>
      </c>
      <c r="G15" s="34">
        <f>D15*F15</f>
        <v/>
      </c>
      <c r="H15" s="33" t="inlineStr">
        <is>
          <t>Chapa LAF IRAM-IAS U 500-05 e=1,25</t>
        </is>
      </c>
      <c r="I15" s="17" t="inlineStr">
        <is>
          <t>Ø124 × e1,25 × 37,9 de alto; disco Ø179</t>
        </is>
      </c>
      <c r="J15" s="33" t="inlineStr">
        <is>
          <t>Fabricación</t>
        </is>
      </c>
      <c r="K15" s="33" t="inlineStr">
        <is>
          <t>No</t>
        </is>
      </c>
      <c r="L15" s="17" t="n"/>
      <c r="M15" s="17" t="n"/>
      <c r="N15" s="17" t="inlineStr">
        <is>
          <t>6 Desbobinado + embutido (M06-M08)</t>
        </is>
      </c>
      <c r="O15" s="17" t="n"/>
      <c r="P15" s="33" t="inlineStr">
        <is>
          <t>P</t>
        </is>
      </c>
      <c r="Q15" s="33" t="inlineStr">
        <is>
          <t>FL_DES_ABC_2.5kg</t>
        </is>
      </c>
      <c r="R15" s="17" t="inlineStr">
        <is>
          <t>embutida</t>
        </is>
      </c>
    </row>
    <row r="16" outlineLevel="2">
      <c r="A16" s="35" t="n">
        <v>3</v>
      </c>
      <c r="B16" s="35" t="inlineStr">
        <is>
          <t>MP-FLEJE</t>
        </is>
      </c>
      <c r="C16" s="36" t="inlineStr">
        <is>
          <t xml:space="preserve">            Fleje e=1,25 × 200 (paso 182)</t>
        </is>
      </c>
      <c r="D16" s="35" t="n">
        <v>0.182</v>
      </c>
      <c r="E16" s="35" t="inlineStr">
        <is>
          <t>m</t>
        </is>
      </c>
      <c r="F16" s="37" t="n">
        <v>1.962</v>
      </c>
      <c r="G16" s="37">
        <f>D16*F16</f>
        <v/>
      </c>
      <c r="H16" s="35" t="inlineStr">
        <is>
          <t>Fleje SAE 1010</t>
        </is>
      </c>
      <c r="I16" s="36" t="inlineStr">
        <is>
          <t>disco Ø179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ABC2.5-03</t>
        </is>
      </c>
      <c r="C17" s="17" t="inlineStr">
        <is>
          <t xml:space="preserve">        Fondo</t>
        </is>
      </c>
      <c r="D17" s="33" t="n">
        <v>1</v>
      </c>
      <c r="E17" s="33" t="inlineStr">
        <is>
          <t>u</t>
        </is>
      </c>
      <c r="F17" s="34" t="n">
        <v>0.1138</v>
      </c>
      <c r="G17" s="34">
        <f>D17*F17</f>
        <v/>
      </c>
      <c r="H17" s="33" t="inlineStr">
        <is>
          <t>Chapa LAF IRAM-IAS U 500-05 e=1,25</t>
        </is>
      </c>
      <c r="I17" s="17" t="inlineStr">
        <is>
          <t>Ø124 × e1,25 × 11,8 de alto; disco Ø148</t>
        </is>
      </c>
      <c r="J17" s="33" t="inlineStr">
        <is>
          <t>Fabricación</t>
        </is>
      </c>
      <c r="K17" s="33" t="inlineStr">
        <is>
          <t>No</t>
        </is>
      </c>
      <c r="L17" s="17" t="n"/>
      <c r="M17" s="17" t="n"/>
      <c r="N17" s="17" t="inlineStr">
        <is>
          <t>6 Desbobinado + embutido (M06-M08)</t>
        </is>
      </c>
      <c r="O17" s="17" t="n"/>
      <c r="P17" s="33" t="inlineStr">
        <is>
          <t>P</t>
        </is>
      </c>
      <c r="Q17" s="33" t="inlineStr">
        <is>
          <t>FL_DES_ABC_2.5kg</t>
        </is>
      </c>
      <c r="R17" s="17" t="inlineStr">
        <is>
          <t>embutido</t>
        </is>
      </c>
    </row>
    <row r="18" outlineLevel="2">
      <c r="A18" s="35" t="n">
        <v>3</v>
      </c>
      <c r="B18" s="35" t="inlineStr">
        <is>
          <t>MP-FLEJE</t>
        </is>
      </c>
      <c r="C18" s="36" t="inlineStr">
        <is>
          <t xml:space="preserve">            Fleje e=1,25 × 200 (paso 151)</t>
        </is>
      </c>
      <c r="D18" s="35" t="n">
        <v>0.151</v>
      </c>
      <c r="E18" s="35" t="inlineStr">
        <is>
          <t>m</t>
        </is>
      </c>
      <c r="F18" s="37" t="n">
        <v>1.962</v>
      </c>
      <c r="G18" s="37">
        <f>D18*F18</f>
        <v/>
      </c>
      <c r="H18" s="35" t="inlineStr">
        <is>
          <t>Fleje SAE 1010</t>
        </is>
      </c>
      <c r="I18" s="36" t="inlineStr">
        <is>
          <t>disco Ø148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ABC2.5-04</t>
        </is>
      </c>
      <c r="C19" s="17" t="inlineStr">
        <is>
          <t xml:space="preserve">        Cuello roscado</t>
        </is>
      </c>
      <c r="D19" s="33" t="n">
        <v>1</v>
      </c>
      <c r="E19" s="33" t="inlineStr">
        <is>
          <t>u</t>
        </is>
      </c>
      <c r="F19" s="34" t="n">
        <v>0.0545</v>
      </c>
      <c r="G19" s="34">
        <f>D19*F19</f>
        <v/>
      </c>
      <c r="H19" s="33" t="inlineStr">
        <is>
          <t>Acero SAE 1010</t>
        </is>
      </c>
      <c r="I19" s="17" t="inlineStr">
        <is>
          <t>Ø37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FL_DES_ABC_2.5kg</t>
        </is>
      </c>
      <c r="R19" s="17" t="inlineStr">
        <is>
          <t>M30x1,5</t>
        </is>
      </c>
    </row>
    <row r="20" outlineLevel="1">
      <c r="A20" s="41" t="n">
        <v>2</v>
      </c>
      <c r="B20" s="41" t="inlineStr">
        <is>
          <t>ABC2.5-C1</t>
        </is>
      </c>
      <c r="C20" s="18" t="inlineStr">
        <is>
          <t xml:space="preserve">        Alambre MAG ER70S-6 Ø0,9 (AWS A5.18)</t>
        </is>
      </c>
      <c r="D20" s="41" t="n">
        <v>0.0294</v>
      </c>
      <c r="E20" s="41" t="inlineStr">
        <is>
          <t>kg</t>
        </is>
      </c>
      <c r="F20" s="42" t="n">
        <v>0.95</v>
      </c>
      <c r="G20" s="42">
        <f>D20*F20</f>
        <v/>
      </c>
      <c r="H20" s="41" t="inlineStr">
        <is>
          <t>ER70S-6</t>
        </is>
      </c>
      <c r="I20" s="18" t="inlineStr">
        <is>
          <t>metal depositado de los cordones del plano 28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ABC2.5-C2</t>
        </is>
      </c>
      <c r="C21" s="18" t="inlineStr">
        <is>
          <t xml:space="preserve">        Gas de protección MAG Arcal 21 / ARCAL Speed (Ar + 8 % CO₂, M20)</t>
        </is>
      </c>
      <c r="D21" s="41" t="n">
        <v>27</v>
      </c>
      <c r="E21" s="41" t="inlineStr">
        <is>
          <t>L</t>
        </is>
      </c>
      <c r="F21" s="42" t="n"/>
      <c r="G21" s="42" t="n"/>
      <c r="H21" s="41" t="inlineStr">
        <is>
          <t>EN ISO 14175 M20-ArC-8</t>
        </is>
      </c>
      <c r="I21" s="18" t="inlineStr">
        <is>
          <t>14 L/min × 1,93 min de arco (cordones 1.157 mm: long. 262 + circ. 779 + cuello 116,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ABC2.5-C3</t>
        </is>
      </c>
      <c r="C22" s="18" t="inlineStr">
        <is>
          <t xml:space="preserve">        Granalla de acero S330 / S390 (ISO 11124-3, SAE J444)</t>
        </is>
      </c>
      <c r="D22" s="41" t="n">
        <v>0.08</v>
      </c>
      <c r="E22" s="41" t="inlineStr">
        <is>
          <t>kg</t>
        </is>
      </c>
      <c r="F22" s="42" t="n"/>
      <c r="G22" s="42" t="n"/>
      <c r="H22" s="41" t="inlineStr">
        <is>
          <t>Granalla esférica alto C</t>
        </is>
      </c>
      <c r="I22" s="18" t="inlineStr">
        <is>
          <t>0,129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ABC2.5-C4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0,129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3" t="n">
        <v>2</v>
      </c>
      <c r="B24" s="43" t="inlineStr">
        <is>
          <t>ABC2.5-T1</t>
        </is>
      </c>
      <c r="C24" s="20" t="inlineStr">
        <is>
          <t xml:space="preserve">        Tapón protector de rosca del cuello</t>
        </is>
      </c>
      <c r="D24" s="43" t="n">
        <v>1</v>
      </c>
      <c r="E24" s="43" t="inlineStr">
        <is>
          <t>u</t>
        </is>
      </c>
      <c r="F24" s="44" t="n"/>
      <c r="G24" s="44" t="n"/>
      <c r="H24" s="43" t="inlineStr">
        <is>
          <t>Polietileno</t>
        </is>
      </c>
      <c r="I24" s="20" t="inlineStr">
        <is>
          <t>para rosca M30x1,5 (plano FL_REC_ABC_2.5kg hoja 3, R4)</t>
        </is>
      </c>
      <c r="J24" s="43" t="inlineStr">
        <is>
          <t>Compra</t>
        </is>
      </c>
      <c r="K24" s="43" t="inlineStr">
        <is>
          <t>Sí</t>
        </is>
      </c>
      <c r="L24" s="20" t="inlineStr">
        <is>
          <t>-</t>
        </is>
      </c>
      <c r="M24" s="20" t="inlineStr">
        <is>
          <t>-</t>
        </is>
      </c>
      <c r="N24" s="20" t="inlineStr">
        <is>
          <t>Embalaje</t>
        </is>
      </c>
      <c r="O24" s="20" t="n"/>
      <c r="P24" s="43" t="inlineStr">
        <is>
          <t>P</t>
        </is>
      </c>
      <c r="Q24" s="43" t="n"/>
      <c r="R24" s="20" t="n"/>
    </row>
    <row r="25" outlineLevel="1">
      <c r="A25" s="33" t="n">
        <v>2</v>
      </c>
      <c r="B25" s="33" t="inlineStr">
        <is>
          <t>ABC2.5-T2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ABC2.5-T3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FL_REC_ABC_2.5kg hoja 3</t>
        </is>
      </c>
      <c r="R26" s="17" t="n"/>
    </row>
    <row r="27" outlineLevel="1">
      <c r="A27" s="33" t="n">
        <v>2</v>
      </c>
      <c r="B27" s="33" t="inlineStr">
        <is>
          <t>ABC2.5-T4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FL_REC_ABC_2.5kg hoja 3</t>
        </is>
      </c>
      <c r="R27" s="17" t="n"/>
    </row>
    <row r="28">
      <c r="A28" s="30" t="n">
        <v>1</v>
      </c>
      <c r="B28" s="30" t="inlineStr">
        <is>
          <t>ABC2.5-S7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ABC2.5-E1</t>
        </is>
      </c>
      <c r="C29" s="17" t="inlineStr">
        <is>
          <t xml:space="preserve">        Caja de cartón corrugado simple</t>
        </is>
      </c>
      <c r="D29" s="33" t="n">
        <v>1</v>
      </c>
      <c r="E29" s="33" t="inlineStr">
        <is>
          <t>u</t>
        </is>
      </c>
      <c r="F29" s="34" t="n"/>
      <c r="G29" s="34" t="n"/>
      <c r="H29" s="33" t="inlineStr">
        <is>
          <t>Cartón corrugado</t>
        </is>
      </c>
      <c r="I29" s="17" t="inlineStr">
        <is>
          <t>154 × 154 × 334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ABC2.5-E3</t>
        </is>
      </c>
      <c r="C30" s="17" t="inlineStr">
        <is>
          <t xml:space="preserve">        Pallet 1200 × 1000 (fracción)</t>
        </is>
      </c>
      <c r="D30" s="33" t="n">
        <v>0.006</v>
      </c>
      <c r="E30" s="33" t="inlineStr">
        <is>
          <t>u</t>
        </is>
      </c>
      <c r="F30" s="34" t="n"/>
      <c r="G30" s="34" t="n"/>
      <c r="H30" s="33" t="inlineStr">
        <is>
          <t>Madera</t>
        </is>
      </c>
      <c r="I30" s="17" t="inlineStr">
        <is>
          <t>168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41" t="n">
        <v>2</v>
      </c>
      <c r="B31" s="41" t="inlineStr">
        <is>
          <t>ABC2.5-E4</t>
        </is>
      </c>
      <c r="C31" s="18" t="inlineStr">
        <is>
          <t xml:space="preserve">        Film stretch (fracción del pallet)</t>
        </is>
      </c>
      <c r="D31" s="41" t="n">
        <v>0.0007</v>
      </c>
      <c r="E31" s="41" t="inlineStr">
        <is>
          <t>kg</t>
        </is>
      </c>
      <c r="F31" s="42" t="n">
        <v>1</v>
      </c>
      <c r="G31" s="42">
        <f>D31*F31</f>
        <v/>
      </c>
      <c r="H31" s="41" t="inlineStr">
        <is>
          <t>PE lineal 23 µm</t>
        </is>
      </c>
      <c r="I31" s="18" t="inlineStr">
        <is>
          <t>0,12 kg por pallet / 168 u</t>
        </is>
      </c>
      <c r="J31" s="41" t="inlineStr">
        <is>
          <t>Compra</t>
        </is>
      </c>
      <c r="K31" s="41" t="inlineStr">
        <is>
          <t>Sí</t>
        </is>
      </c>
      <c r="L31" s="18" t="inlineStr">
        <is>
          <t>MV Embalajes</t>
        </is>
      </c>
      <c r="M31" s="18" t="inlineStr">
        <is>
          <t>Embalpack</t>
        </is>
      </c>
      <c r="N31" s="18" t="inlineStr">
        <is>
          <t>24 Envolvedora (T11)</t>
        </is>
      </c>
      <c r="O31" s="18" t="n"/>
      <c r="P31" s="41" t="inlineStr">
        <is>
          <t>C</t>
        </is>
      </c>
      <c r="Q31" s="41"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ABC2.5-E5</t>
        </is>
      </c>
      <c r="C32" s="17" t="inlineStr">
        <is>
          <t xml:space="preserve">        Etiqueta de pallet (lote y destino, fracción)</t>
        </is>
      </c>
      <c r="D32" s="33" t="n">
        <v>0.006</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41" t="n">
        <v>2</v>
      </c>
      <c r="B33" s="41" t="inlineStr">
        <is>
          <t>ABC2.5-E6</t>
        </is>
      </c>
      <c r="C33" s="18" t="inlineStr">
        <is>
          <t xml:space="preserve">        Cinta de embalaje PP 48 mm (cierre de la caja)</t>
        </is>
      </c>
      <c r="D33" s="41" t="n">
        <v>0.588</v>
      </c>
      <c r="E33" s="41" t="inlineStr">
        <is>
          <t>m</t>
        </is>
      </c>
      <c r="F33" s="42" t="n"/>
      <c r="G33" s="42" t="n"/>
      <c r="H33" s="41" t="inlineStr">
        <is>
          <t>Polipropileno con adhesivo acrílico</t>
        </is>
      </c>
      <c r="I33" s="18" t="inlineStr">
        <is>
          <t>cierre en I arriba y abajo: 2 × (154 + 2 × 70 de solapa)</t>
        </is>
      </c>
      <c r="J33" s="41" t="inlineStr">
        <is>
          <t>Compra</t>
        </is>
      </c>
      <c r="K33" s="41" t="inlineStr">
        <is>
          <t>Sí</t>
        </is>
      </c>
      <c r="L33" s="18" t="inlineStr">
        <is>
          <t>MV Embalajes</t>
        </is>
      </c>
      <c r="M33" s="18" t="inlineStr">
        <is>
          <t>Embalpack</t>
        </is>
      </c>
      <c r="N33" s="18" t="inlineStr">
        <is>
          <t>23 Embalaje</t>
        </is>
      </c>
      <c r="O33" s="18" t="n"/>
      <c r="P33" s="41" t="inlineStr">
        <is>
          <t>C</t>
        </is>
      </c>
      <c r="Q33" s="41" t="n"/>
      <c r="R33" s="18" t="inlineStr">
        <is>
          <t>Solapa de 70 mm por lado: práctica de cierre de cajas (medir en la línea)</t>
        </is>
      </c>
    </row>
    <row r="34" outlineLevel="1">
      <c r="A34" s="33" t="n">
        <v>2</v>
      </c>
      <c r="B34" s="33" t="inlineStr">
        <is>
          <t>ABC2.5-E7</t>
        </is>
      </c>
      <c r="C34" s="17" t="inlineStr">
        <is>
          <t xml:space="preserve">        Esquineros de cartón 50 × 50 × 1200 (fracción del pallet)</t>
        </is>
      </c>
      <c r="D34" s="33" t="n">
        <v>0.0238</v>
      </c>
      <c r="E34" s="33" t="inlineStr">
        <is>
          <t>u</t>
        </is>
      </c>
      <c r="F34" s="34" t="n"/>
      <c r="G34" s="34" t="n"/>
      <c r="H34" s="33" t="inlineStr">
        <is>
          <t>Cartón</t>
        </is>
      </c>
      <c r="I34" s="17" t="inlineStr">
        <is>
          <t>4 por pallet / 168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ABC2.5-E8</t>
        </is>
      </c>
      <c r="C35" s="17" t="inlineStr">
        <is>
          <t xml:space="preserve">        Separador de capa de cartón 1200 × 1000 (fracción del pallet)</t>
        </is>
      </c>
      <c r="D35" s="33" t="n">
        <v>0.0179</v>
      </c>
      <c r="E35" s="33" t="inlineStr">
        <is>
          <t>u</t>
        </is>
      </c>
      <c r="F35" s="34" t="n"/>
      <c r="G35" s="34" t="n"/>
      <c r="H35" s="33" t="inlineStr">
        <is>
          <t>Cartón</t>
        </is>
      </c>
      <c r="I35" s="17" t="inlineStr">
        <is>
          <t>4 capas → 3 separadores por pallet / 168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66" t="inlineStr">
        <is>
          <t>Cilindro (recipiente) ABC 5 kg - repuesto vacío sin válvula</t>
        </is>
      </c>
    </row>
    <row r="3">
      <c r="A3" s="2" t="inlineStr">
        <is>
          <t>Plano de origen</t>
        </is>
      </c>
      <c r="C3" t="inlineStr">
        <is>
          <t>FL_REC_ABC_5kg  (recipiente para venta suelta)</t>
        </is>
      </c>
      <c r="E3" s="2" t="inlineStr">
        <is>
          <t>Peso vacío S1-S4 (kg)</t>
        </is>
      </c>
      <c r="G3" s="67">
        <f>G12</f>
        <v/>
      </c>
    </row>
    <row r="4">
      <c r="A4" s="2" t="inlineStr">
        <is>
          <t>Plano de despiece</t>
        </is>
      </c>
      <c r="C4" t="inlineStr">
        <is>
          <t>FL_REC_ABC_5kg hoja 3</t>
        </is>
      </c>
      <c r="E4" s="2" t="inlineStr">
        <is>
          <t>Peso cargado S1-S6 (kg)</t>
        </is>
      </c>
      <c r="G4" s="67">
        <f>G12</f>
        <v/>
      </c>
    </row>
    <row r="5">
      <c r="A5" s="2" t="inlineStr">
        <is>
          <t>Norma del producto</t>
        </is>
      </c>
      <c r="C5" t="inlineStr">
        <is>
          <t>IRAM 3523</t>
        </is>
      </c>
      <c r="E5" s="2" t="inlineStr">
        <is>
          <t>Peso con soporte y embalaje (kg)</t>
        </is>
      </c>
      <c r="G5" s="67">
        <f>G12+G28</f>
        <v/>
      </c>
    </row>
    <row r="6">
      <c r="A6" s="2" t="inlineStr">
        <is>
          <t>Fabricación</t>
        </is>
      </c>
      <c r="C6" t="inlineStr">
        <is>
          <t>Fabricación propia</t>
        </is>
      </c>
      <c r="E6" s="2" t="n"/>
    </row>
    <row r="7">
      <c r="A7" s="2" t="inlineStr">
        <is>
          <t>Peso catálogo cargado (kg)</t>
        </is>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FL_REC_ABC_5kg</t>
        </is>
      </c>
      <c r="C11" s="28" t="inlineStr">
        <is>
          <t>Cilindro (recipiente) ABC 5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FL_REC_ABC_5kg</t>
        </is>
      </c>
      <c r="R11" s="28" t="inlineStr">
        <is>
          <t>Fabricación propia</t>
        </is>
      </c>
    </row>
    <row r="12">
      <c r="A12" s="30" t="n">
        <v>1</v>
      </c>
      <c r="B12" s="30" t="inlineStr">
        <is>
          <t>ABC5-S1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FL_DES_ABC_5kg</t>
        </is>
      </c>
      <c r="R12" s="31" t="n"/>
    </row>
    <row r="13" outlineLevel="1">
      <c r="A13" s="33" t="n">
        <v>2</v>
      </c>
      <c r="B13" s="33" t="inlineStr">
        <is>
          <t>ABC5-01</t>
        </is>
      </c>
      <c r="C13" s="17" t="inlineStr">
        <is>
          <t xml:space="preserve">        Cuerpo (virola)</t>
        </is>
      </c>
      <c r="D13" s="33" t="n">
        <v>1</v>
      </c>
      <c r="E13" s="33" t="inlineStr">
        <is>
          <t>u</t>
        </is>
      </c>
      <c r="F13" s="34" t="n">
        <v>1.9203</v>
      </c>
      <c r="G13" s="34">
        <f>D13*F13</f>
        <v/>
      </c>
      <c r="H13" s="33" t="inlineStr">
        <is>
          <t>Chapa LAF IRAM-IAS U 500-05 e=1,6</t>
        </is>
      </c>
      <c r="I13" s="17" t="inlineStr">
        <is>
          <t>Ø153 × e1,6 × 321,4 de alto; desarrollo 475,6 × 321,4</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FL_DES_ABC_5kg</t>
        </is>
      </c>
      <c r="R13" s="17" t="inlineStr">
        <is>
          <t>costura long. MAG</t>
        </is>
      </c>
    </row>
    <row r="14" outlineLevel="2">
      <c r="A14" s="35" t="n">
        <v>3</v>
      </c>
      <c r="B14" s="35" t="inlineStr">
        <is>
          <t>MP-HOJA</t>
        </is>
      </c>
      <c r="C14" s="36" t="inlineStr">
        <is>
          <t xml:space="preserve">            Recorte de hoja LAF 1000 × 2000 e=1,6</t>
        </is>
      </c>
      <c r="D14" s="35" t="n">
        <v>1</v>
      </c>
      <c r="E14" s="35" t="inlineStr">
        <is>
          <t>u</t>
        </is>
      </c>
      <c r="F14" s="37" t="n">
        <v>2.092</v>
      </c>
      <c r="G14" s="37">
        <f>D14*F14</f>
        <v/>
      </c>
      <c r="H14" s="35" t="inlineStr">
        <is>
          <t>Chapa LAF IRAM-IAS U 500-05 LAF</t>
        </is>
      </c>
      <c r="I14" s="36" t="inlineStr">
        <is>
          <t>330 × 474,5 (aprovech. 94 %)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ABC5-02</t>
        </is>
      </c>
      <c r="C15" s="17" t="inlineStr">
        <is>
          <t xml:space="preserve">        Cúpula</t>
        </is>
      </c>
      <c r="D15" s="33" t="n">
        <v>1</v>
      </c>
      <c r="E15" s="33" t="inlineStr">
        <is>
          <t>u</t>
        </is>
      </c>
      <c r="F15" s="34" t="n">
        <v>0.3505</v>
      </c>
      <c r="G15" s="34">
        <f>D15*F15</f>
        <v/>
      </c>
      <c r="H15" s="33" t="inlineStr">
        <is>
          <t>Chapa LAF IRAM-IAS U 500-05 e=1,6</t>
        </is>
      </c>
      <c r="I15" s="17" t="inlineStr">
        <is>
          <t>Ø153 × e1,6 × 53,1 de alto; disco Ø221</t>
        </is>
      </c>
      <c r="J15" s="33" t="inlineStr">
        <is>
          <t>Fabricación</t>
        </is>
      </c>
      <c r="K15" s="33" t="inlineStr">
        <is>
          <t>No</t>
        </is>
      </c>
      <c r="L15" s="17" t="n"/>
      <c r="M15" s="17" t="n"/>
      <c r="N15" s="17" t="inlineStr">
        <is>
          <t>6 Desbobinado + embutido (M06-M08)</t>
        </is>
      </c>
      <c r="O15" s="17" t="n"/>
      <c r="P15" s="33" t="inlineStr">
        <is>
          <t>P</t>
        </is>
      </c>
      <c r="Q15" s="33" t="inlineStr">
        <is>
          <t>FL_DES_ABC_5kg</t>
        </is>
      </c>
      <c r="R15" s="17" t="inlineStr">
        <is>
          <t>embutida</t>
        </is>
      </c>
    </row>
    <row r="16" outlineLevel="2">
      <c r="A16" s="35" t="n">
        <v>3</v>
      </c>
      <c r="B16" s="35" t="inlineStr">
        <is>
          <t>MP-FLEJE</t>
        </is>
      </c>
      <c r="C16" s="36" t="inlineStr">
        <is>
          <t xml:space="preserve">            Fleje e=1,6 × 250 (paso 224)</t>
        </is>
      </c>
      <c r="D16" s="35" t="n">
        <v>0.224</v>
      </c>
      <c r="E16" s="35" t="inlineStr">
        <is>
          <t>m</t>
        </is>
      </c>
      <c r="F16" s="37" t="n">
        <v>3.14</v>
      </c>
      <c r="G16" s="37">
        <f>D16*F16</f>
        <v/>
      </c>
      <c r="H16" s="35" t="inlineStr">
        <is>
          <t>Fleje SAE 1010</t>
        </is>
      </c>
      <c r="I16" s="36" t="inlineStr">
        <is>
          <t>disco Ø221 (kg por m de fleje)</t>
        </is>
      </c>
      <c r="J16" s="35" t="inlineStr">
        <is>
          <t>Compra</t>
        </is>
      </c>
      <c r="K16" s="35" t="inlineStr">
        <is>
          <t>Sí</t>
        </is>
      </c>
      <c r="L16" s="36" t="inlineStr">
        <is>
          <t>Pacheco Chapas</t>
        </is>
      </c>
      <c r="M16" s="36" t="inlineStr">
        <is>
          <t>Pradecon S.A.</t>
        </is>
      </c>
      <c r="N16" s="36" t="inlineStr">
        <is>
          <t>AL-1F porta-flejes</t>
        </is>
      </c>
      <c r="O16" s="36" t="n"/>
      <c r="P16" s="35" t="inlineStr">
        <is>
          <t>L</t>
        </is>
      </c>
      <c r="Q16" s="35" t="inlineStr">
        <is>
          <t>FL_PI_04 h2</t>
        </is>
      </c>
      <c r="R16" s="36" t="n"/>
    </row>
    <row r="17" outlineLevel="1">
      <c r="A17" s="33" t="n">
        <v>2</v>
      </c>
      <c r="B17" s="33" t="inlineStr">
        <is>
          <t>ABC5-03</t>
        </is>
      </c>
      <c r="C17" s="17" t="inlineStr">
        <is>
          <t xml:space="preserve">        Fondo</t>
        </is>
      </c>
      <c r="D17" s="33" t="n">
        <v>1</v>
      </c>
      <c r="E17" s="33" t="inlineStr">
        <is>
          <t>u</t>
        </is>
      </c>
      <c r="F17" s="34" t="n">
        <v>0.2214</v>
      </c>
      <c r="G17" s="34">
        <f>D17*F17</f>
        <v/>
      </c>
      <c r="H17" s="33" t="inlineStr">
        <is>
          <t>Chapa LAF IRAM-IAS U 500-05 e=1,6</t>
        </is>
      </c>
      <c r="I17" s="17" t="inlineStr">
        <is>
          <t>Ø153 × e1,6 × 17,6 de alto; disco Ø177</t>
        </is>
      </c>
      <c r="J17" s="33" t="inlineStr">
        <is>
          <t>Fabricación</t>
        </is>
      </c>
      <c r="K17" s="33" t="inlineStr">
        <is>
          <t>No</t>
        </is>
      </c>
      <c r="L17" s="17" t="n"/>
      <c r="M17" s="17" t="n"/>
      <c r="N17" s="17" t="inlineStr">
        <is>
          <t>6 Desbobinado + embutido (M06-M08)</t>
        </is>
      </c>
      <c r="O17" s="17" t="n"/>
      <c r="P17" s="33" t="inlineStr">
        <is>
          <t>P</t>
        </is>
      </c>
      <c r="Q17" s="33" t="inlineStr">
        <is>
          <t>FL_DES_ABC_5kg</t>
        </is>
      </c>
      <c r="R17" s="17" t="inlineStr">
        <is>
          <t>embutido</t>
        </is>
      </c>
    </row>
    <row r="18" outlineLevel="2">
      <c r="A18" s="35" t="n">
        <v>3</v>
      </c>
      <c r="B18" s="35" t="inlineStr">
        <is>
          <t>MP-FLEJE</t>
        </is>
      </c>
      <c r="C18" s="36" t="inlineStr">
        <is>
          <t xml:space="preserve">            Fleje e=1,6 × 200 (paso 180)</t>
        </is>
      </c>
      <c r="D18" s="35" t="n">
        <v>0.18</v>
      </c>
      <c r="E18" s="35" t="inlineStr">
        <is>
          <t>m</t>
        </is>
      </c>
      <c r="F18" s="37" t="n">
        <v>2.512</v>
      </c>
      <c r="G18" s="37">
        <f>D18*F18</f>
        <v/>
      </c>
      <c r="H18" s="35" t="inlineStr">
        <is>
          <t>Fleje SAE 1010</t>
        </is>
      </c>
      <c r="I18" s="36" t="inlineStr">
        <is>
          <t>disco Ø177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ABC5-04</t>
        </is>
      </c>
      <c r="C19" s="17" t="inlineStr">
        <is>
          <t xml:space="preserve">        Cuello roscado</t>
        </is>
      </c>
      <c r="D19" s="33" t="n">
        <v>1</v>
      </c>
      <c r="E19" s="33" t="inlineStr">
        <is>
          <t>u</t>
        </is>
      </c>
      <c r="F19" s="34" t="n">
        <v>0.0589</v>
      </c>
      <c r="G19" s="34">
        <f>D19*F19</f>
        <v/>
      </c>
      <c r="H19" s="33" t="inlineStr">
        <is>
          <t>Acero SAE 1010</t>
        </is>
      </c>
      <c r="I19" s="17" t="inlineStr">
        <is>
          <t>Ø37 × 15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FL_DES_ABC_5kg</t>
        </is>
      </c>
      <c r="R19" s="17" t="inlineStr">
        <is>
          <t>M30x1,5</t>
        </is>
      </c>
    </row>
    <row r="20" outlineLevel="1">
      <c r="A20" s="41" t="n">
        <v>2</v>
      </c>
      <c r="B20" s="41" t="inlineStr">
        <is>
          <t>ABC5-C1</t>
        </is>
      </c>
      <c r="C20" s="18" t="inlineStr">
        <is>
          <t xml:space="preserve">        Alambre MAG ER70S-6 Ø0,9 (AWS A5.18)</t>
        </is>
      </c>
      <c r="D20" s="41" t="n">
        <v>0.0553</v>
      </c>
      <c r="E20" s="41" t="inlineStr">
        <is>
          <t>kg</t>
        </is>
      </c>
      <c r="F20" s="42" t="n">
        <v>0.95</v>
      </c>
      <c r="G20" s="42">
        <f>D20*F20</f>
        <v/>
      </c>
      <c r="H20" s="41" t="inlineStr">
        <is>
          <t>ER70S-6</t>
        </is>
      </c>
      <c r="I20" s="18" t="inlineStr">
        <is>
          <t>metal depositado de los cordones del plano 53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ABC5-C2</t>
        </is>
      </c>
      <c r="C21" s="18" t="inlineStr">
        <is>
          <t xml:space="preserve">        Gas de protección MAG Arcal 21 / ARCAL Speed (Ar + 8 % CO₂, M20)</t>
        </is>
      </c>
      <c r="D21" s="41" t="n">
        <v>32.6</v>
      </c>
      <c r="E21" s="41" t="inlineStr">
        <is>
          <t>L</t>
        </is>
      </c>
      <c r="F21" s="42" t="n"/>
      <c r="G21" s="42" t="n"/>
      <c r="H21" s="41" t="inlineStr">
        <is>
          <t>EN ISO 14175 M20-ArC-8</t>
        </is>
      </c>
      <c r="I21" s="18" t="inlineStr">
        <is>
          <t>14 L/min × 2,33 min de arco (cordones 1.399 mm: long. 321 + circ. 961 + cuello 116,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ABC5-C3</t>
        </is>
      </c>
      <c r="C22" s="18" t="inlineStr">
        <is>
          <t xml:space="preserve">        Granalla de acero S330 / S390 (ISO 11124-3, SAE J444)</t>
        </is>
      </c>
      <c r="D22" s="41" t="n">
        <v>0.08</v>
      </c>
      <c r="E22" s="41" t="inlineStr">
        <is>
          <t>kg</t>
        </is>
      </c>
      <c r="F22" s="42" t="n"/>
      <c r="G22" s="42" t="n"/>
      <c r="H22" s="41" t="inlineStr">
        <is>
          <t>Granalla esférica alto C</t>
        </is>
      </c>
      <c r="I22" s="18" t="inlineStr">
        <is>
          <t>0,198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ABC5-C4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0,198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3" t="n">
        <v>2</v>
      </c>
      <c r="B24" s="43" t="inlineStr">
        <is>
          <t>ABC5-T1</t>
        </is>
      </c>
      <c r="C24" s="20" t="inlineStr">
        <is>
          <t xml:space="preserve">        Tapón protector de rosca del cuello</t>
        </is>
      </c>
      <c r="D24" s="43" t="n">
        <v>1</v>
      </c>
      <c r="E24" s="43" t="inlineStr">
        <is>
          <t>u</t>
        </is>
      </c>
      <c r="F24" s="44" t="n"/>
      <c r="G24" s="44" t="n"/>
      <c r="H24" s="43" t="inlineStr">
        <is>
          <t>Polietileno</t>
        </is>
      </c>
      <c r="I24" s="20" t="inlineStr">
        <is>
          <t>para rosca M30x1,5 (plano FL_REC_ABC_5kg hoja 3, R4)</t>
        </is>
      </c>
      <c r="J24" s="43" t="inlineStr">
        <is>
          <t>Compra</t>
        </is>
      </c>
      <c r="K24" s="43" t="inlineStr">
        <is>
          <t>Sí</t>
        </is>
      </c>
      <c r="L24" s="20" t="inlineStr">
        <is>
          <t>-</t>
        </is>
      </c>
      <c r="M24" s="20" t="inlineStr">
        <is>
          <t>-</t>
        </is>
      </c>
      <c r="N24" s="20" t="inlineStr">
        <is>
          <t>Embalaje</t>
        </is>
      </c>
      <c r="O24" s="20" t="n"/>
      <c r="P24" s="43" t="inlineStr">
        <is>
          <t>P</t>
        </is>
      </c>
      <c r="Q24" s="43" t="n"/>
      <c r="R24" s="20" t="n"/>
    </row>
    <row r="25" outlineLevel="1">
      <c r="A25" s="33" t="n">
        <v>2</v>
      </c>
      <c r="B25" s="33" t="inlineStr">
        <is>
          <t>ABC5-T2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ABC5-T3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FL_REC_ABC_5kg hoja 3</t>
        </is>
      </c>
      <c r="R26" s="17" t="n"/>
    </row>
    <row r="27" outlineLevel="1">
      <c r="A27" s="33" t="n">
        <v>2</v>
      </c>
      <c r="B27" s="33" t="inlineStr">
        <is>
          <t>ABC5-T4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FL_REC_ABC_5kg hoja 3</t>
        </is>
      </c>
      <c r="R27" s="17" t="n"/>
    </row>
    <row r="28">
      <c r="A28" s="30" t="n">
        <v>1</v>
      </c>
      <c r="B28" s="30" t="inlineStr">
        <is>
          <t>ABC5-S7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ABC5-E1</t>
        </is>
      </c>
      <c r="C29" s="17" t="inlineStr">
        <is>
          <t xml:space="preserve">        Caja de cartón corrugado simple</t>
        </is>
      </c>
      <c r="D29" s="33" t="n">
        <v>1</v>
      </c>
      <c r="E29" s="33" t="inlineStr">
        <is>
          <t>u</t>
        </is>
      </c>
      <c r="F29" s="34" t="n"/>
      <c r="G29" s="34" t="n"/>
      <c r="H29" s="33" t="inlineStr">
        <is>
          <t>Cartón corrugado</t>
        </is>
      </c>
      <c r="I29" s="17" t="inlineStr">
        <is>
          <t>183 × 183 × 410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ABC5-E3</t>
        </is>
      </c>
      <c r="C30" s="17" t="inlineStr">
        <is>
          <t xml:space="preserve">        Pallet 1200 × 1000 (fracción)</t>
        </is>
      </c>
      <c r="D30" s="33" t="n">
        <v>0.0111</v>
      </c>
      <c r="E30" s="33" t="inlineStr">
        <is>
          <t>u</t>
        </is>
      </c>
      <c r="F30" s="34" t="n"/>
      <c r="G30" s="34" t="n"/>
      <c r="H30" s="33" t="inlineStr">
        <is>
          <t>Madera</t>
        </is>
      </c>
      <c r="I30" s="17" t="inlineStr">
        <is>
          <t>90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41" t="n">
        <v>2</v>
      </c>
      <c r="B31" s="41" t="inlineStr">
        <is>
          <t>ABC5-E4</t>
        </is>
      </c>
      <c r="C31" s="18" t="inlineStr">
        <is>
          <t xml:space="preserve">        Film stretch (fracción del pallet)</t>
        </is>
      </c>
      <c r="D31" s="41" t="n">
        <v>0.0013</v>
      </c>
      <c r="E31" s="41" t="inlineStr">
        <is>
          <t>kg</t>
        </is>
      </c>
      <c r="F31" s="42" t="n">
        <v>1</v>
      </c>
      <c r="G31" s="42">
        <f>D31*F31</f>
        <v/>
      </c>
      <c r="H31" s="41" t="inlineStr">
        <is>
          <t>PE lineal 23 µm</t>
        </is>
      </c>
      <c r="I31" s="18" t="inlineStr">
        <is>
          <t>0,12 kg por pallet / 90 u</t>
        </is>
      </c>
      <c r="J31" s="41" t="inlineStr">
        <is>
          <t>Compra</t>
        </is>
      </c>
      <c r="K31" s="41" t="inlineStr">
        <is>
          <t>Sí</t>
        </is>
      </c>
      <c r="L31" s="18" t="inlineStr">
        <is>
          <t>MV Embalajes</t>
        </is>
      </c>
      <c r="M31" s="18" t="inlineStr">
        <is>
          <t>Embalpack</t>
        </is>
      </c>
      <c r="N31" s="18" t="inlineStr">
        <is>
          <t>24 Envolvedora (T11)</t>
        </is>
      </c>
      <c r="O31" s="18" t="n"/>
      <c r="P31" s="41" t="inlineStr">
        <is>
          <t>C</t>
        </is>
      </c>
      <c r="Q31" s="41"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ABC5-E5</t>
        </is>
      </c>
      <c r="C32" s="17" t="inlineStr">
        <is>
          <t xml:space="preserve">        Etiqueta de pallet (lote y destino, fracción)</t>
        </is>
      </c>
      <c r="D32" s="33" t="n">
        <v>0.0111</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41" t="n">
        <v>2</v>
      </c>
      <c r="B33" s="41" t="inlineStr">
        <is>
          <t>ABC5-E6</t>
        </is>
      </c>
      <c r="C33" s="18" t="inlineStr">
        <is>
          <t xml:space="preserve">        Cinta de embalaje PP 48 mm (cierre de la caja)</t>
        </is>
      </c>
      <c r="D33" s="41" t="n">
        <v>0.646</v>
      </c>
      <c r="E33" s="41" t="inlineStr">
        <is>
          <t>m</t>
        </is>
      </c>
      <c r="F33" s="42" t="n"/>
      <c r="G33" s="42" t="n"/>
      <c r="H33" s="41" t="inlineStr">
        <is>
          <t>Polipropileno con adhesivo acrílico</t>
        </is>
      </c>
      <c r="I33" s="18" t="inlineStr">
        <is>
          <t>cierre en I arriba y abajo: 2 × (183 + 2 × 70 de solapa)</t>
        </is>
      </c>
      <c r="J33" s="41" t="inlineStr">
        <is>
          <t>Compra</t>
        </is>
      </c>
      <c r="K33" s="41" t="inlineStr">
        <is>
          <t>Sí</t>
        </is>
      </c>
      <c r="L33" s="18" t="inlineStr">
        <is>
          <t>MV Embalajes</t>
        </is>
      </c>
      <c r="M33" s="18" t="inlineStr">
        <is>
          <t>Embalpack</t>
        </is>
      </c>
      <c r="N33" s="18" t="inlineStr">
        <is>
          <t>23 Embalaje</t>
        </is>
      </c>
      <c r="O33" s="18" t="n"/>
      <c r="P33" s="41" t="inlineStr">
        <is>
          <t>C</t>
        </is>
      </c>
      <c r="Q33" s="41" t="n"/>
      <c r="R33" s="18" t="inlineStr">
        <is>
          <t>Solapa de 70 mm por lado: práctica de cierre de cajas (medir en la línea)</t>
        </is>
      </c>
    </row>
    <row r="34" outlineLevel="1">
      <c r="A34" s="33" t="n">
        <v>2</v>
      </c>
      <c r="B34" s="33" t="inlineStr">
        <is>
          <t>ABC5-E7</t>
        </is>
      </c>
      <c r="C34" s="17" t="inlineStr">
        <is>
          <t xml:space="preserve">        Esquineros de cartón 50 × 50 × 1200 (fracción del pallet)</t>
        </is>
      </c>
      <c r="D34" s="33" t="n">
        <v>0.0444</v>
      </c>
      <c r="E34" s="33" t="inlineStr">
        <is>
          <t>u</t>
        </is>
      </c>
      <c r="F34" s="34" t="n"/>
      <c r="G34" s="34" t="n"/>
      <c r="H34" s="33" t="inlineStr">
        <is>
          <t>Cartón</t>
        </is>
      </c>
      <c r="I34" s="17" t="inlineStr">
        <is>
          <t>4 por pallet / 90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ABC5-E8</t>
        </is>
      </c>
      <c r="C35" s="17" t="inlineStr">
        <is>
          <t xml:space="preserve">        Separador de capa de cartón 1200 × 1000 (fracción del pallet)</t>
        </is>
      </c>
      <c r="D35" s="33" t="n">
        <v>0.0222</v>
      </c>
      <c r="E35" s="33" t="inlineStr">
        <is>
          <t>u</t>
        </is>
      </c>
      <c r="F35" s="34" t="n"/>
      <c r="G35" s="34" t="n"/>
      <c r="H35" s="33" t="inlineStr">
        <is>
          <t>Cartón</t>
        </is>
      </c>
      <c r="I35" s="17" t="inlineStr">
        <is>
          <t>3 capas → 2 separadores por pallet / 90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66" t="inlineStr">
        <is>
          <t>Cilindro (recipiente) ABC 10 kg - repuesto vacío sin válvula</t>
        </is>
      </c>
    </row>
    <row r="3">
      <c r="A3" s="2" t="inlineStr">
        <is>
          <t>Plano de origen</t>
        </is>
      </c>
      <c r="C3" t="inlineStr">
        <is>
          <t>FL_REC_ABC_10kg  (recipiente para venta suelta)</t>
        </is>
      </c>
      <c r="E3" s="2" t="inlineStr">
        <is>
          <t>Peso vacío S1-S4 (kg)</t>
        </is>
      </c>
      <c r="G3" s="67">
        <f>G12</f>
        <v/>
      </c>
    </row>
    <row r="4">
      <c r="A4" s="2" t="inlineStr">
        <is>
          <t>Plano de despiece</t>
        </is>
      </c>
      <c r="C4" t="inlineStr">
        <is>
          <t>FL_REC_ABC_10kg hoja 3</t>
        </is>
      </c>
      <c r="E4" s="2" t="inlineStr">
        <is>
          <t>Peso cargado S1-S6 (kg)</t>
        </is>
      </c>
      <c r="G4" s="67">
        <f>G12</f>
        <v/>
      </c>
    </row>
    <row r="5">
      <c r="A5" s="2" t="inlineStr">
        <is>
          <t>Norma del producto</t>
        </is>
      </c>
      <c r="C5" t="inlineStr">
        <is>
          <t>IRAM 3523</t>
        </is>
      </c>
      <c r="E5" s="2" t="inlineStr">
        <is>
          <t>Peso con soporte y embalaje (kg)</t>
        </is>
      </c>
      <c r="G5" s="67">
        <f>G12+G28</f>
        <v/>
      </c>
    </row>
    <row r="6">
      <c r="A6" s="2" t="inlineStr">
        <is>
          <t>Fabricación</t>
        </is>
      </c>
      <c r="C6" t="inlineStr">
        <is>
          <t>Fabricación propia</t>
        </is>
      </c>
      <c r="E6" s="2" t="n"/>
    </row>
    <row r="7">
      <c r="A7" s="2" t="inlineStr">
        <is>
          <t>Peso catálogo cargado (kg)</t>
        </is>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FL_REC_ABC_10kg</t>
        </is>
      </c>
      <c r="C11" s="28" t="inlineStr">
        <is>
          <t>Cilindro (recipiente) ABC 10 kg - repuesto vacío sin válvula</t>
        </is>
      </c>
      <c r="D11" s="27" t="n">
        <v>1</v>
      </c>
      <c r="E11" s="27" t="inlineStr">
        <is>
          <t>u</t>
        </is>
      </c>
      <c r="F11" s="29" t="n"/>
      <c r="G11" s="29">
        <f>G5</f>
        <v/>
      </c>
      <c r="H11" s="27" t="n"/>
      <c r="I11" s="28" t="n"/>
      <c r="J11" s="27" t="n"/>
      <c r="K11" s="27" t="n"/>
      <c r="L11" s="28" t="n"/>
      <c r="M11" s="28" t="n"/>
      <c r="N11" s="28" t="n"/>
      <c r="O11" s="28" t="inlineStr">
        <is>
          <t>IRAM 3523</t>
        </is>
      </c>
      <c r="P11" s="27" t="inlineStr">
        <is>
          <t>P</t>
        </is>
      </c>
      <c r="Q11" s="27" t="inlineStr">
        <is>
          <t>FL_REC_ABC_10kg</t>
        </is>
      </c>
      <c r="R11" s="28" t="inlineStr">
        <is>
          <t>Fabricación propia</t>
        </is>
      </c>
    </row>
    <row r="12">
      <c r="A12" s="30" t="n">
        <v>1</v>
      </c>
      <c r="B12" s="30" t="inlineStr">
        <is>
          <t>ABC10-S1</t>
        </is>
      </c>
      <c r="C12" s="31" t="inlineStr">
        <is>
          <t xml:space="preserve">    Recipiente (cilindro)</t>
        </is>
      </c>
      <c r="D12" s="30" t="n">
        <v>1</v>
      </c>
      <c r="E12" s="30" t="inlineStr">
        <is>
          <t>u</t>
        </is>
      </c>
      <c r="F12" s="32" t="n"/>
      <c r="G12" s="32">
        <f>G13+G15+G17+G19+G20+G27</f>
        <v/>
      </c>
      <c r="H12" s="30" t="n"/>
      <c r="I12" s="31" t="n"/>
      <c r="J12" s="30" t="inlineStr">
        <is>
          <t>Fabricación</t>
        </is>
      </c>
      <c r="K12" s="30" t="n"/>
      <c r="L12" s="31" t="n"/>
      <c r="M12" s="31" t="n"/>
      <c r="N12" s="31" t="n"/>
      <c r="O12" s="31" t="inlineStr">
        <is>
          <t>IRAM 3523 / 3550 (recipiente)</t>
        </is>
      </c>
      <c r="P12" s="30" t="inlineStr">
        <is>
          <t>P</t>
        </is>
      </c>
      <c r="Q12" s="30" t="inlineStr">
        <is>
          <t>FL_DES_ABC_10kg</t>
        </is>
      </c>
      <c r="R12" s="31" t="n"/>
    </row>
    <row r="13" outlineLevel="1">
      <c r="A13" s="33" t="n">
        <v>2</v>
      </c>
      <c r="B13" s="33" t="inlineStr">
        <is>
          <t>ABC10-01</t>
        </is>
      </c>
      <c r="C13" s="17" t="inlineStr">
        <is>
          <t xml:space="preserve">        Cuerpo (virola)</t>
        </is>
      </c>
      <c r="D13" s="33" t="n">
        <v>1</v>
      </c>
      <c r="E13" s="33" t="inlineStr">
        <is>
          <t>u</t>
        </is>
      </c>
      <c r="F13" s="34" t="n">
        <v>4.3132</v>
      </c>
      <c r="G13" s="34">
        <f>D13*F13</f>
        <v/>
      </c>
      <c r="H13" s="33" t="inlineStr">
        <is>
          <t>Chapa LAF IRAM-IAS U 500-05 e=2</t>
        </is>
      </c>
      <c r="I13" s="17" t="inlineStr">
        <is>
          <t>Ø181,5 × e2 × 487,2 de alto; desarrollo 563,9 × 487,2</t>
        </is>
      </c>
      <c r="J13" s="33" t="inlineStr">
        <is>
          <t>Fabricación</t>
        </is>
      </c>
      <c r="K13" s="33" t="inlineStr">
        <is>
          <t>No</t>
        </is>
      </c>
      <c r="L13" s="17" t="n"/>
      <c r="M13" s="17" t="n"/>
      <c r="N13" s="17" t="inlineStr">
        <is>
          <t>1 Guillotina -&gt; 2 numerado -&gt; 3 cilindrado -&gt; 4 soldadura longitudinal</t>
        </is>
      </c>
      <c r="O13" s="17" t="n"/>
      <c r="P13" s="33" t="inlineStr">
        <is>
          <t>P</t>
        </is>
      </c>
      <c r="Q13" s="33" t="inlineStr">
        <is>
          <t>FL_DES_ABC_10kg</t>
        </is>
      </c>
      <c r="R13" s="17" t="inlineStr">
        <is>
          <t>costura long. MAG</t>
        </is>
      </c>
    </row>
    <row r="14" outlineLevel="2">
      <c r="A14" s="35" t="n">
        <v>3</v>
      </c>
      <c r="B14" s="35" t="inlineStr">
        <is>
          <t>MP-HOJA</t>
        </is>
      </c>
      <c r="C14" s="36" t="inlineStr">
        <is>
          <t xml:space="preserve">            Recorte de hoja LAF 1500 × 3000 e=2</t>
        </is>
      </c>
      <c r="D14" s="35" t="n">
        <v>1</v>
      </c>
      <c r="E14" s="35" t="inlineStr">
        <is>
          <t>u</t>
        </is>
      </c>
      <c r="F14" s="37" t="n">
        <v>4.71</v>
      </c>
      <c r="G14" s="37">
        <f>D14*F14</f>
        <v/>
      </c>
      <c r="H14" s="35" t="inlineStr">
        <is>
          <t>Chapa LAF IRAM-IAS U 500-05 LAF</t>
        </is>
      </c>
      <c r="I14" s="36" t="inlineStr">
        <is>
          <t>495 × 563 (aprovech. 92,9 %)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ABC10-02</t>
        </is>
      </c>
      <c r="C15" s="17" t="inlineStr">
        <is>
          <t xml:space="preserve">        Cúpula</t>
        </is>
      </c>
      <c r="D15" s="33" t="n">
        <v>1</v>
      </c>
      <c r="E15" s="33" t="inlineStr">
        <is>
          <t>u</t>
        </is>
      </c>
      <c r="F15" s="34" t="n">
        <v>0.4871</v>
      </c>
      <c r="G15" s="34">
        <f>D15*F15</f>
        <v/>
      </c>
      <c r="H15" s="33" t="inlineStr">
        <is>
          <t>Chapa LAF IRAM-IAS U 500-05 e=1,6</t>
        </is>
      </c>
      <c r="I15" s="17" t="inlineStr">
        <is>
          <t>Ø181,5 × e1,6 × 61,3 de alto; disco Ø258</t>
        </is>
      </c>
      <c r="J15" s="33" t="inlineStr">
        <is>
          <t>Fabricación</t>
        </is>
      </c>
      <c r="K15" s="33" t="inlineStr">
        <is>
          <t>No</t>
        </is>
      </c>
      <c r="L15" s="17" t="n"/>
      <c r="M15" s="17" t="n"/>
      <c r="N15" s="17" t="inlineStr">
        <is>
          <t>6 Desbobinado + embutido (M06-M08)</t>
        </is>
      </c>
      <c r="O15" s="17" t="n"/>
      <c r="P15" s="33" t="inlineStr">
        <is>
          <t>P</t>
        </is>
      </c>
      <c r="Q15" s="33" t="inlineStr">
        <is>
          <t>FL_DES_ABC_10kg</t>
        </is>
      </c>
      <c r="R15" s="17" t="inlineStr">
        <is>
          <t>embutida</t>
        </is>
      </c>
    </row>
    <row r="16" outlineLevel="2">
      <c r="A16" s="38" t="n">
        <v>3</v>
      </c>
      <c r="B16" s="38" t="inlineStr">
        <is>
          <t>MP-FLEJE</t>
        </is>
      </c>
      <c r="C16" s="39" t="inlineStr">
        <is>
          <t xml:space="preserve">            Fleje e=2 × 300 (paso 261)</t>
        </is>
      </c>
      <c r="D16" s="38" t="n">
        <v>0.261</v>
      </c>
      <c r="E16" s="38" t="inlineStr">
        <is>
          <t>m</t>
        </is>
      </c>
      <c r="F16" s="40" t="n">
        <v>4.71</v>
      </c>
      <c r="G16" s="40">
        <f>D16*F16</f>
        <v/>
      </c>
      <c r="H16" s="38" t="inlineStr">
        <is>
          <t>Fleje SAE 1010</t>
        </is>
      </c>
      <c r="I16" s="39" t="inlineStr">
        <is>
          <t>disco Ø258 (kg por m de fleje)</t>
        </is>
      </c>
      <c r="J16" s="38" t="inlineStr">
        <is>
          <t>Compra</t>
        </is>
      </c>
      <c r="K16" s="38" t="inlineStr">
        <is>
          <t>Sí</t>
        </is>
      </c>
      <c r="L16" s="39" t="inlineStr">
        <is>
          <t>Pacheco Chapas</t>
        </is>
      </c>
      <c r="M16" s="39" t="inlineStr">
        <is>
          <t>Pradecon S.A.</t>
        </is>
      </c>
      <c r="N16" s="39" t="inlineStr">
        <is>
          <t>AL-1F porta-flejes</t>
        </is>
      </c>
      <c r="O16" s="39" t="n"/>
      <c r="P16" s="38" t="inlineStr">
        <is>
          <t>L</t>
        </is>
      </c>
      <c r="Q16" s="38" t="inlineStr">
        <is>
          <t>FL_PI_04 h2</t>
        </is>
      </c>
      <c r="R16" s="39" t="inlineStr">
        <is>
          <t>OJO: el fleje es e=2 y el plano e=1,6</t>
        </is>
      </c>
    </row>
    <row r="17" outlineLevel="1">
      <c r="A17" s="33" t="n">
        <v>2</v>
      </c>
      <c r="B17" s="33" t="inlineStr">
        <is>
          <t>ABC10-03</t>
        </is>
      </c>
      <c r="C17" s="17" t="inlineStr">
        <is>
          <t xml:space="preserve">        Fondo</t>
        </is>
      </c>
      <c r="D17" s="33" t="n">
        <v>1</v>
      </c>
      <c r="E17" s="33" t="inlineStr">
        <is>
          <t>u</t>
        </is>
      </c>
      <c r="F17" s="34" t="n">
        <v>0.3885</v>
      </c>
      <c r="G17" s="34">
        <f>D17*F17</f>
        <v/>
      </c>
      <c r="H17" s="33" t="inlineStr">
        <is>
          <t>Chapa LAF IRAM-IAS U 500-05 e=2</t>
        </is>
      </c>
      <c r="I17" s="17" t="inlineStr">
        <is>
          <t>Ø181,5 × e2 × 13,7 de alto; disco Ø205</t>
        </is>
      </c>
      <c r="J17" s="33" t="inlineStr">
        <is>
          <t>Fabricación</t>
        </is>
      </c>
      <c r="K17" s="33" t="inlineStr">
        <is>
          <t>No</t>
        </is>
      </c>
      <c r="L17" s="17" t="n"/>
      <c r="M17" s="17" t="n"/>
      <c r="N17" s="17" t="inlineStr">
        <is>
          <t>6 Desbobinado + embutido (M06-M08)</t>
        </is>
      </c>
      <c r="O17" s="17" t="n"/>
      <c r="P17" s="33" t="inlineStr">
        <is>
          <t>P</t>
        </is>
      </c>
      <c r="Q17" s="33" t="inlineStr">
        <is>
          <t>FL_DES_ABC_10kg</t>
        </is>
      </c>
      <c r="R17" s="17" t="inlineStr">
        <is>
          <t>embutido</t>
        </is>
      </c>
    </row>
    <row r="18" outlineLevel="2">
      <c r="A18" s="35" t="n">
        <v>3</v>
      </c>
      <c r="B18" s="35" t="inlineStr">
        <is>
          <t>MP-FLEJE</t>
        </is>
      </c>
      <c r="C18" s="36" t="inlineStr">
        <is>
          <t xml:space="preserve">            Fleje e=2 × 249 (paso 208)</t>
        </is>
      </c>
      <c r="D18" s="35" t="n">
        <v>0.208</v>
      </c>
      <c r="E18" s="35" t="inlineStr">
        <is>
          <t>m</t>
        </is>
      </c>
      <c r="F18" s="37" t="n">
        <v>3.909</v>
      </c>
      <c r="G18" s="37">
        <f>D18*F18</f>
        <v/>
      </c>
      <c r="H18" s="35" t="inlineStr">
        <is>
          <t>Fleje SAE 1010</t>
        </is>
      </c>
      <c r="I18" s="36" t="inlineStr">
        <is>
          <t>disco Ø205 (kg por m de fleje)</t>
        </is>
      </c>
      <c r="J18" s="35" t="inlineStr">
        <is>
          <t>Compra</t>
        </is>
      </c>
      <c r="K18" s="35" t="inlineStr">
        <is>
          <t>Sí</t>
        </is>
      </c>
      <c r="L18" s="36" t="inlineStr">
        <is>
          <t>Pacheco Chapas</t>
        </is>
      </c>
      <c r="M18" s="36" t="inlineStr">
        <is>
          <t>Pradecon S.A.</t>
        </is>
      </c>
      <c r="N18" s="36" t="inlineStr">
        <is>
          <t>AL-1F porta-flejes</t>
        </is>
      </c>
      <c r="O18" s="36" t="n"/>
      <c r="P18" s="35" t="inlineStr">
        <is>
          <t>L</t>
        </is>
      </c>
      <c r="Q18" s="35" t="inlineStr">
        <is>
          <t>FL_PI_04 h2</t>
        </is>
      </c>
      <c r="R18" s="36" t="n"/>
    </row>
    <row r="19" outlineLevel="1">
      <c r="A19" s="33" t="n">
        <v>2</v>
      </c>
      <c r="B19" s="33" t="inlineStr">
        <is>
          <t>ABC10-04</t>
        </is>
      </c>
      <c r="C19" s="17" t="inlineStr">
        <is>
          <t xml:space="preserve">        Cuello roscado</t>
        </is>
      </c>
      <c r="D19" s="33" t="n">
        <v>1</v>
      </c>
      <c r="E19" s="33" t="inlineStr">
        <is>
          <t>u</t>
        </is>
      </c>
      <c r="F19" s="34" t="n">
        <v>0.0542</v>
      </c>
      <c r="G19" s="34">
        <f>D19*F19</f>
        <v/>
      </c>
      <c r="H19" s="33" t="inlineStr">
        <is>
          <t>Acero SAE 1010</t>
        </is>
      </c>
      <c r="I19" s="17" t="inlineStr">
        <is>
          <t>Ø36,8 × 14 de alto, rosca M30x1,5, asiento Ø35</t>
        </is>
      </c>
      <c r="J19" s="33" t="inlineStr">
        <is>
          <t>Compra (mecanizado, Eli-Met)</t>
        </is>
      </c>
      <c r="K19" s="33" t="inlineStr">
        <is>
          <t>Sí</t>
        </is>
      </c>
      <c r="L19" s="17" t="inlineStr">
        <is>
          <t>Eli-Met</t>
        </is>
      </c>
      <c r="M19" s="17" t="inlineStr">
        <is>
          <t>-</t>
        </is>
      </c>
      <c r="N19" s="17" t="inlineStr">
        <is>
          <t>Compra -&gt; 8 soldadura de cuello</t>
        </is>
      </c>
      <c r="O19" s="17" t="n"/>
      <c r="P19" s="33" t="inlineStr">
        <is>
          <t>P</t>
        </is>
      </c>
      <c r="Q19" s="33" t="inlineStr">
        <is>
          <t>FL_DES_ABC_10kg</t>
        </is>
      </c>
      <c r="R19" s="17" t="inlineStr">
        <is>
          <t>M30x1,5</t>
        </is>
      </c>
    </row>
    <row r="20" outlineLevel="1">
      <c r="A20" s="41" t="n">
        <v>2</v>
      </c>
      <c r="B20" s="41" t="inlineStr">
        <is>
          <t>ABC10-C1</t>
        </is>
      </c>
      <c r="C20" s="18" t="inlineStr">
        <is>
          <t xml:space="preserve">        Alambre MAG ER70S-6 Ø0,9 (AWS A5.18)</t>
        </is>
      </c>
      <c r="D20" s="41" t="n">
        <v>0.0987</v>
      </c>
      <c r="E20" s="41" t="inlineStr">
        <is>
          <t>kg</t>
        </is>
      </c>
      <c r="F20" s="42" t="n">
        <v>0.95</v>
      </c>
      <c r="G20" s="42">
        <f>D20*F20</f>
        <v/>
      </c>
      <c r="H20" s="41" t="inlineStr">
        <is>
          <t>ER70S-6</t>
        </is>
      </c>
      <c r="I20" s="18" t="inlineStr">
        <is>
          <t>metal depositado de los cordones del plano 94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ABC10-C2</t>
        </is>
      </c>
      <c r="C21" s="18" t="inlineStr">
        <is>
          <t xml:space="preserve">        Gas de protección MAG Arcal 21 / ARCAL Speed (Ar + 8 % CO₂, M20)</t>
        </is>
      </c>
      <c r="D21" s="41" t="n">
        <v>40.7</v>
      </c>
      <c r="E21" s="41" t="inlineStr">
        <is>
          <t>L</t>
        </is>
      </c>
      <c r="F21" s="42" t="n"/>
      <c r="G21" s="42" t="n"/>
      <c r="H21" s="41" t="inlineStr">
        <is>
          <t>EN ISO 14175 M20-ArC-8</t>
        </is>
      </c>
      <c r="I21" s="18" t="inlineStr">
        <is>
          <t>14 L/min × 2,91 min de arco (cordones 1.743 mm: long. 487 + circ. 1.140 + cuello 116,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41" t="n">
        <v>2</v>
      </c>
      <c r="B22" s="41" t="inlineStr">
        <is>
          <t>ABC10-C3</t>
        </is>
      </c>
      <c r="C22" s="18" t="inlineStr">
        <is>
          <t xml:space="preserve">        Granalla de acero S330 / S390 (ISO 11124-3, SAE J444)</t>
        </is>
      </c>
      <c r="D22" s="41" t="n">
        <v>0.08</v>
      </c>
      <c r="E22" s="41" t="inlineStr">
        <is>
          <t>kg</t>
        </is>
      </c>
      <c r="F22" s="42" t="n"/>
      <c r="G22" s="42" t="n"/>
      <c r="H22" s="41" t="inlineStr">
        <is>
          <t>Granalla esférica alto C</t>
        </is>
      </c>
      <c r="I22" s="18" t="inlineStr">
        <is>
          <t>0,338 m² a Sa 2½ (ISO 8501-1); 3,4 kg/h ÷ 42,5 u/h</t>
        </is>
      </c>
      <c r="J22" s="41" t="inlineStr">
        <is>
          <t>Compra</t>
        </is>
      </c>
      <c r="K22" s="41" t="inlineStr">
        <is>
          <t>Sí</t>
        </is>
      </c>
      <c r="L22" s="18" t="inlineStr">
        <is>
          <t>CyM Materiales</t>
        </is>
      </c>
      <c r="M22" s="18" t="inlineStr">
        <is>
          <t>Roca Ingeniería</t>
        </is>
      </c>
      <c r="N22" s="18" t="inlineStr">
        <is>
          <t>14 Granallado (B08)</t>
        </is>
      </c>
      <c r="O22" s="18" t="inlineStr">
        <is>
          <t>DOC-01</t>
        </is>
      </c>
      <c r="P22" s="41" t="inlineStr">
        <is>
          <t>C</t>
        </is>
      </c>
      <c r="Q22" s="41" t="n"/>
      <c r="R22" s="18" t="inlineStr">
        <is>
          <t>Consumo (desgaste) por turbina ≈ HP / 2 lb/h (The Fabricator, «aspectos básicos del granallado por turbina»): G-100 con 2 × 7,5 HP = 7,5 lb/h = 3,4 kg/h; ritmo 340 u por turno (Getweld) = 42,5 u/h.</t>
        </is>
      </c>
    </row>
    <row r="23" outlineLevel="1">
      <c r="A23" s="33" t="n">
        <v>2</v>
      </c>
      <c r="B23" s="33" t="inlineStr">
        <is>
          <t>ABC10-C4</t>
        </is>
      </c>
      <c r="C23" s="17" t="inlineStr">
        <is>
          <t xml:space="preserve">        Servicio de pintura en polvo al horno, rojo 03-1-050</t>
        </is>
      </c>
      <c r="D23" s="33" t="n">
        <v>1</v>
      </c>
      <c r="E23" s="33" t="inlineStr">
        <is>
          <t>u</t>
        </is>
      </c>
      <c r="F23" s="34" t="n"/>
      <c r="G23" s="34" t="n"/>
      <c r="H23" s="33" t="inlineStr">
        <is>
          <t>Servicio tercerizado</t>
        </is>
      </c>
      <c r="I23" s="17" t="inlineStr">
        <is>
          <t>superficie exterior 0,338 m²</t>
        </is>
      </c>
      <c r="J23" s="33" t="inlineStr">
        <is>
          <t>Compra (servicio)</t>
        </is>
      </c>
      <c r="K23" s="33" t="inlineStr">
        <is>
          <t>Sí</t>
        </is>
      </c>
      <c r="L23" s="17" t="inlineStr">
        <is>
          <t>Prymax</t>
        </is>
      </c>
      <c r="M23" s="17" t="inlineStr">
        <is>
          <t>Pintor de carros (cotización por mensaje)</t>
        </is>
      </c>
      <c r="N23" s="17" t="inlineStr">
        <is>
          <t>17 Pintura tercerizada</t>
        </is>
      </c>
      <c r="O23" s="17" t="inlineStr">
        <is>
          <t>IRAM 3523 5.3 / IRAM 3550 3.11 · IRAM 121</t>
        </is>
      </c>
      <c r="P23" s="33" t="inlineStr">
        <is>
          <t>Q</t>
        </is>
      </c>
      <c r="Q23" s="33" t="n"/>
      <c r="R23" s="17" t="inlineStr">
        <is>
          <t>Q-PRYMAX (precio por cilindro); exigir informe de niebla salina del sistema de pintura; tercerización aceptada por el Ministerio (Res. 349/07 art. 18)</t>
        </is>
      </c>
    </row>
    <row r="24" outlineLevel="1">
      <c r="A24" s="43" t="n">
        <v>2</v>
      </c>
      <c r="B24" s="43" t="inlineStr">
        <is>
          <t>ABC10-T1</t>
        </is>
      </c>
      <c r="C24" s="20" t="inlineStr">
        <is>
          <t xml:space="preserve">        Tapón protector de rosca del cuello</t>
        </is>
      </c>
      <c r="D24" s="43" t="n">
        <v>1</v>
      </c>
      <c r="E24" s="43" t="inlineStr">
        <is>
          <t>u</t>
        </is>
      </c>
      <c r="F24" s="44" t="n"/>
      <c r="G24" s="44" t="n"/>
      <c r="H24" s="43" t="inlineStr">
        <is>
          <t>Polietileno</t>
        </is>
      </c>
      <c r="I24" s="20" t="inlineStr">
        <is>
          <t>para rosca M30x1,5 (plano FL_REC_ABC_10kg hoja 3, R4)</t>
        </is>
      </c>
      <c r="J24" s="43" t="inlineStr">
        <is>
          <t>Compra</t>
        </is>
      </c>
      <c r="K24" s="43" t="inlineStr">
        <is>
          <t>Sí</t>
        </is>
      </c>
      <c r="L24" s="20" t="inlineStr">
        <is>
          <t>-</t>
        </is>
      </c>
      <c r="M24" s="20" t="inlineStr">
        <is>
          <t>-</t>
        </is>
      </c>
      <c r="N24" s="20" t="inlineStr">
        <is>
          <t>Embalaje</t>
        </is>
      </c>
      <c r="O24" s="20" t="n"/>
      <c r="P24" s="43" t="inlineStr">
        <is>
          <t>P</t>
        </is>
      </c>
      <c r="Q24" s="43" t="n"/>
      <c r="R24" s="20" t="n"/>
    </row>
    <row r="25" outlineLevel="1">
      <c r="A25" s="33" t="n">
        <v>2</v>
      </c>
      <c r="B25" s="33" t="inlineStr">
        <is>
          <t>ABC10-T2</t>
        </is>
      </c>
      <c r="C25" s="17" t="inlineStr">
        <is>
          <t xml:space="preserve">        Marcado del recipiente (estampado)</t>
        </is>
      </c>
      <c r="D25" s="33" t="n">
        <v>1</v>
      </c>
      <c r="E25" s="33" t="inlineStr">
        <is>
          <t>u</t>
        </is>
      </c>
      <c r="F25" s="34" t="n"/>
      <c r="G25" s="34" t="n"/>
      <c r="H25" s="33" t="inlineStr">
        <is>
          <t>-</t>
        </is>
      </c>
      <c r="I25" s="17" t="inlineStr">
        <is>
          <t>Fabricante, n° de serie, año; cuño DPS 15 × 7 junto al n°</t>
        </is>
      </c>
      <c r="J25" s="33" t="inlineStr">
        <is>
          <t>Proceso</t>
        </is>
      </c>
      <c r="K25" s="33" t="inlineStr">
        <is>
          <t>No</t>
        </is>
      </c>
      <c r="L25" s="17" t="n"/>
      <c r="M25" s="17" t="n"/>
      <c r="N25" s="17" t="inlineStr">
        <is>
          <t>Marcado</t>
        </is>
      </c>
      <c r="O25" s="17" t="inlineStr">
        <is>
          <t>IRAM 3523 5.1 · Res. 349/07 anexo IV</t>
        </is>
      </c>
      <c r="P25" s="33" t="inlineStr">
        <is>
          <t>N</t>
        </is>
      </c>
      <c r="Q25" s="33" t="n"/>
      <c r="R25" s="17" t="n"/>
    </row>
    <row r="26" outlineLevel="1">
      <c r="A26" s="33" t="n">
        <v>2</v>
      </c>
      <c r="B26" s="33" t="inlineStr">
        <is>
          <t>ABC10-T3</t>
        </is>
      </c>
      <c r="C26" s="17" t="inlineStr">
        <is>
          <t xml:space="preserve">        Etiqueta de identificación del cilindro suelto</t>
        </is>
      </c>
      <c r="D26" s="33" t="n">
        <v>1</v>
      </c>
      <c r="E26" s="33" t="inlineStr">
        <is>
          <t>u</t>
        </is>
      </c>
      <c r="F26" s="34" t="n"/>
      <c r="G26" s="34" t="n"/>
      <c r="H26" s="33" t="inlineStr">
        <is>
          <t>Poliéster autoadhesivo removible</t>
        </is>
      </c>
      <c r="I26" s="17" t="inlineStr">
        <is>
          <t>100 × 60, impresión térmica, QR GS1</t>
        </is>
      </c>
      <c r="J26" s="33" t="inlineStr">
        <is>
          <t>Compra</t>
        </is>
      </c>
      <c r="K26" s="33" t="inlineStr">
        <is>
          <t>Sí</t>
        </is>
      </c>
      <c r="L26" s="17" t="inlineStr">
        <is>
          <t>Astuprint</t>
        </is>
      </c>
      <c r="M26" s="17" t="inlineStr">
        <is>
          <t>GS1 Argentina</t>
        </is>
      </c>
      <c r="N26" s="17" t="inlineStr">
        <is>
          <t>Etiquetado</t>
        </is>
      </c>
      <c r="O26" s="17" t="n"/>
      <c r="P26" s="33" t="inlineStr">
        <is>
          <t>P</t>
        </is>
      </c>
      <c r="Q26" s="33" t="inlineStr">
        <is>
          <t>FL_REC_ABC_10kg hoja 3</t>
        </is>
      </c>
      <c r="R26" s="17" t="n"/>
    </row>
    <row r="27" outlineLevel="1">
      <c r="A27" s="33" t="n">
        <v>2</v>
      </c>
      <c r="B27" s="33" t="inlineStr">
        <is>
          <t>ABC10-T4</t>
        </is>
      </c>
      <c r="C27" s="17" t="inlineStr">
        <is>
          <t xml:space="preserve">        Protocolo de ensayo hidrostático (certificado que acompaña)</t>
        </is>
      </c>
      <c r="D27" s="33" t="n">
        <v>1</v>
      </c>
      <c r="E27" s="33" t="inlineStr">
        <is>
          <t>u</t>
        </is>
      </c>
      <c r="F27" s="34" t="n">
        <v>0.005</v>
      </c>
      <c r="G27" s="34">
        <f>D27*F27</f>
        <v/>
      </c>
      <c r="H27" s="33" t="inlineStr">
        <is>
          <t>Papel</t>
        </is>
      </c>
      <c r="I27" s="17" t="inlineStr">
        <is>
          <t>A5</t>
        </is>
      </c>
      <c r="J27" s="33" t="inlineStr">
        <is>
          <t>Proceso</t>
        </is>
      </c>
      <c r="K27" s="33" t="inlineStr">
        <is>
          <t>No</t>
        </is>
      </c>
      <c r="L27" s="17" t="n"/>
      <c r="M27" s="17" t="n"/>
      <c r="N27" s="17" t="inlineStr">
        <is>
          <t>Control de calidad</t>
        </is>
      </c>
      <c r="O27" s="17" t="inlineStr">
        <is>
          <t>IRAM 3523 4.1 y cap. 6 · IRAM 2587</t>
        </is>
      </c>
      <c r="P27" s="33" t="inlineStr">
        <is>
          <t>N</t>
        </is>
      </c>
      <c r="Q27" s="33" t="inlineStr">
        <is>
          <t>FL_REC_ABC_10kg hoja 3</t>
        </is>
      </c>
      <c r="R27" s="17" t="n"/>
    </row>
    <row r="28">
      <c r="A28" s="30" t="n">
        <v>1</v>
      </c>
      <c r="B28" s="30" t="inlineStr">
        <is>
          <t>ABC10-S7</t>
        </is>
      </c>
      <c r="C28" s="31" t="inlineStr">
        <is>
          <t xml:space="preserve">    Embalaje</t>
        </is>
      </c>
      <c r="D28" s="30" t="n">
        <v>1</v>
      </c>
      <c r="E28" s="30" t="inlineStr">
        <is>
          <t>u</t>
        </is>
      </c>
      <c r="F28" s="32" t="n"/>
      <c r="G28" s="32">
        <f>G31</f>
        <v/>
      </c>
      <c r="H28" s="30" t="n"/>
      <c r="I28" s="31" t="n"/>
      <c r="J28" s="30" t="inlineStr">
        <is>
          <t>Compra</t>
        </is>
      </c>
      <c r="K28" s="30" t="n"/>
      <c r="L28" s="31" t="n"/>
      <c r="M28" s="31" t="n"/>
      <c r="N28" s="31" t="inlineStr">
        <is>
          <t>23 Embalaje -&gt; 24 envolvedora (T11)</t>
        </is>
      </c>
      <c r="O28" s="31" t="n"/>
      <c r="P28" s="30" t="n"/>
      <c r="Q28" s="30" t="n"/>
      <c r="R28" s="31" t="n"/>
    </row>
    <row r="29" outlineLevel="1">
      <c r="A29" s="33" t="n">
        <v>2</v>
      </c>
      <c r="B29" s="33" t="inlineStr">
        <is>
          <t>ABC10-E1</t>
        </is>
      </c>
      <c r="C29" s="17" t="inlineStr">
        <is>
          <t xml:space="preserve">        Caja de cartón corrugado doble</t>
        </is>
      </c>
      <c r="D29" s="33" t="n">
        <v>1</v>
      </c>
      <c r="E29" s="33" t="inlineStr">
        <is>
          <t>u</t>
        </is>
      </c>
      <c r="F29" s="34" t="n"/>
      <c r="G29" s="34" t="n"/>
      <c r="H29" s="33" t="inlineStr">
        <is>
          <t>Cartón corrugado</t>
        </is>
      </c>
      <c r="I29" s="17" t="inlineStr">
        <is>
          <t>212 × 212 × 582 interior (envolvente del plano + 15 por lado)</t>
        </is>
      </c>
      <c r="J29" s="33" t="inlineStr">
        <is>
          <t>Compra</t>
        </is>
      </c>
      <c r="K29" s="33" t="inlineStr">
        <is>
          <t>Sí</t>
        </is>
      </c>
      <c r="L29" s="17" t="inlineStr">
        <is>
          <t>Maxipack</t>
        </is>
      </c>
      <c r="M29" s="17" t="inlineStr">
        <is>
          <t>Cartocan</t>
        </is>
      </c>
      <c r="N29" s="17" t="inlineStr">
        <is>
          <t>23 Embalaje</t>
        </is>
      </c>
      <c r="O29" s="17" t="n"/>
      <c r="P29" s="33" t="inlineStr">
        <is>
          <t>P</t>
        </is>
      </c>
      <c r="Q29" s="33" t="n"/>
      <c r="R29" s="17" t="inlineStr">
        <is>
          <t>Medida del plano</t>
        </is>
      </c>
    </row>
    <row r="30" outlineLevel="1">
      <c r="A30" s="33" t="n">
        <v>2</v>
      </c>
      <c r="B30" s="33" t="inlineStr">
        <is>
          <t>ABC10-E3</t>
        </is>
      </c>
      <c r="C30" s="17" t="inlineStr">
        <is>
          <t xml:space="preserve">        Pallet 1200 × 1000 (fracción)</t>
        </is>
      </c>
      <c r="D30" s="33" t="n">
        <v>0.025</v>
      </c>
      <c r="E30" s="33" t="inlineStr">
        <is>
          <t>u</t>
        </is>
      </c>
      <c r="F30" s="34" t="n"/>
      <c r="G30" s="34" t="n"/>
      <c r="H30" s="33" t="inlineStr">
        <is>
          <t>Madera</t>
        </is>
      </c>
      <c r="I30" s="17" t="inlineStr">
        <is>
          <t>40 u por pallet</t>
        </is>
      </c>
      <c r="J30" s="33" t="inlineStr">
        <is>
          <t>Compra</t>
        </is>
      </c>
      <c r="K30" s="33" t="inlineStr">
        <is>
          <t>Sí</t>
        </is>
      </c>
      <c r="L30" s="17" t="inlineStr">
        <is>
          <t>IndusPallets</t>
        </is>
      </c>
      <c r="M30" s="17" t="inlineStr">
        <is>
          <t>-</t>
        </is>
      </c>
      <c r="N30" s="17" t="inlineStr">
        <is>
          <t>23 Embalaje</t>
        </is>
      </c>
      <c r="O30" s="17" t="n"/>
      <c r="P30" s="33" t="inlineStr">
        <is>
          <t>C</t>
        </is>
      </c>
      <c r="Q30" s="33" t="n"/>
      <c r="R30" s="17" t="inlineStr">
        <is>
          <t>u por pallet = acomodo de la caja (plano) en 1200 × 1000 × 1450 de alto</t>
        </is>
      </c>
    </row>
    <row r="31" outlineLevel="1">
      <c r="A31" s="41" t="n">
        <v>2</v>
      </c>
      <c r="B31" s="41" t="inlineStr">
        <is>
          <t>ABC10-E4</t>
        </is>
      </c>
      <c r="C31" s="18" t="inlineStr">
        <is>
          <t xml:space="preserve">        Film stretch (fracción del pallet)</t>
        </is>
      </c>
      <c r="D31" s="41" t="n">
        <v>0.003</v>
      </c>
      <c r="E31" s="41" t="inlineStr">
        <is>
          <t>kg</t>
        </is>
      </c>
      <c r="F31" s="42" t="n">
        <v>1</v>
      </c>
      <c r="G31" s="42">
        <f>D31*F31</f>
        <v/>
      </c>
      <c r="H31" s="41" t="inlineStr">
        <is>
          <t>PE lineal 23 µm</t>
        </is>
      </c>
      <c r="I31" s="18" t="inlineStr">
        <is>
          <t>0,12 kg por pallet / 40 u</t>
        </is>
      </c>
      <c r="J31" s="41" t="inlineStr">
        <is>
          <t>Compra</t>
        </is>
      </c>
      <c r="K31" s="41" t="inlineStr">
        <is>
          <t>Sí</t>
        </is>
      </c>
      <c r="L31" s="18" t="inlineStr">
        <is>
          <t>MV Embalajes</t>
        </is>
      </c>
      <c r="M31" s="18" t="inlineStr">
        <is>
          <t>Embalpack</t>
        </is>
      </c>
      <c r="N31" s="18" t="inlineStr">
        <is>
          <t>24 Envolvedora (T11)</t>
        </is>
      </c>
      <c r="O31" s="18" t="n"/>
      <c r="P31" s="41" t="inlineStr">
        <is>
          <t>C</t>
        </is>
      </c>
      <c r="Q31" s="41"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3" t="n">
        <v>2</v>
      </c>
      <c r="B32" s="33" t="inlineStr">
        <is>
          <t>ABC10-E5</t>
        </is>
      </c>
      <c r="C32" s="17" t="inlineStr">
        <is>
          <t xml:space="preserve">        Etiqueta de pallet (lote y destino, fracción)</t>
        </is>
      </c>
      <c r="D32" s="33" t="n">
        <v>0.025</v>
      </c>
      <c r="E32" s="33" t="inlineStr">
        <is>
          <t>u</t>
        </is>
      </c>
      <c r="F32" s="34" t="n"/>
      <c r="G32" s="34" t="n"/>
      <c r="H32" s="33" t="inlineStr">
        <is>
          <t>Papel térmico</t>
        </is>
      </c>
      <c r="I32" s="17" t="inlineStr">
        <is>
          <t>100 × 150</t>
        </is>
      </c>
      <c r="J32" s="33" t="inlineStr">
        <is>
          <t>Compra</t>
        </is>
      </c>
      <c r="K32" s="33" t="inlineStr">
        <is>
          <t>Sí</t>
        </is>
      </c>
      <c r="L32" s="17" t="inlineStr">
        <is>
          <t>Astuprint</t>
        </is>
      </c>
      <c r="M32" s="17" t="inlineStr">
        <is>
          <t>Multilabel Argentina S.A.</t>
        </is>
      </c>
      <c r="N32" s="17" t="inlineStr">
        <is>
          <t>24 Envolvedora</t>
        </is>
      </c>
      <c r="O32" s="17" t="n"/>
      <c r="P32" s="33" t="inlineStr">
        <is>
          <t>C</t>
        </is>
      </c>
      <c r="Q32" s="33" t="n"/>
      <c r="R32" s="17" t="n"/>
    </row>
    <row r="33" outlineLevel="1">
      <c r="A33" s="41" t="n">
        <v>2</v>
      </c>
      <c r="B33" s="41" t="inlineStr">
        <is>
          <t>ABC10-E6</t>
        </is>
      </c>
      <c r="C33" s="18" t="inlineStr">
        <is>
          <t xml:space="preserve">        Cinta de embalaje PP 48 mm (cierre de la caja)</t>
        </is>
      </c>
      <c r="D33" s="41" t="n">
        <v>0.703</v>
      </c>
      <c r="E33" s="41" t="inlineStr">
        <is>
          <t>m</t>
        </is>
      </c>
      <c r="F33" s="42" t="n"/>
      <c r="G33" s="42" t="n"/>
      <c r="H33" s="41" t="inlineStr">
        <is>
          <t>Polipropileno con adhesivo acrílico</t>
        </is>
      </c>
      <c r="I33" s="18" t="inlineStr">
        <is>
          <t>cierre en I arriba y abajo: 2 × (212 + 2 × 70 de solapa)</t>
        </is>
      </c>
      <c r="J33" s="41" t="inlineStr">
        <is>
          <t>Compra</t>
        </is>
      </c>
      <c r="K33" s="41" t="inlineStr">
        <is>
          <t>Sí</t>
        </is>
      </c>
      <c r="L33" s="18" t="inlineStr">
        <is>
          <t>MV Embalajes</t>
        </is>
      </c>
      <c r="M33" s="18" t="inlineStr">
        <is>
          <t>Embalpack</t>
        </is>
      </c>
      <c r="N33" s="18" t="inlineStr">
        <is>
          <t>23 Embalaje</t>
        </is>
      </c>
      <c r="O33" s="18" t="n"/>
      <c r="P33" s="41" t="inlineStr">
        <is>
          <t>C</t>
        </is>
      </c>
      <c r="Q33" s="41" t="n"/>
      <c r="R33" s="18" t="inlineStr">
        <is>
          <t>Solapa de 70 mm por lado: práctica de cierre de cajas (medir en la línea)</t>
        </is>
      </c>
    </row>
    <row r="34" outlineLevel="1">
      <c r="A34" s="33" t="n">
        <v>2</v>
      </c>
      <c r="B34" s="33" t="inlineStr">
        <is>
          <t>ABC10-E7</t>
        </is>
      </c>
      <c r="C34" s="17" t="inlineStr">
        <is>
          <t xml:space="preserve">        Esquineros de cartón 50 × 50 × 1200 (fracción del pallet)</t>
        </is>
      </c>
      <c r="D34" s="33" t="n">
        <v>0.1</v>
      </c>
      <c r="E34" s="33" t="inlineStr">
        <is>
          <t>u</t>
        </is>
      </c>
      <c r="F34" s="34" t="n"/>
      <c r="G34" s="34" t="n"/>
      <c r="H34" s="33" t="inlineStr">
        <is>
          <t>Cartón</t>
        </is>
      </c>
      <c r="I34" s="17" t="inlineStr">
        <is>
          <t>4 por pallet / 40 u</t>
        </is>
      </c>
      <c r="J34" s="33" t="inlineStr">
        <is>
          <t>Compra</t>
        </is>
      </c>
      <c r="K34" s="33" t="inlineStr">
        <is>
          <t>Sí</t>
        </is>
      </c>
      <c r="L34" s="17" t="inlineStr">
        <is>
          <t>Maxipack</t>
        </is>
      </c>
      <c r="M34" s="17" t="inlineStr">
        <is>
          <t>Cartocan</t>
        </is>
      </c>
      <c r="N34" s="17" t="inlineStr">
        <is>
          <t>24 Envolvedora (T11)</t>
        </is>
      </c>
      <c r="O34" s="17" t="n"/>
      <c r="P34" s="33" t="inlineStr">
        <is>
          <t>C</t>
        </is>
      </c>
      <c r="Q34" s="33" t="n"/>
      <c r="R34" s="17" t="inlineStr">
        <is>
          <t>Planilla MP-64</t>
        </is>
      </c>
    </row>
    <row r="35" outlineLevel="1">
      <c r="A35" s="33" t="n">
        <v>2</v>
      </c>
      <c r="B35" s="33" t="inlineStr">
        <is>
          <t>ABC10-E8</t>
        </is>
      </c>
      <c r="C35" s="17" t="inlineStr">
        <is>
          <t xml:space="preserve">        Separador de capa de cartón 1200 × 1000 (fracción del pallet)</t>
        </is>
      </c>
      <c r="D35" s="33" t="n">
        <v>0.025</v>
      </c>
      <c r="E35" s="33" t="inlineStr">
        <is>
          <t>u</t>
        </is>
      </c>
      <c r="F35" s="34" t="n"/>
      <c r="G35" s="34" t="n"/>
      <c r="H35" s="33" t="inlineStr">
        <is>
          <t>Cartón</t>
        </is>
      </c>
      <c r="I35" s="17" t="inlineStr">
        <is>
          <t>2 capas → 1 separadores por pallet / 40 u</t>
        </is>
      </c>
      <c r="J35" s="33" t="inlineStr">
        <is>
          <t>Compra</t>
        </is>
      </c>
      <c r="K35" s="33" t="inlineStr">
        <is>
          <t>Sí</t>
        </is>
      </c>
      <c r="L35" s="17" t="inlineStr">
        <is>
          <t>Maxipack</t>
        </is>
      </c>
      <c r="M35" s="17" t="inlineStr">
        <is>
          <t>Cartocan</t>
        </is>
      </c>
      <c r="N35" s="17" t="inlineStr">
        <is>
          <t>23 Embalaje</t>
        </is>
      </c>
      <c r="O35" s="17" t="n"/>
      <c r="P35" s="33" t="inlineStr">
        <is>
          <t>C</t>
        </is>
      </c>
      <c r="Q35" s="33"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66" t="inlineStr">
        <is>
          <t>Cilindro (recipiente) ABC 25 kg rodante - repuesto vacío sin válvula</t>
        </is>
      </c>
    </row>
    <row r="3">
      <c r="A3" s="2" t="inlineStr">
        <is>
          <t>Plano de origen</t>
        </is>
      </c>
      <c r="C3" t="inlineStr">
        <is>
          <t>FL_REC_ABC_25kg  (recipiente para venta suelta)</t>
        </is>
      </c>
      <c r="E3" s="2" t="inlineStr">
        <is>
          <t>Peso vacío S1-S4 (kg)</t>
        </is>
      </c>
      <c r="G3" s="67">
        <f>G12</f>
        <v/>
      </c>
    </row>
    <row r="4">
      <c r="A4" s="2" t="inlineStr">
        <is>
          <t>Plano de despiece</t>
        </is>
      </c>
      <c r="C4" t="inlineStr">
        <is>
          <t>FL_REC_ABC_25kg hoja 3</t>
        </is>
      </c>
      <c r="E4" s="2" t="inlineStr">
        <is>
          <t>Peso cargado S1-S6 (kg)</t>
        </is>
      </c>
      <c r="G4" s="67">
        <f>G12</f>
        <v/>
      </c>
    </row>
    <row r="5">
      <c r="A5" s="2" t="inlineStr">
        <is>
          <t>Norma del producto</t>
        </is>
      </c>
      <c r="C5" t="inlineStr">
        <is>
          <t>IRAM 3550</t>
        </is>
      </c>
      <c r="E5" s="2" t="inlineStr">
        <is>
          <t>Peso con soporte y embalaje (kg)</t>
        </is>
      </c>
      <c r="G5" s="67">
        <f>G12+G25</f>
        <v/>
      </c>
    </row>
    <row r="6">
      <c r="A6" s="2" t="inlineStr">
        <is>
          <t>Fabricación</t>
        </is>
      </c>
      <c r="C6" t="inlineStr">
        <is>
          <t>Fabricación propia</t>
        </is>
      </c>
      <c r="E6" s="2" t="n"/>
    </row>
    <row r="7">
      <c r="A7" s="2" t="inlineStr">
        <is>
          <t>Peso catálogo cargado (kg)</t>
        </is>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FL_REC_ABC_25kg</t>
        </is>
      </c>
      <c r="C11" s="28" t="inlineStr">
        <is>
          <t>Cilindro (recipiente) ABC 25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FL_REC_ABC_25kg</t>
        </is>
      </c>
      <c r="R11" s="28" t="inlineStr">
        <is>
          <t>Fabricación propia</t>
        </is>
      </c>
    </row>
    <row r="12">
      <c r="A12" s="30" t="n">
        <v>1</v>
      </c>
      <c r="B12" s="30" t="inlineStr">
        <is>
          <t>ABC25-S1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FL_DES_ABC_25kg</t>
        </is>
      </c>
      <c r="R12" s="31" t="n"/>
    </row>
    <row r="13" outlineLevel="1">
      <c r="A13" s="33" t="n">
        <v>2</v>
      </c>
      <c r="B13" s="33" t="inlineStr">
        <is>
          <t>ABC25-01</t>
        </is>
      </c>
      <c r="C13" s="17" t="inlineStr">
        <is>
          <t xml:space="preserve">        Cuerpo (virola)</t>
        </is>
      </c>
      <c r="D13" s="33" t="n">
        <v>1</v>
      </c>
      <c r="E13" s="33" t="inlineStr">
        <is>
          <t>u</t>
        </is>
      </c>
      <c r="F13" s="34" t="n">
        <v>8.756600000000001</v>
      </c>
      <c r="G13" s="34">
        <f>D13*F13</f>
        <v/>
      </c>
      <c r="H13" s="33" t="inlineStr">
        <is>
          <t>Chapa LAC IRAM-IAS U 500-04 e=3,2</t>
        </is>
      </c>
      <c r="I13" s="17" t="inlineStr">
        <is>
          <t>Ø276,5 × e3,2 × 406 de alto; desarrollo 858,6 × 406</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FL_DES_ABC_25kg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12.558</v>
      </c>
      <c r="G14" s="37">
        <f>D14*F14</f>
        <v/>
      </c>
      <c r="H14" s="35" t="inlineStr">
        <is>
          <t>Chapa LAC IRAM-IAS U 500-04 LAC</t>
        </is>
      </c>
      <c r="I14" s="36" t="inlineStr">
        <is>
          <t>490 × 858 (aprovech. 84,1 %)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ABC25-02</t>
        </is>
      </c>
      <c r="C15" s="17" t="inlineStr">
        <is>
          <t xml:space="preserve">        Cúpula</t>
        </is>
      </c>
      <c r="D15" s="33" t="n">
        <v>1</v>
      </c>
      <c r="E15" s="33" t="inlineStr">
        <is>
          <t>u</t>
        </is>
      </c>
      <c r="F15" s="34" t="n">
        <v>2.162</v>
      </c>
      <c r="G15" s="34">
        <f>D15*F15</f>
        <v/>
      </c>
      <c r="H15" s="33" t="inlineStr">
        <is>
          <t>Chapa LAC IRAM-IAS U 500-04 e=3,2</t>
        </is>
      </c>
      <c r="I15" s="17" t="inlineStr">
        <is>
          <t>Ø276,5 × e3,2 × 86,3 de alto; disco Ø341</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FL_DES_ABC_25kg</t>
        </is>
      </c>
      <c r="R15" s="17" t="inlineStr">
        <is>
          <t>embutida</t>
        </is>
      </c>
    </row>
    <row r="16" outlineLevel="1">
      <c r="A16" s="33" t="n">
        <v>2</v>
      </c>
      <c r="B16" s="33" t="inlineStr">
        <is>
          <t>ABC25-03</t>
        </is>
      </c>
      <c r="C16" s="17" t="inlineStr">
        <is>
          <t xml:space="preserve">        Fondo</t>
        </is>
      </c>
      <c r="D16" s="33" t="n">
        <v>1</v>
      </c>
      <c r="E16" s="33" t="inlineStr">
        <is>
          <t>u</t>
        </is>
      </c>
      <c r="F16" s="34" t="n">
        <v>2.2425</v>
      </c>
      <c r="G16" s="34">
        <f>D16*F16</f>
        <v/>
      </c>
      <c r="H16" s="33" t="inlineStr">
        <is>
          <t>Chapa LAC IRAM-IAS U 500-04 e=3,2</t>
        </is>
      </c>
      <c r="I16" s="17" t="inlineStr">
        <is>
          <t>Ø276,5 × e3,2 × 87 de alto; disco Ø347,3</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FL_DES_ABC_25kg</t>
        </is>
      </c>
      <c r="R16" s="17" t="inlineStr">
        <is>
          <t>embutido</t>
        </is>
      </c>
    </row>
    <row r="17" outlineLevel="1">
      <c r="A17" s="33" t="n">
        <v>2</v>
      </c>
      <c r="B17" s="33" t="inlineStr">
        <is>
          <t>ABC25-04</t>
        </is>
      </c>
      <c r="C17" s="17" t="inlineStr">
        <is>
          <t xml:space="preserve">        Cuello roscado</t>
        </is>
      </c>
      <c r="D17" s="33" t="n">
        <v>1</v>
      </c>
      <c r="E17" s="33" t="inlineStr">
        <is>
          <t>u</t>
        </is>
      </c>
      <c r="F17" s="34" t="n">
        <v>0.1326</v>
      </c>
      <c r="G17" s="34">
        <f>D17*F17</f>
        <v/>
      </c>
      <c r="H17" s="33" t="inlineStr">
        <is>
          <t>Acero SAE 1010</t>
        </is>
      </c>
      <c r="I17" s="17" t="inlineStr">
        <is>
          <t>Ø37 × 35 de alto, rosca M30x1,5, asiento Ø35</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FL_DES_ABC_25kg</t>
        </is>
      </c>
      <c r="R17" s="17" t="inlineStr">
        <is>
          <t>M30x1,5</t>
        </is>
      </c>
    </row>
    <row r="18" outlineLevel="1">
      <c r="A18" s="41" t="n">
        <v>2</v>
      </c>
      <c r="B18" s="41" t="inlineStr">
        <is>
          <t>ABC25-C1</t>
        </is>
      </c>
      <c r="C18" s="18" t="inlineStr">
        <is>
          <t xml:space="preserve">        Alambre MAG ER70S-6 Ø1,2 (AWS A5.18)</t>
        </is>
      </c>
      <c r="D18" s="41" t="n">
        <v>0.3374</v>
      </c>
      <c r="E18" s="41" t="inlineStr">
        <is>
          <t>kg</t>
        </is>
      </c>
      <c r="F18" s="42" t="n">
        <v>0.95</v>
      </c>
      <c r="G18" s="42">
        <f>D18*F18</f>
        <v/>
      </c>
      <c r="H18" s="41" t="inlineStr">
        <is>
          <t>ER70S-6</t>
        </is>
      </c>
      <c r="I18" s="18" t="inlineStr">
        <is>
          <t>metal depositado de los cordones del plano 321 g / rendimiento 0,95</t>
        </is>
      </c>
      <c r="J18" s="41" t="inlineStr">
        <is>
          <t>Compra</t>
        </is>
      </c>
      <c r="K18" s="41" t="inlineStr">
        <is>
          <t>Sí</t>
        </is>
      </c>
      <c r="L18" s="18" t="inlineStr">
        <is>
          <t>Conarco (ESAB Argentina)</t>
        </is>
      </c>
      <c r="M18" s="18" t="inlineStr">
        <is>
          <t>-</t>
        </is>
      </c>
      <c r="N18" s="18" t="inlineStr">
        <is>
          <t>4 sold. long. / 8 cuello / 11 circunferencial</t>
        </is>
      </c>
      <c r="O18" s="18" t="inlineStr">
        <is>
          <t>IRAM 3523 3.2.4.2 · IRAM 3550 4.1.2</t>
        </is>
      </c>
      <c r="P18" s="41" t="inlineStr">
        <is>
          <t>C</t>
        </is>
      </c>
      <c r="Q18" s="41"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1" t="n">
        <v>2</v>
      </c>
      <c r="B19" s="41" t="inlineStr">
        <is>
          <t>ABC25-C2</t>
        </is>
      </c>
      <c r="C19" s="18" t="inlineStr">
        <is>
          <t xml:space="preserve">        Gas de protección MAG Arcal 21 / ARCAL Speed (Ar + 8 % CO₂, M20)</t>
        </is>
      </c>
      <c r="D19" s="41" t="n">
        <v>52.7</v>
      </c>
      <c r="E19" s="41" t="inlineStr">
        <is>
          <t>L</t>
        </is>
      </c>
      <c r="F19" s="42" t="n"/>
      <c r="G19" s="42" t="n"/>
      <c r="H19" s="41" t="inlineStr">
        <is>
          <t>EN ISO 14175 M20-ArC-8</t>
        </is>
      </c>
      <c r="I19" s="18" t="inlineStr">
        <is>
          <t>14 L/min × 3,77 min de arco (cordones 2.260 mm: long. 406 + circ. 1.737 + cuello 116, a 600 mm/min)</t>
        </is>
      </c>
      <c r="J19" s="41" t="inlineStr">
        <is>
          <t>Compra</t>
        </is>
      </c>
      <c r="K19" s="41" t="inlineStr">
        <is>
          <t>Sí</t>
        </is>
      </c>
      <c r="L19" s="18" t="inlineStr">
        <is>
          <t>Air Liquide Argentina - sucursal Piñeyro</t>
        </is>
      </c>
      <c r="M19" s="18" t="inlineStr">
        <is>
          <t>Gogniat</t>
        </is>
      </c>
      <c r="N19" s="18" t="inlineStr">
        <is>
          <t>Colector SC</t>
        </is>
      </c>
      <c r="O19" s="18" t="inlineStr">
        <is>
          <t>IRAM 3523 3.2.4.2 · IRAM 3550 3.2.2.2</t>
        </is>
      </c>
      <c r="P19" s="41" t="inlineStr">
        <is>
          <t>C</t>
        </is>
      </c>
      <c r="Q19" s="41"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ABC25-C4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0,524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3" t="n">
        <v>2</v>
      </c>
      <c r="B21" s="43" t="inlineStr">
        <is>
          <t>ABC25-T1</t>
        </is>
      </c>
      <c r="C21" s="20" t="inlineStr">
        <is>
          <t xml:space="preserve">        Tapón protector de rosca del cuello</t>
        </is>
      </c>
      <c r="D21" s="43" t="n">
        <v>1</v>
      </c>
      <c r="E21" s="43" t="inlineStr">
        <is>
          <t>u</t>
        </is>
      </c>
      <c r="F21" s="44" t="n"/>
      <c r="G21" s="44" t="n"/>
      <c r="H21" s="43" t="inlineStr">
        <is>
          <t>Polietileno</t>
        </is>
      </c>
      <c r="I21" s="20" t="inlineStr">
        <is>
          <t>para rosca M30x1,5 (plano FL_REC_ABC_25kg hoja 3, R4)</t>
        </is>
      </c>
      <c r="J21" s="43" t="inlineStr">
        <is>
          <t>Compra</t>
        </is>
      </c>
      <c r="K21" s="43" t="inlineStr">
        <is>
          <t>Sí</t>
        </is>
      </c>
      <c r="L21" s="20" t="inlineStr">
        <is>
          <t>-</t>
        </is>
      </c>
      <c r="M21" s="20" t="inlineStr">
        <is>
          <t>-</t>
        </is>
      </c>
      <c r="N21" s="20" t="inlineStr">
        <is>
          <t>Embalaje</t>
        </is>
      </c>
      <c r="O21" s="20" t="n"/>
      <c r="P21" s="43" t="inlineStr">
        <is>
          <t>P</t>
        </is>
      </c>
      <c r="Q21" s="43" t="n"/>
      <c r="R21" s="20" t="n"/>
    </row>
    <row r="22" outlineLevel="1">
      <c r="A22" s="33" t="n">
        <v>2</v>
      </c>
      <c r="B22" s="33" t="inlineStr">
        <is>
          <t>ABC25-T2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ABC25-T3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FL_REC_ABC_25kg hoja 3</t>
        </is>
      </c>
      <c r="R23" s="17" t="n"/>
    </row>
    <row r="24" outlineLevel="1">
      <c r="A24" s="33" t="n">
        <v>2</v>
      </c>
      <c r="B24" s="33" t="inlineStr">
        <is>
          <t>ABC25-T4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FL_REC_ABC_25kg hoja 3</t>
        </is>
      </c>
      <c r="R24" s="17" t="n"/>
    </row>
    <row r="25">
      <c r="A25" s="30" t="n">
        <v>1</v>
      </c>
      <c r="B25" s="30" t="inlineStr">
        <is>
          <t>ABC25-S7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ABC25-E1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ABC25-E3</t>
        </is>
      </c>
      <c r="C27" s="17" t="inlineStr">
        <is>
          <t xml:space="preserve">        Pallet 1200 × 1000 (fracción)</t>
        </is>
      </c>
      <c r="D27" s="33" t="n">
        <v>0.0833</v>
      </c>
      <c r="E27" s="33" t="inlineStr">
        <is>
          <t>u</t>
        </is>
      </c>
      <c r="F27" s="34" t="n"/>
      <c r="G27" s="34" t="n"/>
      <c r="H27" s="33" t="inlineStr">
        <is>
          <t>Madera</t>
        </is>
      </c>
      <c r="I27" s="17" t="inlineStr">
        <is>
          <t>12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41" t="n">
        <v>2</v>
      </c>
      <c r="B28" s="41" t="inlineStr">
        <is>
          <t>ABC25-E4</t>
        </is>
      </c>
      <c r="C28" s="18" t="inlineStr">
        <is>
          <t xml:space="preserve">        Film stretch (fracción del pallet)</t>
        </is>
      </c>
      <c r="D28" s="41" t="n">
        <v>0.01</v>
      </c>
      <c r="E28" s="41" t="inlineStr">
        <is>
          <t>kg</t>
        </is>
      </c>
      <c r="F28" s="42" t="n">
        <v>1</v>
      </c>
      <c r="G28" s="42">
        <f>D28*F28</f>
        <v/>
      </c>
      <c r="H28" s="41" t="inlineStr">
        <is>
          <t>PE lineal 23 µm</t>
        </is>
      </c>
      <c r="I28" s="18" t="inlineStr">
        <is>
          <t>0,12 kg por pallet / 12 u</t>
        </is>
      </c>
      <c r="J28" s="41" t="inlineStr">
        <is>
          <t>Compra</t>
        </is>
      </c>
      <c r="K28" s="41" t="inlineStr">
        <is>
          <t>Sí</t>
        </is>
      </c>
      <c r="L28" s="18" t="inlineStr">
        <is>
          <t>MV Embalajes</t>
        </is>
      </c>
      <c r="M28" s="18" t="inlineStr">
        <is>
          <t>Embalpack</t>
        </is>
      </c>
      <c r="N28" s="18" t="inlineStr">
        <is>
          <t>24 Envolvedora (T11)</t>
        </is>
      </c>
      <c r="O28" s="18" t="n"/>
      <c r="P28" s="41" t="inlineStr">
        <is>
          <t>C</t>
        </is>
      </c>
      <c r="Q28" s="41"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ABC25-E5</t>
        </is>
      </c>
      <c r="C29" s="17" t="inlineStr">
        <is>
          <t xml:space="preserve">        Etiqueta de pallet (lote y destino, fracción)</t>
        </is>
      </c>
      <c r="D29" s="33" t="n">
        <v>0.0833</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 Argentina S.A.</t>
        </is>
      </c>
      <c r="N29" s="17" t="inlineStr">
        <is>
          <t>24 Envolvedora</t>
        </is>
      </c>
      <c r="O29" s="17" t="n"/>
      <c r="P29" s="33" t="inlineStr">
        <is>
          <t>C</t>
        </is>
      </c>
      <c r="Q29" s="33" t="n"/>
      <c r="R29" s="17" t="n"/>
    </row>
    <row r="30" outlineLevel="1">
      <c r="A30" s="33" t="n">
        <v>2</v>
      </c>
      <c r="B30" s="33" t="inlineStr">
        <is>
          <t>ABC25-E8</t>
        </is>
      </c>
      <c r="C30" s="17" t="inlineStr">
        <is>
          <t xml:space="preserve">        Separador de capa de cartón 1200 × 1000 (fracción del pallet)</t>
        </is>
      </c>
      <c r="D30" s="33" t="n">
        <v>0</v>
      </c>
      <c r="E30" s="33" t="inlineStr">
        <is>
          <t>u</t>
        </is>
      </c>
      <c r="F30" s="34" t="n"/>
      <c r="G30" s="34" t="n"/>
      <c r="H30" s="33" t="inlineStr">
        <is>
          <t>Cartón</t>
        </is>
      </c>
      <c r="I30" s="17" t="inlineStr">
        <is>
          <t>1 capas → 0 separadores por pallet / 12 u</t>
        </is>
      </c>
      <c r="J30" s="33" t="inlineStr">
        <is>
          <t>Compra</t>
        </is>
      </c>
      <c r="K30" s="33" t="inlineStr">
        <is>
          <t>Sí</t>
        </is>
      </c>
      <c r="L30" s="17" t="inlineStr">
        <is>
          <t>Maxipack</t>
        </is>
      </c>
      <c r="M30" s="17" t="inlineStr">
        <is>
          <t>Cartocan</t>
        </is>
      </c>
      <c r="N30" s="17" t="inlineStr">
        <is>
          <t>23 Embalaje</t>
        </is>
      </c>
      <c r="O30" s="17" t="n"/>
      <c r="P30" s="33" t="inlineStr">
        <is>
          <t>C</t>
        </is>
      </c>
      <c r="Q30" s="33"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66" t="inlineStr">
        <is>
          <t>Cilindro (recipiente) ABC 50 kg rodante - repuesto vacío sin válvula</t>
        </is>
      </c>
    </row>
    <row r="3">
      <c r="A3" s="2" t="inlineStr">
        <is>
          <t>Plano de origen</t>
        </is>
      </c>
      <c r="C3" t="inlineStr">
        <is>
          <t>FL_REC_ABC_50kg  (recipiente para venta suelta)</t>
        </is>
      </c>
      <c r="E3" s="2" t="inlineStr">
        <is>
          <t>Peso vacío S1-S4 (kg)</t>
        </is>
      </c>
      <c r="G3" s="67">
        <f>G12</f>
        <v/>
      </c>
    </row>
    <row r="4">
      <c r="A4" s="2" t="inlineStr">
        <is>
          <t>Plano de despiece</t>
        </is>
      </c>
      <c r="C4" t="inlineStr">
        <is>
          <t>FL_REC_ABC_50kg hoja 3</t>
        </is>
      </c>
      <c r="E4" s="2" t="inlineStr">
        <is>
          <t>Peso cargado S1-S6 (kg)</t>
        </is>
      </c>
      <c r="G4" s="67">
        <f>G12</f>
        <v/>
      </c>
    </row>
    <row r="5">
      <c r="A5" s="2" t="inlineStr">
        <is>
          <t>Norma del producto</t>
        </is>
      </c>
      <c r="C5" t="inlineStr">
        <is>
          <t>IRAM 3550</t>
        </is>
      </c>
      <c r="E5" s="2" t="inlineStr">
        <is>
          <t>Peso con soporte y embalaje (kg)</t>
        </is>
      </c>
      <c r="G5" s="67">
        <f>G12+G25</f>
        <v/>
      </c>
    </row>
    <row r="6">
      <c r="A6" s="2" t="inlineStr">
        <is>
          <t>Fabricación</t>
        </is>
      </c>
      <c r="C6" t="inlineStr">
        <is>
          <t>Fabricación propia</t>
        </is>
      </c>
      <c r="E6" s="2" t="n"/>
    </row>
    <row r="7">
      <c r="A7" s="2" t="inlineStr">
        <is>
          <t>Peso catálogo cargado (kg)</t>
        </is>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FL_REC_ABC_50kg</t>
        </is>
      </c>
      <c r="C11" s="28" t="inlineStr">
        <is>
          <t>Cilindro (recipiente) ABC 50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FL_REC_ABC_50kg</t>
        </is>
      </c>
      <c r="R11" s="28" t="inlineStr">
        <is>
          <t>Fabricación propia</t>
        </is>
      </c>
    </row>
    <row r="12">
      <c r="A12" s="30" t="n">
        <v>1</v>
      </c>
      <c r="B12" s="30" t="inlineStr">
        <is>
          <t>ABC50-S1</t>
        </is>
      </c>
      <c r="C12" s="31" t="inlineStr">
        <is>
          <t xml:space="preserve">    Recipiente (cilindro)</t>
        </is>
      </c>
      <c r="D12" s="30" t="n">
        <v>1</v>
      </c>
      <c r="E12" s="30" t="inlineStr">
        <is>
          <t>u</t>
        </is>
      </c>
      <c r="F12" s="32" t="n"/>
      <c r="G12" s="32">
        <f>G13+G15+G16+G17+G18+G24</f>
        <v/>
      </c>
      <c r="H12" s="30" t="n"/>
      <c r="I12" s="31" t="n"/>
      <c r="J12" s="30" t="inlineStr">
        <is>
          <t>Fabricación</t>
        </is>
      </c>
      <c r="K12" s="30" t="n"/>
      <c r="L12" s="31" t="n"/>
      <c r="M12" s="31" t="n"/>
      <c r="N12" s="31" t="n"/>
      <c r="O12" s="31" t="inlineStr">
        <is>
          <t>IRAM 3523 / 3550 (recipiente)</t>
        </is>
      </c>
      <c r="P12" s="30" t="inlineStr">
        <is>
          <t>P</t>
        </is>
      </c>
      <c r="Q12" s="30" t="inlineStr">
        <is>
          <t>FL_DES_ABC_50kg</t>
        </is>
      </c>
      <c r="R12" s="31" t="n"/>
    </row>
    <row r="13" outlineLevel="1">
      <c r="A13" s="33" t="n">
        <v>2</v>
      </c>
      <c r="B13" s="33" t="inlineStr">
        <is>
          <t>ABC50-01</t>
        </is>
      </c>
      <c r="C13" s="17" t="inlineStr">
        <is>
          <t xml:space="preserve">        Cuerpo (virola)</t>
        </is>
      </c>
      <c r="D13" s="33" t="n">
        <v>1</v>
      </c>
      <c r="E13" s="33" t="inlineStr">
        <is>
          <t>u</t>
        </is>
      </c>
      <c r="F13" s="34" t="n">
        <v>13.3755</v>
      </c>
      <c r="G13" s="34">
        <f>D13*F13</f>
        <v/>
      </c>
      <c r="H13" s="33" t="inlineStr">
        <is>
          <t>Chapa LAC IRAM-IAS U 500-04 e=3,2</t>
        </is>
      </c>
      <c r="I13" s="17" t="inlineStr">
        <is>
          <t>Ø320 × e3,2 × 535 de alto; desarrollo 995,3 × 535</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FL_DES_ABC_50kg</t>
        </is>
      </c>
      <c r="R13" s="17" t="inlineStr">
        <is>
          <t>costura long. MAG</t>
        </is>
      </c>
    </row>
    <row r="14" outlineLevel="2">
      <c r="A14" s="35" t="n">
        <v>3</v>
      </c>
      <c r="B14" s="35" t="inlineStr">
        <is>
          <t>MP-HOJA</t>
        </is>
      </c>
      <c r="C14" s="36" t="inlineStr">
        <is>
          <t xml:space="preserve">            Recorte de hoja LAC 1500 × 3000 e=3,2</t>
        </is>
      </c>
      <c r="D14" s="35" t="n">
        <v>1</v>
      </c>
      <c r="E14" s="35" t="inlineStr">
        <is>
          <t>u</t>
        </is>
      </c>
      <c r="F14" s="37" t="n">
        <v>18.845</v>
      </c>
      <c r="G14" s="37">
        <f>D14*F14</f>
        <v/>
      </c>
      <c r="H14" s="35" t="inlineStr">
        <is>
          <t>Chapa LAC IRAM-IAS U 500-04 LAC</t>
        </is>
      </c>
      <c r="I14" s="36" t="inlineStr">
        <is>
          <t>640 × 994 (aprovech. 84,8 %)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ABC50-02</t>
        </is>
      </c>
      <c r="C15" s="17" t="inlineStr">
        <is>
          <t xml:space="preserve">        Cúpula</t>
        </is>
      </c>
      <c r="D15" s="33" t="n">
        <v>1</v>
      </c>
      <c r="E15" s="33" t="inlineStr">
        <is>
          <t>u</t>
        </is>
      </c>
      <c r="F15" s="34" t="n">
        <v>2.884</v>
      </c>
      <c r="G15" s="34">
        <f>D15*F15</f>
        <v/>
      </c>
      <c r="H15" s="33" t="inlineStr">
        <is>
          <t>Chapa LAC IRAM-IAS U 500-04 e=3,2</t>
        </is>
      </c>
      <c r="I15" s="17" t="inlineStr">
        <is>
          <t>Ø320 × e3,2 × 101,7 de alto; disco Ø393,8</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FL_DES_ABC_50kg</t>
        </is>
      </c>
      <c r="R15" s="17" t="inlineStr">
        <is>
          <t>embutida</t>
        </is>
      </c>
    </row>
    <row r="16" outlineLevel="1">
      <c r="A16" s="33" t="n">
        <v>2</v>
      </c>
      <c r="B16" s="33" t="inlineStr">
        <is>
          <t>ABC50-03</t>
        </is>
      </c>
      <c r="C16" s="17" t="inlineStr">
        <is>
          <t xml:space="preserve">        Fondo</t>
        </is>
      </c>
      <c r="D16" s="33" t="n">
        <v>1</v>
      </c>
      <c r="E16" s="33" t="inlineStr">
        <is>
          <t>u</t>
        </is>
      </c>
      <c r="F16" s="34" t="n">
        <v>3.1025</v>
      </c>
      <c r="G16" s="34">
        <f>D16*F16</f>
        <v/>
      </c>
      <c r="H16" s="33" t="inlineStr">
        <is>
          <t>Chapa LAC IRAM-IAS U 500-04 e=3,2</t>
        </is>
      </c>
      <c r="I16" s="17" t="inlineStr">
        <is>
          <t>Ø320 × e3,2 × 105 de alto; disco Ø408,5</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FL_DES_ABC_50kg</t>
        </is>
      </c>
      <c r="R16" s="17" t="inlineStr">
        <is>
          <t>embutido</t>
        </is>
      </c>
    </row>
    <row r="17" outlineLevel="1">
      <c r="A17" s="33" t="n">
        <v>2</v>
      </c>
      <c r="B17" s="33" t="inlineStr">
        <is>
          <t>ABC50-04</t>
        </is>
      </c>
      <c r="C17" s="17" t="inlineStr">
        <is>
          <t xml:space="preserve">        Cuello roscado</t>
        </is>
      </c>
      <c r="D17" s="33" t="n">
        <v>1</v>
      </c>
      <c r="E17" s="33" t="inlineStr">
        <is>
          <t>u</t>
        </is>
      </c>
      <c r="F17" s="34" t="n">
        <v>0.6085</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FL_DES_ABC_50kg</t>
        </is>
      </c>
      <c r="R17" s="17" t="inlineStr">
        <is>
          <t>RBSP 2 1/2"-11 h</t>
        </is>
      </c>
    </row>
    <row r="18" outlineLevel="1">
      <c r="A18" s="41" t="n">
        <v>2</v>
      </c>
      <c r="B18" s="41" t="inlineStr">
        <is>
          <t>ABC50-C1</t>
        </is>
      </c>
      <c r="C18" s="18" t="inlineStr">
        <is>
          <t xml:space="preserve">        Alambre MAG ER70S-6 Ø1,2 (AWS A5.18)</t>
        </is>
      </c>
      <c r="D18" s="41" t="n">
        <v>0.4194</v>
      </c>
      <c r="E18" s="41" t="inlineStr">
        <is>
          <t>kg</t>
        </is>
      </c>
      <c r="F18" s="42" t="n">
        <v>0.95</v>
      </c>
      <c r="G18" s="42">
        <f>D18*F18</f>
        <v/>
      </c>
      <c r="H18" s="41" t="inlineStr">
        <is>
          <t>ER70S-6</t>
        </is>
      </c>
      <c r="I18" s="18" t="inlineStr">
        <is>
          <t>metal depositado de los cordones del plano 398 g / rendimiento 0,95</t>
        </is>
      </c>
      <c r="J18" s="41" t="inlineStr">
        <is>
          <t>Compra</t>
        </is>
      </c>
      <c r="K18" s="41" t="inlineStr">
        <is>
          <t>Sí</t>
        </is>
      </c>
      <c r="L18" s="18" t="inlineStr">
        <is>
          <t>Conarco (ESAB Argentina)</t>
        </is>
      </c>
      <c r="M18" s="18" t="inlineStr">
        <is>
          <t>-</t>
        </is>
      </c>
      <c r="N18" s="18" t="inlineStr">
        <is>
          <t>4 sold. long. / 8 cuello / 11 circunferencial</t>
        </is>
      </c>
      <c r="O18" s="18" t="inlineStr">
        <is>
          <t>IRAM 3523 3.2.4.2 · IRAM 3550 4.1.2</t>
        </is>
      </c>
      <c r="P18" s="41" t="inlineStr">
        <is>
          <t>C</t>
        </is>
      </c>
      <c r="Q18" s="41"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41" t="n">
        <v>2</v>
      </c>
      <c r="B19" s="41" t="inlineStr">
        <is>
          <t>ABC50-C2</t>
        </is>
      </c>
      <c r="C19" s="18" t="inlineStr">
        <is>
          <t xml:space="preserve">        Gas de protección MAG Arcal 21 / ARCAL Speed (Ar + 8 % CO₂, M20)</t>
        </is>
      </c>
      <c r="D19" s="41" t="n">
        <v>65.8</v>
      </c>
      <c r="E19" s="41" t="inlineStr">
        <is>
          <t>L</t>
        </is>
      </c>
      <c r="F19" s="42" t="n"/>
      <c r="G19" s="42" t="n"/>
      <c r="H19" s="41" t="inlineStr">
        <is>
          <t>EN ISO 14175 M20-ArC-8</t>
        </is>
      </c>
      <c r="I19" s="18" t="inlineStr">
        <is>
          <t>14 L/min × 4,7 min de arco (cordones 2.822 mm: long. 535 + circ. 2.011 + cuello 276, a 600 mm/min)</t>
        </is>
      </c>
      <c r="J19" s="41" t="inlineStr">
        <is>
          <t>Compra</t>
        </is>
      </c>
      <c r="K19" s="41" t="inlineStr">
        <is>
          <t>Sí</t>
        </is>
      </c>
      <c r="L19" s="18" t="inlineStr">
        <is>
          <t>Air Liquide Argentina - sucursal Piñeyro</t>
        </is>
      </c>
      <c r="M19" s="18" t="inlineStr">
        <is>
          <t>Gogniat</t>
        </is>
      </c>
      <c r="N19" s="18" t="inlineStr">
        <is>
          <t>Colector SC</t>
        </is>
      </c>
      <c r="O19" s="18" t="inlineStr">
        <is>
          <t>IRAM 3523 3.2.4.2 · IRAM 3550 3.2.2.2</t>
        </is>
      </c>
      <c r="P19" s="41" t="inlineStr">
        <is>
          <t>C</t>
        </is>
      </c>
      <c r="Q19" s="41"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3" t="n">
        <v>2</v>
      </c>
      <c r="B20" s="33" t="inlineStr">
        <is>
          <t>ABC50-C4</t>
        </is>
      </c>
      <c r="C20" s="17" t="inlineStr">
        <is>
          <t xml:space="preserve">        Servicio de pintura en polvo al horno, rojo 03-1-050 (con preparación por quemado)</t>
        </is>
      </c>
      <c r="D20" s="33" t="n">
        <v>1</v>
      </c>
      <c r="E20" s="33" t="inlineStr">
        <is>
          <t>u</t>
        </is>
      </c>
      <c r="F20" s="34" t="n"/>
      <c r="G20" s="34" t="n"/>
      <c r="H20" s="33" t="inlineStr">
        <is>
          <t>Servicio tercerizado</t>
        </is>
      </c>
      <c r="I20" s="17" t="inlineStr">
        <is>
          <t>superficie exterior 0,771 m²</t>
        </is>
      </c>
      <c r="J20" s="33" t="inlineStr">
        <is>
          <t>Compra (servicio)</t>
        </is>
      </c>
      <c r="K20" s="33" t="inlineStr">
        <is>
          <t>Sí</t>
        </is>
      </c>
      <c r="L20" s="17" t="inlineStr">
        <is>
          <t>Pintor de carros (cotización por mensaje)</t>
        </is>
      </c>
      <c r="M20" s="17" t="inlineStr">
        <is>
          <t>Prymax</t>
        </is>
      </c>
      <c r="N20" s="17" t="inlineStr">
        <is>
          <t>17 Pintura tercerizada</t>
        </is>
      </c>
      <c r="O20" s="17" t="inlineStr">
        <is>
          <t>IRAM 3523 5.3 / IRAM 3550 3.11 · IRAM 121</t>
        </is>
      </c>
      <c r="P20" s="33" t="inlineStr">
        <is>
          <t>Q</t>
        </is>
      </c>
      <c r="Q20" s="33" t="n"/>
      <c r="R20" s="17" t="inlineStr">
        <is>
          <t>Q-CARROS (precio por carro); exigir informe de niebla salina del sistema de pintura; tercerización aceptada por el Ministerio (Res. 349/07 art. 18)</t>
        </is>
      </c>
    </row>
    <row r="21" outlineLevel="1">
      <c r="A21" s="43" t="n">
        <v>2</v>
      </c>
      <c r="B21" s="43" t="inlineStr">
        <is>
          <t>ABC50-T1</t>
        </is>
      </c>
      <c r="C21" s="20" t="inlineStr">
        <is>
          <t xml:space="preserve">        Tapón protector de rosca del cuello</t>
        </is>
      </c>
      <c r="D21" s="43" t="n">
        <v>1</v>
      </c>
      <c r="E21" s="43" t="inlineStr">
        <is>
          <t>u</t>
        </is>
      </c>
      <c r="F21" s="44" t="n"/>
      <c r="G21" s="44" t="n"/>
      <c r="H21" s="43" t="inlineStr">
        <is>
          <t>Polietileno</t>
        </is>
      </c>
      <c r="I21" s="20" t="inlineStr">
        <is>
          <t>para rosca RBSP 2 1/2"-11 h (plano FL_REC_ABC_50kg hoja 3, R4)</t>
        </is>
      </c>
      <c r="J21" s="43" t="inlineStr">
        <is>
          <t>Compra</t>
        </is>
      </c>
      <c r="K21" s="43" t="inlineStr">
        <is>
          <t>Sí</t>
        </is>
      </c>
      <c r="L21" s="20" t="inlineStr">
        <is>
          <t>-</t>
        </is>
      </c>
      <c r="M21" s="20" t="inlineStr">
        <is>
          <t>-</t>
        </is>
      </c>
      <c r="N21" s="20" t="inlineStr">
        <is>
          <t>Embalaje</t>
        </is>
      </c>
      <c r="O21" s="20" t="n"/>
      <c r="P21" s="43" t="inlineStr">
        <is>
          <t>P</t>
        </is>
      </c>
      <c r="Q21" s="43" t="n"/>
      <c r="R21" s="20" t="n"/>
    </row>
    <row r="22" outlineLevel="1">
      <c r="A22" s="33" t="n">
        <v>2</v>
      </c>
      <c r="B22" s="33" t="inlineStr">
        <is>
          <t>ABC50-T2</t>
        </is>
      </c>
      <c r="C22" s="17" t="inlineStr">
        <is>
          <t xml:space="preserve">        Marcado del recipiente (estampado)</t>
        </is>
      </c>
      <c r="D22" s="33" t="n">
        <v>1</v>
      </c>
      <c r="E22" s="33" t="inlineStr">
        <is>
          <t>u</t>
        </is>
      </c>
      <c r="F22" s="34" t="n"/>
      <c r="G22" s="34" t="n"/>
      <c r="H22" s="33" t="inlineStr">
        <is>
          <t>-</t>
        </is>
      </c>
      <c r="I22" s="17" t="inlineStr">
        <is>
          <t>Fabricante, n° de serie, año, presión de ensayo; cuño DPS 15 × 7 junto al n°</t>
        </is>
      </c>
      <c r="J22" s="33" t="inlineStr">
        <is>
          <t>Proceso</t>
        </is>
      </c>
      <c r="K22" s="33" t="inlineStr">
        <is>
          <t>No</t>
        </is>
      </c>
      <c r="L22" s="17" t="n"/>
      <c r="M22" s="17" t="n"/>
      <c r="N22" s="17" t="inlineStr">
        <is>
          <t>Marcado</t>
        </is>
      </c>
      <c r="O22" s="17" t="inlineStr">
        <is>
          <t>IRAM 3550 5.1 · Res. 349/07 anexo IV</t>
        </is>
      </c>
      <c r="P22" s="33" t="inlineStr">
        <is>
          <t>N</t>
        </is>
      </c>
      <c r="Q22" s="33" t="n"/>
      <c r="R22" s="17" t="n"/>
    </row>
    <row r="23" outlineLevel="1">
      <c r="A23" s="33" t="n">
        <v>2</v>
      </c>
      <c r="B23" s="33" t="inlineStr">
        <is>
          <t>ABC50-T3</t>
        </is>
      </c>
      <c r="C23" s="17" t="inlineStr">
        <is>
          <t xml:space="preserve">        Etiqueta de identificación del cilindro suelto</t>
        </is>
      </c>
      <c r="D23" s="33" t="n">
        <v>1</v>
      </c>
      <c r="E23" s="33" t="inlineStr">
        <is>
          <t>u</t>
        </is>
      </c>
      <c r="F23" s="34" t="n"/>
      <c r="G23" s="34" t="n"/>
      <c r="H23" s="33" t="inlineStr">
        <is>
          <t>Poliéster autoadhesivo removible</t>
        </is>
      </c>
      <c r="I23" s="17" t="inlineStr">
        <is>
          <t>100 × 60, impresión térmica, QR GS1</t>
        </is>
      </c>
      <c r="J23" s="33" t="inlineStr">
        <is>
          <t>Compra</t>
        </is>
      </c>
      <c r="K23" s="33" t="inlineStr">
        <is>
          <t>Sí</t>
        </is>
      </c>
      <c r="L23" s="17" t="inlineStr">
        <is>
          <t>Astuprint</t>
        </is>
      </c>
      <c r="M23" s="17" t="inlineStr">
        <is>
          <t>GS1 Argentina</t>
        </is>
      </c>
      <c r="N23" s="17" t="inlineStr">
        <is>
          <t>Etiquetado</t>
        </is>
      </c>
      <c r="O23" s="17" t="n"/>
      <c r="P23" s="33" t="inlineStr">
        <is>
          <t>P</t>
        </is>
      </c>
      <c r="Q23" s="33" t="inlineStr">
        <is>
          <t>FL_REC_ABC_50kg hoja 3</t>
        </is>
      </c>
      <c r="R23" s="17" t="n"/>
    </row>
    <row r="24" outlineLevel="1">
      <c r="A24" s="33" t="n">
        <v>2</v>
      </c>
      <c r="B24" s="33" t="inlineStr">
        <is>
          <t>ABC50-T4</t>
        </is>
      </c>
      <c r="C24" s="17" t="inlineStr">
        <is>
          <t xml:space="preserve">        Protocolo de ensayo hidrostático (certificado que acompaña)</t>
        </is>
      </c>
      <c r="D24" s="33" t="n">
        <v>1</v>
      </c>
      <c r="E24" s="33" t="inlineStr">
        <is>
          <t>u</t>
        </is>
      </c>
      <c r="F24" s="34" t="n">
        <v>0.005</v>
      </c>
      <c r="G24" s="34">
        <f>D24*F24</f>
        <v/>
      </c>
      <c r="H24" s="33" t="inlineStr">
        <is>
          <t>Papel</t>
        </is>
      </c>
      <c r="I24" s="17" t="inlineStr">
        <is>
          <t>A5</t>
        </is>
      </c>
      <c r="J24" s="33" t="inlineStr">
        <is>
          <t>Proceso</t>
        </is>
      </c>
      <c r="K24" s="33" t="inlineStr">
        <is>
          <t>No</t>
        </is>
      </c>
      <c r="L24" s="17" t="n"/>
      <c r="M24" s="17" t="n"/>
      <c r="N24" s="17" t="inlineStr">
        <is>
          <t>Control de calidad</t>
        </is>
      </c>
      <c r="O24" s="17" t="inlineStr">
        <is>
          <t>IRAM 3550 4.1 y cap. 6 · IRAM 2587</t>
        </is>
      </c>
      <c r="P24" s="33" t="inlineStr">
        <is>
          <t>N</t>
        </is>
      </c>
      <c r="Q24" s="33" t="inlineStr">
        <is>
          <t>FL_REC_ABC_50kg hoja 3</t>
        </is>
      </c>
      <c r="R24" s="17" t="n"/>
    </row>
    <row r="25">
      <c r="A25" s="30" t="n">
        <v>1</v>
      </c>
      <c r="B25" s="30" t="inlineStr">
        <is>
          <t>ABC50-S7</t>
        </is>
      </c>
      <c r="C25" s="31" t="inlineStr">
        <is>
          <t xml:space="preserve">    Embalaje</t>
        </is>
      </c>
      <c r="D25" s="30" t="n">
        <v>1</v>
      </c>
      <c r="E25" s="30" t="inlineStr">
        <is>
          <t>u</t>
        </is>
      </c>
      <c r="F25" s="32" t="n"/>
      <c r="G25" s="32">
        <f>G28</f>
        <v/>
      </c>
      <c r="H25" s="30" t="n"/>
      <c r="I25" s="31" t="n"/>
      <c r="J25" s="30" t="inlineStr">
        <is>
          <t>Compra</t>
        </is>
      </c>
      <c r="K25" s="30" t="n"/>
      <c r="L25" s="31" t="n"/>
      <c r="M25" s="31" t="n"/>
      <c r="N25" s="31" t="inlineStr">
        <is>
          <t>23 Embalaje -&gt; 24 envolvedora (T11)</t>
        </is>
      </c>
      <c r="O25" s="31" t="n"/>
      <c r="P25" s="30" t="n"/>
      <c r="Q25" s="30" t="n"/>
      <c r="R25" s="31" t="n"/>
    </row>
    <row r="26" outlineLevel="1">
      <c r="A26" s="33" t="n">
        <v>2</v>
      </c>
      <c r="B26" s="33" t="inlineStr">
        <is>
          <t>ABC50-E1</t>
        </is>
      </c>
      <c r="C26" s="17" t="inlineStr">
        <is>
          <t xml:space="preserve">        Esquineros y funda de polietileno</t>
        </is>
      </c>
      <c r="D26" s="33" t="n">
        <v>1</v>
      </c>
      <c r="E26" s="33" t="inlineStr">
        <is>
          <t>jgo</t>
        </is>
      </c>
      <c r="F26" s="34" t="n"/>
      <c r="G26" s="34" t="n"/>
      <c r="H26" s="33" t="inlineStr">
        <is>
          <t>PE / cartón</t>
        </is>
      </c>
      <c r="I26" s="17" t="inlineStr">
        <is>
          <t>a medida de la envolvente del plano</t>
        </is>
      </c>
      <c r="J26" s="33" t="inlineStr">
        <is>
          <t>Compra</t>
        </is>
      </c>
      <c r="K26" s="33" t="inlineStr">
        <is>
          <t>Sí</t>
        </is>
      </c>
      <c r="L26" s="17" t="inlineStr">
        <is>
          <t>MV Embalajes</t>
        </is>
      </c>
      <c r="M26" s="17" t="inlineStr">
        <is>
          <t>Embalpack</t>
        </is>
      </c>
      <c r="N26" s="17" t="inlineStr">
        <is>
          <t>23 Embalaje</t>
        </is>
      </c>
      <c r="O26" s="17" t="n"/>
      <c r="P26" s="33" t="inlineStr">
        <is>
          <t>P</t>
        </is>
      </c>
      <c r="Q26" s="33" t="n"/>
      <c r="R26" s="17" t="inlineStr">
        <is>
          <t>Medida del plano</t>
        </is>
      </c>
    </row>
    <row r="27" outlineLevel="1">
      <c r="A27" s="33" t="n">
        <v>2</v>
      </c>
      <c r="B27" s="33" t="inlineStr">
        <is>
          <t>ABC50-E3</t>
        </is>
      </c>
      <c r="C27" s="17" t="inlineStr">
        <is>
          <t xml:space="preserve">        Pallet 1200 × 1000 (fracción)</t>
        </is>
      </c>
      <c r="D27" s="33" t="n">
        <v>0.1111</v>
      </c>
      <c r="E27" s="33" t="inlineStr">
        <is>
          <t>u</t>
        </is>
      </c>
      <c r="F27" s="34" t="n"/>
      <c r="G27" s="34" t="n"/>
      <c r="H27" s="33" t="inlineStr">
        <is>
          <t>Madera</t>
        </is>
      </c>
      <c r="I27" s="17" t="inlineStr">
        <is>
          <t>9 u por pallet</t>
        </is>
      </c>
      <c r="J27" s="33" t="inlineStr">
        <is>
          <t>Compra</t>
        </is>
      </c>
      <c r="K27" s="33" t="inlineStr">
        <is>
          <t>Sí</t>
        </is>
      </c>
      <c r="L27" s="17" t="inlineStr">
        <is>
          <t>IndusPallets</t>
        </is>
      </c>
      <c r="M27" s="17" t="inlineStr">
        <is>
          <t>-</t>
        </is>
      </c>
      <c r="N27" s="17" t="inlineStr">
        <is>
          <t>23 Embalaje</t>
        </is>
      </c>
      <c r="O27" s="17" t="n"/>
      <c r="P27" s="33" t="inlineStr">
        <is>
          <t>C</t>
        </is>
      </c>
      <c r="Q27" s="33" t="n"/>
      <c r="R27" s="17" t="inlineStr">
        <is>
          <t>u por pallet = acomodo de la caja (plano) en 1200 × 1000 × 1450 de alto</t>
        </is>
      </c>
    </row>
    <row r="28" outlineLevel="1">
      <c r="A28" s="41" t="n">
        <v>2</v>
      </c>
      <c r="B28" s="41" t="inlineStr">
        <is>
          <t>ABC50-E4</t>
        </is>
      </c>
      <c r="C28" s="18" t="inlineStr">
        <is>
          <t xml:space="preserve">        Film stretch (fracción del pallet)</t>
        </is>
      </c>
      <c r="D28" s="41" t="n">
        <v>0.0133</v>
      </c>
      <c r="E28" s="41" t="inlineStr">
        <is>
          <t>kg</t>
        </is>
      </c>
      <c r="F28" s="42" t="n">
        <v>1</v>
      </c>
      <c r="G28" s="42">
        <f>D28*F28</f>
        <v/>
      </c>
      <c r="H28" s="41" t="inlineStr">
        <is>
          <t>PE lineal 23 µm</t>
        </is>
      </c>
      <c r="I28" s="18" t="inlineStr">
        <is>
          <t>0,12 kg por pallet / 9 u</t>
        </is>
      </c>
      <c r="J28" s="41" t="inlineStr">
        <is>
          <t>Compra</t>
        </is>
      </c>
      <c r="K28" s="41" t="inlineStr">
        <is>
          <t>Sí</t>
        </is>
      </c>
      <c r="L28" s="18" t="inlineStr">
        <is>
          <t>MV Embalajes</t>
        </is>
      </c>
      <c r="M28" s="18" t="inlineStr">
        <is>
          <t>Embalpack</t>
        </is>
      </c>
      <c r="N28" s="18" t="inlineStr">
        <is>
          <t>24 Envolvedora (T11)</t>
        </is>
      </c>
      <c r="O28" s="18" t="n"/>
      <c r="P28" s="41" t="inlineStr">
        <is>
          <t>C</t>
        </is>
      </c>
      <c r="Q28" s="41"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3" t="n">
        <v>2</v>
      </c>
      <c r="B29" s="33" t="inlineStr">
        <is>
          <t>ABC50-E5</t>
        </is>
      </c>
      <c r="C29" s="17" t="inlineStr">
        <is>
          <t xml:space="preserve">        Etiqueta de pallet (lote y destino, fracción)</t>
        </is>
      </c>
      <c r="D29" s="33" t="n">
        <v>0.1111</v>
      </c>
      <c r="E29" s="33" t="inlineStr">
        <is>
          <t>u</t>
        </is>
      </c>
      <c r="F29" s="34" t="n"/>
      <c r="G29" s="34" t="n"/>
      <c r="H29" s="33" t="inlineStr">
        <is>
          <t>Papel térmico</t>
        </is>
      </c>
      <c r="I29" s="17" t="inlineStr">
        <is>
          <t>100 × 150</t>
        </is>
      </c>
      <c r="J29" s="33" t="inlineStr">
        <is>
          <t>Compra</t>
        </is>
      </c>
      <c r="K29" s="33" t="inlineStr">
        <is>
          <t>Sí</t>
        </is>
      </c>
      <c r="L29" s="17" t="inlineStr">
        <is>
          <t>Astuprint</t>
        </is>
      </c>
      <c r="M29" s="17" t="inlineStr">
        <is>
          <t>Multilabel Argentina S.A.</t>
        </is>
      </c>
      <c r="N29" s="17" t="inlineStr">
        <is>
          <t>24 Envolvedora</t>
        </is>
      </c>
      <c r="O29" s="17" t="n"/>
      <c r="P29" s="33" t="inlineStr">
        <is>
          <t>C</t>
        </is>
      </c>
      <c r="Q29" s="33" t="n"/>
      <c r="R29" s="17" t="n"/>
    </row>
    <row r="30" outlineLevel="1">
      <c r="A30" s="33" t="n">
        <v>2</v>
      </c>
      <c r="B30" s="33" t="inlineStr">
        <is>
          <t>ABC50-E8</t>
        </is>
      </c>
      <c r="C30" s="17" t="inlineStr">
        <is>
          <t xml:space="preserve">        Separador de capa de cartón 1200 × 1000 (fracción del pallet)</t>
        </is>
      </c>
      <c r="D30" s="33" t="n">
        <v>0</v>
      </c>
      <c r="E30" s="33" t="inlineStr">
        <is>
          <t>u</t>
        </is>
      </c>
      <c r="F30" s="34" t="n"/>
      <c r="G30" s="34" t="n"/>
      <c r="H30" s="33" t="inlineStr">
        <is>
          <t>Cartón</t>
        </is>
      </c>
      <c r="I30" s="17" t="inlineStr">
        <is>
          <t>1 capas → 0 separadores por pallet / 9 u</t>
        </is>
      </c>
      <c r="J30" s="33" t="inlineStr">
        <is>
          <t>Compra</t>
        </is>
      </c>
      <c r="K30" s="33" t="inlineStr">
        <is>
          <t>Sí</t>
        </is>
      </c>
      <c r="L30" s="17" t="inlineStr">
        <is>
          <t>Maxipack</t>
        </is>
      </c>
      <c r="M30" s="17" t="inlineStr">
        <is>
          <t>Cartocan</t>
        </is>
      </c>
      <c r="N30" s="17" t="inlineStr">
        <is>
          <t>23 Embalaje</t>
        </is>
      </c>
      <c r="O30" s="17" t="n"/>
      <c r="P30" s="33" t="inlineStr">
        <is>
          <t>C</t>
        </is>
      </c>
      <c r="Q30" s="33"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66" t="inlineStr">
        <is>
          <t>Cilindro (recipiente) ABC 70 kg rodante - repuesto vacío sin válvula</t>
        </is>
      </c>
    </row>
    <row r="3">
      <c r="A3" s="2" t="inlineStr">
        <is>
          <t>Plano de origen</t>
        </is>
      </c>
      <c r="C3" t="inlineStr">
        <is>
          <t>FL_REC_ABC_70kg  (recipiente para venta suelta)</t>
        </is>
      </c>
      <c r="E3" s="2" t="inlineStr">
        <is>
          <t>Peso vacío S1-S4 (kg)</t>
        </is>
      </c>
      <c r="G3" s="67">
        <f>G12</f>
        <v/>
      </c>
    </row>
    <row r="4">
      <c r="A4" s="2" t="inlineStr">
        <is>
          <t>Plano de despiece</t>
        </is>
      </c>
      <c r="C4" t="inlineStr">
        <is>
          <t>FL_REC_ABC_70kg hoja 3</t>
        </is>
      </c>
      <c r="E4" s="2" t="inlineStr">
        <is>
          <t>Peso cargado S1-S6 (kg)</t>
        </is>
      </c>
      <c r="G4" s="67">
        <f>G12</f>
        <v/>
      </c>
    </row>
    <row r="5">
      <c r="A5" s="2" t="inlineStr">
        <is>
          <t>Norma del producto</t>
        </is>
      </c>
      <c r="C5" t="inlineStr">
        <is>
          <t>IRAM 3550</t>
        </is>
      </c>
      <c r="E5" s="2" t="inlineStr">
        <is>
          <t>Peso con soporte y embalaje (kg)</t>
        </is>
      </c>
      <c r="G5" s="67">
        <f>G12+G27</f>
        <v/>
      </c>
    </row>
    <row r="6">
      <c r="A6" s="2" t="inlineStr">
        <is>
          <t>Fabricación</t>
        </is>
      </c>
      <c r="C6" t="inlineStr">
        <is>
          <t>Fabricación propia</t>
        </is>
      </c>
      <c r="E6" s="2" t="n"/>
    </row>
    <row r="7">
      <c r="A7" s="2" t="inlineStr">
        <is>
          <t>Peso catálogo cargado (kg)</t>
        </is>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FL_REC_ABC_70kg</t>
        </is>
      </c>
      <c r="C11" s="28" t="inlineStr">
        <is>
          <t>Cilindro (recipiente) ABC 70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FL_REC_ABC_70kg</t>
        </is>
      </c>
      <c r="R11" s="28" t="inlineStr">
        <is>
          <t>Fabricación propia</t>
        </is>
      </c>
    </row>
    <row r="12">
      <c r="A12" s="30" t="n">
        <v>1</v>
      </c>
      <c r="B12" s="30" t="inlineStr">
        <is>
          <t>ABC70-S1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FL_DES_ABC_70kg</t>
        </is>
      </c>
      <c r="R12" s="31" t="n"/>
    </row>
    <row r="13" outlineLevel="1">
      <c r="A13" s="33" t="n">
        <v>2</v>
      </c>
      <c r="B13" s="33" t="inlineStr">
        <is>
          <t>ABC70-01</t>
        </is>
      </c>
      <c r="C13" s="17" t="inlineStr">
        <is>
          <t xml:space="preserve">        Cuerpo (virola)</t>
        </is>
      </c>
      <c r="D13" s="33" t="n">
        <v>1</v>
      </c>
      <c r="E13" s="33" t="inlineStr">
        <is>
          <t>u</t>
        </is>
      </c>
      <c r="F13" s="34" t="n">
        <v>27.6309</v>
      </c>
      <c r="G13" s="34">
        <f>D13*F13</f>
        <v/>
      </c>
      <c r="H13" s="33" t="inlineStr">
        <is>
          <t>Chapa LAC IRAM-IAS U 500-04 e=4,75</t>
        </is>
      </c>
      <c r="I13" s="17" t="inlineStr">
        <is>
          <t>Ø350 × e4,75 × 683,2 de alto; desarrollo 1.084,6 × 683,2</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FL_DES_ABC_70kg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41.925</v>
      </c>
      <c r="G14" s="37">
        <f>D14*F14</f>
        <v/>
      </c>
      <c r="H14" s="35" t="inlineStr">
        <is>
          <t>Chapa LAC IRAM-IAS U 500-04 LAC</t>
        </is>
      </c>
      <c r="I14" s="36" t="inlineStr">
        <is>
          <t>680 × 1.212 (aprovech. 73,3 %)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ABC70-02</t>
        </is>
      </c>
      <c r="C15" s="17" t="inlineStr">
        <is>
          <t xml:space="preserve">        Cúpula</t>
        </is>
      </c>
      <c r="D15" s="33" t="n">
        <v>1</v>
      </c>
      <c r="E15" s="33" t="inlineStr">
        <is>
          <t>u</t>
        </is>
      </c>
      <c r="F15" s="34" t="n">
        <v>5.1255</v>
      </c>
      <c r="G15" s="34">
        <f>D15*F15</f>
        <v/>
      </c>
      <c r="H15" s="33" t="inlineStr">
        <is>
          <t>Chapa LAC IRAM-IAS U 500-04 e=4,75</t>
        </is>
      </c>
      <c r="I15" s="17" t="inlineStr">
        <is>
          <t>Ø350 × e4,75 × 111,8 de alto; disco Ø430,9</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FL_DES_ABC_70kg</t>
        </is>
      </c>
      <c r="R15" s="17" t="inlineStr">
        <is>
          <t>embutida</t>
        </is>
      </c>
    </row>
    <row r="16" outlineLevel="1">
      <c r="A16" s="33" t="n">
        <v>2</v>
      </c>
      <c r="B16" s="33" t="inlineStr">
        <is>
          <t>ABC70-03</t>
        </is>
      </c>
      <c r="C16" s="17" t="inlineStr">
        <is>
          <t xml:space="preserve">        Fondo</t>
        </is>
      </c>
      <c r="D16" s="33" t="n">
        <v>1</v>
      </c>
      <c r="E16" s="33" t="inlineStr">
        <is>
          <t>u</t>
        </is>
      </c>
      <c r="F16" s="34" t="n">
        <v>5.4357</v>
      </c>
      <c r="G16" s="34">
        <f>D16*F16</f>
        <v/>
      </c>
      <c r="H16" s="33" t="inlineStr">
        <is>
          <t>Chapa LAC IRAM-IAS U 500-04 e=4,75</t>
        </is>
      </c>
      <c r="I16" s="17" t="inlineStr">
        <is>
          <t>Ø350 × e4,75 × 114,8 de alto; disco Ø443,7</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FL_DES_ABC_70kg</t>
        </is>
      </c>
      <c r="R16" s="17" t="inlineStr">
        <is>
          <t>embutido</t>
        </is>
      </c>
    </row>
    <row r="17" outlineLevel="1">
      <c r="A17" s="33" t="n">
        <v>2</v>
      </c>
      <c r="B17" s="33" t="inlineStr">
        <is>
          <t>ABC70-04</t>
        </is>
      </c>
      <c r="C17" s="17" t="inlineStr">
        <is>
          <t xml:space="preserve">        Cuello roscado</t>
        </is>
      </c>
      <c r="D17" s="33" t="n">
        <v>1</v>
      </c>
      <c r="E17" s="33" t="inlineStr">
        <is>
          <t>u</t>
        </is>
      </c>
      <c r="F17" s="34" t="n">
        <v>0.6199</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FL_DES_ABC_70kg</t>
        </is>
      </c>
      <c r="R17" s="17" t="inlineStr">
        <is>
          <t>RBSP 2 1/2"-11 h</t>
        </is>
      </c>
    </row>
    <row r="18" outlineLevel="1">
      <c r="A18" s="41" t="n">
        <v>2</v>
      </c>
      <c r="B18" s="41" t="inlineStr">
        <is>
          <t>ABC70-05</t>
        </is>
      </c>
      <c r="C18" s="18" t="inlineStr">
        <is>
          <t xml:space="preserve">        Varilla de refuerzo interior</t>
        </is>
      </c>
      <c r="D18" s="41" t="n">
        <v>1</v>
      </c>
      <c r="E18" s="41" t="inlineStr">
        <is>
          <t>u</t>
        </is>
      </c>
      <c r="F18" s="42" t="n">
        <v>0.2577</v>
      </c>
      <c r="G18" s="42">
        <f>D18*F18</f>
        <v/>
      </c>
      <c r="H18" s="41" t="inlineStr">
        <is>
          <t>Redondo liso SAE 1010 Ø8</t>
        </is>
      </c>
      <c r="I18" s="18" t="inlineStr">
        <is>
          <t>653,2 × 8 × 8</t>
        </is>
      </c>
      <c r="J18" s="41" t="inlineStr">
        <is>
          <t>Fabricación</t>
        </is>
      </c>
      <c r="K18" s="41" t="inlineStr">
        <is>
          <t>No</t>
        </is>
      </c>
      <c r="L18" s="18" t="n"/>
      <c r="M18" s="18" t="n"/>
      <c r="N18" s="18" t="inlineStr">
        <is>
          <t>Corte de barra -&gt; C2 punteo interior antes de C3 soldadura longitudinal</t>
        </is>
      </c>
      <c r="O18" s="18" t="n"/>
      <c r="P18" s="41" t="inlineStr">
        <is>
          <t>P</t>
        </is>
      </c>
      <c r="Q18" s="41" t="inlineStr">
        <is>
          <t>FL_DES_ABC_70kg</t>
        </is>
      </c>
      <c r="R18" s="18" t="inlineStr">
        <is>
          <t>Interior, detrás de la costura longitudinal; se puntea antes de la soldadura longitudinal para mantener la simetría del cilindrado (decisión FLAMA). Ø8 = propuesta de diseño, sin cálculo</t>
        </is>
      </c>
    </row>
    <row r="19" outlineLevel="2">
      <c r="A19" s="47" t="n">
        <v>3</v>
      </c>
      <c r="B19" s="47" t="inlineStr">
        <is>
          <t>MP-VARILLA</t>
        </is>
      </c>
      <c r="C19" s="48" t="inlineStr">
        <is>
          <t xml:space="preserve">            Redondo liso SAE 1010 Ø8 (tramo de barra de 6 m)</t>
        </is>
      </c>
      <c r="D19" s="47" t="n">
        <v>0.1089</v>
      </c>
      <c r="E19" s="47" t="inlineStr">
        <is>
          <t>barra</t>
        </is>
      </c>
      <c r="F19" s="49" t="n">
        <v>2.37</v>
      </c>
      <c r="G19" s="49">
        <f>D19*F19</f>
        <v/>
      </c>
      <c r="H19" s="47" t="inlineStr">
        <is>
          <t>Redondo liso SAE 1010 Ø8</t>
        </is>
      </c>
      <c r="I19" s="48" t="inlineStr">
        <is>
          <t>653 mm por pieza (kg por barra de 6 m)</t>
        </is>
      </c>
      <c r="J19" s="47" t="inlineStr">
        <is>
          <t>Compra</t>
        </is>
      </c>
      <c r="K19" s="47" t="inlineStr">
        <is>
          <t>Sí</t>
        </is>
      </c>
      <c r="L19" s="48" t="inlineStr">
        <is>
          <t>Hierros Parrotta</t>
        </is>
      </c>
      <c r="M19" s="48" t="inlineStr">
        <is>
          <t>Aceros Inoxidables Caseros</t>
        </is>
      </c>
      <c r="N19" s="48" t="inlineStr">
        <is>
          <t>Corte en sierra</t>
        </is>
      </c>
      <c r="O19" s="48" t="n"/>
      <c r="P19" s="47" t="inlineStr">
        <is>
          <t>C</t>
        </is>
      </c>
      <c r="Q19" s="47" t="n"/>
      <c r="R19" s="48" t="inlineStr">
        <is>
          <t>Ø8 = propuesta de diseño (sin cálculo)</t>
        </is>
      </c>
    </row>
    <row r="20" outlineLevel="1">
      <c r="A20" s="41" t="n">
        <v>2</v>
      </c>
      <c r="B20" s="41" t="inlineStr">
        <is>
          <t>ABC70-C1</t>
        </is>
      </c>
      <c r="C20" s="18" t="inlineStr">
        <is>
          <t xml:space="preserve">        Alambre MAG ER70S-6 Ø1,2 (AWS A5.18)</t>
        </is>
      </c>
      <c r="D20" s="41" t="n">
        <v>0.9806</v>
      </c>
      <c r="E20" s="41" t="inlineStr">
        <is>
          <t>kg</t>
        </is>
      </c>
      <c r="F20" s="42" t="n">
        <v>0.95</v>
      </c>
      <c r="G20" s="42">
        <f>D20*F20</f>
        <v/>
      </c>
      <c r="H20" s="41" t="inlineStr">
        <is>
          <t>ER70S-6</t>
        </is>
      </c>
      <c r="I20" s="18" t="inlineStr">
        <is>
          <t>metal depositado de los cordones del plano 932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ABC70-C2</t>
        </is>
      </c>
      <c r="C21" s="18" t="inlineStr">
        <is>
          <t xml:space="preserve">        Gas de protección MAG Arcal 21 / ARCAL Speed (Ar + 8 % CO₂, M20)</t>
        </is>
      </c>
      <c r="D21" s="41" t="n">
        <v>73.7</v>
      </c>
      <c r="E21" s="41" t="inlineStr">
        <is>
          <t>L</t>
        </is>
      </c>
      <c r="F21" s="42" t="n"/>
      <c r="G21" s="42" t="n"/>
      <c r="H21" s="41" t="inlineStr">
        <is>
          <t>EN ISO 14175 M20-ArC-8</t>
        </is>
      </c>
      <c r="I21" s="18" t="inlineStr">
        <is>
          <t>14 L/min × 5,26 min de arco (cordones 3.159 mm: long. 683 + circ. 2.199 + cuello 276,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ABC70-C4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1,024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3" t="n">
        <v>2</v>
      </c>
      <c r="B23" s="43" t="inlineStr">
        <is>
          <t>ABC70-T1</t>
        </is>
      </c>
      <c r="C23" s="20" t="inlineStr">
        <is>
          <t xml:space="preserve">        Tapón protector de rosca del cuello</t>
        </is>
      </c>
      <c r="D23" s="43" t="n">
        <v>1</v>
      </c>
      <c r="E23" s="43" t="inlineStr">
        <is>
          <t>u</t>
        </is>
      </c>
      <c r="F23" s="44" t="n"/>
      <c r="G23" s="44" t="n"/>
      <c r="H23" s="43" t="inlineStr">
        <is>
          <t>Polietileno</t>
        </is>
      </c>
      <c r="I23" s="20" t="inlineStr">
        <is>
          <t>para rosca RBSP 2 1/2"-11 h (plano FL_REC_ABC_70kg hoja 3, R4)</t>
        </is>
      </c>
      <c r="J23" s="43" t="inlineStr">
        <is>
          <t>Compra</t>
        </is>
      </c>
      <c r="K23" s="43" t="inlineStr">
        <is>
          <t>Sí</t>
        </is>
      </c>
      <c r="L23" s="20" t="inlineStr">
        <is>
          <t>-</t>
        </is>
      </c>
      <c r="M23" s="20" t="inlineStr">
        <is>
          <t>-</t>
        </is>
      </c>
      <c r="N23" s="20" t="inlineStr">
        <is>
          <t>Embalaje</t>
        </is>
      </c>
      <c r="O23" s="20" t="n"/>
      <c r="P23" s="43" t="inlineStr">
        <is>
          <t>P</t>
        </is>
      </c>
      <c r="Q23" s="43" t="n"/>
      <c r="R23" s="20" t="n"/>
    </row>
    <row r="24" outlineLevel="1">
      <c r="A24" s="33" t="n">
        <v>2</v>
      </c>
      <c r="B24" s="33" t="inlineStr">
        <is>
          <t>ABC70-T2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ABC70-T3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FL_REC_ABC_70kg hoja 3</t>
        </is>
      </c>
      <c r="R25" s="17" t="n"/>
    </row>
    <row r="26" outlineLevel="1">
      <c r="A26" s="33" t="n">
        <v>2</v>
      </c>
      <c r="B26" s="33" t="inlineStr">
        <is>
          <t>ABC70-T4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FL_REC_ABC_70kg hoja 3</t>
        </is>
      </c>
      <c r="R26" s="17" t="n"/>
    </row>
    <row r="27">
      <c r="A27" s="30" t="n">
        <v>1</v>
      </c>
      <c r="B27" s="30" t="inlineStr">
        <is>
          <t>ABC70-S7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ABC70-E1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ABC70-E3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41" t="n">
        <v>2</v>
      </c>
      <c r="B30" s="41" t="inlineStr">
        <is>
          <t>ABC70-E4</t>
        </is>
      </c>
      <c r="C30" s="18" t="inlineStr">
        <is>
          <t xml:space="preserve">        Film stretch (fracción del pallet)</t>
        </is>
      </c>
      <c r="D30" s="41" t="n">
        <v>0.02</v>
      </c>
      <c r="E30" s="41" t="inlineStr">
        <is>
          <t>kg</t>
        </is>
      </c>
      <c r="F30" s="42" t="n">
        <v>1</v>
      </c>
      <c r="G30" s="42">
        <f>D30*F30</f>
        <v/>
      </c>
      <c r="H30" s="41" t="inlineStr">
        <is>
          <t>PE lineal 23 µm</t>
        </is>
      </c>
      <c r="I30" s="18" t="inlineStr">
        <is>
          <t>0,12 kg por pallet / 6 u</t>
        </is>
      </c>
      <c r="J30" s="41" t="inlineStr">
        <is>
          <t>Compra</t>
        </is>
      </c>
      <c r="K30" s="41" t="inlineStr">
        <is>
          <t>Sí</t>
        </is>
      </c>
      <c r="L30" s="18" t="inlineStr">
        <is>
          <t>MV Embalajes</t>
        </is>
      </c>
      <c r="M30" s="18" t="inlineStr">
        <is>
          <t>Embalpack</t>
        </is>
      </c>
      <c r="N30" s="18" t="inlineStr">
        <is>
          <t>24 Envolvedora (T11)</t>
        </is>
      </c>
      <c r="O30" s="18" t="n"/>
      <c r="P30" s="41" t="inlineStr">
        <is>
          <t>C</t>
        </is>
      </c>
      <c r="Q30" s="41"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ABC70-E5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 Argentina S.A.</t>
        </is>
      </c>
      <c r="N31" s="17" t="inlineStr">
        <is>
          <t>24 Envolvedora</t>
        </is>
      </c>
      <c r="O31" s="17" t="n"/>
      <c r="P31" s="33" t="inlineStr">
        <is>
          <t>C</t>
        </is>
      </c>
      <c r="Q31" s="33" t="n"/>
      <c r="R31" s="17" t="n"/>
    </row>
    <row r="32" outlineLevel="1">
      <c r="A32" s="33" t="n">
        <v>2</v>
      </c>
      <c r="B32" s="33" t="inlineStr">
        <is>
          <t>ABC70-E8</t>
        </is>
      </c>
      <c r="C32" s="17" t="inlineStr">
        <is>
          <t xml:space="preserve">        Separador de capa de cartón 1200 × 1000 (fracción del pallet)</t>
        </is>
      </c>
      <c r="D32" s="33" t="n">
        <v>0</v>
      </c>
      <c r="E32" s="33" t="inlineStr">
        <is>
          <t>u</t>
        </is>
      </c>
      <c r="F32" s="34" t="n"/>
      <c r="G32" s="34" t="n"/>
      <c r="H32" s="33" t="inlineStr">
        <is>
          <t>Cartón</t>
        </is>
      </c>
      <c r="I32" s="17" t="inlineStr">
        <is>
          <t>1 capas → 0 separadores por pallet / 6 u</t>
        </is>
      </c>
      <c r="J32" s="33" t="inlineStr">
        <is>
          <t>Compra</t>
        </is>
      </c>
      <c r="K32" s="33" t="inlineStr">
        <is>
          <t>Sí</t>
        </is>
      </c>
      <c r="L32" s="17" t="inlineStr">
        <is>
          <t>Maxipack</t>
        </is>
      </c>
      <c r="M32" s="17" t="inlineStr">
        <is>
          <t>Cartocan</t>
        </is>
      </c>
      <c r="N32" s="17" t="inlineStr">
        <is>
          <t>23 Embalaje</t>
        </is>
      </c>
      <c r="O32" s="17" t="n"/>
      <c r="P32" s="33" t="inlineStr">
        <is>
          <t>C</t>
        </is>
      </c>
      <c r="Q32" s="33" t="n"/>
      <c r="R32" s="17" t="inlineStr">
        <is>
          <t>Planilla MP-61</t>
        </is>
      </c>
    </row>
  </sheetData>
  <autoFilter ref="A10:R32"/>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66" t="inlineStr">
        <is>
          <t>Cilindro (recipiente) ABC 100 kg rodante - repuesto vacío sin válvula</t>
        </is>
      </c>
    </row>
    <row r="3">
      <c r="A3" s="2" t="inlineStr">
        <is>
          <t>Plano de origen</t>
        </is>
      </c>
      <c r="C3" t="inlineStr">
        <is>
          <t>FL_REC_ABC_100kg  (recipiente para venta suelta)</t>
        </is>
      </c>
      <c r="E3" s="2" t="inlineStr">
        <is>
          <t>Peso vacío S1-S4 (kg)</t>
        </is>
      </c>
      <c r="G3" s="67">
        <f>G12</f>
        <v/>
      </c>
    </row>
    <row r="4">
      <c r="A4" s="2" t="inlineStr">
        <is>
          <t>Plano de despiece</t>
        </is>
      </c>
      <c r="C4" t="inlineStr">
        <is>
          <t>FL_REC_ABC_100kg hoja 3</t>
        </is>
      </c>
      <c r="E4" s="2" t="inlineStr">
        <is>
          <t>Peso cargado S1-S6 (kg)</t>
        </is>
      </c>
      <c r="G4" s="67">
        <f>G12</f>
        <v/>
      </c>
    </row>
    <row r="5">
      <c r="A5" s="2" t="inlineStr">
        <is>
          <t>Norma del producto</t>
        </is>
      </c>
      <c r="C5" t="inlineStr">
        <is>
          <t>IRAM 3550</t>
        </is>
      </c>
      <c r="E5" s="2" t="inlineStr">
        <is>
          <t>Peso con soporte y embalaje (kg)</t>
        </is>
      </c>
      <c r="G5" s="67">
        <f>G12+G27</f>
        <v/>
      </c>
    </row>
    <row r="6">
      <c r="A6" s="2" t="inlineStr">
        <is>
          <t>Fabricación</t>
        </is>
      </c>
      <c r="C6" t="inlineStr">
        <is>
          <t>Fabricación propia</t>
        </is>
      </c>
      <c r="E6" s="2" t="n"/>
    </row>
    <row r="7">
      <c r="A7" s="2" t="inlineStr">
        <is>
          <t>Peso catálogo cargado (kg)</t>
        </is>
      </c>
    </row>
    <row r="8">
      <c r="A8" s="68"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6" t="inlineStr">
        <is>
          <t>Nivel</t>
        </is>
      </c>
      <c r="B10" s="26" t="inlineStr">
        <is>
          <t>Código</t>
        </is>
      </c>
      <c r="C10" s="26" t="inlineStr">
        <is>
          <t>Descripción</t>
        </is>
      </c>
      <c r="D10" s="26" t="inlineStr">
        <is>
          <t>Cant.</t>
        </is>
      </c>
      <c r="E10" s="26" t="inlineStr">
        <is>
          <t>UM</t>
        </is>
      </c>
      <c r="F10" s="26" t="inlineStr">
        <is>
          <t>Peso unit. (kg/UM)</t>
        </is>
      </c>
      <c r="G10" s="26" t="inlineStr">
        <is>
          <t>Peso total (kg)</t>
        </is>
      </c>
      <c r="H10" s="26" t="inlineStr">
        <is>
          <t>Material</t>
        </is>
      </c>
      <c r="I10" s="26" t="inlineStr">
        <is>
          <t>Medida (mm)</t>
        </is>
      </c>
      <c r="J10" s="26" t="inlineStr">
        <is>
          <t>Origen</t>
        </is>
      </c>
      <c r="K10" s="26" t="inlineStr">
        <is>
          <t>Entra MRP</t>
        </is>
      </c>
      <c r="L10" s="26" t="inlineStr">
        <is>
          <t>Proveedor principal</t>
        </is>
      </c>
      <c r="M10" s="26" t="inlineStr">
        <is>
          <t>Alternativa</t>
        </is>
      </c>
      <c r="N10" s="26" t="inlineStr">
        <is>
          <t>Operación / puesto (layout FLAMA)</t>
        </is>
      </c>
      <c r="O10" s="26" t="inlineStr">
        <is>
          <t>Norma / referencia</t>
        </is>
      </c>
      <c r="P10" s="26" t="inlineStr">
        <is>
          <t>Fte.</t>
        </is>
      </c>
      <c r="Q10" s="26" t="inlineStr">
        <is>
          <t>Plano</t>
        </is>
      </c>
      <c r="R10" s="26" t="inlineStr">
        <is>
          <t>Observaciones</t>
        </is>
      </c>
    </row>
    <row r="11">
      <c r="A11" s="27" t="n">
        <v>0</v>
      </c>
      <c r="B11" s="27" t="inlineStr">
        <is>
          <t>FL_REC_ABC_100kg</t>
        </is>
      </c>
      <c r="C11" s="28" t="inlineStr">
        <is>
          <t>Cilindro (recipiente) ABC 100 kg rodante - repuesto vacío sin válvula</t>
        </is>
      </c>
      <c r="D11" s="27" t="n">
        <v>1</v>
      </c>
      <c r="E11" s="27" t="inlineStr">
        <is>
          <t>u</t>
        </is>
      </c>
      <c r="F11" s="29" t="n"/>
      <c r="G11" s="29">
        <f>G5</f>
        <v/>
      </c>
      <c r="H11" s="27" t="n"/>
      <c r="I11" s="28" t="n"/>
      <c r="J11" s="27" t="n"/>
      <c r="K11" s="27" t="n"/>
      <c r="L11" s="28" t="n"/>
      <c r="M11" s="28" t="n"/>
      <c r="N11" s="28" t="n"/>
      <c r="O11" s="28" t="inlineStr">
        <is>
          <t>IRAM 3550</t>
        </is>
      </c>
      <c r="P11" s="27" t="inlineStr">
        <is>
          <t>P</t>
        </is>
      </c>
      <c r="Q11" s="27" t="inlineStr">
        <is>
          <t>FL_REC_ABC_100kg</t>
        </is>
      </c>
      <c r="R11" s="28" t="inlineStr">
        <is>
          <t>Fabricación propia</t>
        </is>
      </c>
    </row>
    <row r="12">
      <c r="A12" s="30" t="n">
        <v>1</v>
      </c>
      <c r="B12" s="30" t="inlineStr">
        <is>
          <t>ABC100-S1</t>
        </is>
      </c>
      <c r="C12" s="31" t="inlineStr">
        <is>
          <t xml:space="preserve">    Recipiente (cilindro)</t>
        </is>
      </c>
      <c r="D12" s="30" t="n">
        <v>1</v>
      </c>
      <c r="E12" s="30" t="inlineStr">
        <is>
          <t>u</t>
        </is>
      </c>
      <c r="F12" s="32" t="n"/>
      <c r="G12" s="32">
        <f>G13+G15+G16+G17+G18+G20+G26</f>
        <v/>
      </c>
      <c r="H12" s="30" t="n"/>
      <c r="I12" s="31" t="n"/>
      <c r="J12" s="30" t="inlineStr">
        <is>
          <t>Fabricación</t>
        </is>
      </c>
      <c r="K12" s="30" t="n"/>
      <c r="L12" s="31" t="n"/>
      <c r="M12" s="31" t="n"/>
      <c r="N12" s="31" t="n"/>
      <c r="O12" s="31" t="inlineStr">
        <is>
          <t>IRAM 3523 / 3550 (recipiente)</t>
        </is>
      </c>
      <c r="P12" s="30" t="inlineStr">
        <is>
          <t>P</t>
        </is>
      </c>
      <c r="Q12" s="30" t="inlineStr">
        <is>
          <t>FL_DES_ABC_100kg</t>
        </is>
      </c>
      <c r="R12" s="31" t="n"/>
    </row>
    <row r="13" outlineLevel="1">
      <c r="A13" s="33" t="n">
        <v>2</v>
      </c>
      <c r="B13" s="33" t="inlineStr">
        <is>
          <t>ABC100-01</t>
        </is>
      </c>
      <c r="C13" s="17" t="inlineStr">
        <is>
          <t xml:space="preserve">        Cuerpo (virola)</t>
        </is>
      </c>
      <c r="D13" s="33" t="n">
        <v>1</v>
      </c>
      <c r="E13" s="33" t="inlineStr">
        <is>
          <t>u</t>
        </is>
      </c>
      <c r="F13" s="34" t="n">
        <v>35.6113</v>
      </c>
      <c r="G13" s="34">
        <f>D13*F13</f>
        <v/>
      </c>
      <c r="H13" s="33" t="inlineStr">
        <is>
          <t>Chapa LAC IRAM-IAS U 500-04 e=4,75</t>
        </is>
      </c>
      <c r="I13" s="17" t="inlineStr">
        <is>
          <t>Ø390 × e4,75 × 789,1 de alto; desarrollo 1.210,3 × 789,1</t>
        </is>
      </c>
      <c r="J13" s="33" t="inlineStr">
        <is>
          <t>Fabricación</t>
        </is>
      </c>
      <c r="K13" s="33" t="inlineStr">
        <is>
          <t>No</t>
        </is>
      </c>
      <c r="L13" s="17" t="n"/>
      <c r="M13" s="17" t="n"/>
      <c r="N13" s="17" t="inlineStr">
        <is>
          <t>1 Guillotina -&gt; C1 cilindrado -&gt; C2 punteo -&gt; C3 sold. long.</t>
        </is>
      </c>
      <c r="O13" s="17" t="n"/>
      <c r="P13" s="33" t="inlineStr">
        <is>
          <t>P</t>
        </is>
      </c>
      <c r="Q13" s="33" t="inlineStr">
        <is>
          <t>FL_DES_ABC_100kg</t>
        </is>
      </c>
      <c r="R13" s="17" t="inlineStr">
        <is>
          <t>costura long. MAG</t>
        </is>
      </c>
    </row>
    <row r="14" outlineLevel="2">
      <c r="A14" s="35" t="n">
        <v>3</v>
      </c>
      <c r="B14" s="35" t="inlineStr">
        <is>
          <t>MP-HOJA</t>
        </is>
      </c>
      <c r="C14" s="36" t="inlineStr">
        <is>
          <t xml:space="preserve">            Recorte de hoja LAC 1500 × 3000 e=4,75</t>
        </is>
      </c>
      <c r="D14" s="35" t="n">
        <v>1</v>
      </c>
      <c r="E14" s="35" t="inlineStr">
        <is>
          <t>u</t>
        </is>
      </c>
      <c r="F14" s="37" t="n">
        <v>55.947</v>
      </c>
      <c r="G14" s="37">
        <f>D14*F14</f>
        <v/>
      </c>
      <c r="H14" s="35" t="inlineStr">
        <is>
          <t>Chapa LAC IRAM-IAS U 500-04 LAC</t>
        </is>
      </c>
      <c r="I14" s="36" t="inlineStr">
        <is>
          <t>900 × 1.212 (aprovech. 72,7 %)</t>
        </is>
      </c>
      <c r="J14" s="35" t="inlineStr">
        <is>
          <t>Compra</t>
        </is>
      </c>
      <c r="K14" s="35" t="inlineStr">
        <is>
          <t>Sí</t>
        </is>
      </c>
      <c r="L14" s="36" t="inlineStr">
        <is>
          <t>Pradecon S.A.</t>
        </is>
      </c>
      <c r="M14" s="36" t="inlineStr">
        <is>
          <t>Pacheco Chapas</t>
        </is>
      </c>
      <c r="N14" s="36" t="inlineStr">
        <is>
          <t>AL-1H paquetes de hojas</t>
        </is>
      </c>
      <c r="O14" s="36" t="n"/>
      <c r="P14" s="35" t="inlineStr">
        <is>
          <t>L</t>
        </is>
      </c>
      <c r="Q14" s="35" t="inlineStr">
        <is>
          <t>FL_PI_04 h2</t>
        </is>
      </c>
      <c r="R14" s="36" t="n"/>
    </row>
    <row r="15" outlineLevel="1">
      <c r="A15" s="33" t="n">
        <v>2</v>
      </c>
      <c r="B15" s="33" t="inlineStr">
        <is>
          <t>ABC100-02</t>
        </is>
      </c>
      <c r="C15" s="17" t="inlineStr">
        <is>
          <t xml:space="preserve">        Cúpula</t>
        </is>
      </c>
      <c r="D15" s="33" t="n">
        <v>1</v>
      </c>
      <c r="E15" s="33" t="inlineStr">
        <is>
          <t>u</t>
        </is>
      </c>
      <c r="F15" s="34" t="n">
        <v>6.4197</v>
      </c>
      <c r="G15" s="34">
        <f>D15*F15</f>
        <v/>
      </c>
      <c r="H15" s="33" t="inlineStr">
        <is>
          <t>Chapa LAC IRAM-IAS U 500-04 e=4,75</t>
        </is>
      </c>
      <c r="I15" s="17" t="inlineStr">
        <is>
          <t>Ø390 × e4,75 × 125,2 de alto; disco Ø482,2</t>
        </is>
      </c>
      <c r="J15" s="33" t="inlineStr">
        <is>
          <t>Compra (tapa embutida tercerizada)</t>
        </is>
      </c>
      <c r="K15" s="33" t="inlineStr">
        <is>
          <t>Sí</t>
        </is>
      </c>
      <c r="L15" s="17" t="inlineStr">
        <is>
          <t>Gockel Ingeniería S.R.L.</t>
        </is>
      </c>
      <c r="M15" s="17" t="inlineStr">
        <is>
          <t>-</t>
        </is>
      </c>
      <c r="N15" s="17" t="inlineStr">
        <is>
          <t>Compra (casquetes de carros, rack RK1)</t>
        </is>
      </c>
      <c r="O15" s="17" t="n"/>
      <c r="P15" s="33" t="inlineStr">
        <is>
          <t>P</t>
        </is>
      </c>
      <c r="Q15" s="33" t="inlineStr">
        <is>
          <t>FL_DES_ABC_100kg</t>
        </is>
      </c>
      <c r="R15" s="17" t="inlineStr">
        <is>
          <t>embutida</t>
        </is>
      </c>
    </row>
    <row r="16" outlineLevel="1">
      <c r="A16" s="33" t="n">
        <v>2</v>
      </c>
      <c r="B16" s="33" t="inlineStr">
        <is>
          <t>ABC100-03</t>
        </is>
      </c>
      <c r="C16" s="17" t="inlineStr">
        <is>
          <t xml:space="preserve">        Fondo</t>
        </is>
      </c>
      <c r="D16" s="33" t="n">
        <v>1</v>
      </c>
      <c r="E16" s="33" t="inlineStr">
        <is>
          <t>u</t>
        </is>
      </c>
      <c r="F16" s="34" t="n">
        <v>6.7811</v>
      </c>
      <c r="G16" s="34">
        <f>D16*F16</f>
        <v/>
      </c>
      <c r="H16" s="33" t="inlineStr">
        <is>
          <t>Chapa LAC IRAM-IAS U 500-04 e=4,75</t>
        </is>
      </c>
      <c r="I16" s="17" t="inlineStr">
        <is>
          <t>Ø390 × e4,75 × 127,9 de alto; disco Ø495,6</t>
        </is>
      </c>
      <c r="J16" s="33" t="inlineStr">
        <is>
          <t>Compra (tapa embutida tercerizada)</t>
        </is>
      </c>
      <c r="K16" s="33" t="inlineStr">
        <is>
          <t>Sí</t>
        </is>
      </c>
      <c r="L16" s="17" t="inlineStr">
        <is>
          <t>Gockel Ingeniería S.R.L.</t>
        </is>
      </c>
      <c r="M16" s="17" t="inlineStr">
        <is>
          <t>-</t>
        </is>
      </c>
      <c r="N16" s="17" t="inlineStr">
        <is>
          <t>Compra (casquetes de carros, rack RK1)</t>
        </is>
      </c>
      <c r="O16" s="17" t="n"/>
      <c r="P16" s="33" t="inlineStr">
        <is>
          <t>P</t>
        </is>
      </c>
      <c r="Q16" s="33" t="inlineStr">
        <is>
          <t>FL_DES_ABC_100kg</t>
        </is>
      </c>
      <c r="R16" s="17" t="inlineStr">
        <is>
          <t>embutido</t>
        </is>
      </c>
    </row>
    <row r="17" outlineLevel="1">
      <c r="A17" s="33" t="n">
        <v>2</v>
      </c>
      <c r="B17" s="33" t="inlineStr">
        <is>
          <t>ABC100-04</t>
        </is>
      </c>
      <c r="C17" s="17" t="inlineStr">
        <is>
          <t xml:space="preserve">        Cuello roscado</t>
        </is>
      </c>
      <c r="D17" s="33" t="n">
        <v>1</v>
      </c>
      <c r="E17" s="33" t="inlineStr">
        <is>
          <t>u</t>
        </is>
      </c>
      <c r="F17" s="34" t="n">
        <v>0.6198</v>
      </c>
      <c r="G17" s="34">
        <f>D17*F17</f>
        <v/>
      </c>
      <c r="H17" s="33" t="inlineStr">
        <is>
          <t>Acero SAE 1010</t>
        </is>
      </c>
      <c r="I17" s="17" t="inlineStr">
        <is>
          <t>Ø88 × 37 de alto, rosca RBSP 2 1/2"-11 h, asiento Ø80</t>
        </is>
      </c>
      <c r="J17" s="33" t="inlineStr">
        <is>
          <t>Compra (mecanizado, Eli-Met)</t>
        </is>
      </c>
      <c r="K17" s="33" t="inlineStr">
        <is>
          <t>Sí</t>
        </is>
      </c>
      <c r="L17" s="17" t="inlineStr">
        <is>
          <t>Eli-Met</t>
        </is>
      </c>
      <c r="M17" s="17" t="inlineStr">
        <is>
          <t>-</t>
        </is>
      </c>
      <c r="N17" s="17" t="inlineStr">
        <is>
          <t>Compra -&gt; C2 punteo</t>
        </is>
      </c>
      <c r="O17" s="17" t="n"/>
      <c r="P17" s="33" t="inlineStr">
        <is>
          <t>P</t>
        </is>
      </c>
      <c r="Q17" s="33" t="inlineStr">
        <is>
          <t>FL_DES_ABC_100kg</t>
        </is>
      </c>
      <c r="R17" s="17" t="inlineStr">
        <is>
          <t>RBSP 2 1/2"-11 h</t>
        </is>
      </c>
    </row>
    <row r="18" outlineLevel="1">
      <c r="A18" s="41" t="n">
        <v>2</v>
      </c>
      <c r="B18" s="41" t="inlineStr">
        <is>
          <t>ABC100-05</t>
        </is>
      </c>
      <c r="C18" s="18" t="inlineStr">
        <is>
          <t xml:space="preserve">        Varilla de refuerzo interior</t>
        </is>
      </c>
      <c r="D18" s="41" t="n">
        <v>1</v>
      </c>
      <c r="E18" s="41" t="inlineStr">
        <is>
          <t>u</t>
        </is>
      </c>
      <c r="F18" s="42" t="n">
        <v>0.2995</v>
      </c>
      <c r="G18" s="42">
        <f>D18*F18</f>
        <v/>
      </c>
      <c r="H18" s="41" t="inlineStr">
        <is>
          <t>Redondo liso SAE 1010 Ø8</t>
        </is>
      </c>
      <c r="I18" s="18" t="inlineStr">
        <is>
          <t>759,1 × 8 × 8</t>
        </is>
      </c>
      <c r="J18" s="41" t="inlineStr">
        <is>
          <t>Fabricación</t>
        </is>
      </c>
      <c r="K18" s="41" t="inlineStr">
        <is>
          <t>No</t>
        </is>
      </c>
      <c r="L18" s="18" t="n"/>
      <c r="M18" s="18" t="n"/>
      <c r="N18" s="18" t="inlineStr">
        <is>
          <t>Corte de barra -&gt; C2 punteo interior antes de C3 soldadura longitudinal</t>
        </is>
      </c>
      <c r="O18" s="18" t="n"/>
      <c r="P18" s="41" t="inlineStr">
        <is>
          <t>P</t>
        </is>
      </c>
      <c r="Q18" s="41" t="inlineStr">
        <is>
          <t>FL_DES_ABC_100kg</t>
        </is>
      </c>
      <c r="R18" s="18" t="inlineStr">
        <is>
          <t>Interior, detrás de la costura longitudinal; se puntea antes de la soldadura longitudinal para mantener la simetría del cilindrado (decisión FLAMA). Ø8 = propuesta de diseño, sin cálculo</t>
        </is>
      </c>
    </row>
    <row r="19" outlineLevel="2">
      <c r="A19" s="47" t="n">
        <v>3</v>
      </c>
      <c r="B19" s="47" t="inlineStr">
        <is>
          <t>MP-VARILLA</t>
        </is>
      </c>
      <c r="C19" s="48" t="inlineStr">
        <is>
          <t xml:space="preserve">            Redondo liso SAE 1010 Ø8 (tramo de barra de 6 m)</t>
        </is>
      </c>
      <c r="D19" s="47" t="n">
        <v>0.1265</v>
      </c>
      <c r="E19" s="47" t="inlineStr">
        <is>
          <t>barra</t>
        </is>
      </c>
      <c r="F19" s="49" t="n">
        <v>2.37</v>
      </c>
      <c r="G19" s="49">
        <f>D19*F19</f>
        <v/>
      </c>
      <c r="H19" s="47" t="inlineStr">
        <is>
          <t>Redondo liso SAE 1010 Ø8</t>
        </is>
      </c>
      <c r="I19" s="48" t="inlineStr">
        <is>
          <t>759 mm por pieza (kg por barra de 6 m)</t>
        </is>
      </c>
      <c r="J19" s="47" t="inlineStr">
        <is>
          <t>Compra</t>
        </is>
      </c>
      <c r="K19" s="47" t="inlineStr">
        <is>
          <t>Sí</t>
        </is>
      </c>
      <c r="L19" s="48" t="inlineStr">
        <is>
          <t>Hierros Parrotta</t>
        </is>
      </c>
      <c r="M19" s="48" t="inlineStr">
        <is>
          <t>Aceros Inoxidables Caseros</t>
        </is>
      </c>
      <c r="N19" s="48" t="inlineStr">
        <is>
          <t>Corte en sierra</t>
        </is>
      </c>
      <c r="O19" s="48" t="n"/>
      <c r="P19" s="47" t="inlineStr">
        <is>
          <t>C</t>
        </is>
      </c>
      <c r="Q19" s="47" t="n"/>
      <c r="R19" s="48" t="inlineStr">
        <is>
          <t>Ø8 = propuesta de diseño (sin cálculo)</t>
        </is>
      </c>
    </row>
    <row r="20" outlineLevel="1">
      <c r="A20" s="41" t="n">
        <v>2</v>
      </c>
      <c r="B20" s="41" t="inlineStr">
        <is>
          <t>ABC100-C1</t>
        </is>
      </c>
      <c r="C20" s="18" t="inlineStr">
        <is>
          <t xml:space="preserve">        Alambre MAG ER70S-6 Ø1,2 (AWS A5.18)</t>
        </is>
      </c>
      <c r="D20" s="41" t="n">
        <v>1.0848</v>
      </c>
      <c r="E20" s="41" t="inlineStr">
        <is>
          <t>kg</t>
        </is>
      </c>
      <c r="F20" s="42" t="n">
        <v>0.95</v>
      </c>
      <c r="G20" s="42">
        <f>D20*F20</f>
        <v/>
      </c>
      <c r="H20" s="41" t="inlineStr">
        <is>
          <t>ER70S-6</t>
        </is>
      </c>
      <c r="I20" s="18" t="inlineStr">
        <is>
          <t>metal depositado de los cordones del plano 1.031 g / rendimiento 0,95</t>
        </is>
      </c>
      <c r="J20" s="41" t="inlineStr">
        <is>
          <t>Compra</t>
        </is>
      </c>
      <c r="K20" s="41" t="inlineStr">
        <is>
          <t>Sí</t>
        </is>
      </c>
      <c r="L20" s="18" t="inlineStr">
        <is>
          <t>Conarco (ESAB Argentina)</t>
        </is>
      </c>
      <c r="M20" s="18" t="inlineStr">
        <is>
          <t>-</t>
        </is>
      </c>
      <c r="N20" s="18" t="inlineStr">
        <is>
          <t>4 sold. long. / 8 cuello / 11 circunferencial</t>
        </is>
      </c>
      <c r="O20" s="18" t="inlineStr">
        <is>
          <t>IRAM 3523 3.2.4.2 · IRAM 3550 4.1.2</t>
        </is>
      </c>
      <c r="P20" s="41" t="inlineStr">
        <is>
          <t>C</t>
        </is>
      </c>
      <c r="Q20" s="41"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41" t="n">
        <v>2</v>
      </c>
      <c r="B21" s="41" t="inlineStr">
        <is>
          <t>ABC100-C2</t>
        </is>
      </c>
      <c r="C21" s="18" t="inlineStr">
        <is>
          <t xml:space="preserve">        Gas de protección MAG Arcal 21 / ARCAL Speed (Ar + 8 % CO₂, M20)</t>
        </is>
      </c>
      <c r="D21" s="41" t="n">
        <v>82</v>
      </c>
      <c r="E21" s="41" t="inlineStr">
        <is>
          <t>L</t>
        </is>
      </c>
      <c r="F21" s="42" t="n"/>
      <c r="G21" s="42" t="n"/>
      <c r="H21" s="41" t="inlineStr">
        <is>
          <t>EN ISO 14175 M20-ArC-8</t>
        </is>
      </c>
      <c r="I21" s="18" t="inlineStr">
        <is>
          <t>14 L/min × 5,86 min de arco (cordones 3.516 mm: long. 789 + circ. 2.450 + cuello 276, a 600 mm/min)</t>
        </is>
      </c>
      <c r="J21" s="41" t="inlineStr">
        <is>
          <t>Compra</t>
        </is>
      </c>
      <c r="K21" s="41" t="inlineStr">
        <is>
          <t>Sí</t>
        </is>
      </c>
      <c r="L21" s="18" t="inlineStr">
        <is>
          <t>Air Liquide Argentina - sucursal Piñeyro</t>
        </is>
      </c>
      <c r="M21" s="18" t="inlineStr">
        <is>
          <t>Gogniat</t>
        </is>
      </c>
      <c r="N21" s="18" t="inlineStr">
        <is>
          <t>Colector SC</t>
        </is>
      </c>
      <c r="O21" s="18" t="inlineStr">
        <is>
          <t>IRAM 3523 3.2.4.2 · IRAM 3550 3.2.2.2</t>
        </is>
      </c>
      <c r="P21" s="41" t="inlineStr">
        <is>
          <t>C</t>
        </is>
      </c>
      <c r="Q21" s="41"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3" t="n">
        <v>2</v>
      </c>
      <c r="B22" s="33" t="inlineStr">
        <is>
          <t>ABC100-C4</t>
        </is>
      </c>
      <c r="C22" s="17" t="inlineStr">
        <is>
          <t xml:space="preserve">        Servicio de pintura en polvo al horno, rojo 03-1-050 (con preparación por quemado)</t>
        </is>
      </c>
      <c r="D22" s="33" t="n">
        <v>1</v>
      </c>
      <c r="E22" s="33" t="inlineStr">
        <is>
          <t>u</t>
        </is>
      </c>
      <c r="F22" s="34" t="n"/>
      <c r="G22" s="34" t="n"/>
      <c r="H22" s="33" t="inlineStr">
        <is>
          <t>Servicio tercerizado</t>
        </is>
      </c>
      <c r="I22" s="17" t="inlineStr">
        <is>
          <t>superficie exterior 1,309 m²</t>
        </is>
      </c>
      <c r="J22" s="33" t="inlineStr">
        <is>
          <t>Compra (servicio)</t>
        </is>
      </c>
      <c r="K22" s="33" t="inlineStr">
        <is>
          <t>Sí</t>
        </is>
      </c>
      <c r="L22" s="17" t="inlineStr">
        <is>
          <t>Pintor de carros (cotización por mensaje)</t>
        </is>
      </c>
      <c r="M22" s="17" t="inlineStr">
        <is>
          <t>Prymax</t>
        </is>
      </c>
      <c r="N22" s="17" t="inlineStr">
        <is>
          <t>17 Pintura tercerizada</t>
        </is>
      </c>
      <c r="O22" s="17" t="inlineStr">
        <is>
          <t>IRAM 3523 5.3 / IRAM 3550 3.11 · IRAM 121</t>
        </is>
      </c>
      <c r="P22" s="33" t="inlineStr">
        <is>
          <t>Q</t>
        </is>
      </c>
      <c r="Q22" s="33" t="n"/>
      <c r="R22" s="17" t="inlineStr">
        <is>
          <t>Q-CARROS (precio por carro); exigir informe de niebla salina del sistema de pintura; tercerización aceptada por el Ministerio (Res. 349/07 art. 18)</t>
        </is>
      </c>
    </row>
    <row r="23" outlineLevel="1">
      <c r="A23" s="43" t="n">
        <v>2</v>
      </c>
      <c r="B23" s="43" t="inlineStr">
        <is>
          <t>ABC100-T1</t>
        </is>
      </c>
      <c r="C23" s="20" t="inlineStr">
        <is>
          <t xml:space="preserve">        Tapón protector de rosca del cuello</t>
        </is>
      </c>
      <c r="D23" s="43" t="n">
        <v>1</v>
      </c>
      <c r="E23" s="43" t="inlineStr">
        <is>
          <t>u</t>
        </is>
      </c>
      <c r="F23" s="44" t="n"/>
      <c r="G23" s="44" t="n"/>
      <c r="H23" s="43" t="inlineStr">
        <is>
          <t>Polietileno</t>
        </is>
      </c>
      <c r="I23" s="20" t="inlineStr">
        <is>
          <t>para rosca RBSP 2 1/2"-11 h (plano FL_REC_ABC_100kg hoja 3, R4)</t>
        </is>
      </c>
      <c r="J23" s="43" t="inlineStr">
        <is>
          <t>Compra</t>
        </is>
      </c>
      <c r="K23" s="43" t="inlineStr">
        <is>
          <t>Sí</t>
        </is>
      </c>
      <c r="L23" s="20" t="inlineStr">
        <is>
          <t>-</t>
        </is>
      </c>
      <c r="M23" s="20" t="inlineStr">
        <is>
          <t>-</t>
        </is>
      </c>
      <c r="N23" s="20" t="inlineStr">
        <is>
          <t>Embalaje</t>
        </is>
      </c>
      <c r="O23" s="20" t="n"/>
      <c r="P23" s="43" t="inlineStr">
        <is>
          <t>P</t>
        </is>
      </c>
      <c r="Q23" s="43" t="n"/>
      <c r="R23" s="20" t="n"/>
    </row>
    <row r="24" outlineLevel="1">
      <c r="A24" s="33" t="n">
        <v>2</v>
      </c>
      <c r="B24" s="33" t="inlineStr">
        <is>
          <t>ABC100-T2</t>
        </is>
      </c>
      <c r="C24" s="17" t="inlineStr">
        <is>
          <t xml:space="preserve">        Marcado del recipiente (estampado)</t>
        </is>
      </c>
      <c r="D24" s="33" t="n">
        <v>1</v>
      </c>
      <c r="E24" s="33" t="inlineStr">
        <is>
          <t>u</t>
        </is>
      </c>
      <c r="F24" s="34" t="n"/>
      <c r="G24" s="34" t="n"/>
      <c r="H24" s="33" t="inlineStr">
        <is>
          <t>-</t>
        </is>
      </c>
      <c r="I24" s="17" t="inlineStr">
        <is>
          <t>Fabricante, n° de serie, año, presión de ensayo; cuño DPS 15 × 7 junto al n°</t>
        </is>
      </c>
      <c r="J24" s="33" t="inlineStr">
        <is>
          <t>Proceso</t>
        </is>
      </c>
      <c r="K24" s="33" t="inlineStr">
        <is>
          <t>No</t>
        </is>
      </c>
      <c r="L24" s="17" t="n"/>
      <c r="M24" s="17" t="n"/>
      <c r="N24" s="17" t="inlineStr">
        <is>
          <t>Marcado</t>
        </is>
      </c>
      <c r="O24" s="17" t="inlineStr">
        <is>
          <t>IRAM 3550 5.1 · Res. 349/07 anexo IV</t>
        </is>
      </c>
      <c r="P24" s="33" t="inlineStr">
        <is>
          <t>N</t>
        </is>
      </c>
      <c r="Q24" s="33" t="n"/>
      <c r="R24" s="17" t="n"/>
    </row>
    <row r="25" outlineLevel="1">
      <c r="A25" s="33" t="n">
        <v>2</v>
      </c>
      <c r="B25" s="33" t="inlineStr">
        <is>
          <t>ABC100-T3</t>
        </is>
      </c>
      <c r="C25" s="17" t="inlineStr">
        <is>
          <t xml:space="preserve">        Etiqueta de identificación del cilindro suelto</t>
        </is>
      </c>
      <c r="D25" s="33" t="n">
        <v>1</v>
      </c>
      <c r="E25" s="33" t="inlineStr">
        <is>
          <t>u</t>
        </is>
      </c>
      <c r="F25" s="34" t="n"/>
      <c r="G25" s="34" t="n"/>
      <c r="H25" s="33" t="inlineStr">
        <is>
          <t>Poliéster autoadhesivo removible</t>
        </is>
      </c>
      <c r="I25" s="17" t="inlineStr">
        <is>
          <t>100 × 60, impresión térmica, QR GS1</t>
        </is>
      </c>
      <c r="J25" s="33" t="inlineStr">
        <is>
          <t>Compra</t>
        </is>
      </c>
      <c r="K25" s="33" t="inlineStr">
        <is>
          <t>Sí</t>
        </is>
      </c>
      <c r="L25" s="17" t="inlineStr">
        <is>
          <t>Astuprint</t>
        </is>
      </c>
      <c r="M25" s="17" t="inlineStr">
        <is>
          <t>GS1 Argentina</t>
        </is>
      </c>
      <c r="N25" s="17" t="inlineStr">
        <is>
          <t>Etiquetado</t>
        </is>
      </c>
      <c r="O25" s="17" t="n"/>
      <c r="P25" s="33" t="inlineStr">
        <is>
          <t>P</t>
        </is>
      </c>
      <c r="Q25" s="33" t="inlineStr">
        <is>
          <t>FL_REC_ABC_100kg hoja 3</t>
        </is>
      </c>
      <c r="R25" s="17" t="n"/>
    </row>
    <row r="26" outlineLevel="1">
      <c r="A26" s="33" t="n">
        <v>2</v>
      </c>
      <c r="B26" s="33" t="inlineStr">
        <is>
          <t>ABC100-T4</t>
        </is>
      </c>
      <c r="C26" s="17" t="inlineStr">
        <is>
          <t xml:space="preserve">        Protocolo de ensayo hidrostático (certificado que acompaña)</t>
        </is>
      </c>
      <c r="D26" s="33" t="n">
        <v>1</v>
      </c>
      <c r="E26" s="33" t="inlineStr">
        <is>
          <t>u</t>
        </is>
      </c>
      <c r="F26" s="34" t="n">
        <v>0.005</v>
      </c>
      <c r="G26" s="34">
        <f>D26*F26</f>
        <v/>
      </c>
      <c r="H26" s="33" t="inlineStr">
        <is>
          <t>Papel</t>
        </is>
      </c>
      <c r="I26" s="17" t="inlineStr">
        <is>
          <t>A5</t>
        </is>
      </c>
      <c r="J26" s="33" t="inlineStr">
        <is>
          <t>Proceso</t>
        </is>
      </c>
      <c r="K26" s="33" t="inlineStr">
        <is>
          <t>No</t>
        </is>
      </c>
      <c r="L26" s="17" t="n"/>
      <c r="M26" s="17" t="n"/>
      <c r="N26" s="17" t="inlineStr">
        <is>
          <t>Control de calidad</t>
        </is>
      </c>
      <c r="O26" s="17" t="inlineStr">
        <is>
          <t>IRAM 3550 4.1 y cap. 6 · IRAM 2587</t>
        </is>
      </c>
      <c r="P26" s="33" t="inlineStr">
        <is>
          <t>N</t>
        </is>
      </c>
      <c r="Q26" s="33" t="inlineStr">
        <is>
          <t>FL_REC_ABC_100kg hoja 3</t>
        </is>
      </c>
      <c r="R26" s="17" t="n"/>
    </row>
    <row r="27">
      <c r="A27" s="30" t="n">
        <v>1</v>
      </c>
      <c r="B27" s="30" t="inlineStr">
        <is>
          <t>ABC100-S7</t>
        </is>
      </c>
      <c r="C27" s="31" t="inlineStr">
        <is>
          <t xml:space="preserve">    Embalaje</t>
        </is>
      </c>
      <c r="D27" s="30" t="n">
        <v>1</v>
      </c>
      <c r="E27" s="30" t="inlineStr">
        <is>
          <t>u</t>
        </is>
      </c>
      <c r="F27" s="32" t="n"/>
      <c r="G27" s="32">
        <f>G30</f>
        <v/>
      </c>
      <c r="H27" s="30" t="n"/>
      <c r="I27" s="31" t="n"/>
      <c r="J27" s="30" t="inlineStr">
        <is>
          <t>Compra</t>
        </is>
      </c>
      <c r="K27" s="30" t="n"/>
      <c r="L27" s="31" t="n"/>
      <c r="M27" s="31" t="n"/>
      <c r="N27" s="31" t="inlineStr">
        <is>
          <t>23 Embalaje -&gt; 24 envolvedora (T11)</t>
        </is>
      </c>
      <c r="O27" s="31" t="n"/>
      <c r="P27" s="30" t="n"/>
      <c r="Q27" s="30" t="n"/>
      <c r="R27" s="31" t="n"/>
    </row>
    <row r="28" outlineLevel="1">
      <c r="A28" s="33" t="n">
        <v>2</v>
      </c>
      <c r="B28" s="33" t="inlineStr">
        <is>
          <t>ABC100-E1</t>
        </is>
      </c>
      <c r="C28" s="17" t="inlineStr">
        <is>
          <t xml:space="preserve">        Esquineros y funda de polietileno</t>
        </is>
      </c>
      <c r="D28" s="33" t="n">
        <v>1</v>
      </c>
      <c r="E28" s="33" t="inlineStr">
        <is>
          <t>jgo</t>
        </is>
      </c>
      <c r="F28" s="34" t="n"/>
      <c r="G28" s="34" t="n"/>
      <c r="H28" s="33" t="inlineStr">
        <is>
          <t>PE / cartón</t>
        </is>
      </c>
      <c r="I28" s="17" t="inlineStr">
        <is>
          <t>a medida de la envolvente del plano</t>
        </is>
      </c>
      <c r="J28" s="33" t="inlineStr">
        <is>
          <t>Compra</t>
        </is>
      </c>
      <c r="K28" s="33" t="inlineStr">
        <is>
          <t>Sí</t>
        </is>
      </c>
      <c r="L28" s="17" t="inlineStr">
        <is>
          <t>MV Embalajes</t>
        </is>
      </c>
      <c r="M28" s="17" t="inlineStr">
        <is>
          <t>Embalpack</t>
        </is>
      </c>
      <c r="N28" s="17" t="inlineStr">
        <is>
          <t>23 Embalaje</t>
        </is>
      </c>
      <c r="O28" s="17" t="n"/>
      <c r="P28" s="33" t="inlineStr">
        <is>
          <t>P</t>
        </is>
      </c>
      <c r="Q28" s="33" t="n"/>
      <c r="R28" s="17" t="inlineStr">
        <is>
          <t>Medida del plano</t>
        </is>
      </c>
    </row>
    <row r="29" outlineLevel="1">
      <c r="A29" s="33" t="n">
        <v>2</v>
      </c>
      <c r="B29" s="33" t="inlineStr">
        <is>
          <t>ABC100-E3</t>
        </is>
      </c>
      <c r="C29" s="17" t="inlineStr">
        <is>
          <t xml:space="preserve">        Pallet 1200 × 1000 (fracción)</t>
        </is>
      </c>
      <c r="D29" s="33" t="n">
        <v>0.1667</v>
      </c>
      <c r="E29" s="33" t="inlineStr">
        <is>
          <t>u</t>
        </is>
      </c>
      <c r="F29" s="34" t="n"/>
      <c r="G29" s="34" t="n"/>
      <c r="H29" s="33" t="inlineStr">
        <is>
          <t>Madera</t>
        </is>
      </c>
      <c r="I29" s="17" t="inlineStr">
        <is>
          <t>6 u por pallet</t>
        </is>
      </c>
      <c r="J29" s="33" t="inlineStr">
        <is>
          <t>Compra</t>
        </is>
      </c>
      <c r="K29" s="33" t="inlineStr">
        <is>
          <t>Sí</t>
        </is>
      </c>
      <c r="L29" s="17" t="inlineStr">
        <is>
          <t>IndusPallets</t>
        </is>
      </c>
      <c r="M29" s="17" t="inlineStr">
        <is>
          <t>-</t>
        </is>
      </c>
      <c r="N29" s="17" t="inlineStr">
        <is>
          <t>23 Embalaje</t>
        </is>
      </c>
      <c r="O29" s="17" t="n"/>
      <c r="P29" s="33" t="inlineStr">
        <is>
          <t>C</t>
        </is>
      </c>
      <c r="Q29" s="33" t="n"/>
      <c r="R29" s="17" t="inlineStr">
        <is>
          <t>u por pallet = acomodo de la caja (plano) en 1200 × 1000 × 1450 de alto</t>
        </is>
      </c>
    </row>
    <row r="30" outlineLevel="1">
      <c r="A30" s="41" t="n">
        <v>2</v>
      </c>
      <c r="B30" s="41" t="inlineStr">
        <is>
          <t>ABC100-E4</t>
        </is>
      </c>
      <c r="C30" s="18" t="inlineStr">
        <is>
          <t xml:space="preserve">        Film stretch (fracción del pallet)</t>
        </is>
      </c>
      <c r="D30" s="41" t="n">
        <v>0.02</v>
      </c>
      <c r="E30" s="41" t="inlineStr">
        <is>
          <t>kg</t>
        </is>
      </c>
      <c r="F30" s="42" t="n">
        <v>1</v>
      </c>
      <c r="G30" s="42">
        <f>D30*F30</f>
        <v/>
      </c>
      <c r="H30" s="41" t="inlineStr">
        <is>
          <t>PE lineal 23 µm</t>
        </is>
      </c>
      <c r="I30" s="18" t="inlineStr">
        <is>
          <t>0,12 kg por pallet / 6 u</t>
        </is>
      </c>
      <c r="J30" s="41" t="inlineStr">
        <is>
          <t>Compra</t>
        </is>
      </c>
      <c r="K30" s="41" t="inlineStr">
        <is>
          <t>Sí</t>
        </is>
      </c>
      <c r="L30" s="18" t="inlineStr">
        <is>
          <t>MV Embalajes</t>
        </is>
      </c>
      <c r="M30" s="18" t="inlineStr">
        <is>
          <t>Embalpack</t>
        </is>
      </c>
      <c r="N30" s="18" t="inlineStr">
        <is>
          <t>24 Envolvedora (T11)</t>
        </is>
      </c>
      <c r="O30" s="18" t="n"/>
      <c r="P30" s="41" t="inlineStr">
        <is>
          <t>C</t>
        </is>
      </c>
      <c r="Q30" s="41" t="n"/>
      <c r="R3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1" outlineLevel="1">
      <c r="A31" s="33" t="n">
        <v>2</v>
      </c>
      <c r="B31" s="33" t="inlineStr">
        <is>
          <t>ABC100-E5</t>
        </is>
      </c>
      <c r="C31" s="17" t="inlineStr">
        <is>
          <t xml:space="preserve">        Etiqueta de pallet (lote y destino, fracción)</t>
        </is>
      </c>
      <c r="D31" s="33" t="n">
        <v>0.1667</v>
      </c>
      <c r="E31" s="33" t="inlineStr">
        <is>
          <t>u</t>
        </is>
      </c>
      <c r="F31" s="34" t="n"/>
      <c r="G31" s="34" t="n"/>
      <c r="H31" s="33" t="inlineStr">
        <is>
          <t>Papel térmico</t>
        </is>
      </c>
      <c r="I31" s="17" t="inlineStr">
        <is>
          <t>100 × 150</t>
        </is>
      </c>
      <c r="J31" s="33" t="inlineStr">
        <is>
          <t>Compra</t>
        </is>
      </c>
      <c r="K31" s="33" t="inlineStr">
        <is>
          <t>Sí</t>
        </is>
      </c>
      <c r="L31" s="17" t="inlineStr">
        <is>
          <t>Astuprint</t>
        </is>
      </c>
      <c r="M31" s="17" t="inlineStr">
        <is>
          <t>Multilabel Argentina S.A.</t>
        </is>
      </c>
      <c r="N31" s="17" t="inlineStr">
        <is>
          <t>24 Envolvedora</t>
        </is>
      </c>
      <c r="O31" s="17" t="n"/>
      <c r="P31" s="33" t="inlineStr">
        <is>
          <t>C</t>
        </is>
      </c>
      <c r="Q31" s="33" t="n"/>
      <c r="R31" s="17" t="n"/>
    </row>
    <row r="32" outlineLevel="1">
      <c r="A32" s="33" t="n">
        <v>2</v>
      </c>
      <c r="B32" s="33" t="inlineStr">
        <is>
          <t>ABC100-E8</t>
        </is>
      </c>
      <c r="C32" s="17" t="inlineStr">
        <is>
          <t xml:space="preserve">        Separador de capa de cartón 1200 × 1000 (fracción del pallet)</t>
        </is>
      </c>
      <c r="D32" s="33" t="n">
        <v>0</v>
      </c>
      <c r="E32" s="33" t="inlineStr">
        <is>
          <t>u</t>
        </is>
      </c>
      <c r="F32" s="34" t="n"/>
      <c r="G32" s="34" t="n"/>
      <c r="H32" s="33" t="inlineStr">
        <is>
          <t>Cartón</t>
        </is>
      </c>
      <c r="I32" s="17" t="inlineStr">
        <is>
          <t>1 capas → 0 separadores por pallet / 6 u</t>
        </is>
      </c>
      <c r="J32" s="33" t="inlineStr">
        <is>
          <t>Compra</t>
        </is>
      </c>
      <c r="K32" s="33" t="inlineStr">
        <is>
          <t>Sí</t>
        </is>
      </c>
      <c r="L32" s="17" t="inlineStr">
        <is>
          <t>Maxipack</t>
        </is>
      </c>
      <c r="M32" s="17" t="inlineStr">
        <is>
          <t>Cartocan</t>
        </is>
      </c>
      <c r="N32" s="17" t="inlineStr">
        <is>
          <t>23 Embalaje</t>
        </is>
      </c>
      <c r="O32" s="17" t="n"/>
      <c r="P32" s="33" t="inlineStr">
        <is>
          <t>C</t>
        </is>
      </c>
      <c r="Q32" s="33" t="n"/>
      <c r="R32" s="17" t="inlineStr">
        <is>
          <t>Planilla MP-61</t>
        </is>
      </c>
    </row>
  </sheetData>
  <autoFilter ref="A10:R32"/>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2026-10-06T05:02:31Z</dcterms:created>
  <dcterms:modified xmlns:dcterms="http://purl.org/dc/terms/" xmlns:xsi="http://www.w3.org/2001/XMLSchema-instance" xsi:type="dcterms:W3CDTF">2026-10-06T05:04:21Z</dcterms:modified>
</cp:coreProperties>
</file>